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Progetti\Esercitazione-9\"/>
    </mc:Choice>
  </mc:AlternateContent>
  <xr:revisionPtr revIDLastSave="0" documentId="13_ncr:1_{3E070826-B43F-404B-B6D8-3630C0AC4D58}" xr6:coauthVersionLast="47" xr6:coauthVersionMax="47" xr10:uidLastSave="{00000000-0000-0000-0000-000000000000}"/>
  <bookViews>
    <workbookView xWindow="-108" yWindow="-108" windowWidth="23256" windowHeight="12456" tabRatio="747" firstSheet="21" activeTab="23" xr2:uid="{8AB9D299-73C2-4713-90E8-D45BC92D0D8B}"/>
  </bookViews>
  <sheets>
    <sheet name="DatiOriginali" sheetId="2" r:id="rId1"/>
    <sheet name="Quartile1" sheetId="3" r:id="rId2"/>
    <sheet name="Quartile3" sheetId="4" r:id="rId3"/>
    <sheet name="SogliaPicchi" sheetId="5" r:id="rId4"/>
    <sheet name="DatiRipuliti" sheetId="6" r:id="rId5"/>
    <sheet name="Min" sheetId="7" r:id="rId6"/>
    <sheet name="Max" sheetId="8" r:id="rId7"/>
    <sheet name="Media" sheetId="9" r:id="rId8"/>
    <sheet name="DevStd" sheetId="10" r:id="rId9"/>
    <sheet name="Media+DevStd" sheetId="12" r:id="rId10"/>
    <sheet name="Media-DevStd" sheetId="13" r:id="rId11"/>
    <sheet name="ConfrontiBS" sheetId="14" r:id="rId12"/>
    <sheet name="TempoBs" sheetId="15" r:id="rId13"/>
    <sheet name="ConfrontiIs" sheetId="16" r:id="rId14"/>
    <sheet name="TempoIS" sheetId="17" r:id="rId15"/>
    <sheet name="ConfrontiMS" sheetId="18" r:id="rId16"/>
    <sheet name="TempoMS" sheetId="19" r:id="rId17"/>
    <sheet name="ConfrontiQS" sheetId="20" r:id="rId18"/>
    <sheet name="TempoQS" sheetId="21" r:id="rId19"/>
    <sheet name="ConfrontiQSR" sheetId="22" r:id="rId20"/>
    <sheet name="TempoQSR" sheetId="23" r:id="rId21"/>
    <sheet name="TNS MergeSort VS QuickSort" sheetId="24" r:id="rId22"/>
    <sheet name="TNS QuickSort VS QuickSortRando" sheetId="25" r:id="rId23"/>
    <sheet name="TNS MergeSort vs BubbleSort" sheetId="26" r:id="rId24"/>
  </sheets>
  <definedNames>
    <definedName name="DatiEsterni_1" localSheetId="0" hidden="1">DatiOriginali!$A$1:$K$3001</definedName>
    <definedName name="DatiEsterni_1" localSheetId="4" hidden="1">DatiRipuliti!$A$1:$K$3001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6" l="1"/>
  <c r="B4" i="26"/>
  <c r="B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2" i="26"/>
  <c r="C31" i="26"/>
  <c r="C30" i="26"/>
  <c r="C29" i="26"/>
  <c r="C28" i="26"/>
  <c r="C27" i="26"/>
  <c r="C26" i="26"/>
  <c r="C25" i="26"/>
  <c r="C24" i="26"/>
  <c r="C23" i="26"/>
  <c r="C22" i="26"/>
  <c r="C21" i="26"/>
  <c r="C20" i="26"/>
  <c r="C19" i="26"/>
  <c r="C18" i="26"/>
  <c r="C17" i="26"/>
  <c r="C16" i="26"/>
  <c r="C15" i="26"/>
  <c r="C14" i="26"/>
  <c r="C13" i="26"/>
  <c r="C12" i="26"/>
  <c r="C11" i="26"/>
  <c r="C10" i="26"/>
  <c r="C9" i="26"/>
  <c r="C8" i="26"/>
  <c r="C7" i="26"/>
  <c r="C6" i="26"/>
  <c r="C5" i="26"/>
  <c r="C4" i="26"/>
  <c r="C3" i="26"/>
  <c r="C2" i="26"/>
  <c r="C31" i="25"/>
  <c r="B31" i="25"/>
  <c r="C30" i="25"/>
  <c r="B30" i="25"/>
  <c r="C29" i="25"/>
  <c r="B29" i="25"/>
  <c r="C28" i="25"/>
  <c r="B28" i="25"/>
  <c r="C27" i="25"/>
  <c r="B27" i="25"/>
  <c r="C26" i="25"/>
  <c r="B26" i="25"/>
  <c r="C25" i="25"/>
  <c r="B25" i="25"/>
  <c r="C24" i="25"/>
  <c r="B24" i="25"/>
  <c r="C23" i="25"/>
  <c r="B23" i="25"/>
  <c r="C22" i="25"/>
  <c r="B22" i="25"/>
  <c r="C21" i="25"/>
  <c r="B21" i="25"/>
  <c r="C20" i="25"/>
  <c r="B20" i="25"/>
  <c r="C19" i="25"/>
  <c r="B19" i="25"/>
  <c r="C18" i="25"/>
  <c r="B18" i="25"/>
  <c r="C17" i="25"/>
  <c r="B17" i="25"/>
  <c r="C16" i="25"/>
  <c r="B16" i="25"/>
  <c r="C15" i="25"/>
  <c r="B15" i="25"/>
  <c r="C14" i="25"/>
  <c r="B14" i="25"/>
  <c r="C13" i="25"/>
  <c r="B13" i="25"/>
  <c r="C12" i="25"/>
  <c r="B12" i="25"/>
  <c r="C11" i="25"/>
  <c r="B11" i="25"/>
  <c r="C10" i="25"/>
  <c r="B10" i="25"/>
  <c r="C9" i="25"/>
  <c r="B9" i="25"/>
  <c r="C8" i="25"/>
  <c r="B8" i="25"/>
  <c r="C7" i="25"/>
  <c r="B7" i="25"/>
  <c r="C6" i="25"/>
  <c r="B6" i="25"/>
  <c r="C5" i="25"/>
  <c r="B5" i="25"/>
  <c r="C4" i="25"/>
  <c r="B4" i="25"/>
  <c r="C3" i="25"/>
  <c r="B3" i="25"/>
  <c r="C2" i="25"/>
  <c r="B2" i="25"/>
  <c r="C31" i="24"/>
  <c r="B31" i="24"/>
  <c r="C30" i="24"/>
  <c r="B30" i="24"/>
  <c r="C29" i="24"/>
  <c r="B29" i="24"/>
  <c r="C28" i="24"/>
  <c r="B28" i="24"/>
  <c r="C27" i="24"/>
  <c r="B27" i="24"/>
  <c r="C26" i="24"/>
  <c r="B26" i="24"/>
  <c r="C25" i="24"/>
  <c r="B25" i="24"/>
  <c r="C24" i="24"/>
  <c r="B24" i="24"/>
  <c r="C23" i="24"/>
  <c r="B23" i="24"/>
  <c r="C22" i="24"/>
  <c r="B22" i="24"/>
  <c r="C21" i="24"/>
  <c r="B21" i="24"/>
  <c r="C20" i="24"/>
  <c r="B20" i="24"/>
  <c r="C19" i="24"/>
  <c r="B19" i="24"/>
  <c r="C18" i="24"/>
  <c r="B18" i="24"/>
  <c r="C17" i="24"/>
  <c r="B17" i="24"/>
  <c r="C16" i="24"/>
  <c r="B16" i="24"/>
  <c r="C15" i="24"/>
  <c r="B15" i="24"/>
  <c r="C14" i="24"/>
  <c r="B14" i="24"/>
  <c r="C13" i="24"/>
  <c r="B13" i="24"/>
  <c r="C12" i="24"/>
  <c r="B12" i="24"/>
  <c r="C11" i="24"/>
  <c r="B11" i="24"/>
  <c r="C10" i="24"/>
  <c r="B10" i="24"/>
  <c r="C9" i="24"/>
  <c r="B9" i="24"/>
  <c r="C8" i="24"/>
  <c r="B8" i="24"/>
  <c r="C7" i="24"/>
  <c r="B7" i="24"/>
  <c r="C6" i="24"/>
  <c r="B6" i="24"/>
  <c r="C5" i="24"/>
  <c r="B5" i="24"/>
  <c r="C4" i="24"/>
  <c r="B4" i="24"/>
  <c r="C3" i="24"/>
  <c r="B3" i="24"/>
  <c r="C2" i="24"/>
  <c r="B2" i="24"/>
  <c r="A1048576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C13" i="23"/>
  <c r="B13" i="23"/>
  <c r="C12" i="23"/>
  <c r="B12" i="23"/>
  <c r="C11" i="23"/>
  <c r="B11" i="23"/>
  <c r="C10" i="23"/>
  <c r="B10" i="23"/>
  <c r="C9" i="23"/>
  <c r="B9" i="23"/>
  <c r="C8" i="23"/>
  <c r="B8" i="23"/>
  <c r="C7" i="23"/>
  <c r="B7" i="23"/>
  <c r="C6" i="23"/>
  <c r="B6" i="23"/>
  <c r="C5" i="23"/>
  <c r="B5" i="23"/>
  <c r="C4" i="23"/>
  <c r="B4" i="23"/>
  <c r="C3" i="23"/>
  <c r="B3" i="23"/>
  <c r="C2" i="23"/>
  <c r="B2" i="23"/>
  <c r="A1048576" i="22"/>
  <c r="C31" i="22"/>
  <c r="B31" i="22"/>
  <c r="C30" i="22"/>
  <c r="B30" i="22"/>
  <c r="C29" i="22"/>
  <c r="B29" i="22"/>
  <c r="C28" i="22"/>
  <c r="B28" i="22"/>
  <c r="C27" i="22"/>
  <c r="B27" i="22"/>
  <c r="C26" i="22"/>
  <c r="B26" i="22"/>
  <c r="C25" i="22"/>
  <c r="B25" i="22"/>
  <c r="C24" i="22"/>
  <c r="B24" i="22"/>
  <c r="C23" i="22"/>
  <c r="B23" i="22"/>
  <c r="C22" i="22"/>
  <c r="B22" i="22"/>
  <c r="C21" i="22"/>
  <c r="B21" i="22"/>
  <c r="C20" i="22"/>
  <c r="B20" i="22"/>
  <c r="C19" i="22"/>
  <c r="B19" i="22"/>
  <c r="C18" i="22"/>
  <c r="B18" i="22"/>
  <c r="C17" i="22"/>
  <c r="B17" i="22"/>
  <c r="C16" i="22"/>
  <c r="B16" i="22"/>
  <c r="C15" i="22"/>
  <c r="B15" i="22"/>
  <c r="C14" i="22"/>
  <c r="B14" i="22"/>
  <c r="C13" i="22"/>
  <c r="B13" i="22"/>
  <c r="C12" i="22"/>
  <c r="B12" i="22"/>
  <c r="C11" i="22"/>
  <c r="B11" i="22"/>
  <c r="C10" i="22"/>
  <c r="B10" i="22"/>
  <c r="C9" i="22"/>
  <c r="B9" i="22"/>
  <c r="C8" i="22"/>
  <c r="B8" i="22"/>
  <c r="C7" i="22"/>
  <c r="B7" i="22"/>
  <c r="C6" i="22"/>
  <c r="B6" i="22"/>
  <c r="C5" i="22"/>
  <c r="B5" i="22"/>
  <c r="C4" i="22"/>
  <c r="B4" i="22"/>
  <c r="C3" i="22"/>
  <c r="B3" i="22"/>
  <c r="C2" i="22"/>
  <c r="B2" i="22"/>
  <c r="A1048576" i="21"/>
  <c r="C31" i="21"/>
  <c r="B31" i="21"/>
  <c r="C30" i="21"/>
  <c r="B30" i="21"/>
  <c r="C29" i="21"/>
  <c r="B29" i="21"/>
  <c r="C28" i="21"/>
  <c r="B28" i="21"/>
  <c r="C27" i="21"/>
  <c r="B27" i="21"/>
  <c r="C26" i="21"/>
  <c r="B26" i="21"/>
  <c r="C25" i="21"/>
  <c r="B25" i="21"/>
  <c r="C24" i="21"/>
  <c r="B24" i="21"/>
  <c r="C23" i="21"/>
  <c r="B23" i="21"/>
  <c r="C22" i="21"/>
  <c r="B22" i="21"/>
  <c r="C21" i="21"/>
  <c r="B21" i="21"/>
  <c r="C20" i="21"/>
  <c r="B20" i="21"/>
  <c r="C19" i="21"/>
  <c r="B19" i="21"/>
  <c r="C18" i="21"/>
  <c r="B18" i="21"/>
  <c r="C17" i="21"/>
  <c r="B17" i="21"/>
  <c r="C16" i="21"/>
  <c r="B16" i="21"/>
  <c r="C15" i="21"/>
  <c r="B15" i="21"/>
  <c r="C14" i="21"/>
  <c r="B14" i="21"/>
  <c r="C13" i="21"/>
  <c r="B13" i="21"/>
  <c r="C12" i="21"/>
  <c r="B12" i="21"/>
  <c r="C11" i="21"/>
  <c r="B11" i="21"/>
  <c r="C10" i="21"/>
  <c r="B10" i="21"/>
  <c r="C9" i="21"/>
  <c r="B9" i="21"/>
  <c r="C8" i="21"/>
  <c r="B8" i="21"/>
  <c r="C7" i="21"/>
  <c r="B7" i="21"/>
  <c r="C6" i="21"/>
  <c r="B6" i="21"/>
  <c r="C5" i="21"/>
  <c r="B5" i="21"/>
  <c r="C4" i="21"/>
  <c r="B4" i="21"/>
  <c r="C3" i="21"/>
  <c r="B3" i="21"/>
  <c r="C2" i="21"/>
  <c r="B2" i="21"/>
  <c r="A1048576" i="20"/>
  <c r="C31" i="20"/>
  <c r="B31" i="20"/>
  <c r="C30" i="20"/>
  <c r="B30" i="20"/>
  <c r="C29" i="20"/>
  <c r="B29" i="20"/>
  <c r="C28" i="20"/>
  <c r="B28" i="20"/>
  <c r="C27" i="20"/>
  <c r="B27" i="20"/>
  <c r="C26" i="20"/>
  <c r="B26" i="20"/>
  <c r="C25" i="20"/>
  <c r="B25" i="20"/>
  <c r="C24" i="20"/>
  <c r="B24" i="20"/>
  <c r="C23" i="20"/>
  <c r="B23" i="20"/>
  <c r="C22" i="20"/>
  <c r="B22" i="20"/>
  <c r="C21" i="20"/>
  <c r="B21" i="20"/>
  <c r="C20" i="20"/>
  <c r="B20" i="20"/>
  <c r="C19" i="20"/>
  <c r="B19" i="20"/>
  <c r="C18" i="20"/>
  <c r="B18" i="20"/>
  <c r="C17" i="20"/>
  <c r="B17" i="20"/>
  <c r="C16" i="20"/>
  <c r="B16" i="20"/>
  <c r="C15" i="20"/>
  <c r="B15" i="20"/>
  <c r="C14" i="20"/>
  <c r="B14" i="20"/>
  <c r="C13" i="20"/>
  <c r="B13" i="20"/>
  <c r="C12" i="20"/>
  <c r="B12" i="20"/>
  <c r="C11" i="20"/>
  <c r="B11" i="20"/>
  <c r="C10" i="20"/>
  <c r="B10" i="20"/>
  <c r="C9" i="20"/>
  <c r="B9" i="20"/>
  <c r="C8" i="20"/>
  <c r="B8" i="20"/>
  <c r="C7" i="20"/>
  <c r="B7" i="20"/>
  <c r="C6" i="20"/>
  <c r="B6" i="20"/>
  <c r="C5" i="20"/>
  <c r="B5" i="20"/>
  <c r="C4" i="20"/>
  <c r="B4" i="20"/>
  <c r="C3" i="20"/>
  <c r="B3" i="20"/>
  <c r="C2" i="20"/>
  <c r="B2" i="20"/>
  <c r="A1048576" i="19"/>
  <c r="C31" i="19"/>
  <c r="B31" i="19"/>
  <c r="C30" i="19"/>
  <c r="B30" i="19"/>
  <c r="C29" i="19"/>
  <c r="B29" i="19"/>
  <c r="C28" i="19"/>
  <c r="B28" i="19"/>
  <c r="C27" i="19"/>
  <c r="B27" i="19"/>
  <c r="C26" i="19"/>
  <c r="B26" i="19"/>
  <c r="C25" i="19"/>
  <c r="B25" i="19"/>
  <c r="C24" i="19"/>
  <c r="B24" i="19"/>
  <c r="C23" i="19"/>
  <c r="B23" i="19"/>
  <c r="C22" i="19"/>
  <c r="B22" i="19"/>
  <c r="C21" i="19"/>
  <c r="B21" i="19"/>
  <c r="C20" i="19"/>
  <c r="B20" i="19"/>
  <c r="C19" i="19"/>
  <c r="B19" i="19"/>
  <c r="C18" i="19"/>
  <c r="B18" i="19"/>
  <c r="C17" i="19"/>
  <c r="B17" i="19"/>
  <c r="C16" i="19"/>
  <c r="B16" i="19"/>
  <c r="C15" i="19"/>
  <c r="B15" i="19"/>
  <c r="C14" i="19"/>
  <c r="B14" i="19"/>
  <c r="C13" i="19"/>
  <c r="B13" i="19"/>
  <c r="C12" i="19"/>
  <c r="B12" i="19"/>
  <c r="C11" i="19"/>
  <c r="B11" i="19"/>
  <c r="C10" i="19"/>
  <c r="B10" i="19"/>
  <c r="C9" i="19"/>
  <c r="B9" i="19"/>
  <c r="C8" i="19"/>
  <c r="B8" i="19"/>
  <c r="C7" i="19"/>
  <c r="B7" i="19"/>
  <c r="C6" i="19"/>
  <c r="B6" i="19"/>
  <c r="C5" i="19"/>
  <c r="B5" i="19"/>
  <c r="C4" i="19"/>
  <c r="B4" i="19"/>
  <c r="C3" i="19"/>
  <c r="B3" i="19"/>
  <c r="C2" i="19"/>
  <c r="B2" i="19"/>
  <c r="A1048576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2" i="18"/>
  <c r="B2" i="18"/>
  <c r="A1048576" i="17"/>
  <c r="C31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C22" i="17"/>
  <c r="B22" i="17"/>
  <c r="C21" i="17"/>
  <c r="B21" i="17"/>
  <c r="C20" i="17"/>
  <c r="B20" i="17"/>
  <c r="C19" i="17"/>
  <c r="B19" i="17"/>
  <c r="C18" i="17"/>
  <c r="B18" i="17"/>
  <c r="C17" i="17"/>
  <c r="B17" i="17"/>
  <c r="C16" i="17"/>
  <c r="B16" i="17"/>
  <c r="C15" i="17"/>
  <c r="B15" i="17"/>
  <c r="C14" i="17"/>
  <c r="B14" i="17"/>
  <c r="C13" i="17"/>
  <c r="B13" i="17"/>
  <c r="C12" i="17"/>
  <c r="B12" i="17"/>
  <c r="C11" i="17"/>
  <c r="B11" i="17"/>
  <c r="C10" i="17"/>
  <c r="B10" i="17"/>
  <c r="C9" i="17"/>
  <c r="B9" i="17"/>
  <c r="C8" i="17"/>
  <c r="B8" i="17"/>
  <c r="C7" i="17"/>
  <c r="B7" i="17"/>
  <c r="C6" i="17"/>
  <c r="B6" i="17"/>
  <c r="C5" i="17"/>
  <c r="B5" i="17"/>
  <c r="C4" i="17"/>
  <c r="B4" i="17"/>
  <c r="C3" i="17"/>
  <c r="B3" i="17"/>
  <c r="C2" i="17"/>
  <c r="B2" i="17"/>
  <c r="A1048576" i="16"/>
  <c r="C31" i="16"/>
  <c r="B31" i="16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21" i="16"/>
  <c r="B21" i="16"/>
  <c r="C20" i="16"/>
  <c r="B20" i="16"/>
  <c r="C19" i="16"/>
  <c r="B19" i="16"/>
  <c r="C18" i="16"/>
  <c r="B18" i="16"/>
  <c r="C17" i="16"/>
  <c r="B17" i="16"/>
  <c r="C16" i="16"/>
  <c r="B16" i="16"/>
  <c r="C15" i="16"/>
  <c r="B15" i="16"/>
  <c r="C14" i="16"/>
  <c r="B14" i="16"/>
  <c r="C13" i="16"/>
  <c r="B13" i="16"/>
  <c r="C12" i="16"/>
  <c r="B12" i="16"/>
  <c r="C11" i="16"/>
  <c r="B11" i="16"/>
  <c r="C10" i="16"/>
  <c r="B10" i="16"/>
  <c r="C9" i="16"/>
  <c r="B9" i="16"/>
  <c r="C8" i="16"/>
  <c r="B8" i="16"/>
  <c r="C7" i="16"/>
  <c r="B7" i="16"/>
  <c r="C6" i="16"/>
  <c r="B6" i="16"/>
  <c r="C5" i="16"/>
  <c r="B5" i="16"/>
  <c r="C4" i="16"/>
  <c r="B4" i="16"/>
  <c r="C3" i="16"/>
  <c r="B3" i="16"/>
  <c r="C2" i="16"/>
  <c r="B2" i="16"/>
  <c r="A1048576" i="15"/>
  <c r="C31" i="15"/>
  <c r="B31" i="15"/>
  <c r="C30" i="15"/>
  <c r="B30" i="15"/>
  <c r="C29" i="15"/>
  <c r="B29" i="15"/>
  <c r="C28" i="15"/>
  <c r="B28" i="15"/>
  <c r="C27" i="15"/>
  <c r="B27" i="15"/>
  <c r="C26" i="15"/>
  <c r="B26" i="15"/>
  <c r="C25" i="15"/>
  <c r="B25" i="15"/>
  <c r="C24" i="15"/>
  <c r="B24" i="15"/>
  <c r="C23" i="15"/>
  <c r="B23" i="15"/>
  <c r="C22" i="15"/>
  <c r="B22" i="15"/>
  <c r="C21" i="15"/>
  <c r="B21" i="15"/>
  <c r="C20" i="15"/>
  <c r="B20" i="15"/>
  <c r="C19" i="15"/>
  <c r="B19" i="15"/>
  <c r="C18" i="15"/>
  <c r="B18" i="15"/>
  <c r="C17" i="15"/>
  <c r="B17" i="15"/>
  <c r="C16" i="15"/>
  <c r="B16" i="15"/>
  <c r="C15" i="15"/>
  <c r="B15" i="15"/>
  <c r="C14" i="15"/>
  <c r="B14" i="15"/>
  <c r="C13" i="15"/>
  <c r="B13" i="15"/>
  <c r="C12" i="15"/>
  <c r="B12" i="15"/>
  <c r="C11" i="15"/>
  <c r="B11" i="15"/>
  <c r="C10" i="15"/>
  <c r="B10" i="15"/>
  <c r="C9" i="15"/>
  <c r="B9" i="15"/>
  <c r="C8" i="15"/>
  <c r="B8" i="15"/>
  <c r="C7" i="15"/>
  <c r="B7" i="15"/>
  <c r="C6" i="15"/>
  <c r="B6" i="15"/>
  <c r="C5" i="15"/>
  <c r="B5" i="15"/>
  <c r="C4" i="15"/>
  <c r="B4" i="15"/>
  <c r="C3" i="15"/>
  <c r="B3" i="15"/>
  <c r="C2" i="15"/>
  <c r="B2" i="15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2" i="14"/>
  <c r="C3" i="14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" i="14"/>
  <c r="B2" i="14"/>
  <c r="A1048576" i="14"/>
  <c r="K31" i="13"/>
  <c r="J31" i="13"/>
  <c r="I31" i="13"/>
  <c r="H31" i="13"/>
  <c r="G31" i="13"/>
  <c r="F31" i="13"/>
  <c r="E31" i="13"/>
  <c r="D31" i="13"/>
  <c r="C31" i="13"/>
  <c r="B31" i="13"/>
  <c r="K30" i="13"/>
  <c r="J30" i="13"/>
  <c r="I30" i="13"/>
  <c r="H30" i="13"/>
  <c r="G30" i="13"/>
  <c r="F30" i="13"/>
  <c r="E30" i="13"/>
  <c r="D30" i="13"/>
  <c r="C30" i="13"/>
  <c r="B30" i="13"/>
  <c r="K29" i="13"/>
  <c r="J29" i="13"/>
  <c r="I29" i="13"/>
  <c r="H29" i="13"/>
  <c r="G29" i="13"/>
  <c r="F29" i="13"/>
  <c r="E29" i="13"/>
  <c r="D29" i="13"/>
  <c r="C29" i="13"/>
  <c r="B29" i="13"/>
  <c r="K28" i="13"/>
  <c r="J28" i="13"/>
  <c r="I28" i="13"/>
  <c r="H28" i="13"/>
  <c r="G28" i="13"/>
  <c r="F28" i="13"/>
  <c r="E28" i="13"/>
  <c r="D28" i="13"/>
  <c r="C28" i="13"/>
  <c r="B28" i="13"/>
  <c r="K27" i="13"/>
  <c r="J27" i="13"/>
  <c r="I27" i="13"/>
  <c r="H27" i="13"/>
  <c r="G27" i="13"/>
  <c r="F27" i="13"/>
  <c r="E27" i="13"/>
  <c r="D27" i="13"/>
  <c r="C27" i="13"/>
  <c r="B27" i="13"/>
  <c r="K26" i="13"/>
  <c r="J26" i="13"/>
  <c r="I26" i="13"/>
  <c r="H26" i="13"/>
  <c r="G26" i="13"/>
  <c r="F26" i="13"/>
  <c r="E26" i="13"/>
  <c r="D26" i="13"/>
  <c r="C26" i="13"/>
  <c r="B26" i="13"/>
  <c r="K25" i="13"/>
  <c r="J25" i="13"/>
  <c r="I25" i="13"/>
  <c r="H25" i="13"/>
  <c r="G25" i="13"/>
  <c r="F25" i="13"/>
  <c r="E25" i="13"/>
  <c r="D25" i="13"/>
  <c r="C25" i="13"/>
  <c r="B25" i="13"/>
  <c r="K24" i="13"/>
  <c r="J24" i="13"/>
  <c r="I24" i="13"/>
  <c r="H24" i="13"/>
  <c r="G24" i="13"/>
  <c r="F24" i="13"/>
  <c r="E24" i="13"/>
  <c r="D24" i="13"/>
  <c r="C24" i="13"/>
  <c r="B24" i="13"/>
  <c r="K23" i="13"/>
  <c r="J23" i="13"/>
  <c r="I23" i="13"/>
  <c r="H23" i="13"/>
  <c r="G23" i="13"/>
  <c r="F23" i="13"/>
  <c r="E23" i="13"/>
  <c r="D23" i="13"/>
  <c r="C23" i="13"/>
  <c r="B23" i="13"/>
  <c r="K22" i="13"/>
  <c r="J22" i="13"/>
  <c r="I22" i="13"/>
  <c r="H22" i="13"/>
  <c r="G22" i="13"/>
  <c r="F22" i="13"/>
  <c r="E22" i="13"/>
  <c r="D22" i="13"/>
  <c r="C22" i="13"/>
  <c r="B22" i="13"/>
  <c r="K21" i="13"/>
  <c r="J21" i="13"/>
  <c r="I21" i="13"/>
  <c r="H21" i="13"/>
  <c r="G21" i="13"/>
  <c r="F21" i="13"/>
  <c r="E21" i="13"/>
  <c r="D21" i="13"/>
  <c r="C21" i="13"/>
  <c r="B21" i="13"/>
  <c r="K20" i="13"/>
  <c r="J20" i="13"/>
  <c r="I20" i="13"/>
  <c r="H20" i="13"/>
  <c r="G20" i="13"/>
  <c r="F20" i="13"/>
  <c r="E20" i="13"/>
  <c r="D20" i="13"/>
  <c r="C20" i="13"/>
  <c r="B20" i="13"/>
  <c r="K19" i="13"/>
  <c r="J19" i="13"/>
  <c r="I19" i="13"/>
  <c r="H19" i="13"/>
  <c r="G19" i="13"/>
  <c r="F19" i="13"/>
  <c r="E19" i="13"/>
  <c r="D19" i="13"/>
  <c r="C19" i="13"/>
  <c r="B19" i="13"/>
  <c r="K18" i="13"/>
  <c r="J18" i="13"/>
  <c r="I18" i="13"/>
  <c r="H18" i="13"/>
  <c r="G18" i="13"/>
  <c r="F18" i="13"/>
  <c r="E18" i="13"/>
  <c r="D18" i="13"/>
  <c r="C18" i="13"/>
  <c r="B18" i="13"/>
  <c r="K17" i="13"/>
  <c r="J17" i="13"/>
  <c r="I17" i="13"/>
  <c r="H17" i="13"/>
  <c r="G17" i="13"/>
  <c r="F17" i="13"/>
  <c r="E17" i="13"/>
  <c r="D17" i="13"/>
  <c r="C17" i="13"/>
  <c r="B17" i="13"/>
  <c r="K16" i="13"/>
  <c r="J16" i="13"/>
  <c r="I16" i="13"/>
  <c r="H16" i="13"/>
  <c r="G16" i="13"/>
  <c r="F16" i="13"/>
  <c r="E16" i="13"/>
  <c r="D16" i="13"/>
  <c r="C16" i="13"/>
  <c r="B16" i="13"/>
  <c r="K15" i="13"/>
  <c r="J15" i="13"/>
  <c r="I15" i="13"/>
  <c r="H15" i="13"/>
  <c r="G15" i="13"/>
  <c r="F15" i="13"/>
  <c r="E15" i="13"/>
  <c r="D15" i="13"/>
  <c r="C15" i="13"/>
  <c r="B15" i="13"/>
  <c r="K14" i="13"/>
  <c r="J14" i="13"/>
  <c r="I14" i="13"/>
  <c r="H14" i="13"/>
  <c r="G14" i="13"/>
  <c r="F14" i="13"/>
  <c r="E14" i="13"/>
  <c r="D14" i="13"/>
  <c r="C14" i="13"/>
  <c r="B14" i="13"/>
  <c r="K13" i="13"/>
  <c r="J13" i="13"/>
  <c r="I13" i="13"/>
  <c r="H13" i="13"/>
  <c r="G13" i="13"/>
  <c r="F13" i="13"/>
  <c r="E13" i="13"/>
  <c r="D13" i="13"/>
  <c r="C13" i="13"/>
  <c r="B13" i="13"/>
  <c r="K12" i="13"/>
  <c r="J12" i="13"/>
  <c r="I12" i="13"/>
  <c r="H12" i="13"/>
  <c r="G12" i="13"/>
  <c r="F12" i="13"/>
  <c r="E12" i="13"/>
  <c r="D12" i="13"/>
  <c r="C12" i="13"/>
  <c r="B12" i="13"/>
  <c r="K11" i="13"/>
  <c r="J11" i="13"/>
  <c r="I11" i="13"/>
  <c r="H11" i="13"/>
  <c r="G11" i="13"/>
  <c r="F11" i="13"/>
  <c r="E11" i="13"/>
  <c r="D11" i="13"/>
  <c r="C11" i="13"/>
  <c r="B11" i="13"/>
  <c r="K10" i="13"/>
  <c r="J10" i="13"/>
  <c r="I10" i="13"/>
  <c r="H10" i="13"/>
  <c r="G10" i="13"/>
  <c r="F10" i="13"/>
  <c r="E10" i="13"/>
  <c r="D10" i="13"/>
  <c r="C10" i="13"/>
  <c r="B10" i="13"/>
  <c r="K9" i="13"/>
  <c r="J9" i="13"/>
  <c r="I9" i="13"/>
  <c r="H9" i="13"/>
  <c r="G9" i="13"/>
  <c r="F9" i="13"/>
  <c r="E9" i="13"/>
  <c r="D9" i="13"/>
  <c r="C9" i="13"/>
  <c r="B9" i="13"/>
  <c r="K8" i="13"/>
  <c r="J8" i="13"/>
  <c r="I8" i="13"/>
  <c r="H8" i="13"/>
  <c r="G8" i="13"/>
  <c r="F8" i="13"/>
  <c r="E8" i="13"/>
  <c r="D8" i="13"/>
  <c r="C8" i="13"/>
  <c r="B8" i="13"/>
  <c r="K7" i="13"/>
  <c r="J7" i="13"/>
  <c r="I7" i="13"/>
  <c r="H7" i="13"/>
  <c r="G7" i="13"/>
  <c r="F7" i="13"/>
  <c r="E7" i="13"/>
  <c r="D7" i="13"/>
  <c r="C7" i="13"/>
  <c r="B7" i="13"/>
  <c r="K6" i="13"/>
  <c r="J6" i="13"/>
  <c r="I6" i="13"/>
  <c r="H6" i="13"/>
  <c r="G6" i="13"/>
  <c r="F6" i="13"/>
  <c r="E6" i="13"/>
  <c r="D6" i="13"/>
  <c r="C6" i="13"/>
  <c r="B6" i="13"/>
  <c r="K5" i="13"/>
  <c r="J5" i="13"/>
  <c r="I5" i="13"/>
  <c r="H5" i="13"/>
  <c r="G5" i="13"/>
  <c r="F5" i="13"/>
  <c r="E5" i="13"/>
  <c r="D5" i="13"/>
  <c r="C5" i="13"/>
  <c r="B5" i="13"/>
  <c r="K4" i="13"/>
  <c r="J4" i="13"/>
  <c r="I4" i="13"/>
  <c r="H4" i="13"/>
  <c r="G4" i="13"/>
  <c r="F4" i="13"/>
  <c r="E4" i="13"/>
  <c r="D4" i="13"/>
  <c r="C4" i="13"/>
  <c r="B4" i="13"/>
  <c r="K3" i="13"/>
  <c r="J3" i="13"/>
  <c r="I3" i="13"/>
  <c r="H3" i="13"/>
  <c r="G3" i="13"/>
  <c r="F3" i="13"/>
  <c r="E3" i="13"/>
  <c r="D3" i="13"/>
  <c r="C3" i="13"/>
  <c r="B3" i="13"/>
  <c r="K2" i="13"/>
  <c r="J2" i="13"/>
  <c r="I2" i="13"/>
  <c r="H2" i="13"/>
  <c r="G2" i="13"/>
  <c r="F2" i="13"/>
  <c r="E2" i="13"/>
  <c r="D2" i="13"/>
  <c r="C2" i="13"/>
  <c r="B2" i="13"/>
  <c r="A1048576" i="13"/>
  <c r="C2" i="12"/>
  <c r="D2" i="12"/>
  <c r="E2" i="12"/>
  <c r="F2" i="12"/>
  <c r="G2" i="12"/>
  <c r="H2" i="12"/>
  <c r="I2" i="12"/>
  <c r="J2" i="12"/>
  <c r="K2" i="12"/>
  <c r="C3" i="12"/>
  <c r="D3" i="12"/>
  <c r="E3" i="12"/>
  <c r="F3" i="12"/>
  <c r="G3" i="12"/>
  <c r="H3" i="12"/>
  <c r="I3" i="12"/>
  <c r="J3" i="12"/>
  <c r="K3" i="12"/>
  <c r="C4" i="12"/>
  <c r="D4" i="12"/>
  <c r="E4" i="12"/>
  <c r="F4" i="12"/>
  <c r="G4" i="12"/>
  <c r="H4" i="12"/>
  <c r="I4" i="12"/>
  <c r="J4" i="12"/>
  <c r="K4" i="12"/>
  <c r="C5" i="12"/>
  <c r="D5" i="12"/>
  <c r="E5" i="12"/>
  <c r="F5" i="12"/>
  <c r="G5" i="12"/>
  <c r="H5" i="12"/>
  <c r="I5" i="12"/>
  <c r="J5" i="12"/>
  <c r="K5" i="12"/>
  <c r="C6" i="12"/>
  <c r="D6" i="12"/>
  <c r="E6" i="12"/>
  <c r="F6" i="12"/>
  <c r="G6" i="12"/>
  <c r="H6" i="12"/>
  <c r="I6" i="12"/>
  <c r="J6" i="12"/>
  <c r="K6" i="12"/>
  <c r="C7" i="12"/>
  <c r="D7" i="12"/>
  <c r="E7" i="12"/>
  <c r="F7" i="12"/>
  <c r="G7" i="12"/>
  <c r="H7" i="12"/>
  <c r="I7" i="12"/>
  <c r="J7" i="12"/>
  <c r="K7" i="12"/>
  <c r="C8" i="12"/>
  <c r="D8" i="12"/>
  <c r="E8" i="12"/>
  <c r="F8" i="12"/>
  <c r="G8" i="12"/>
  <c r="H8" i="12"/>
  <c r="I8" i="12"/>
  <c r="J8" i="12"/>
  <c r="K8" i="12"/>
  <c r="C9" i="12"/>
  <c r="D9" i="12"/>
  <c r="E9" i="12"/>
  <c r="F9" i="12"/>
  <c r="G9" i="12"/>
  <c r="H9" i="12"/>
  <c r="I9" i="12"/>
  <c r="J9" i="12"/>
  <c r="K9" i="12"/>
  <c r="C10" i="12"/>
  <c r="D10" i="12"/>
  <c r="E10" i="12"/>
  <c r="F10" i="12"/>
  <c r="G10" i="12"/>
  <c r="H10" i="12"/>
  <c r="I10" i="12"/>
  <c r="J10" i="12"/>
  <c r="K10" i="12"/>
  <c r="C11" i="12"/>
  <c r="D11" i="12"/>
  <c r="E11" i="12"/>
  <c r="F11" i="12"/>
  <c r="G11" i="12"/>
  <c r="H11" i="12"/>
  <c r="I11" i="12"/>
  <c r="J11" i="12"/>
  <c r="K11" i="12"/>
  <c r="C12" i="12"/>
  <c r="D12" i="12"/>
  <c r="E12" i="12"/>
  <c r="F12" i="12"/>
  <c r="G12" i="12"/>
  <c r="H12" i="12"/>
  <c r="I12" i="12"/>
  <c r="J12" i="12"/>
  <c r="K12" i="12"/>
  <c r="C13" i="12"/>
  <c r="D13" i="12"/>
  <c r="E13" i="12"/>
  <c r="F13" i="12"/>
  <c r="G13" i="12"/>
  <c r="H13" i="12"/>
  <c r="I13" i="12"/>
  <c r="J13" i="12"/>
  <c r="K13" i="12"/>
  <c r="C14" i="12"/>
  <c r="D14" i="12"/>
  <c r="E14" i="12"/>
  <c r="F14" i="12"/>
  <c r="G14" i="12"/>
  <c r="H14" i="12"/>
  <c r="I14" i="12"/>
  <c r="J14" i="12"/>
  <c r="K14" i="12"/>
  <c r="C15" i="12"/>
  <c r="D15" i="12"/>
  <c r="E15" i="12"/>
  <c r="F15" i="12"/>
  <c r="G15" i="12"/>
  <c r="H15" i="12"/>
  <c r="I15" i="12"/>
  <c r="J15" i="12"/>
  <c r="K15" i="12"/>
  <c r="C16" i="12"/>
  <c r="D16" i="12"/>
  <c r="E16" i="12"/>
  <c r="F16" i="12"/>
  <c r="G16" i="12"/>
  <c r="H16" i="12"/>
  <c r="I16" i="12"/>
  <c r="J16" i="12"/>
  <c r="K16" i="12"/>
  <c r="C17" i="12"/>
  <c r="D17" i="12"/>
  <c r="E17" i="12"/>
  <c r="F17" i="12"/>
  <c r="G17" i="12"/>
  <c r="H17" i="12"/>
  <c r="I17" i="12"/>
  <c r="J17" i="12"/>
  <c r="K17" i="12"/>
  <c r="C18" i="12"/>
  <c r="D18" i="12"/>
  <c r="E18" i="12"/>
  <c r="F18" i="12"/>
  <c r="G18" i="12"/>
  <c r="H18" i="12"/>
  <c r="I18" i="12"/>
  <c r="J18" i="12"/>
  <c r="K18" i="12"/>
  <c r="C19" i="12"/>
  <c r="D19" i="12"/>
  <c r="E19" i="12"/>
  <c r="F19" i="12"/>
  <c r="G19" i="12"/>
  <c r="H19" i="12"/>
  <c r="I19" i="12"/>
  <c r="J19" i="12"/>
  <c r="K19" i="12"/>
  <c r="C20" i="12"/>
  <c r="D20" i="12"/>
  <c r="E20" i="12"/>
  <c r="F20" i="12"/>
  <c r="G20" i="12"/>
  <c r="H20" i="12"/>
  <c r="I20" i="12"/>
  <c r="J20" i="12"/>
  <c r="K20" i="12"/>
  <c r="C21" i="12"/>
  <c r="D21" i="12"/>
  <c r="E21" i="12"/>
  <c r="F21" i="12"/>
  <c r="G21" i="12"/>
  <c r="H21" i="12"/>
  <c r="I21" i="12"/>
  <c r="J21" i="12"/>
  <c r="K21" i="12"/>
  <c r="C22" i="12"/>
  <c r="D22" i="12"/>
  <c r="E22" i="12"/>
  <c r="F22" i="12"/>
  <c r="G22" i="12"/>
  <c r="H22" i="12"/>
  <c r="I22" i="12"/>
  <c r="J22" i="12"/>
  <c r="K22" i="12"/>
  <c r="C23" i="12"/>
  <c r="D23" i="12"/>
  <c r="E23" i="12"/>
  <c r="F23" i="12"/>
  <c r="G23" i="12"/>
  <c r="H23" i="12"/>
  <c r="I23" i="12"/>
  <c r="J23" i="12"/>
  <c r="K23" i="12"/>
  <c r="C24" i="12"/>
  <c r="D24" i="12"/>
  <c r="E24" i="12"/>
  <c r="F24" i="12"/>
  <c r="G24" i="12"/>
  <c r="H24" i="12"/>
  <c r="I24" i="12"/>
  <c r="J24" i="12"/>
  <c r="K24" i="12"/>
  <c r="C25" i="12"/>
  <c r="D25" i="12"/>
  <c r="E25" i="12"/>
  <c r="F25" i="12"/>
  <c r="G25" i="12"/>
  <c r="H25" i="12"/>
  <c r="I25" i="12"/>
  <c r="J25" i="12"/>
  <c r="K25" i="12"/>
  <c r="C26" i="12"/>
  <c r="D26" i="12"/>
  <c r="E26" i="12"/>
  <c r="F26" i="12"/>
  <c r="G26" i="12"/>
  <c r="H26" i="12"/>
  <c r="I26" i="12"/>
  <c r="J26" i="12"/>
  <c r="K26" i="12"/>
  <c r="C27" i="12"/>
  <c r="D27" i="12"/>
  <c r="E27" i="12"/>
  <c r="F27" i="12"/>
  <c r="G27" i="12"/>
  <c r="H27" i="12"/>
  <c r="I27" i="12"/>
  <c r="J27" i="12"/>
  <c r="K27" i="12"/>
  <c r="C28" i="12"/>
  <c r="D28" i="12"/>
  <c r="E28" i="12"/>
  <c r="F28" i="12"/>
  <c r="G28" i="12"/>
  <c r="H28" i="12"/>
  <c r="I28" i="12"/>
  <c r="J28" i="12"/>
  <c r="K28" i="12"/>
  <c r="C29" i="12"/>
  <c r="D29" i="12"/>
  <c r="E29" i="12"/>
  <c r="F29" i="12"/>
  <c r="G29" i="12"/>
  <c r="H29" i="12"/>
  <c r="I29" i="12"/>
  <c r="J29" i="12"/>
  <c r="K29" i="12"/>
  <c r="C30" i="12"/>
  <c r="D30" i="12"/>
  <c r="E30" i="12"/>
  <c r="F30" i="12"/>
  <c r="G30" i="12"/>
  <c r="H30" i="12"/>
  <c r="I30" i="12"/>
  <c r="J30" i="12"/>
  <c r="K30" i="12"/>
  <c r="C31" i="12"/>
  <c r="D31" i="12"/>
  <c r="E31" i="12"/>
  <c r="F31" i="12"/>
  <c r="G31" i="12"/>
  <c r="H31" i="12"/>
  <c r="I31" i="12"/>
  <c r="J31" i="12"/>
  <c r="K31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" i="12"/>
  <c r="B4" i="12"/>
  <c r="B5" i="12"/>
  <c r="B6" i="12"/>
  <c r="B7" i="12"/>
  <c r="B8" i="12"/>
  <c r="B9" i="12"/>
  <c r="B10" i="12"/>
  <c r="B11" i="12"/>
  <c r="B12" i="12"/>
  <c r="B13" i="12"/>
  <c r="B14" i="12"/>
  <c r="B2" i="12"/>
  <c r="A1048576" i="12"/>
  <c r="J31" i="10"/>
  <c r="H31" i="10"/>
  <c r="F31" i="10"/>
  <c r="D31" i="10"/>
  <c r="B31" i="10"/>
  <c r="J30" i="10"/>
  <c r="H30" i="10"/>
  <c r="F30" i="10"/>
  <c r="D30" i="10"/>
  <c r="B30" i="10"/>
  <c r="J29" i="10"/>
  <c r="H29" i="10"/>
  <c r="F29" i="10"/>
  <c r="D29" i="10"/>
  <c r="B29" i="10"/>
  <c r="J28" i="10"/>
  <c r="H28" i="10"/>
  <c r="F28" i="10"/>
  <c r="D28" i="10"/>
  <c r="B28" i="10"/>
  <c r="J27" i="10"/>
  <c r="H27" i="10"/>
  <c r="F27" i="10"/>
  <c r="D27" i="10"/>
  <c r="B27" i="10"/>
  <c r="J26" i="10"/>
  <c r="H26" i="10"/>
  <c r="F26" i="10"/>
  <c r="D26" i="10"/>
  <c r="B26" i="10"/>
  <c r="J25" i="10"/>
  <c r="H25" i="10"/>
  <c r="F25" i="10"/>
  <c r="D25" i="10"/>
  <c r="B25" i="10"/>
  <c r="J24" i="10"/>
  <c r="H24" i="10"/>
  <c r="F24" i="10"/>
  <c r="D24" i="10"/>
  <c r="B24" i="10"/>
  <c r="J23" i="10"/>
  <c r="H23" i="10"/>
  <c r="F23" i="10"/>
  <c r="D23" i="10"/>
  <c r="B23" i="10"/>
  <c r="J22" i="10"/>
  <c r="H22" i="10"/>
  <c r="F22" i="10"/>
  <c r="D22" i="10"/>
  <c r="B22" i="10"/>
  <c r="J21" i="10"/>
  <c r="H21" i="10"/>
  <c r="F21" i="10"/>
  <c r="D21" i="10"/>
  <c r="B21" i="10"/>
  <c r="J20" i="10"/>
  <c r="H20" i="10"/>
  <c r="F20" i="10"/>
  <c r="D20" i="10"/>
  <c r="B20" i="10"/>
  <c r="J19" i="10"/>
  <c r="H19" i="10"/>
  <c r="F19" i="10"/>
  <c r="D19" i="10"/>
  <c r="B19" i="10"/>
  <c r="J18" i="10"/>
  <c r="H18" i="10"/>
  <c r="F18" i="10"/>
  <c r="D18" i="10"/>
  <c r="B18" i="10"/>
  <c r="J17" i="10"/>
  <c r="H17" i="10"/>
  <c r="F17" i="10"/>
  <c r="D17" i="10"/>
  <c r="B17" i="10"/>
  <c r="J16" i="10"/>
  <c r="H16" i="10"/>
  <c r="F16" i="10"/>
  <c r="D16" i="10"/>
  <c r="B16" i="10"/>
  <c r="J15" i="10"/>
  <c r="H15" i="10"/>
  <c r="F15" i="10"/>
  <c r="D15" i="10"/>
  <c r="B15" i="10"/>
  <c r="J14" i="10"/>
  <c r="H14" i="10"/>
  <c r="F14" i="10"/>
  <c r="D14" i="10"/>
  <c r="B14" i="10"/>
  <c r="J13" i="10"/>
  <c r="H13" i="10"/>
  <c r="F13" i="10"/>
  <c r="D13" i="10"/>
  <c r="B13" i="10"/>
  <c r="J12" i="10"/>
  <c r="H12" i="10"/>
  <c r="F12" i="10"/>
  <c r="D12" i="10"/>
  <c r="B12" i="10"/>
  <c r="J11" i="10"/>
  <c r="H11" i="10"/>
  <c r="F11" i="10"/>
  <c r="D11" i="10"/>
  <c r="B11" i="10"/>
  <c r="J10" i="10"/>
  <c r="H10" i="10"/>
  <c r="F10" i="10"/>
  <c r="D10" i="10"/>
  <c r="B10" i="10"/>
  <c r="J9" i="10"/>
  <c r="H9" i="10"/>
  <c r="F9" i="10"/>
  <c r="D9" i="10"/>
  <c r="B9" i="10"/>
  <c r="J8" i="10"/>
  <c r="H8" i="10"/>
  <c r="F8" i="10"/>
  <c r="D8" i="10"/>
  <c r="B8" i="10"/>
  <c r="J7" i="10"/>
  <c r="H7" i="10"/>
  <c r="F7" i="10"/>
  <c r="D7" i="10"/>
  <c r="B7" i="10"/>
  <c r="J6" i="10"/>
  <c r="H6" i="10"/>
  <c r="F6" i="10"/>
  <c r="D6" i="10"/>
  <c r="B6" i="10"/>
  <c r="J5" i="10"/>
  <c r="H5" i="10"/>
  <c r="F5" i="10"/>
  <c r="D5" i="10"/>
  <c r="B5" i="10"/>
  <c r="J4" i="10"/>
  <c r="H4" i="10"/>
  <c r="F4" i="10"/>
  <c r="D4" i="10"/>
  <c r="B4" i="10"/>
  <c r="J3" i="10"/>
  <c r="H3" i="10"/>
  <c r="B3" i="10"/>
  <c r="J2" i="10"/>
  <c r="H2" i="10"/>
  <c r="F2" i="10"/>
  <c r="D2" i="10"/>
  <c r="B2" i="10"/>
  <c r="A1048576" i="10"/>
  <c r="J31" i="9"/>
  <c r="H31" i="9"/>
  <c r="F31" i="9"/>
  <c r="D31" i="9"/>
  <c r="B31" i="9"/>
  <c r="J30" i="9"/>
  <c r="H30" i="9"/>
  <c r="F30" i="9"/>
  <c r="D30" i="9"/>
  <c r="B30" i="9"/>
  <c r="J29" i="9"/>
  <c r="H29" i="9"/>
  <c r="F29" i="9"/>
  <c r="D29" i="9"/>
  <c r="B29" i="9"/>
  <c r="J28" i="9"/>
  <c r="H28" i="9"/>
  <c r="F28" i="9"/>
  <c r="D28" i="9"/>
  <c r="B28" i="9"/>
  <c r="J27" i="9"/>
  <c r="H27" i="9"/>
  <c r="F27" i="9"/>
  <c r="D27" i="9"/>
  <c r="B27" i="9"/>
  <c r="J26" i="9"/>
  <c r="H26" i="9"/>
  <c r="F26" i="9"/>
  <c r="D26" i="9"/>
  <c r="B26" i="9"/>
  <c r="J25" i="9"/>
  <c r="H25" i="9"/>
  <c r="F25" i="9"/>
  <c r="D25" i="9"/>
  <c r="B25" i="9"/>
  <c r="J24" i="9"/>
  <c r="H24" i="9"/>
  <c r="F24" i="9"/>
  <c r="D24" i="9"/>
  <c r="B24" i="9"/>
  <c r="J23" i="9"/>
  <c r="H23" i="9"/>
  <c r="F23" i="9"/>
  <c r="D23" i="9"/>
  <c r="B23" i="9"/>
  <c r="J22" i="9"/>
  <c r="H22" i="9"/>
  <c r="F22" i="9"/>
  <c r="D22" i="9"/>
  <c r="B22" i="9"/>
  <c r="J21" i="9"/>
  <c r="H21" i="9"/>
  <c r="F21" i="9"/>
  <c r="D21" i="9"/>
  <c r="B21" i="9"/>
  <c r="J20" i="9"/>
  <c r="H20" i="9"/>
  <c r="F20" i="9"/>
  <c r="D20" i="9"/>
  <c r="B20" i="9"/>
  <c r="J19" i="9"/>
  <c r="H19" i="9"/>
  <c r="F19" i="9"/>
  <c r="D19" i="9"/>
  <c r="B19" i="9"/>
  <c r="J18" i="9"/>
  <c r="H18" i="9"/>
  <c r="F18" i="9"/>
  <c r="D18" i="9"/>
  <c r="B18" i="9"/>
  <c r="J17" i="9"/>
  <c r="H17" i="9"/>
  <c r="F17" i="9"/>
  <c r="D17" i="9"/>
  <c r="B17" i="9"/>
  <c r="J16" i="9"/>
  <c r="H16" i="9"/>
  <c r="F16" i="9"/>
  <c r="D16" i="9"/>
  <c r="B16" i="9"/>
  <c r="J15" i="9"/>
  <c r="H15" i="9"/>
  <c r="F15" i="9"/>
  <c r="D15" i="9"/>
  <c r="B15" i="9"/>
  <c r="J14" i="9"/>
  <c r="H14" i="9"/>
  <c r="F14" i="9"/>
  <c r="D14" i="9"/>
  <c r="B14" i="9"/>
  <c r="J13" i="9"/>
  <c r="H13" i="9"/>
  <c r="F13" i="9"/>
  <c r="D13" i="9"/>
  <c r="B13" i="9"/>
  <c r="J12" i="9"/>
  <c r="H12" i="9"/>
  <c r="F12" i="9"/>
  <c r="D12" i="9"/>
  <c r="B12" i="9"/>
  <c r="J11" i="9"/>
  <c r="H11" i="9"/>
  <c r="F11" i="9"/>
  <c r="D11" i="9"/>
  <c r="B11" i="9"/>
  <c r="J10" i="9"/>
  <c r="H10" i="9"/>
  <c r="F10" i="9"/>
  <c r="D10" i="9"/>
  <c r="B10" i="9"/>
  <c r="J9" i="9"/>
  <c r="H9" i="9"/>
  <c r="F9" i="9"/>
  <c r="D9" i="9"/>
  <c r="B9" i="9"/>
  <c r="J8" i="9"/>
  <c r="H8" i="9"/>
  <c r="F8" i="9"/>
  <c r="D8" i="9"/>
  <c r="B8" i="9"/>
  <c r="J7" i="9"/>
  <c r="H7" i="9"/>
  <c r="F7" i="9"/>
  <c r="D7" i="9"/>
  <c r="B7" i="9"/>
  <c r="J6" i="9"/>
  <c r="H6" i="9"/>
  <c r="F6" i="9"/>
  <c r="D6" i="9"/>
  <c r="B6" i="9"/>
  <c r="J5" i="9"/>
  <c r="H5" i="9"/>
  <c r="F5" i="9"/>
  <c r="D5" i="9"/>
  <c r="B5" i="9"/>
  <c r="J4" i="9"/>
  <c r="H4" i="9"/>
  <c r="F4" i="9"/>
  <c r="D4" i="9"/>
  <c r="B4" i="9"/>
  <c r="J3" i="9"/>
  <c r="H3" i="9"/>
  <c r="B3" i="9"/>
  <c r="J2" i="9"/>
  <c r="H2" i="9"/>
  <c r="F2" i="9"/>
  <c r="D2" i="9"/>
  <c r="B2" i="9"/>
  <c r="A1048576" i="9"/>
  <c r="J31" i="8"/>
  <c r="H31" i="8"/>
  <c r="F31" i="8"/>
  <c r="D31" i="8"/>
  <c r="B31" i="8"/>
  <c r="J30" i="8"/>
  <c r="H30" i="8"/>
  <c r="F30" i="8"/>
  <c r="D30" i="8"/>
  <c r="B30" i="8"/>
  <c r="J29" i="8"/>
  <c r="H29" i="8"/>
  <c r="F29" i="8"/>
  <c r="D29" i="8"/>
  <c r="B29" i="8"/>
  <c r="J28" i="8"/>
  <c r="H28" i="8"/>
  <c r="F28" i="8"/>
  <c r="D28" i="8"/>
  <c r="B28" i="8"/>
  <c r="J27" i="8"/>
  <c r="H27" i="8"/>
  <c r="F27" i="8"/>
  <c r="D27" i="8"/>
  <c r="B27" i="8"/>
  <c r="J26" i="8"/>
  <c r="H26" i="8"/>
  <c r="F26" i="8"/>
  <c r="D26" i="8"/>
  <c r="B26" i="8"/>
  <c r="J25" i="8"/>
  <c r="H25" i="8"/>
  <c r="F25" i="8"/>
  <c r="D25" i="8"/>
  <c r="B25" i="8"/>
  <c r="J24" i="8"/>
  <c r="H24" i="8"/>
  <c r="F24" i="8"/>
  <c r="D24" i="8"/>
  <c r="B24" i="8"/>
  <c r="J23" i="8"/>
  <c r="H23" i="8"/>
  <c r="F23" i="8"/>
  <c r="D23" i="8"/>
  <c r="B23" i="8"/>
  <c r="J22" i="8"/>
  <c r="H22" i="8"/>
  <c r="F22" i="8"/>
  <c r="D22" i="8"/>
  <c r="B22" i="8"/>
  <c r="J21" i="8"/>
  <c r="H21" i="8"/>
  <c r="F21" i="8"/>
  <c r="D21" i="8"/>
  <c r="B21" i="8"/>
  <c r="J20" i="8"/>
  <c r="H20" i="8"/>
  <c r="F20" i="8"/>
  <c r="D20" i="8"/>
  <c r="B20" i="8"/>
  <c r="J19" i="8"/>
  <c r="H19" i="8"/>
  <c r="F19" i="8"/>
  <c r="D19" i="8"/>
  <c r="B19" i="8"/>
  <c r="J18" i="8"/>
  <c r="H18" i="8"/>
  <c r="F18" i="8"/>
  <c r="D18" i="8"/>
  <c r="B18" i="8"/>
  <c r="J17" i="8"/>
  <c r="H17" i="8"/>
  <c r="F17" i="8"/>
  <c r="D17" i="8"/>
  <c r="B17" i="8"/>
  <c r="J16" i="8"/>
  <c r="H16" i="8"/>
  <c r="F16" i="8"/>
  <c r="D16" i="8"/>
  <c r="B16" i="8"/>
  <c r="J15" i="8"/>
  <c r="H15" i="8"/>
  <c r="F15" i="8"/>
  <c r="D15" i="8"/>
  <c r="B15" i="8"/>
  <c r="J14" i="8"/>
  <c r="H14" i="8"/>
  <c r="F14" i="8"/>
  <c r="D14" i="8"/>
  <c r="B14" i="8"/>
  <c r="J13" i="8"/>
  <c r="H13" i="8"/>
  <c r="F13" i="8"/>
  <c r="D13" i="8"/>
  <c r="B13" i="8"/>
  <c r="J12" i="8"/>
  <c r="H12" i="8"/>
  <c r="F12" i="8"/>
  <c r="D12" i="8"/>
  <c r="B12" i="8"/>
  <c r="J11" i="8"/>
  <c r="H11" i="8"/>
  <c r="F11" i="8"/>
  <c r="D11" i="8"/>
  <c r="B11" i="8"/>
  <c r="J10" i="8"/>
  <c r="H10" i="8"/>
  <c r="F10" i="8"/>
  <c r="D10" i="8"/>
  <c r="B10" i="8"/>
  <c r="J9" i="8"/>
  <c r="H9" i="8"/>
  <c r="F9" i="8"/>
  <c r="D9" i="8"/>
  <c r="B9" i="8"/>
  <c r="J8" i="8"/>
  <c r="H8" i="8"/>
  <c r="F8" i="8"/>
  <c r="D8" i="8"/>
  <c r="B8" i="8"/>
  <c r="J7" i="8"/>
  <c r="H7" i="8"/>
  <c r="F7" i="8"/>
  <c r="D7" i="8"/>
  <c r="B7" i="8"/>
  <c r="J6" i="8"/>
  <c r="H6" i="8"/>
  <c r="F6" i="8"/>
  <c r="D6" i="8"/>
  <c r="B6" i="8"/>
  <c r="J5" i="8"/>
  <c r="H5" i="8"/>
  <c r="F5" i="8"/>
  <c r="D5" i="8"/>
  <c r="B5" i="8"/>
  <c r="J4" i="8"/>
  <c r="H4" i="8"/>
  <c r="F4" i="8"/>
  <c r="D4" i="8"/>
  <c r="B4" i="8"/>
  <c r="J3" i="8"/>
  <c r="H3" i="8"/>
  <c r="B3" i="8"/>
  <c r="J2" i="8"/>
  <c r="H2" i="8"/>
  <c r="F2" i="8"/>
  <c r="D2" i="8"/>
  <c r="B2" i="8"/>
  <c r="A1048576" i="8"/>
  <c r="D4" i="7"/>
  <c r="F4" i="7"/>
  <c r="H4" i="7"/>
  <c r="J4" i="7"/>
  <c r="D5" i="7"/>
  <c r="F5" i="7"/>
  <c r="H5" i="7"/>
  <c r="J5" i="7"/>
  <c r="D6" i="7"/>
  <c r="F6" i="7"/>
  <c r="H6" i="7"/>
  <c r="J6" i="7"/>
  <c r="D7" i="7"/>
  <c r="F7" i="7"/>
  <c r="H7" i="7"/>
  <c r="J7" i="7"/>
  <c r="D8" i="7"/>
  <c r="F8" i="7"/>
  <c r="H8" i="7"/>
  <c r="J8" i="7"/>
  <c r="D9" i="7"/>
  <c r="F9" i="7"/>
  <c r="H9" i="7"/>
  <c r="J9" i="7"/>
  <c r="D10" i="7"/>
  <c r="F10" i="7"/>
  <c r="H10" i="7"/>
  <c r="J10" i="7"/>
  <c r="D11" i="7"/>
  <c r="F11" i="7"/>
  <c r="H11" i="7"/>
  <c r="J11" i="7"/>
  <c r="D12" i="7"/>
  <c r="F12" i="7"/>
  <c r="H12" i="7"/>
  <c r="J12" i="7"/>
  <c r="D13" i="7"/>
  <c r="F13" i="7"/>
  <c r="H13" i="7"/>
  <c r="J13" i="7"/>
  <c r="D14" i="7"/>
  <c r="F14" i="7"/>
  <c r="H14" i="7"/>
  <c r="J14" i="7"/>
  <c r="D15" i="7"/>
  <c r="F15" i="7"/>
  <c r="H15" i="7"/>
  <c r="J15" i="7"/>
  <c r="D16" i="7"/>
  <c r="F16" i="7"/>
  <c r="H16" i="7"/>
  <c r="J16" i="7"/>
  <c r="D17" i="7"/>
  <c r="F17" i="7"/>
  <c r="H17" i="7"/>
  <c r="J17" i="7"/>
  <c r="D18" i="7"/>
  <c r="F18" i="7"/>
  <c r="H18" i="7"/>
  <c r="J18" i="7"/>
  <c r="D19" i="7"/>
  <c r="F19" i="7"/>
  <c r="H19" i="7"/>
  <c r="J19" i="7"/>
  <c r="D20" i="7"/>
  <c r="F20" i="7"/>
  <c r="H20" i="7"/>
  <c r="J20" i="7"/>
  <c r="D21" i="7"/>
  <c r="F21" i="7"/>
  <c r="H21" i="7"/>
  <c r="J21" i="7"/>
  <c r="D22" i="7"/>
  <c r="F22" i="7"/>
  <c r="H22" i="7"/>
  <c r="J22" i="7"/>
  <c r="D23" i="7"/>
  <c r="F23" i="7"/>
  <c r="H23" i="7"/>
  <c r="J23" i="7"/>
  <c r="D24" i="7"/>
  <c r="F24" i="7"/>
  <c r="H24" i="7"/>
  <c r="J24" i="7"/>
  <c r="D25" i="7"/>
  <c r="F25" i="7"/>
  <c r="H25" i="7"/>
  <c r="J25" i="7"/>
  <c r="D26" i="7"/>
  <c r="F26" i="7"/>
  <c r="H26" i="7"/>
  <c r="J26" i="7"/>
  <c r="D27" i="7"/>
  <c r="F27" i="7"/>
  <c r="H27" i="7"/>
  <c r="J27" i="7"/>
  <c r="D28" i="7"/>
  <c r="F28" i="7"/>
  <c r="H28" i="7"/>
  <c r="J28" i="7"/>
  <c r="D29" i="7"/>
  <c r="F29" i="7"/>
  <c r="H29" i="7"/>
  <c r="J29" i="7"/>
  <c r="D30" i="7"/>
  <c r="F30" i="7"/>
  <c r="H30" i="7"/>
  <c r="J30" i="7"/>
  <c r="D31" i="7"/>
  <c r="F31" i="7"/>
  <c r="H31" i="7"/>
  <c r="J31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D2" i="7"/>
  <c r="F2" i="7"/>
  <c r="H2" i="7"/>
  <c r="J2" i="7"/>
  <c r="H3" i="7"/>
  <c r="J3" i="7"/>
  <c r="A1048576" i="7"/>
  <c r="F31" i="4"/>
  <c r="F31" i="5" s="1"/>
  <c r="E31" i="4"/>
  <c r="E31" i="5" s="1"/>
  <c r="D31" i="4"/>
  <c r="D31" i="5" s="1"/>
  <c r="C31" i="4"/>
  <c r="C31" i="5" s="1"/>
  <c r="B31" i="4"/>
  <c r="F30" i="4"/>
  <c r="F30" i="5" s="1"/>
  <c r="E30" i="4"/>
  <c r="E30" i="5" s="1"/>
  <c r="D30" i="4"/>
  <c r="D30" i="5" s="1"/>
  <c r="C30" i="4"/>
  <c r="C30" i="5" s="1"/>
  <c r="B30" i="4"/>
  <c r="F29" i="4"/>
  <c r="F29" i="5" s="1"/>
  <c r="E29" i="4"/>
  <c r="E29" i="5" s="1"/>
  <c r="D29" i="4"/>
  <c r="D29" i="5" s="1"/>
  <c r="C29" i="4"/>
  <c r="C29" i="5" s="1"/>
  <c r="B29" i="4"/>
  <c r="B29" i="5" s="1"/>
  <c r="C2718" i="6" s="1"/>
  <c r="F28" i="4"/>
  <c r="F28" i="5" s="1"/>
  <c r="E28" i="4"/>
  <c r="E28" i="5" s="1"/>
  <c r="D28" i="4"/>
  <c r="D28" i="5" s="1"/>
  <c r="C28" i="4"/>
  <c r="C28" i="5" s="1"/>
  <c r="B28" i="4"/>
  <c r="F27" i="4"/>
  <c r="F27" i="5" s="1"/>
  <c r="E27" i="4"/>
  <c r="E27" i="5" s="1"/>
  <c r="D27" i="4"/>
  <c r="D27" i="5" s="1"/>
  <c r="C27" i="4"/>
  <c r="C27" i="5" s="1"/>
  <c r="B27" i="4"/>
  <c r="F26" i="4"/>
  <c r="F26" i="5" s="1"/>
  <c r="E26" i="4"/>
  <c r="E26" i="5" s="1"/>
  <c r="D26" i="4"/>
  <c r="D26" i="5" s="1"/>
  <c r="C26" i="4"/>
  <c r="C26" i="5" s="1"/>
  <c r="B26" i="4"/>
  <c r="F25" i="4"/>
  <c r="F25" i="5" s="1"/>
  <c r="E25" i="4"/>
  <c r="E25" i="5" s="1"/>
  <c r="D25" i="4"/>
  <c r="D25" i="5" s="1"/>
  <c r="C25" i="4"/>
  <c r="C25" i="5" s="1"/>
  <c r="B25" i="4"/>
  <c r="F24" i="4"/>
  <c r="F24" i="5" s="1"/>
  <c r="E24" i="4"/>
  <c r="E24" i="5" s="1"/>
  <c r="D24" i="4"/>
  <c r="D24" i="5" s="1"/>
  <c r="C24" i="4"/>
  <c r="C24" i="5" s="1"/>
  <c r="B24" i="4"/>
  <c r="B24" i="5" s="1"/>
  <c r="E2295" i="6" s="1"/>
  <c r="F23" i="4"/>
  <c r="F23" i="5" s="1"/>
  <c r="E23" i="4"/>
  <c r="E23" i="5" s="1"/>
  <c r="D23" i="4"/>
  <c r="D23" i="5" s="1"/>
  <c r="C23" i="4"/>
  <c r="C23" i="5" s="1"/>
  <c r="B23" i="4"/>
  <c r="F22" i="4"/>
  <c r="F22" i="5" s="1"/>
  <c r="E22" i="4"/>
  <c r="E22" i="5" s="1"/>
  <c r="D22" i="4"/>
  <c r="D22" i="5" s="1"/>
  <c r="C22" i="4"/>
  <c r="C22" i="5" s="1"/>
  <c r="B22" i="4"/>
  <c r="F21" i="4"/>
  <c r="F21" i="5" s="1"/>
  <c r="E21" i="4"/>
  <c r="E21" i="5" s="1"/>
  <c r="D21" i="4"/>
  <c r="D21" i="5" s="1"/>
  <c r="C21" i="4"/>
  <c r="C21" i="5" s="1"/>
  <c r="B21" i="4"/>
  <c r="F20" i="4"/>
  <c r="F20" i="5" s="1"/>
  <c r="E20" i="4"/>
  <c r="E20" i="5" s="1"/>
  <c r="D20" i="4"/>
  <c r="D20" i="5" s="1"/>
  <c r="C20" i="4"/>
  <c r="C20" i="5" s="1"/>
  <c r="B20" i="4"/>
  <c r="F19" i="4"/>
  <c r="F19" i="5" s="1"/>
  <c r="E19" i="4"/>
  <c r="E19" i="5" s="1"/>
  <c r="D19" i="4"/>
  <c r="D19" i="5" s="1"/>
  <c r="C19" i="4"/>
  <c r="C19" i="5" s="1"/>
  <c r="B19" i="4"/>
  <c r="F18" i="4"/>
  <c r="F18" i="5" s="1"/>
  <c r="E18" i="4"/>
  <c r="E18" i="5" s="1"/>
  <c r="D18" i="4"/>
  <c r="D18" i="5" s="1"/>
  <c r="C18" i="4"/>
  <c r="C18" i="5" s="1"/>
  <c r="B18" i="4"/>
  <c r="F17" i="4"/>
  <c r="F17" i="5" s="1"/>
  <c r="E17" i="4"/>
  <c r="E17" i="5" s="1"/>
  <c r="D17" i="4"/>
  <c r="D17" i="5" s="1"/>
  <c r="C17" i="4"/>
  <c r="C17" i="5" s="1"/>
  <c r="B17" i="4"/>
  <c r="B17" i="5" s="1"/>
  <c r="E1574" i="6" s="1"/>
  <c r="F16" i="4"/>
  <c r="F16" i="5" s="1"/>
  <c r="E16" i="4"/>
  <c r="E16" i="5" s="1"/>
  <c r="D16" i="4"/>
  <c r="D16" i="5" s="1"/>
  <c r="C16" i="4"/>
  <c r="C16" i="5" s="1"/>
  <c r="B16" i="4"/>
  <c r="F15" i="4"/>
  <c r="F15" i="5" s="1"/>
  <c r="E15" i="4"/>
  <c r="E15" i="5" s="1"/>
  <c r="D15" i="4"/>
  <c r="D15" i="5" s="1"/>
  <c r="C15" i="4"/>
  <c r="C15" i="5" s="1"/>
  <c r="B15" i="4"/>
  <c r="F14" i="4"/>
  <c r="F14" i="5" s="1"/>
  <c r="E14" i="4"/>
  <c r="E14" i="5" s="1"/>
  <c r="D14" i="4"/>
  <c r="D14" i="5" s="1"/>
  <c r="C14" i="4"/>
  <c r="C14" i="5" s="1"/>
  <c r="B14" i="4"/>
  <c r="F13" i="4"/>
  <c r="F13" i="5" s="1"/>
  <c r="E13" i="4"/>
  <c r="E13" i="5" s="1"/>
  <c r="D13" i="4"/>
  <c r="D13" i="5" s="1"/>
  <c r="C13" i="4"/>
  <c r="C13" i="5" s="1"/>
  <c r="B13" i="4"/>
  <c r="F12" i="4"/>
  <c r="F12" i="5" s="1"/>
  <c r="E12" i="4"/>
  <c r="E12" i="5" s="1"/>
  <c r="D12" i="4"/>
  <c r="D12" i="5" s="1"/>
  <c r="C12" i="4"/>
  <c r="C12" i="5" s="1"/>
  <c r="B12" i="4"/>
  <c r="B12" i="5" s="1"/>
  <c r="F11" i="4"/>
  <c r="F11" i="5" s="1"/>
  <c r="E11" i="4"/>
  <c r="E11" i="5" s="1"/>
  <c r="D11" i="4"/>
  <c r="D11" i="5" s="1"/>
  <c r="C11" i="4"/>
  <c r="C11" i="5" s="1"/>
  <c r="B11" i="4"/>
  <c r="F10" i="4"/>
  <c r="F10" i="5" s="1"/>
  <c r="E10" i="4"/>
  <c r="E10" i="5" s="1"/>
  <c r="D10" i="4"/>
  <c r="D10" i="5" s="1"/>
  <c r="C10" i="4"/>
  <c r="C10" i="5" s="1"/>
  <c r="B10" i="4"/>
  <c r="F9" i="4"/>
  <c r="F9" i="5" s="1"/>
  <c r="E9" i="4"/>
  <c r="E9" i="5" s="1"/>
  <c r="D9" i="4"/>
  <c r="D9" i="5" s="1"/>
  <c r="C9" i="4"/>
  <c r="C9" i="5" s="1"/>
  <c r="B9" i="4"/>
  <c r="F8" i="4"/>
  <c r="F8" i="5" s="1"/>
  <c r="E8" i="4"/>
  <c r="E8" i="5" s="1"/>
  <c r="D8" i="4"/>
  <c r="D8" i="5" s="1"/>
  <c r="C8" i="4"/>
  <c r="C8" i="5" s="1"/>
  <c r="B8" i="4"/>
  <c r="F7" i="4"/>
  <c r="F7" i="5" s="1"/>
  <c r="E7" i="4"/>
  <c r="E7" i="5" s="1"/>
  <c r="D7" i="4"/>
  <c r="D7" i="5" s="1"/>
  <c r="C7" i="4"/>
  <c r="C7" i="5" s="1"/>
  <c r="B7" i="4"/>
  <c r="F6" i="4"/>
  <c r="F6" i="5" s="1"/>
  <c r="E6" i="4"/>
  <c r="E6" i="5" s="1"/>
  <c r="D6" i="4"/>
  <c r="D6" i="5" s="1"/>
  <c r="C6" i="4"/>
  <c r="C6" i="5" s="1"/>
  <c r="B6" i="4"/>
  <c r="F5" i="4"/>
  <c r="F5" i="5" s="1"/>
  <c r="E5" i="4"/>
  <c r="E5" i="5" s="1"/>
  <c r="D5" i="4"/>
  <c r="D5" i="5" s="1"/>
  <c r="C5" i="4"/>
  <c r="C5" i="5" s="1"/>
  <c r="B5" i="4"/>
  <c r="B5" i="5" s="1"/>
  <c r="I328" i="6" s="1"/>
  <c r="F4" i="4"/>
  <c r="F4" i="5" s="1"/>
  <c r="E4" i="4"/>
  <c r="E4" i="5" s="1"/>
  <c r="D4" i="4"/>
  <c r="D4" i="5" s="1"/>
  <c r="C4" i="4"/>
  <c r="C4" i="5" s="1"/>
  <c r="B4" i="4"/>
  <c r="B4" i="5" s="1"/>
  <c r="F3" i="4"/>
  <c r="F3" i="5" s="1"/>
  <c r="E3" i="4"/>
  <c r="E3" i="5" s="1"/>
  <c r="D3" i="4"/>
  <c r="D3" i="5" s="1"/>
  <c r="C3" i="4"/>
  <c r="C3" i="5" s="1"/>
  <c r="B3" i="4"/>
  <c r="B3" i="5" s="1"/>
  <c r="F2" i="4"/>
  <c r="F2" i="5" s="1"/>
  <c r="E2" i="4"/>
  <c r="E2" i="5" s="1"/>
  <c r="D2" i="4"/>
  <c r="D2" i="5" s="1"/>
  <c r="C2" i="4"/>
  <c r="C2" i="5" s="1"/>
  <c r="B2" i="4"/>
  <c r="B2" i="5" s="1"/>
  <c r="C2" i="3"/>
  <c r="D2" i="3"/>
  <c r="E2" i="3"/>
  <c r="F2" i="3"/>
  <c r="C3" i="3"/>
  <c r="D3" i="3"/>
  <c r="E3" i="3"/>
  <c r="F3" i="3"/>
  <c r="C4" i="3"/>
  <c r="D4" i="3"/>
  <c r="E4" i="3"/>
  <c r="F4" i="3"/>
  <c r="C5" i="3"/>
  <c r="D5" i="3"/>
  <c r="E5" i="3"/>
  <c r="F5" i="3"/>
  <c r="C6" i="3"/>
  <c r="D6" i="3"/>
  <c r="E6" i="3"/>
  <c r="F6" i="3"/>
  <c r="C7" i="3"/>
  <c r="D7" i="3"/>
  <c r="E7" i="3"/>
  <c r="F7" i="3"/>
  <c r="C8" i="3"/>
  <c r="D8" i="3"/>
  <c r="E8" i="3"/>
  <c r="F8" i="3"/>
  <c r="C9" i="3"/>
  <c r="D9" i="3"/>
  <c r="E9" i="3"/>
  <c r="F9" i="3"/>
  <c r="C10" i="3"/>
  <c r="D10" i="3"/>
  <c r="E10" i="3"/>
  <c r="F10" i="3"/>
  <c r="C11" i="3"/>
  <c r="D11" i="3"/>
  <c r="E11" i="3"/>
  <c r="F11" i="3"/>
  <c r="C12" i="3"/>
  <c r="D12" i="3"/>
  <c r="E12" i="3"/>
  <c r="F12" i="3"/>
  <c r="C13" i="3"/>
  <c r="D13" i="3"/>
  <c r="E13" i="3"/>
  <c r="F13" i="3"/>
  <c r="C14" i="3"/>
  <c r="D14" i="3"/>
  <c r="E14" i="3"/>
  <c r="F14" i="3"/>
  <c r="C15" i="3"/>
  <c r="D15" i="3"/>
  <c r="E15" i="3"/>
  <c r="F15" i="3"/>
  <c r="C16" i="3"/>
  <c r="D16" i="3"/>
  <c r="E16" i="3"/>
  <c r="F16" i="3"/>
  <c r="C17" i="3"/>
  <c r="D17" i="3"/>
  <c r="E17" i="3"/>
  <c r="F17" i="3"/>
  <c r="C18" i="3"/>
  <c r="D18" i="3"/>
  <c r="E18" i="3"/>
  <c r="F18" i="3"/>
  <c r="C19" i="3"/>
  <c r="D19" i="3"/>
  <c r="E19" i="3"/>
  <c r="F19" i="3"/>
  <c r="C20" i="3"/>
  <c r="D20" i="3"/>
  <c r="E20" i="3"/>
  <c r="F20" i="3"/>
  <c r="C21" i="3"/>
  <c r="D21" i="3"/>
  <c r="E21" i="3"/>
  <c r="F21" i="3"/>
  <c r="C22" i="3"/>
  <c r="D22" i="3"/>
  <c r="E22" i="3"/>
  <c r="F22" i="3"/>
  <c r="C23" i="3"/>
  <c r="D23" i="3"/>
  <c r="E23" i="3"/>
  <c r="F23" i="3"/>
  <c r="C24" i="3"/>
  <c r="D24" i="3"/>
  <c r="E24" i="3"/>
  <c r="F24" i="3"/>
  <c r="C25" i="3"/>
  <c r="D25" i="3"/>
  <c r="E25" i="3"/>
  <c r="F25" i="3"/>
  <c r="C26" i="3"/>
  <c r="D26" i="3"/>
  <c r="E26" i="3"/>
  <c r="F26" i="3"/>
  <c r="C27" i="3"/>
  <c r="D27" i="3"/>
  <c r="E27" i="3"/>
  <c r="F27" i="3"/>
  <c r="C28" i="3"/>
  <c r="D28" i="3"/>
  <c r="E28" i="3"/>
  <c r="F28" i="3"/>
  <c r="C29" i="3"/>
  <c r="D29" i="3"/>
  <c r="E29" i="3"/>
  <c r="F29" i="3"/>
  <c r="C30" i="3"/>
  <c r="D30" i="3"/>
  <c r="E30" i="3"/>
  <c r="F30" i="3"/>
  <c r="C31" i="3"/>
  <c r="D31" i="3"/>
  <c r="E31" i="3"/>
  <c r="F31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10" i="3"/>
  <c r="B2" i="3"/>
  <c r="B3" i="3"/>
  <c r="B4" i="3"/>
  <c r="B5" i="3"/>
  <c r="B6" i="3"/>
  <c r="B7" i="3"/>
  <c r="B8" i="3"/>
  <c r="B9" i="3"/>
  <c r="A1048576" i="3"/>
  <c r="K200" i="6" l="1"/>
  <c r="K188" i="6"/>
  <c r="K176" i="6"/>
  <c r="K164" i="6"/>
  <c r="K152" i="6"/>
  <c r="K140" i="6"/>
  <c r="K128" i="6"/>
  <c r="K116" i="6"/>
  <c r="K199" i="6"/>
  <c r="K187" i="6"/>
  <c r="K175" i="6"/>
  <c r="K163" i="6"/>
  <c r="K151" i="6"/>
  <c r="K139" i="6"/>
  <c r="K127" i="6"/>
  <c r="K115" i="6"/>
  <c r="K198" i="6"/>
  <c r="K186" i="6"/>
  <c r="K174" i="6"/>
  <c r="K162" i="6"/>
  <c r="K150" i="6"/>
  <c r="K138" i="6"/>
  <c r="K126" i="6"/>
  <c r="K114" i="6"/>
  <c r="K197" i="6"/>
  <c r="K185" i="6"/>
  <c r="K173" i="6"/>
  <c r="K161" i="6"/>
  <c r="K149" i="6"/>
  <c r="K137" i="6"/>
  <c r="K125" i="6"/>
  <c r="K113" i="6"/>
  <c r="K196" i="6"/>
  <c r="K184" i="6"/>
  <c r="K172" i="6"/>
  <c r="K160" i="6"/>
  <c r="K148" i="6"/>
  <c r="K136" i="6"/>
  <c r="K124" i="6"/>
  <c r="K195" i="6"/>
  <c r="K183" i="6"/>
  <c r="K171" i="6"/>
  <c r="K159" i="6"/>
  <c r="K147" i="6"/>
  <c r="K135" i="6"/>
  <c r="K123" i="6"/>
  <c r="K111" i="6"/>
  <c r="K193" i="6"/>
  <c r="K181" i="6"/>
  <c r="K169" i="6"/>
  <c r="K157" i="6"/>
  <c r="K145" i="6"/>
  <c r="K133" i="6"/>
  <c r="K121" i="6"/>
  <c r="K192" i="6"/>
  <c r="K180" i="6"/>
  <c r="K168" i="6"/>
  <c r="K156" i="6"/>
  <c r="K144" i="6"/>
  <c r="K132" i="6"/>
  <c r="K120" i="6"/>
  <c r="K167" i="6"/>
  <c r="K131" i="6"/>
  <c r="K106" i="6"/>
  <c r="K166" i="6"/>
  <c r="K130" i="6"/>
  <c r="K105" i="6"/>
  <c r="K165" i="6"/>
  <c r="K129" i="6"/>
  <c r="K104" i="6"/>
  <c r="K3" i="8" s="1"/>
  <c r="K194" i="6"/>
  <c r="K158" i="6"/>
  <c r="K122" i="6"/>
  <c r="K103" i="6"/>
  <c r="K191" i="6"/>
  <c r="K155" i="6"/>
  <c r="K119" i="6"/>
  <c r="K102" i="6"/>
  <c r="K190" i="6"/>
  <c r="K154" i="6"/>
  <c r="K118" i="6"/>
  <c r="K101" i="6"/>
  <c r="K189" i="6"/>
  <c r="K153" i="6"/>
  <c r="K117" i="6"/>
  <c r="K182" i="6"/>
  <c r="K146" i="6"/>
  <c r="K112" i="6"/>
  <c r="K179" i="6"/>
  <c r="K143" i="6"/>
  <c r="K110" i="6"/>
  <c r="K177" i="6"/>
  <c r="K141" i="6"/>
  <c r="K108" i="6"/>
  <c r="K178" i="6"/>
  <c r="I193" i="6"/>
  <c r="I181" i="6"/>
  <c r="I169" i="6"/>
  <c r="I157" i="6"/>
  <c r="I145" i="6"/>
  <c r="I133" i="6"/>
  <c r="I121" i="6"/>
  <c r="I109" i="6"/>
  <c r="K170" i="6"/>
  <c r="I192" i="6"/>
  <c r="I180" i="6"/>
  <c r="I168" i="6"/>
  <c r="I156" i="6"/>
  <c r="I144" i="6"/>
  <c r="I132" i="6"/>
  <c r="I120" i="6"/>
  <c r="I108" i="6"/>
  <c r="K142" i="6"/>
  <c r="K134" i="6"/>
  <c r="I190" i="6"/>
  <c r="I178" i="6"/>
  <c r="I166" i="6"/>
  <c r="I154" i="6"/>
  <c r="I142" i="6"/>
  <c r="I130" i="6"/>
  <c r="I118" i="6"/>
  <c r="I106" i="6"/>
  <c r="K109" i="6"/>
  <c r="I189" i="6"/>
  <c r="I177" i="6"/>
  <c r="I165" i="6"/>
  <c r="I153" i="6"/>
  <c r="I141" i="6"/>
  <c r="I129" i="6"/>
  <c r="I117" i="6"/>
  <c r="I105" i="6"/>
  <c r="K107" i="6"/>
  <c r="I200" i="6"/>
  <c r="I188" i="6"/>
  <c r="I176" i="6"/>
  <c r="I164" i="6"/>
  <c r="I152" i="6"/>
  <c r="I140" i="6"/>
  <c r="I128" i="6"/>
  <c r="I116" i="6"/>
  <c r="I104" i="6"/>
  <c r="I199" i="6"/>
  <c r="I187" i="6"/>
  <c r="I175" i="6"/>
  <c r="I163" i="6"/>
  <c r="I151" i="6"/>
  <c r="I139" i="6"/>
  <c r="I127" i="6"/>
  <c r="I115" i="6"/>
  <c r="I103" i="6"/>
  <c r="I197" i="6"/>
  <c r="I185" i="6"/>
  <c r="I173" i="6"/>
  <c r="I195" i="6"/>
  <c r="I183" i="6"/>
  <c r="I171" i="6"/>
  <c r="I159" i="6"/>
  <c r="I179" i="6"/>
  <c r="I148" i="6"/>
  <c r="I124" i="6"/>
  <c r="I174" i="6"/>
  <c r="I147" i="6"/>
  <c r="I123" i="6"/>
  <c r="I172" i="6"/>
  <c r="I146" i="6"/>
  <c r="I122" i="6"/>
  <c r="I170" i="6"/>
  <c r="I143" i="6"/>
  <c r="I119" i="6"/>
  <c r="I167" i="6"/>
  <c r="I138" i="6"/>
  <c r="I114" i="6"/>
  <c r="I198" i="6"/>
  <c r="I162" i="6"/>
  <c r="I137" i="6"/>
  <c r="I113" i="6"/>
  <c r="I196" i="6"/>
  <c r="I161" i="6"/>
  <c r="I136" i="6"/>
  <c r="I112" i="6"/>
  <c r="I194" i="6"/>
  <c r="I160" i="6"/>
  <c r="I135" i="6"/>
  <c r="I111" i="6"/>
  <c r="I191" i="6"/>
  <c r="I158" i="6"/>
  <c r="I134" i="6"/>
  <c r="I110" i="6"/>
  <c r="I186" i="6"/>
  <c r="I155" i="6"/>
  <c r="I131" i="6"/>
  <c r="I107" i="6"/>
  <c r="G197" i="6"/>
  <c r="G185" i="6"/>
  <c r="G173" i="6"/>
  <c r="G161" i="6"/>
  <c r="G149" i="6"/>
  <c r="G137" i="6"/>
  <c r="G125" i="6"/>
  <c r="G113" i="6"/>
  <c r="G101" i="6"/>
  <c r="G196" i="6"/>
  <c r="G184" i="6"/>
  <c r="G172" i="6"/>
  <c r="G160" i="6"/>
  <c r="G148" i="6"/>
  <c r="G136" i="6"/>
  <c r="G124" i="6"/>
  <c r="G112" i="6"/>
  <c r="I184" i="6"/>
  <c r="G195" i="6"/>
  <c r="G183" i="6"/>
  <c r="G171" i="6"/>
  <c r="G159" i="6"/>
  <c r="G147" i="6"/>
  <c r="G135" i="6"/>
  <c r="G123" i="6"/>
  <c r="G111" i="6"/>
  <c r="I182" i="6"/>
  <c r="G194" i="6"/>
  <c r="G182" i="6"/>
  <c r="G170" i="6"/>
  <c r="G158" i="6"/>
  <c r="G146" i="6"/>
  <c r="G134" i="6"/>
  <c r="G122" i="6"/>
  <c r="G110" i="6"/>
  <c r="I150" i="6"/>
  <c r="G193" i="6"/>
  <c r="G181" i="6"/>
  <c r="G169" i="6"/>
  <c r="G157" i="6"/>
  <c r="G145" i="6"/>
  <c r="G133" i="6"/>
  <c r="G121" i="6"/>
  <c r="G109" i="6"/>
  <c r="I149" i="6"/>
  <c r="G192" i="6"/>
  <c r="G180" i="6"/>
  <c r="G168" i="6"/>
  <c r="G156" i="6"/>
  <c r="G144" i="6"/>
  <c r="G132" i="6"/>
  <c r="G120" i="6"/>
  <c r="G108" i="6"/>
  <c r="I126" i="6"/>
  <c r="G191" i="6"/>
  <c r="G179" i="6"/>
  <c r="G167" i="6"/>
  <c r="G155" i="6"/>
  <c r="G143" i="6"/>
  <c r="G131" i="6"/>
  <c r="G119" i="6"/>
  <c r="G107" i="6"/>
  <c r="I125" i="6"/>
  <c r="G190" i="6"/>
  <c r="G178" i="6"/>
  <c r="G166" i="6"/>
  <c r="G154" i="6"/>
  <c r="G142" i="6"/>
  <c r="G130" i="6"/>
  <c r="G118" i="6"/>
  <c r="G106" i="6"/>
  <c r="I102" i="6"/>
  <c r="G189" i="6"/>
  <c r="G177" i="6"/>
  <c r="G165" i="6"/>
  <c r="G153" i="6"/>
  <c r="G141" i="6"/>
  <c r="G129" i="6"/>
  <c r="G117" i="6"/>
  <c r="G105" i="6"/>
  <c r="G199" i="6"/>
  <c r="G187" i="6"/>
  <c r="G175" i="6"/>
  <c r="G163" i="6"/>
  <c r="G151" i="6"/>
  <c r="G139" i="6"/>
  <c r="G127" i="6"/>
  <c r="G115" i="6"/>
  <c r="G103" i="6"/>
  <c r="I101" i="6"/>
  <c r="G140" i="6"/>
  <c r="E201" i="6"/>
  <c r="E189" i="6"/>
  <c r="E177" i="6"/>
  <c r="E165" i="6"/>
  <c r="E153" i="6"/>
  <c r="E141" i="6"/>
  <c r="E129" i="6"/>
  <c r="E117" i="6"/>
  <c r="G138" i="6"/>
  <c r="E200" i="6"/>
  <c r="E188" i="6"/>
  <c r="E176" i="6"/>
  <c r="E164" i="6"/>
  <c r="E152" i="6"/>
  <c r="E140" i="6"/>
  <c r="E128" i="6"/>
  <c r="E116" i="6"/>
  <c r="E108" i="6"/>
  <c r="G200" i="6"/>
  <c r="G128" i="6"/>
  <c r="E199" i="6"/>
  <c r="E187" i="6"/>
  <c r="E175" i="6"/>
  <c r="E163" i="6"/>
  <c r="E151" i="6"/>
  <c r="E139" i="6"/>
  <c r="E127" i="6"/>
  <c r="E115" i="6"/>
  <c r="F108" i="6"/>
  <c r="F3" i="7" s="1"/>
  <c r="G198" i="6"/>
  <c r="G126" i="6"/>
  <c r="E198" i="6"/>
  <c r="E186" i="6"/>
  <c r="E174" i="6"/>
  <c r="E162" i="6"/>
  <c r="E150" i="6"/>
  <c r="E138" i="6"/>
  <c r="E126" i="6"/>
  <c r="E114" i="6"/>
  <c r="D106" i="6"/>
  <c r="G188" i="6"/>
  <c r="G116" i="6"/>
  <c r="E197" i="6"/>
  <c r="E185" i="6"/>
  <c r="E173" i="6"/>
  <c r="E161" i="6"/>
  <c r="E149" i="6"/>
  <c r="E137" i="6"/>
  <c r="E125" i="6"/>
  <c r="E113" i="6"/>
  <c r="E106" i="6"/>
  <c r="E3" i="10" s="1"/>
  <c r="G186" i="6"/>
  <c r="G114" i="6"/>
  <c r="E196" i="6"/>
  <c r="E184" i="6"/>
  <c r="E172" i="6"/>
  <c r="E160" i="6"/>
  <c r="E148" i="6"/>
  <c r="E136" i="6"/>
  <c r="E124" i="6"/>
  <c r="E112" i="6"/>
  <c r="D105" i="6"/>
  <c r="G176" i="6"/>
  <c r="G104" i="6"/>
  <c r="E195" i="6"/>
  <c r="E183" i="6"/>
  <c r="E171" i="6"/>
  <c r="E159" i="6"/>
  <c r="E147" i="6"/>
  <c r="E135" i="6"/>
  <c r="E123" i="6"/>
  <c r="E111" i="6"/>
  <c r="E105" i="6"/>
  <c r="G174" i="6"/>
  <c r="G102" i="6"/>
  <c r="G3" i="8" s="1"/>
  <c r="E194" i="6"/>
  <c r="E182" i="6"/>
  <c r="E170" i="6"/>
  <c r="E158" i="6"/>
  <c r="E146" i="6"/>
  <c r="E134" i="6"/>
  <c r="E122" i="6"/>
  <c r="E110" i="6"/>
  <c r="D104" i="6"/>
  <c r="G164" i="6"/>
  <c r="E193" i="6"/>
  <c r="E181" i="6"/>
  <c r="E169" i="6"/>
  <c r="E157" i="6"/>
  <c r="E145" i="6"/>
  <c r="E133" i="6"/>
  <c r="E121" i="6"/>
  <c r="E109" i="6"/>
  <c r="E104" i="6"/>
  <c r="G162" i="6"/>
  <c r="E192" i="6"/>
  <c r="E180" i="6"/>
  <c r="E168" i="6"/>
  <c r="E156" i="6"/>
  <c r="E144" i="6"/>
  <c r="E132" i="6"/>
  <c r="E120" i="6"/>
  <c r="D103" i="6"/>
  <c r="E179" i="6"/>
  <c r="C106" i="6"/>
  <c r="C118" i="6"/>
  <c r="C130" i="6"/>
  <c r="C142" i="6"/>
  <c r="C154" i="6"/>
  <c r="C166" i="6"/>
  <c r="C178" i="6"/>
  <c r="C190" i="6"/>
  <c r="C102" i="6"/>
  <c r="E178" i="6"/>
  <c r="C107" i="6"/>
  <c r="C119" i="6"/>
  <c r="C131" i="6"/>
  <c r="C143" i="6"/>
  <c r="C155" i="6"/>
  <c r="C167" i="6"/>
  <c r="C179" i="6"/>
  <c r="C191" i="6"/>
  <c r="E167" i="6"/>
  <c r="C108" i="6"/>
  <c r="C120" i="6"/>
  <c r="C132" i="6"/>
  <c r="C144" i="6"/>
  <c r="C156" i="6"/>
  <c r="C168" i="6"/>
  <c r="C180" i="6"/>
  <c r="C192" i="6"/>
  <c r="E166" i="6"/>
  <c r="C109" i="6"/>
  <c r="C121" i="6"/>
  <c r="C133" i="6"/>
  <c r="C145" i="6"/>
  <c r="C157" i="6"/>
  <c r="C169" i="6"/>
  <c r="C181" i="6"/>
  <c r="C193" i="6"/>
  <c r="E155" i="6"/>
  <c r="E103" i="6"/>
  <c r="C110" i="6"/>
  <c r="C122" i="6"/>
  <c r="C134" i="6"/>
  <c r="C146" i="6"/>
  <c r="C158" i="6"/>
  <c r="C170" i="6"/>
  <c r="C182" i="6"/>
  <c r="C194" i="6"/>
  <c r="E154" i="6"/>
  <c r="E102" i="6"/>
  <c r="C111" i="6"/>
  <c r="C123" i="6"/>
  <c r="C135" i="6"/>
  <c r="C147" i="6"/>
  <c r="C159" i="6"/>
  <c r="C171" i="6"/>
  <c r="C183" i="6"/>
  <c r="C195" i="6"/>
  <c r="G152" i="6"/>
  <c r="E143" i="6"/>
  <c r="C112" i="6"/>
  <c r="C124" i="6"/>
  <c r="C136" i="6"/>
  <c r="C148" i="6"/>
  <c r="C160" i="6"/>
  <c r="C172" i="6"/>
  <c r="C184" i="6"/>
  <c r="C196" i="6"/>
  <c r="G150" i="6"/>
  <c r="E142" i="6"/>
  <c r="C113" i="6"/>
  <c r="C125" i="6"/>
  <c r="C137" i="6"/>
  <c r="C149" i="6"/>
  <c r="C161" i="6"/>
  <c r="C173" i="6"/>
  <c r="C185" i="6"/>
  <c r="C197" i="6"/>
  <c r="E131" i="6"/>
  <c r="C114" i="6"/>
  <c r="C126" i="6"/>
  <c r="C138" i="6"/>
  <c r="C150" i="6"/>
  <c r="C162" i="6"/>
  <c r="C174" i="6"/>
  <c r="C186" i="6"/>
  <c r="C198" i="6"/>
  <c r="E130" i="6"/>
  <c r="C103" i="6"/>
  <c r="C115" i="6"/>
  <c r="C127" i="6"/>
  <c r="C139" i="6"/>
  <c r="C151" i="6"/>
  <c r="C163" i="6"/>
  <c r="C175" i="6"/>
  <c r="C187" i="6"/>
  <c r="C199" i="6"/>
  <c r="E191" i="6"/>
  <c r="E119" i="6"/>
  <c r="C104" i="6"/>
  <c r="C116" i="6"/>
  <c r="C128" i="6"/>
  <c r="C140" i="6"/>
  <c r="C152" i="6"/>
  <c r="C164" i="6"/>
  <c r="C176" i="6"/>
  <c r="C188" i="6"/>
  <c r="C200" i="6"/>
  <c r="E190" i="6"/>
  <c r="E118" i="6"/>
  <c r="C105" i="6"/>
  <c r="C117" i="6"/>
  <c r="C129" i="6"/>
  <c r="C141" i="6"/>
  <c r="C153" i="6"/>
  <c r="C165" i="6"/>
  <c r="C177" i="6"/>
  <c r="C189" i="6"/>
  <c r="C201" i="6"/>
  <c r="K296" i="6"/>
  <c r="K284" i="6"/>
  <c r="K272" i="6"/>
  <c r="K260" i="6"/>
  <c r="K248" i="6"/>
  <c r="K236" i="6"/>
  <c r="K224" i="6"/>
  <c r="K212" i="6"/>
  <c r="K295" i="6"/>
  <c r="K283" i="6"/>
  <c r="K271" i="6"/>
  <c r="K259" i="6"/>
  <c r="K247" i="6"/>
  <c r="K235" i="6"/>
  <c r="K223" i="6"/>
  <c r="K211" i="6"/>
  <c r="K294" i="6"/>
  <c r="K282" i="6"/>
  <c r="K270" i="6"/>
  <c r="K258" i="6"/>
  <c r="K246" i="6"/>
  <c r="K234" i="6"/>
  <c r="K222" i="6"/>
  <c r="K210" i="6"/>
  <c r="K293" i="6"/>
  <c r="K281" i="6"/>
  <c r="K269" i="6"/>
  <c r="K257" i="6"/>
  <c r="K245" i="6"/>
  <c r="K233" i="6"/>
  <c r="K221" i="6"/>
  <c r="K209" i="6"/>
  <c r="K292" i="6"/>
  <c r="K280" i="6"/>
  <c r="K268" i="6"/>
  <c r="K256" i="6"/>
  <c r="K244" i="6"/>
  <c r="K232" i="6"/>
  <c r="K220" i="6"/>
  <c r="K208" i="6"/>
  <c r="K291" i="6"/>
  <c r="K279" i="6"/>
  <c r="K267" i="6"/>
  <c r="K255" i="6"/>
  <c r="K243" i="6"/>
  <c r="K231" i="6"/>
  <c r="K219" i="6"/>
  <c r="K207" i="6"/>
  <c r="K290" i="6"/>
  <c r="K278" i="6"/>
  <c r="K266" i="6"/>
  <c r="K254" i="6"/>
  <c r="K242" i="6"/>
  <c r="K230" i="6"/>
  <c r="K218" i="6"/>
  <c r="K289" i="6"/>
  <c r="K277" i="6"/>
  <c r="K265" i="6"/>
  <c r="K253" i="6"/>
  <c r="K241" i="6"/>
  <c r="K229" i="6"/>
  <c r="K217" i="6"/>
  <c r="K205" i="6"/>
  <c r="K300" i="6"/>
  <c r="K288" i="6"/>
  <c r="K276" i="6"/>
  <c r="K264" i="6"/>
  <c r="K252" i="6"/>
  <c r="K240" i="6"/>
  <c r="K228" i="6"/>
  <c r="K216" i="6"/>
  <c r="K204" i="6"/>
  <c r="K4" i="7" s="1"/>
  <c r="K298" i="6"/>
  <c r="K250" i="6"/>
  <c r="K203" i="6"/>
  <c r="K297" i="6"/>
  <c r="K249" i="6"/>
  <c r="K202" i="6"/>
  <c r="K287" i="6"/>
  <c r="K239" i="6"/>
  <c r="K201" i="6"/>
  <c r="K286" i="6"/>
  <c r="K238" i="6"/>
  <c r="K285" i="6"/>
  <c r="K237" i="6"/>
  <c r="K275" i="6"/>
  <c r="K227" i="6"/>
  <c r="K274" i="6"/>
  <c r="K226" i="6"/>
  <c r="K273" i="6"/>
  <c r="K225" i="6"/>
  <c r="K263" i="6"/>
  <c r="K215" i="6"/>
  <c r="K261" i="6"/>
  <c r="K213" i="6"/>
  <c r="I289" i="6"/>
  <c r="I277" i="6"/>
  <c r="I265" i="6"/>
  <c r="I253" i="6"/>
  <c r="I241" i="6"/>
  <c r="I229" i="6"/>
  <c r="I217" i="6"/>
  <c r="I205" i="6"/>
  <c r="I300" i="6"/>
  <c r="I288" i="6"/>
  <c r="I276" i="6"/>
  <c r="I264" i="6"/>
  <c r="I252" i="6"/>
  <c r="I240" i="6"/>
  <c r="I228" i="6"/>
  <c r="I216" i="6"/>
  <c r="I204" i="6"/>
  <c r="I299" i="6"/>
  <c r="I287" i="6"/>
  <c r="I275" i="6"/>
  <c r="I263" i="6"/>
  <c r="I251" i="6"/>
  <c r="I298" i="6"/>
  <c r="I286" i="6"/>
  <c r="I274" i="6"/>
  <c r="I262" i="6"/>
  <c r="I250" i="6"/>
  <c r="I238" i="6"/>
  <c r="I226" i="6"/>
  <c r="I214" i="6"/>
  <c r="I202" i="6"/>
  <c r="I297" i="6"/>
  <c r="I285" i="6"/>
  <c r="I273" i="6"/>
  <c r="I261" i="6"/>
  <c r="I249" i="6"/>
  <c r="I237" i="6"/>
  <c r="I225" i="6"/>
  <c r="I213" i="6"/>
  <c r="I201" i="6"/>
  <c r="I296" i="6"/>
  <c r="I284" i="6"/>
  <c r="I272" i="6"/>
  <c r="I260" i="6"/>
  <c r="I248" i="6"/>
  <c r="I236" i="6"/>
  <c r="I224" i="6"/>
  <c r="I4" i="7" s="1"/>
  <c r="I212" i="6"/>
  <c r="I295" i="6"/>
  <c r="I283" i="6"/>
  <c r="I271" i="6"/>
  <c r="I259" i="6"/>
  <c r="I247" i="6"/>
  <c r="I235" i="6"/>
  <c r="I223" i="6"/>
  <c r="I211" i="6"/>
  <c r="K299" i="6"/>
  <c r="I294" i="6"/>
  <c r="I282" i="6"/>
  <c r="I270" i="6"/>
  <c r="I258" i="6"/>
  <c r="K262" i="6"/>
  <c r="I293" i="6"/>
  <c r="I281" i="6"/>
  <c r="I269" i="6"/>
  <c r="I257" i="6"/>
  <c r="I245" i="6"/>
  <c r="I233" i="6"/>
  <c r="I221" i="6"/>
  <c r="I209" i="6"/>
  <c r="K214" i="6"/>
  <c r="I291" i="6"/>
  <c r="I279" i="6"/>
  <c r="I267" i="6"/>
  <c r="I255" i="6"/>
  <c r="I243" i="6"/>
  <c r="I231" i="6"/>
  <c r="I219" i="6"/>
  <c r="I207" i="6"/>
  <c r="I254" i="6"/>
  <c r="I215" i="6"/>
  <c r="K251" i="6"/>
  <c r="I246" i="6"/>
  <c r="I210" i="6"/>
  <c r="K206" i="6"/>
  <c r="I244" i="6"/>
  <c r="I208" i="6"/>
  <c r="I242" i="6"/>
  <c r="I206" i="6"/>
  <c r="G289" i="6"/>
  <c r="I239" i="6"/>
  <c r="I203" i="6"/>
  <c r="G300" i="6"/>
  <c r="G288" i="6"/>
  <c r="I292" i="6"/>
  <c r="I234" i="6"/>
  <c r="G299" i="6"/>
  <c r="I290" i="6"/>
  <c r="I232" i="6"/>
  <c r="I280" i="6"/>
  <c r="I230" i="6"/>
  <c r="I278" i="6"/>
  <c r="I227" i="6"/>
  <c r="I268" i="6"/>
  <c r="I222" i="6"/>
  <c r="I220" i="6"/>
  <c r="G295" i="6"/>
  <c r="G281" i="6"/>
  <c r="G269" i="6"/>
  <c r="G257" i="6"/>
  <c r="G245" i="6"/>
  <c r="G233" i="6"/>
  <c r="G221" i="6"/>
  <c r="G209" i="6"/>
  <c r="I218" i="6"/>
  <c r="G294" i="6"/>
  <c r="G280" i="6"/>
  <c r="G268" i="6"/>
  <c r="G256" i="6"/>
  <c r="G244" i="6"/>
  <c r="G232" i="6"/>
  <c r="G220" i="6"/>
  <c r="G208" i="6"/>
  <c r="G293" i="6"/>
  <c r="G279" i="6"/>
  <c r="G267" i="6"/>
  <c r="G255" i="6"/>
  <c r="G243" i="6"/>
  <c r="G231" i="6"/>
  <c r="G219" i="6"/>
  <c r="G207" i="6"/>
  <c r="G292" i="6"/>
  <c r="G278" i="6"/>
  <c r="G266" i="6"/>
  <c r="G254" i="6"/>
  <c r="G242" i="6"/>
  <c r="G230" i="6"/>
  <c r="G218" i="6"/>
  <c r="G206" i="6"/>
  <c r="G291" i="6"/>
  <c r="G277" i="6"/>
  <c r="G265" i="6"/>
  <c r="G253" i="6"/>
  <c r="G241" i="6"/>
  <c r="G229" i="6"/>
  <c r="G217" i="6"/>
  <c r="G205" i="6"/>
  <c r="G290" i="6"/>
  <c r="G276" i="6"/>
  <c r="G264" i="6"/>
  <c r="G252" i="6"/>
  <c r="G240" i="6"/>
  <c r="G228" i="6"/>
  <c r="G216" i="6"/>
  <c r="G204" i="6"/>
  <c r="G4" i="7" s="1"/>
  <c r="G287" i="6"/>
  <c r="G275" i="6"/>
  <c r="G263" i="6"/>
  <c r="G251" i="6"/>
  <c r="G239" i="6"/>
  <c r="G227" i="6"/>
  <c r="G215" i="6"/>
  <c r="G203" i="6"/>
  <c r="G286" i="6"/>
  <c r="G274" i="6"/>
  <c r="G262" i="6"/>
  <c r="G250" i="6"/>
  <c r="G238" i="6"/>
  <c r="G226" i="6"/>
  <c r="G214" i="6"/>
  <c r="G202" i="6"/>
  <c r="G285" i="6"/>
  <c r="G273" i="6"/>
  <c r="G261" i="6"/>
  <c r="G249" i="6"/>
  <c r="G237" i="6"/>
  <c r="G225" i="6"/>
  <c r="G213" i="6"/>
  <c r="G201" i="6"/>
  <c r="I266" i="6"/>
  <c r="G297" i="6"/>
  <c r="G283" i="6"/>
  <c r="G271" i="6"/>
  <c r="G259" i="6"/>
  <c r="G247" i="6"/>
  <c r="G235" i="6"/>
  <c r="G223" i="6"/>
  <c r="G211" i="6"/>
  <c r="G284" i="6"/>
  <c r="G212" i="6"/>
  <c r="E297" i="6"/>
  <c r="E285" i="6"/>
  <c r="E273" i="6"/>
  <c r="E261" i="6"/>
  <c r="E249" i="6"/>
  <c r="E237" i="6"/>
  <c r="E225" i="6"/>
  <c r="E213" i="6"/>
  <c r="G282" i="6"/>
  <c r="G210" i="6"/>
  <c r="E296" i="6"/>
  <c r="E284" i="6"/>
  <c r="E272" i="6"/>
  <c r="E260" i="6"/>
  <c r="E248" i="6"/>
  <c r="E236" i="6"/>
  <c r="E224" i="6"/>
  <c r="E212" i="6"/>
  <c r="G272" i="6"/>
  <c r="E295" i="6"/>
  <c r="E283" i="6"/>
  <c r="E271" i="6"/>
  <c r="E259" i="6"/>
  <c r="E247" i="6"/>
  <c r="E235" i="6"/>
  <c r="E223" i="6"/>
  <c r="E211" i="6"/>
  <c r="C204" i="6"/>
  <c r="G270" i="6"/>
  <c r="E294" i="6"/>
  <c r="E282" i="6"/>
  <c r="E270" i="6"/>
  <c r="E258" i="6"/>
  <c r="E246" i="6"/>
  <c r="E234" i="6"/>
  <c r="E222" i="6"/>
  <c r="E210" i="6"/>
  <c r="C205" i="6"/>
  <c r="C217" i="6"/>
  <c r="C229" i="6"/>
  <c r="C241" i="6"/>
  <c r="C253" i="6"/>
  <c r="C265" i="6"/>
  <c r="G260" i="6"/>
  <c r="E293" i="6"/>
  <c r="E281" i="6"/>
  <c r="E269" i="6"/>
  <c r="E257" i="6"/>
  <c r="E245" i="6"/>
  <c r="E233" i="6"/>
  <c r="E221" i="6"/>
  <c r="E209" i="6"/>
  <c r="C206" i="6"/>
  <c r="C218" i="6"/>
  <c r="C230" i="6"/>
  <c r="C242" i="6"/>
  <c r="C254" i="6"/>
  <c r="C266" i="6"/>
  <c r="G258" i="6"/>
  <c r="E292" i="6"/>
  <c r="E280" i="6"/>
  <c r="E268" i="6"/>
  <c r="E256" i="6"/>
  <c r="E244" i="6"/>
  <c r="E232" i="6"/>
  <c r="E220" i="6"/>
  <c r="E208" i="6"/>
  <c r="C207" i="6"/>
  <c r="G248" i="6"/>
  <c r="E291" i="6"/>
  <c r="E279" i="6"/>
  <c r="E267" i="6"/>
  <c r="E255" i="6"/>
  <c r="E243" i="6"/>
  <c r="E231" i="6"/>
  <c r="E219" i="6"/>
  <c r="E207" i="6"/>
  <c r="G246" i="6"/>
  <c r="E290" i="6"/>
  <c r="E278" i="6"/>
  <c r="E266" i="6"/>
  <c r="E254" i="6"/>
  <c r="E242" i="6"/>
  <c r="E230" i="6"/>
  <c r="E218" i="6"/>
  <c r="E206" i="6"/>
  <c r="C209" i="6"/>
  <c r="C4" i="8" s="1"/>
  <c r="G236" i="6"/>
  <c r="E301" i="6"/>
  <c r="E289" i="6"/>
  <c r="E277" i="6"/>
  <c r="E265" i="6"/>
  <c r="E253" i="6"/>
  <c r="E241" i="6"/>
  <c r="E229" i="6"/>
  <c r="E217" i="6"/>
  <c r="E205" i="6"/>
  <c r="C210" i="6"/>
  <c r="C222" i="6"/>
  <c r="G234" i="6"/>
  <c r="E300" i="6"/>
  <c r="E288" i="6"/>
  <c r="E276" i="6"/>
  <c r="E264" i="6"/>
  <c r="E252" i="6"/>
  <c r="E240" i="6"/>
  <c r="E228" i="6"/>
  <c r="E216" i="6"/>
  <c r="E204" i="6"/>
  <c r="C211" i="6"/>
  <c r="C223" i="6"/>
  <c r="C235" i="6"/>
  <c r="C247" i="6"/>
  <c r="C259" i="6"/>
  <c r="E251" i="6"/>
  <c r="C221" i="6"/>
  <c r="C238" i="6"/>
  <c r="C255" i="6"/>
  <c r="C270" i="6"/>
  <c r="C282" i="6"/>
  <c r="C294" i="6"/>
  <c r="E250" i="6"/>
  <c r="C224" i="6"/>
  <c r="C239" i="6"/>
  <c r="C256" i="6"/>
  <c r="C271" i="6"/>
  <c r="C283" i="6"/>
  <c r="C295" i="6"/>
  <c r="G298" i="6"/>
  <c r="E239" i="6"/>
  <c r="C225" i="6"/>
  <c r="C240" i="6"/>
  <c r="C257" i="6"/>
  <c r="C272" i="6"/>
  <c r="C284" i="6"/>
  <c r="C296" i="6"/>
  <c r="G296" i="6"/>
  <c r="E238" i="6"/>
  <c r="C203" i="6"/>
  <c r="C226" i="6"/>
  <c r="C243" i="6"/>
  <c r="C258" i="6"/>
  <c r="C273" i="6"/>
  <c r="C285" i="6"/>
  <c r="C297" i="6"/>
  <c r="G224" i="6"/>
  <c r="E299" i="6"/>
  <c r="E227" i="6"/>
  <c r="C208" i="6"/>
  <c r="C227" i="6"/>
  <c r="C244" i="6"/>
  <c r="C260" i="6"/>
  <c r="C274" i="6"/>
  <c r="C286" i="6"/>
  <c r="C298" i="6"/>
  <c r="G222" i="6"/>
  <c r="E298" i="6"/>
  <c r="E226" i="6"/>
  <c r="C212" i="6"/>
  <c r="C228" i="6"/>
  <c r="C245" i="6"/>
  <c r="C261" i="6"/>
  <c r="C275" i="6"/>
  <c r="C287" i="6"/>
  <c r="C299" i="6"/>
  <c r="E287" i="6"/>
  <c r="E215" i="6"/>
  <c r="C213" i="6"/>
  <c r="C231" i="6"/>
  <c r="C246" i="6"/>
  <c r="C262" i="6"/>
  <c r="C276" i="6"/>
  <c r="C288" i="6"/>
  <c r="C300" i="6"/>
  <c r="E286" i="6"/>
  <c r="E214" i="6"/>
  <c r="C214" i="6"/>
  <c r="C232" i="6"/>
  <c r="C248" i="6"/>
  <c r="C263" i="6"/>
  <c r="C277" i="6"/>
  <c r="C289" i="6"/>
  <c r="C301" i="6"/>
  <c r="E275" i="6"/>
  <c r="E203" i="6"/>
  <c r="C215" i="6"/>
  <c r="C233" i="6"/>
  <c r="C249" i="6"/>
  <c r="C264" i="6"/>
  <c r="C278" i="6"/>
  <c r="C290" i="6"/>
  <c r="C202" i="6"/>
  <c r="I256" i="6"/>
  <c r="E274" i="6"/>
  <c r="E202" i="6"/>
  <c r="C216" i="6"/>
  <c r="C234" i="6"/>
  <c r="C250" i="6"/>
  <c r="C267" i="6"/>
  <c r="C279" i="6"/>
  <c r="C291" i="6"/>
  <c r="E263" i="6"/>
  <c r="C219" i="6"/>
  <c r="C236" i="6"/>
  <c r="C251" i="6"/>
  <c r="C268" i="6"/>
  <c r="C280" i="6"/>
  <c r="C292" i="6"/>
  <c r="E262" i="6"/>
  <c r="C220" i="6"/>
  <c r="C237" i="6"/>
  <c r="C252" i="6"/>
  <c r="C269" i="6"/>
  <c r="C281" i="6"/>
  <c r="C293" i="6"/>
  <c r="K94" i="6"/>
  <c r="K82" i="6"/>
  <c r="K70" i="6"/>
  <c r="K58" i="6"/>
  <c r="K46" i="6"/>
  <c r="K34" i="6"/>
  <c r="K22" i="6"/>
  <c r="K10" i="6"/>
  <c r="K93" i="6"/>
  <c r="K81" i="6"/>
  <c r="K69" i="6"/>
  <c r="K57" i="6"/>
  <c r="K45" i="6"/>
  <c r="K33" i="6"/>
  <c r="K21" i="6"/>
  <c r="K9" i="6"/>
  <c r="K92" i="6"/>
  <c r="K80" i="6"/>
  <c r="K68" i="6"/>
  <c r="K56" i="6"/>
  <c r="K44" i="6"/>
  <c r="K32" i="6"/>
  <c r="K20" i="6"/>
  <c r="K8" i="6"/>
  <c r="K91" i="6"/>
  <c r="K79" i="6"/>
  <c r="K67" i="6"/>
  <c r="K55" i="6"/>
  <c r="K43" i="6"/>
  <c r="K31" i="6"/>
  <c r="K19" i="6"/>
  <c r="K7" i="6"/>
  <c r="K90" i="6"/>
  <c r="K78" i="6"/>
  <c r="K66" i="6"/>
  <c r="K54" i="6"/>
  <c r="K42" i="6"/>
  <c r="K30" i="6"/>
  <c r="K18" i="6"/>
  <c r="K6" i="6"/>
  <c r="K2" i="8" s="1"/>
  <c r="K89" i="6"/>
  <c r="K77" i="6"/>
  <c r="K65" i="6"/>
  <c r="K53" i="6"/>
  <c r="K41" i="6"/>
  <c r="K29" i="6"/>
  <c r="K17" i="6"/>
  <c r="K5" i="6"/>
  <c r="K100" i="6"/>
  <c r="K88" i="6"/>
  <c r="K76" i="6"/>
  <c r="K64" i="6"/>
  <c r="K52" i="6"/>
  <c r="K40" i="6"/>
  <c r="K28" i="6"/>
  <c r="K16" i="6"/>
  <c r="K4" i="6"/>
  <c r="K99" i="6"/>
  <c r="K87" i="6"/>
  <c r="K75" i="6"/>
  <c r="K63" i="6"/>
  <c r="K51" i="6"/>
  <c r="K39" i="6"/>
  <c r="K27" i="6"/>
  <c r="K15" i="6"/>
  <c r="K3" i="6"/>
  <c r="K98" i="6"/>
  <c r="K86" i="6"/>
  <c r="K74" i="6"/>
  <c r="K62" i="6"/>
  <c r="K50" i="6"/>
  <c r="K38" i="6"/>
  <c r="K26" i="6"/>
  <c r="K14" i="6"/>
  <c r="K2" i="6"/>
  <c r="K96" i="6"/>
  <c r="K84" i="6"/>
  <c r="K72" i="6"/>
  <c r="K60" i="6"/>
  <c r="K48" i="6"/>
  <c r="K36" i="6"/>
  <c r="K24" i="6"/>
  <c r="K12" i="6"/>
  <c r="K61" i="6"/>
  <c r="I97" i="6"/>
  <c r="I85" i="6"/>
  <c r="I73" i="6"/>
  <c r="I61" i="6"/>
  <c r="I49" i="6"/>
  <c r="I37" i="6"/>
  <c r="I25" i="6"/>
  <c r="I13" i="6"/>
  <c r="K59" i="6"/>
  <c r="I96" i="6"/>
  <c r="I84" i="6"/>
  <c r="I72" i="6"/>
  <c r="I60" i="6"/>
  <c r="I48" i="6"/>
  <c r="I36" i="6"/>
  <c r="I24" i="6"/>
  <c r="I12" i="6"/>
  <c r="K49" i="6"/>
  <c r="K47" i="6"/>
  <c r="I94" i="6"/>
  <c r="I82" i="6"/>
  <c r="I70" i="6"/>
  <c r="I58" i="6"/>
  <c r="I46" i="6"/>
  <c r="I34" i="6"/>
  <c r="I22" i="6"/>
  <c r="I10" i="6"/>
  <c r="K37" i="6"/>
  <c r="I93" i="6"/>
  <c r="I81" i="6"/>
  <c r="I69" i="6"/>
  <c r="I57" i="6"/>
  <c r="I45" i="6"/>
  <c r="I33" i="6"/>
  <c r="I21" i="6"/>
  <c r="I9" i="6"/>
  <c r="K35" i="6"/>
  <c r="I92" i="6"/>
  <c r="I80" i="6"/>
  <c r="I68" i="6"/>
  <c r="I56" i="6"/>
  <c r="I44" i="6"/>
  <c r="I32" i="6"/>
  <c r="I20" i="6"/>
  <c r="I8" i="6"/>
  <c r="K97" i="6"/>
  <c r="K25" i="6"/>
  <c r="I91" i="6"/>
  <c r="I79" i="6"/>
  <c r="I67" i="6"/>
  <c r="I55" i="6"/>
  <c r="I43" i="6"/>
  <c r="I31" i="6"/>
  <c r="I19" i="6"/>
  <c r="I7" i="6"/>
  <c r="K95" i="6"/>
  <c r="K23" i="6"/>
  <c r="K85" i="6"/>
  <c r="K13" i="6"/>
  <c r="K73" i="6"/>
  <c r="I100" i="6"/>
  <c r="I76" i="6"/>
  <c r="I52" i="6"/>
  <c r="I28" i="6"/>
  <c r="I4" i="6"/>
  <c r="I99" i="6"/>
  <c r="I75" i="6"/>
  <c r="I51" i="6"/>
  <c r="I27" i="6"/>
  <c r="I3" i="6"/>
  <c r="I98" i="6"/>
  <c r="I74" i="6"/>
  <c r="I50" i="6"/>
  <c r="I26" i="6"/>
  <c r="I2" i="6"/>
  <c r="K83" i="6"/>
  <c r="I95" i="6"/>
  <c r="I71" i="6"/>
  <c r="I47" i="6"/>
  <c r="I23" i="6"/>
  <c r="K71" i="6"/>
  <c r="I90" i="6"/>
  <c r="I66" i="6"/>
  <c r="I42" i="6"/>
  <c r="I18" i="6"/>
  <c r="K11" i="6"/>
  <c r="I89" i="6"/>
  <c r="I65" i="6"/>
  <c r="I41" i="6"/>
  <c r="I17" i="6"/>
  <c r="I88" i="6"/>
  <c r="I64" i="6"/>
  <c r="I40" i="6"/>
  <c r="I16" i="6"/>
  <c r="I87" i="6"/>
  <c r="I63" i="6"/>
  <c r="I39" i="6"/>
  <c r="I15" i="6"/>
  <c r="I86" i="6"/>
  <c r="I62" i="6"/>
  <c r="I38" i="6"/>
  <c r="I14" i="6"/>
  <c r="I83" i="6"/>
  <c r="I59" i="6"/>
  <c r="I35" i="6"/>
  <c r="I11" i="6"/>
  <c r="I54" i="6"/>
  <c r="G89" i="6"/>
  <c r="G77" i="6"/>
  <c r="G65" i="6"/>
  <c r="G53" i="6"/>
  <c r="G41" i="6"/>
  <c r="G29" i="6"/>
  <c r="G17" i="6"/>
  <c r="G5" i="6"/>
  <c r="I53" i="6"/>
  <c r="G100" i="6"/>
  <c r="G88" i="6"/>
  <c r="G76" i="6"/>
  <c r="G64" i="6"/>
  <c r="G52" i="6"/>
  <c r="G40" i="6"/>
  <c r="G28" i="6"/>
  <c r="G16" i="6"/>
  <c r="G4" i="6"/>
  <c r="I30" i="6"/>
  <c r="G99" i="6"/>
  <c r="G87" i="6"/>
  <c r="G75" i="6"/>
  <c r="G63" i="6"/>
  <c r="G51" i="6"/>
  <c r="G39" i="6"/>
  <c r="G27" i="6"/>
  <c r="G15" i="6"/>
  <c r="G3" i="6"/>
  <c r="I29" i="6"/>
  <c r="G98" i="6"/>
  <c r="G86" i="6"/>
  <c r="G74" i="6"/>
  <c r="G62" i="6"/>
  <c r="G50" i="6"/>
  <c r="G38" i="6"/>
  <c r="G26" i="6"/>
  <c r="G14" i="6"/>
  <c r="G2" i="6"/>
  <c r="I6" i="6"/>
  <c r="I2" i="8" s="1"/>
  <c r="G97" i="6"/>
  <c r="G85" i="6"/>
  <c r="G73" i="6"/>
  <c r="G61" i="6"/>
  <c r="G49" i="6"/>
  <c r="G37" i="6"/>
  <c r="G25" i="6"/>
  <c r="G13" i="6"/>
  <c r="I5" i="6"/>
  <c r="G96" i="6"/>
  <c r="G84" i="6"/>
  <c r="G72" i="6"/>
  <c r="G60" i="6"/>
  <c r="G48" i="6"/>
  <c r="G36" i="6"/>
  <c r="G24" i="6"/>
  <c r="G12" i="6"/>
  <c r="G95" i="6"/>
  <c r="G83" i="6"/>
  <c r="G71" i="6"/>
  <c r="G59" i="6"/>
  <c r="G47" i="6"/>
  <c r="G35" i="6"/>
  <c r="G23" i="6"/>
  <c r="G11" i="6"/>
  <c r="G94" i="6"/>
  <c r="G82" i="6"/>
  <c r="G70" i="6"/>
  <c r="G58" i="6"/>
  <c r="G46" i="6"/>
  <c r="G34" i="6"/>
  <c r="G22" i="6"/>
  <c r="G10" i="6"/>
  <c r="G93" i="6"/>
  <c r="G81" i="6"/>
  <c r="G69" i="6"/>
  <c r="G57" i="6"/>
  <c r="G45" i="6"/>
  <c r="G33" i="6"/>
  <c r="G21" i="6"/>
  <c r="G9" i="6"/>
  <c r="I78" i="6"/>
  <c r="G91" i="6"/>
  <c r="G79" i="6"/>
  <c r="G67" i="6"/>
  <c r="G55" i="6"/>
  <c r="G43" i="6"/>
  <c r="G31" i="6"/>
  <c r="G19" i="6"/>
  <c r="G7" i="6"/>
  <c r="G2" i="9" s="1"/>
  <c r="G68" i="6"/>
  <c r="E5" i="6"/>
  <c r="E17" i="6"/>
  <c r="E18" i="6"/>
  <c r="E30" i="6"/>
  <c r="E42" i="6"/>
  <c r="E54" i="6"/>
  <c r="E66" i="6"/>
  <c r="E78" i="6"/>
  <c r="E90" i="6"/>
  <c r="I77" i="6"/>
  <c r="G66" i="6"/>
  <c r="E6" i="6"/>
  <c r="E19" i="6"/>
  <c r="E31" i="6"/>
  <c r="E43" i="6"/>
  <c r="E55" i="6"/>
  <c r="E67" i="6"/>
  <c r="E79" i="6"/>
  <c r="E91" i="6"/>
  <c r="G56" i="6"/>
  <c r="E7" i="6"/>
  <c r="E20" i="6"/>
  <c r="E32" i="6"/>
  <c r="E44" i="6"/>
  <c r="E56" i="6"/>
  <c r="E68" i="6"/>
  <c r="E80" i="6"/>
  <c r="E92" i="6"/>
  <c r="G54" i="6"/>
  <c r="E8" i="6"/>
  <c r="E21" i="6"/>
  <c r="E33" i="6"/>
  <c r="E45" i="6"/>
  <c r="E57" i="6"/>
  <c r="E69" i="6"/>
  <c r="E81" i="6"/>
  <c r="E93" i="6"/>
  <c r="G44" i="6"/>
  <c r="E9" i="6"/>
  <c r="E22" i="6"/>
  <c r="E34" i="6"/>
  <c r="E46" i="6"/>
  <c r="E58" i="6"/>
  <c r="E70" i="6"/>
  <c r="E82" i="6"/>
  <c r="E94" i="6"/>
  <c r="G42" i="6"/>
  <c r="E10" i="6"/>
  <c r="E23" i="6"/>
  <c r="E35" i="6"/>
  <c r="E47" i="6"/>
  <c r="E59" i="6"/>
  <c r="E71" i="6"/>
  <c r="E83" i="6"/>
  <c r="E95" i="6"/>
  <c r="G32" i="6"/>
  <c r="E11" i="6"/>
  <c r="E24" i="6"/>
  <c r="E36" i="6"/>
  <c r="E48" i="6"/>
  <c r="E60" i="6"/>
  <c r="E72" i="6"/>
  <c r="E84" i="6"/>
  <c r="E96" i="6"/>
  <c r="G30" i="6"/>
  <c r="E12" i="6"/>
  <c r="E25" i="6"/>
  <c r="E37" i="6"/>
  <c r="E49" i="6"/>
  <c r="E61" i="6"/>
  <c r="E73" i="6"/>
  <c r="E85" i="6"/>
  <c r="E97" i="6"/>
  <c r="G92" i="6"/>
  <c r="G20" i="6"/>
  <c r="E13" i="6"/>
  <c r="E26" i="6"/>
  <c r="E38" i="6"/>
  <c r="E50" i="6"/>
  <c r="E62" i="6"/>
  <c r="E74" i="6"/>
  <c r="E86" i="6"/>
  <c r="E98" i="6"/>
  <c r="G90" i="6"/>
  <c r="G18" i="6"/>
  <c r="E2" i="6"/>
  <c r="E14" i="6"/>
  <c r="E27" i="6"/>
  <c r="E39" i="6"/>
  <c r="E51" i="6"/>
  <c r="E63" i="6"/>
  <c r="E75" i="6"/>
  <c r="E87" i="6"/>
  <c r="E99" i="6"/>
  <c r="E3" i="6"/>
  <c r="E2" i="9" s="1"/>
  <c r="E64" i="6"/>
  <c r="C14" i="6"/>
  <c r="C26" i="6"/>
  <c r="C38" i="6"/>
  <c r="C50" i="6"/>
  <c r="C62" i="6"/>
  <c r="C74" i="6"/>
  <c r="C86" i="6"/>
  <c r="C98" i="6"/>
  <c r="E4" i="6"/>
  <c r="E65" i="6"/>
  <c r="C101" i="6"/>
  <c r="C15" i="6"/>
  <c r="C27" i="6"/>
  <c r="C39" i="6"/>
  <c r="C51" i="6"/>
  <c r="C63" i="6"/>
  <c r="C75" i="6"/>
  <c r="C87" i="6"/>
  <c r="C99" i="6"/>
  <c r="E15" i="6"/>
  <c r="E76" i="6"/>
  <c r="C4" i="6"/>
  <c r="C16" i="6"/>
  <c r="C28" i="6"/>
  <c r="C40" i="6"/>
  <c r="C52" i="6"/>
  <c r="C64" i="6"/>
  <c r="C76" i="6"/>
  <c r="C88" i="6"/>
  <c r="C100" i="6"/>
  <c r="E16" i="6"/>
  <c r="E77" i="6"/>
  <c r="C5" i="6"/>
  <c r="C2" i="10" s="1"/>
  <c r="C17" i="6"/>
  <c r="C29" i="6"/>
  <c r="C41" i="6"/>
  <c r="C53" i="6"/>
  <c r="C65" i="6"/>
  <c r="C77" i="6"/>
  <c r="C89" i="6"/>
  <c r="C3" i="6"/>
  <c r="E88" i="6"/>
  <c r="C6" i="6"/>
  <c r="C18" i="6"/>
  <c r="C30" i="6"/>
  <c r="C42" i="6"/>
  <c r="C54" i="6"/>
  <c r="C66" i="6"/>
  <c r="C78" i="6"/>
  <c r="C90" i="6"/>
  <c r="C2" i="6"/>
  <c r="E89" i="6"/>
  <c r="C7" i="6"/>
  <c r="C19" i="6"/>
  <c r="C31" i="6"/>
  <c r="C43" i="6"/>
  <c r="C55" i="6"/>
  <c r="C67" i="6"/>
  <c r="C79" i="6"/>
  <c r="C91" i="6"/>
  <c r="E28" i="6"/>
  <c r="E100" i="6"/>
  <c r="C8" i="6"/>
  <c r="C20" i="6"/>
  <c r="C32" i="6"/>
  <c r="C44" i="6"/>
  <c r="C56" i="6"/>
  <c r="C68" i="6"/>
  <c r="C80" i="6"/>
  <c r="C92" i="6"/>
  <c r="E29" i="6"/>
  <c r="E101" i="6"/>
  <c r="C9" i="6"/>
  <c r="C21" i="6"/>
  <c r="C33" i="6"/>
  <c r="C45" i="6"/>
  <c r="C57" i="6"/>
  <c r="C69" i="6"/>
  <c r="C81" i="6"/>
  <c r="C93" i="6"/>
  <c r="G80" i="6"/>
  <c r="E40" i="6"/>
  <c r="C10" i="6"/>
  <c r="C22" i="6"/>
  <c r="C34" i="6"/>
  <c r="C46" i="6"/>
  <c r="C58" i="6"/>
  <c r="C70" i="6"/>
  <c r="C82" i="6"/>
  <c r="C94" i="6"/>
  <c r="G78" i="6"/>
  <c r="E41" i="6"/>
  <c r="C11" i="6"/>
  <c r="C23" i="6"/>
  <c r="C35" i="6"/>
  <c r="C47" i="6"/>
  <c r="C59" i="6"/>
  <c r="C71" i="6"/>
  <c r="C83" i="6"/>
  <c r="C95" i="6"/>
  <c r="G8" i="6"/>
  <c r="E52" i="6"/>
  <c r="C12" i="6"/>
  <c r="C24" i="6"/>
  <c r="C36" i="6"/>
  <c r="C48" i="6"/>
  <c r="C60" i="6"/>
  <c r="C72" i="6"/>
  <c r="C84" i="6"/>
  <c r="C96" i="6"/>
  <c r="G6" i="6"/>
  <c r="E53" i="6"/>
  <c r="C13" i="6"/>
  <c r="C25" i="6"/>
  <c r="C37" i="6"/>
  <c r="C49" i="6"/>
  <c r="C61" i="6"/>
  <c r="C73" i="6"/>
  <c r="C85" i="6"/>
  <c r="C97" i="6"/>
  <c r="C389" i="6"/>
  <c r="C317" i="6"/>
  <c r="C1543" i="6"/>
  <c r="C2702" i="6"/>
  <c r="C2730" i="6"/>
  <c r="E334" i="6"/>
  <c r="C388" i="6"/>
  <c r="C316" i="6"/>
  <c r="C1542" i="6"/>
  <c r="C2801" i="6"/>
  <c r="C2729" i="6"/>
  <c r="E335" i="6"/>
  <c r="B10" i="5"/>
  <c r="B22" i="5"/>
  <c r="C377" i="6"/>
  <c r="C305" i="6"/>
  <c r="C1531" i="6"/>
  <c r="C2790" i="6"/>
  <c r="E346" i="6"/>
  <c r="K2791" i="6"/>
  <c r="K2779" i="6"/>
  <c r="K2767" i="6"/>
  <c r="K2755" i="6"/>
  <c r="K2743" i="6"/>
  <c r="K2731" i="6"/>
  <c r="K2719" i="6"/>
  <c r="K2707" i="6"/>
  <c r="K2790" i="6"/>
  <c r="K2778" i="6"/>
  <c r="K2766" i="6"/>
  <c r="K2754" i="6"/>
  <c r="K2742" i="6"/>
  <c r="K2730" i="6"/>
  <c r="K2718" i="6"/>
  <c r="K2706" i="6"/>
  <c r="K2789" i="6"/>
  <c r="K2777" i="6"/>
  <c r="K2765" i="6"/>
  <c r="K2753" i="6"/>
  <c r="K2741" i="6"/>
  <c r="K2729" i="6"/>
  <c r="K2717" i="6"/>
  <c r="K2705" i="6"/>
  <c r="K2800" i="6"/>
  <c r="K2788" i="6"/>
  <c r="K2776" i="6"/>
  <c r="K2764" i="6"/>
  <c r="K2752" i="6"/>
  <c r="K2740" i="6"/>
  <c r="K2728" i="6"/>
  <c r="K2716" i="6"/>
  <c r="K2704" i="6"/>
  <c r="K2799" i="6"/>
  <c r="K2787" i="6"/>
  <c r="K2775" i="6"/>
  <c r="K2763" i="6"/>
  <c r="K2751" i="6"/>
  <c r="K2739" i="6"/>
  <c r="K2727" i="6"/>
  <c r="K2715" i="6"/>
  <c r="K2703" i="6"/>
  <c r="K2798" i="6"/>
  <c r="K2786" i="6"/>
  <c r="K2774" i="6"/>
  <c r="K2762" i="6"/>
  <c r="K2750" i="6"/>
  <c r="K2738" i="6"/>
  <c r="K2726" i="6"/>
  <c r="K2714" i="6"/>
  <c r="K2702" i="6"/>
  <c r="K2797" i="6"/>
  <c r="K2785" i="6"/>
  <c r="K2773" i="6"/>
  <c r="K2761" i="6"/>
  <c r="K2749" i="6"/>
  <c r="K2737" i="6"/>
  <c r="K2725" i="6"/>
  <c r="K2713" i="6"/>
  <c r="K2701" i="6"/>
  <c r="K2796" i="6"/>
  <c r="K2784" i="6"/>
  <c r="K2772" i="6"/>
  <c r="K2760" i="6"/>
  <c r="K2748" i="6"/>
  <c r="K2736" i="6"/>
  <c r="K2724" i="6"/>
  <c r="K2712" i="6"/>
  <c r="K2795" i="6"/>
  <c r="K2783" i="6"/>
  <c r="K2771" i="6"/>
  <c r="K2759" i="6"/>
  <c r="K2747" i="6"/>
  <c r="K2735" i="6"/>
  <c r="K2723" i="6"/>
  <c r="K2711" i="6"/>
  <c r="K2769" i="6"/>
  <c r="K2721" i="6"/>
  <c r="I2797" i="6"/>
  <c r="I2785" i="6"/>
  <c r="I2773" i="6"/>
  <c r="I2761" i="6"/>
  <c r="I2749" i="6"/>
  <c r="I2737" i="6"/>
  <c r="I2725" i="6"/>
  <c r="I2713" i="6"/>
  <c r="I2701" i="6"/>
  <c r="K2768" i="6"/>
  <c r="K2720" i="6"/>
  <c r="I2796" i="6"/>
  <c r="I2784" i="6"/>
  <c r="I2772" i="6"/>
  <c r="I2760" i="6"/>
  <c r="I2748" i="6"/>
  <c r="I2736" i="6"/>
  <c r="I2724" i="6"/>
  <c r="I2712" i="6"/>
  <c r="K2758" i="6"/>
  <c r="K2710" i="6"/>
  <c r="I2795" i="6"/>
  <c r="I2783" i="6"/>
  <c r="I2771" i="6"/>
  <c r="I2759" i="6"/>
  <c r="I2747" i="6"/>
  <c r="I2735" i="6"/>
  <c r="I2723" i="6"/>
  <c r="I2711" i="6"/>
  <c r="K2757" i="6"/>
  <c r="K2709" i="6"/>
  <c r="I2794" i="6"/>
  <c r="I2782" i="6"/>
  <c r="I2770" i="6"/>
  <c r="I2758" i="6"/>
  <c r="I2746" i="6"/>
  <c r="I2734" i="6"/>
  <c r="I2722" i="6"/>
  <c r="I2710" i="6"/>
  <c r="K2756" i="6"/>
  <c r="K2708" i="6"/>
  <c r="I2793" i="6"/>
  <c r="I2781" i="6"/>
  <c r="I2769" i="6"/>
  <c r="I2757" i="6"/>
  <c r="I2745" i="6"/>
  <c r="I2733" i="6"/>
  <c r="I2721" i="6"/>
  <c r="I2709" i="6"/>
  <c r="K2794" i="6"/>
  <c r="K2746" i="6"/>
  <c r="I2792" i="6"/>
  <c r="I2780" i="6"/>
  <c r="I2768" i="6"/>
  <c r="I2756" i="6"/>
  <c r="I2744" i="6"/>
  <c r="I2732" i="6"/>
  <c r="I2720" i="6"/>
  <c r="I2708" i="6"/>
  <c r="K2793" i="6"/>
  <c r="K2745" i="6"/>
  <c r="I2791" i="6"/>
  <c r="I2779" i="6"/>
  <c r="I2767" i="6"/>
  <c r="I2755" i="6"/>
  <c r="I2743" i="6"/>
  <c r="I2731" i="6"/>
  <c r="I2719" i="6"/>
  <c r="I2707" i="6"/>
  <c r="K2792" i="6"/>
  <c r="K2744" i="6"/>
  <c r="I2790" i="6"/>
  <c r="I2778" i="6"/>
  <c r="I2766" i="6"/>
  <c r="I2754" i="6"/>
  <c r="I2742" i="6"/>
  <c r="I2730" i="6"/>
  <c r="I2718" i="6"/>
  <c r="I2706" i="6"/>
  <c r="K2782" i="6"/>
  <c r="K2734" i="6"/>
  <c r="I2789" i="6"/>
  <c r="I2777" i="6"/>
  <c r="I2765" i="6"/>
  <c r="I2753" i="6"/>
  <c r="I2741" i="6"/>
  <c r="I2729" i="6"/>
  <c r="I2717" i="6"/>
  <c r="I2705" i="6"/>
  <c r="K2780" i="6"/>
  <c r="K2732" i="6"/>
  <c r="I2799" i="6"/>
  <c r="I2787" i="6"/>
  <c r="I2775" i="6"/>
  <c r="I2763" i="6"/>
  <c r="I2751" i="6"/>
  <c r="I2739" i="6"/>
  <c r="I2727" i="6"/>
  <c r="I2715" i="6"/>
  <c r="I2703" i="6"/>
  <c r="I2752" i="6"/>
  <c r="G2796" i="6"/>
  <c r="G2784" i="6"/>
  <c r="G2772" i="6"/>
  <c r="G2760" i="6"/>
  <c r="G2748" i="6"/>
  <c r="G2736" i="6"/>
  <c r="G2724" i="6"/>
  <c r="G2712" i="6"/>
  <c r="I2750" i="6"/>
  <c r="G2795" i="6"/>
  <c r="G2783" i="6"/>
  <c r="G2771" i="6"/>
  <c r="K2781" i="6"/>
  <c r="I2740" i="6"/>
  <c r="K2770" i="6"/>
  <c r="I2738" i="6"/>
  <c r="G2793" i="6"/>
  <c r="G2781" i="6"/>
  <c r="G2769" i="6"/>
  <c r="G2757" i="6"/>
  <c r="G2745" i="6"/>
  <c r="G2733" i="6"/>
  <c r="G2721" i="6"/>
  <c r="G2709" i="6"/>
  <c r="K2733" i="6"/>
  <c r="I2800" i="6"/>
  <c r="I2728" i="6"/>
  <c r="G2792" i="6"/>
  <c r="G2780" i="6"/>
  <c r="G2768" i="6"/>
  <c r="G2756" i="6"/>
  <c r="K2722" i="6"/>
  <c r="I2798" i="6"/>
  <c r="I2726" i="6"/>
  <c r="I2788" i="6"/>
  <c r="I2716" i="6"/>
  <c r="I2786" i="6"/>
  <c r="I2714" i="6"/>
  <c r="I2776" i="6"/>
  <c r="I2704" i="6"/>
  <c r="I2764" i="6"/>
  <c r="G2799" i="6"/>
  <c r="G2779" i="6"/>
  <c r="G2763" i="6"/>
  <c r="G2747" i="6"/>
  <c r="G2732" i="6"/>
  <c r="G2718" i="6"/>
  <c r="G2704" i="6"/>
  <c r="G2798" i="6"/>
  <c r="G2778" i="6"/>
  <c r="G2762" i="6"/>
  <c r="G2746" i="6"/>
  <c r="G2731" i="6"/>
  <c r="G2717" i="6"/>
  <c r="G2703" i="6"/>
  <c r="G2797" i="6"/>
  <c r="G2777" i="6"/>
  <c r="G2761" i="6"/>
  <c r="G2744" i="6"/>
  <c r="G2730" i="6"/>
  <c r="G2716" i="6"/>
  <c r="G2702" i="6"/>
  <c r="G2794" i="6"/>
  <c r="G2776" i="6"/>
  <c r="G2759" i="6"/>
  <c r="G2743" i="6"/>
  <c r="G2729" i="6"/>
  <c r="G2715" i="6"/>
  <c r="G2701" i="6"/>
  <c r="G2791" i="6"/>
  <c r="G2775" i="6"/>
  <c r="G2758" i="6"/>
  <c r="G2742" i="6"/>
  <c r="G2728" i="6"/>
  <c r="G2714" i="6"/>
  <c r="G2790" i="6"/>
  <c r="G2774" i="6"/>
  <c r="G2755" i="6"/>
  <c r="G2741" i="6"/>
  <c r="G2727" i="6"/>
  <c r="G2713" i="6"/>
  <c r="G2789" i="6"/>
  <c r="G2773" i="6"/>
  <c r="G2754" i="6"/>
  <c r="G2740" i="6"/>
  <c r="G2726" i="6"/>
  <c r="G2711" i="6"/>
  <c r="G2788" i="6"/>
  <c r="G2770" i="6"/>
  <c r="G2753" i="6"/>
  <c r="G2739" i="6"/>
  <c r="G2725" i="6"/>
  <c r="G2710" i="6"/>
  <c r="G2787" i="6"/>
  <c r="G2767" i="6"/>
  <c r="G2752" i="6"/>
  <c r="G2738" i="6"/>
  <c r="G2723" i="6"/>
  <c r="G2708" i="6"/>
  <c r="I2774" i="6"/>
  <c r="G2786" i="6"/>
  <c r="G2766" i="6"/>
  <c r="G2751" i="6"/>
  <c r="G2737" i="6"/>
  <c r="G2722" i="6"/>
  <c r="G2707" i="6"/>
  <c r="G2735" i="6"/>
  <c r="E2794" i="6"/>
  <c r="E2782" i="6"/>
  <c r="E2770" i="6"/>
  <c r="E2758" i="6"/>
  <c r="E2746" i="6"/>
  <c r="E2734" i="6"/>
  <c r="E2722" i="6"/>
  <c r="E2710" i="6"/>
  <c r="G2734" i="6"/>
  <c r="E2793" i="6"/>
  <c r="E2781" i="6"/>
  <c r="E2769" i="6"/>
  <c r="E2757" i="6"/>
  <c r="E2745" i="6"/>
  <c r="E2733" i="6"/>
  <c r="E2721" i="6"/>
  <c r="E2709" i="6"/>
  <c r="G2720" i="6"/>
  <c r="E2792" i="6"/>
  <c r="E2780" i="6"/>
  <c r="E2768" i="6"/>
  <c r="E2756" i="6"/>
  <c r="E2744" i="6"/>
  <c r="E2732" i="6"/>
  <c r="E2720" i="6"/>
  <c r="E2708" i="6"/>
  <c r="G2719" i="6"/>
  <c r="E2791" i="6"/>
  <c r="E2779" i="6"/>
  <c r="E2767" i="6"/>
  <c r="E2755" i="6"/>
  <c r="E2743" i="6"/>
  <c r="E2731" i="6"/>
  <c r="E2719" i="6"/>
  <c r="E2707" i="6"/>
  <c r="G2706" i="6"/>
  <c r="E2790" i="6"/>
  <c r="E2778" i="6"/>
  <c r="E2766" i="6"/>
  <c r="E2754" i="6"/>
  <c r="E2742" i="6"/>
  <c r="E2730" i="6"/>
  <c r="E2718" i="6"/>
  <c r="E2706" i="6"/>
  <c r="G2800" i="6"/>
  <c r="G2705" i="6"/>
  <c r="E2801" i="6"/>
  <c r="E2789" i="6"/>
  <c r="E2777" i="6"/>
  <c r="E2765" i="6"/>
  <c r="E2753" i="6"/>
  <c r="E2741" i="6"/>
  <c r="E2729" i="6"/>
  <c r="E2717" i="6"/>
  <c r="E2705" i="6"/>
  <c r="G2785" i="6"/>
  <c r="E2800" i="6"/>
  <c r="E2788" i="6"/>
  <c r="E2776" i="6"/>
  <c r="E2764" i="6"/>
  <c r="E2752" i="6"/>
  <c r="E2740" i="6"/>
  <c r="E2728" i="6"/>
  <c r="E2716" i="6"/>
  <c r="E2704" i="6"/>
  <c r="G2782" i="6"/>
  <c r="E2799" i="6"/>
  <c r="E2787" i="6"/>
  <c r="E2775" i="6"/>
  <c r="E2763" i="6"/>
  <c r="E2751" i="6"/>
  <c r="E2739" i="6"/>
  <c r="E2727" i="6"/>
  <c r="E2715" i="6"/>
  <c r="E2703" i="6"/>
  <c r="G2765" i="6"/>
  <c r="E2798" i="6"/>
  <c r="E2786" i="6"/>
  <c r="E2774" i="6"/>
  <c r="E2762" i="6"/>
  <c r="E2750" i="6"/>
  <c r="E2738" i="6"/>
  <c r="E2726" i="6"/>
  <c r="E2714" i="6"/>
  <c r="E2702" i="6"/>
  <c r="I2762" i="6"/>
  <c r="G2750" i="6"/>
  <c r="E2796" i="6"/>
  <c r="E2784" i="6"/>
  <c r="E2772" i="6"/>
  <c r="E2760" i="6"/>
  <c r="E2748" i="6"/>
  <c r="E2736" i="6"/>
  <c r="E2724" i="6"/>
  <c r="E2712" i="6"/>
  <c r="E2773" i="6"/>
  <c r="C2707" i="6"/>
  <c r="C2719" i="6"/>
  <c r="C2731" i="6"/>
  <c r="C2743" i="6"/>
  <c r="C2755" i="6"/>
  <c r="C2767" i="6"/>
  <c r="C2779" i="6"/>
  <c r="C2791" i="6"/>
  <c r="E2771" i="6"/>
  <c r="C2708" i="6"/>
  <c r="C2720" i="6"/>
  <c r="C2732" i="6"/>
  <c r="C2744" i="6"/>
  <c r="C2756" i="6"/>
  <c r="C2768" i="6"/>
  <c r="C2780" i="6"/>
  <c r="C2792" i="6"/>
  <c r="E2761" i="6"/>
  <c r="C2709" i="6"/>
  <c r="C2721" i="6"/>
  <c r="C2733" i="6"/>
  <c r="C2745" i="6"/>
  <c r="C2757" i="6"/>
  <c r="C2769" i="6"/>
  <c r="C2781" i="6"/>
  <c r="C2793" i="6"/>
  <c r="E2759" i="6"/>
  <c r="C2710" i="6"/>
  <c r="C2722" i="6"/>
  <c r="C2734" i="6"/>
  <c r="C2746" i="6"/>
  <c r="C2758" i="6"/>
  <c r="C2770" i="6"/>
  <c r="C2782" i="6"/>
  <c r="C2794" i="6"/>
  <c r="G2764" i="6"/>
  <c r="E2749" i="6"/>
  <c r="C2711" i="6"/>
  <c r="C2723" i="6"/>
  <c r="C2735" i="6"/>
  <c r="C2747" i="6"/>
  <c r="C2759" i="6"/>
  <c r="C2771" i="6"/>
  <c r="C2783" i="6"/>
  <c r="C2795" i="6"/>
  <c r="G2749" i="6"/>
  <c r="E2747" i="6"/>
  <c r="C2712" i="6"/>
  <c r="C2724" i="6"/>
  <c r="C2736" i="6"/>
  <c r="C2748" i="6"/>
  <c r="C2760" i="6"/>
  <c r="C2772" i="6"/>
  <c r="C2784" i="6"/>
  <c r="C2796" i="6"/>
  <c r="E2737" i="6"/>
  <c r="C2713" i="6"/>
  <c r="C2725" i="6"/>
  <c r="C2737" i="6"/>
  <c r="C2749" i="6"/>
  <c r="C2761" i="6"/>
  <c r="C2773" i="6"/>
  <c r="C2785" i="6"/>
  <c r="C2797" i="6"/>
  <c r="E2735" i="6"/>
  <c r="C2714" i="6"/>
  <c r="C2726" i="6"/>
  <c r="C2738" i="6"/>
  <c r="C2750" i="6"/>
  <c r="C2762" i="6"/>
  <c r="C2774" i="6"/>
  <c r="C2786" i="6"/>
  <c r="C2798" i="6"/>
  <c r="E2797" i="6"/>
  <c r="E2725" i="6"/>
  <c r="C2703" i="6"/>
  <c r="C29" i="8" s="1"/>
  <c r="C2715" i="6"/>
  <c r="C2727" i="6"/>
  <c r="C2739" i="6"/>
  <c r="C2751" i="6"/>
  <c r="C2763" i="6"/>
  <c r="C2775" i="6"/>
  <c r="C2787" i="6"/>
  <c r="C2799" i="6"/>
  <c r="I2702" i="6"/>
  <c r="E2795" i="6"/>
  <c r="E2723" i="6"/>
  <c r="C2704" i="6"/>
  <c r="C2716" i="6"/>
  <c r="C2728" i="6"/>
  <c r="C2740" i="6"/>
  <c r="C2752" i="6"/>
  <c r="C2764" i="6"/>
  <c r="C2776" i="6"/>
  <c r="C2788" i="6"/>
  <c r="C2800" i="6"/>
  <c r="B15" i="5"/>
  <c r="G1329" i="6" s="1"/>
  <c r="B27" i="5"/>
  <c r="C2524" i="6" s="1"/>
  <c r="C376" i="6"/>
  <c r="C304" i="6"/>
  <c r="C5" i="8" s="1"/>
  <c r="C1502" i="6"/>
  <c r="C1530" i="6"/>
  <c r="C2789" i="6"/>
  <c r="C2717" i="6"/>
  <c r="E347" i="6"/>
  <c r="K392" i="6"/>
  <c r="K380" i="6"/>
  <c r="K368" i="6"/>
  <c r="K356" i="6"/>
  <c r="K344" i="6"/>
  <c r="K332" i="6"/>
  <c r="K320" i="6"/>
  <c r="K308" i="6"/>
  <c r="K391" i="6"/>
  <c r="K379" i="6"/>
  <c r="K367" i="6"/>
  <c r="K355" i="6"/>
  <c r="K343" i="6"/>
  <c r="K331" i="6"/>
  <c r="K319" i="6"/>
  <c r="K307" i="6"/>
  <c r="K390" i="6"/>
  <c r="K378" i="6"/>
  <c r="K366" i="6"/>
  <c r="K354" i="6"/>
  <c r="K342" i="6"/>
  <c r="K330" i="6"/>
  <c r="K318" i="6"/>
  <c r="K306" i="6"/>
  <c r="K389" i="6"/>
  <c r="K377" i="6"/>
  <c r="K365" i="6"/>
  <c r="K353" i="6"/>
  <c r="K341" i="6"/>
  <c r="K329" i="6"/>
  <c r="K317" i="6"/>
  <c r="K305" i="6"/>
  <c r="K400" i="6"/>
  <c r="K388" i="6"/>
  <c r="K376" i="6"/>
  <c r="K364" i="6"/>
  <c r="K352" i="6"/>
  <c r="K340" i="6"/>
  <c r="K328" i="6"/>
  <c r="K316" i="6"/>
  <c r="K304" i="6"/>
  <c r="K399" i="6"/>
  <c r="K387" i="6"/>
  <c r="K375" i="6"/>
  <c r="K363" i="6"/>
  <c r="K351" i="6"/>
  <c r="K339" i="6"/>
  <c r="K327" i="6"/>
  <c r="K315" i="6"/>
  <c r="K303" i="6"/>
  <c r="K398" i="6"/>
  <c r="K386" i="6"/>
  <c r="K374" i="6"/>
  <c r="K362" i="6"/>
  <c r="K350" i="6"/>
  <c r="K338" i="6"/>
  <c r="K326" i="6"/>
  <c r="K314" i="6"/>
  <c r="K302" i="6"/>
  <c r="K397" i="6"/>
  <c r="K385" i="6"/>
  <c r="K373" i="6"/>
  <c r="K361" i="6"/>
  <c r="K349" i="6"/>
  <c r="K337" i="6"/>
  <c r="K325" i="6"/>
  <c r="K313" i="6"/>
  <c r="K301" i="6"/>
  <c r="K396" i="6"/>
  <c r="K384" i="6"/>
  <c r="K372" i="6"/>
  <c r="K360" i="6"/>
  <c r="K348" i="6"/>
  <c r="K336" i="6"/>
  <c r="K324" i="6"/>
  <c r="K312" i="6"/>
  <c r="K394" i="6"/>
  <c r="K346" i="6"/>
  <c r="K393" i="6"/>
  <c r="K345" i="6"/>
  <c r="K383" i="6"/>
  <c r="K335" i="6"/>
  <c r="K382" i="6"/>
  <c r="K334" i="6"/>
  <c r="K381" i="6"/>
  <c r="K333" i="6"/>
  <c r="K371" i="6"/>
  <c r="K323" i="6"/>
  <c r="K370" i="6"/>
  <c r="K322" i="6"/>
  <c r="K369" i="6"/>
  <c r="K321" i="6"/>
  <c r="K359" i="6"/>
  <c r="K311" i="6"/>
  <c r="K357" i="6"/>
  <c r="K309" i="6"/>
  <c r="I397" i="6"/>
  <c r="I385" i="6"/>
  <c r="I373" i="6"/>
  <c r="I361" i="6"/>
  <c r="I349" i="6"/>
  <c r="I337" i="6"/>
  <c r="I325" i="6"/>
  <c r="I313" i="6"/>
  <c r="I301" i="6"/>
  <c r="I396" i="6"/>
  <c r="I384" i="6"/>
  <c r="I372" i="6"/>
  <c r="I360" i="6"/>
  <c r="I348" i="6"/>
  <c r="I336" i="6"/>
  <c r="I324" i="6"/>
  <c r="I312" i="6"/>
  <c r="I395" i="6"/>
  <c r="I383" i="6"/>
  <c r="I371" i="6"/>
  <c r="I359" i="6"/>
  <c r="I347" i="6"/>
  <c r="I335" i="6"/>
  <c r="I323" i="6"/>
  <c r="I311" i="6"/>
  <c r="K395" i="6"/>
  <c r="I394" i="6"/>
  <c r="I382" i="6"/>
  <c r="I370" i="6"/>
  <c r="I358" i="6"/>
  <c r="I346" i="6"/>
  <c r="I334" i="6"/>
  <c r="I322" i="6"/>
  <c r="I310" i="6"/>
  <c r="K358" i="6"/>
  <c r="I393" i="6"/>
  <c r="I381" i="6"/>
  <c r="I369" i="6"/>
  <c r="I357" i="6"/>
  <c r="I345" i="6"/>
  <c r="I333" i="6"/>
  <c r="I321" i="6"/>
  <c r="I309" i="6"/>
  <c r="K347" i="6"/>
  <c r="I392" i="6"/>
  <c r="I380" i="6"/>
  <c r="I368" i="6"/>
  <c r="I356" i="6"/>
  <c r="I344" i="6"/>
  <c r="I332" i="6"/>
  <c r="I320" i="6"/>
  <c r="I308" i="6"/>
  <c r="K310" i="6"/>
  <c r="I391" i="6"/>
  <c r="I379" i="6"/>
  <c r="I367" i="6"/>
  <c r="I355" i="6"/>
  <c r="I343" i="6"/>
  <c r="I331" i="6"/>
  <c r="I319" i="6"/>
  <c r="I307" i="6"/>
  <c r="I390" i="6"/>
  <c r="I378" i="6"/>
  <c r="I366" i="6"/>
  <c r="I354" i="6"/>
  <c r="I342" i="6"/>
  <c r="I330" i="6"/>
  <c r="I318" i="6"/>
  <c r="I306" i="6"/>
  <c r="I389" i="6"/>
  <c r="I377" i="6"/>
  <c r="I365" i="6"/>
  <c r="I353" i="6"/>
  <c r="I341" i="6"/>
  <c r="I329" i="6"/>
  <c r="I317" i="6"/>
  <c r="I305" i="6"/>
  <c r="I399" i="6"/>
  <c r="I387" i="6"/>
  <c r="I375" i="6"/>
  <c r="I363" i="6"/>
  <c r="I351" i="6"/>
  <c r="I339" i="6"/>
  <c r="I327" i="6"/>
  <c r="I315" i="6"/>
  <c r="I303" i="6"/>
  <c r="I398" i="6"/>
  <c r="I326" i="6"/>
  <c r="G400" i="6"/>
  <c r="G388" i="6"/>
  <c r="G376" i="6"/>
  <c r="G364" i="6"/>
  <c r="G352" i="6"/>
  <c r="G340" i="6"/>
  <c r="G328" i="6"/>
  <c r="G316" i="6"/>
  <c r="G304" i="6"/>
  <c r="I388" i="6"/>
  <c r="I316" i="6"/>
  <c r="G399" i="6"/>
  <c r="G387" i="6"/>
  <c r="G375" i="6"/>
  <c r="G363" i="6"/>
  <c r="G351" i="6"/>
  <c r="G339" i="6"/>
  <c r="G327" i="6"/>
  <c r="G315" i="6"/>
  <c r="G303" i="6"/>
  <c r="I386" i="6"/>
  <c r="I314" i="6"/>
  <c r="I376" i="6"/>
  <c r="I304" i="6"/>
  <c r="G397" i="6"/>
  <c r="G385" i="6"/>
  <c r="G373" i="6"/>
  <c r="G361" i="6"/>
  <c r="G349" i="6"/>
  <c r="G337" i="6"/>
  <c r="G325" i="6"/>
  <c r="G313" i="6"/>
  <c r="G301" i="6"/>
  <c r="I374" i="6"/>
  <c r="I302" i="6"/>
  <c r="G396" i="6"/>
  <c r="G384" i="6"/>
  <c r="G372" i="6"/>
  <c r="G360" i="6"/>
  <c r="G348" i="6"/>
  <c r="G336" i="6"/>
  <c r="G324" i="6"/>
  <c r="G312" i="6"/>
  <c r="I364" i="6"/>
  <c r="G395" i="6"/>
  <c r="G383" i="6"/>
  <c r="G371" i="6"/>
  <c r="G359" i="6"/>
  <c r="G347" i="6"/>
  <c r="G335" i="6"/>
  <c r="G323" i="6"/>
  <c r="G311" i="6"/>
  <c r="I362" i="6"/>
  <c r="G394" i="6"/>
  <c r="G382" i="6"/>
  <c r="G370" i="6"/>
  <c r="G358" i="6"/>
  <c r="G346" i="6"/>
  <c r="G334" i="6"/>
  <c r="G322" i="6"/>
  <c r="G310" i="6"/>
  <c r="I352" i="6"/>
  <c r="I350" i="6"/>
  <c r="I340" i="6"/>
  <c r="G391" i="6"/>
  <c r="G379" i="6"/>
  <c r="G367" i="6"/>
  <c r="G355" i="6"/>
  <c r="G343" i="6"/>
  <c r="G331" i="6"/>
  <c r="G319" i="6"/>
  <c r="G377" i="6"/>
  <c r="G345" i="6"/>
  <c r="G318" i="6"/>
  <c r="G374" i="6"/>
  <c r="G344" i="6"/>
  <c r="G317" i="6"/>
  <c r="G369" i="6"/>
  <c r="G342" i="6"/>
  <c r="G314" i="6"/>
  <c r="G398" i="6"/>
  <c r="G368" i="6"/>
  <c r="G341" i="6"/>
  <c r="G309" i="6"/>
  <c r="G393" i="6"/>
  <c r="G366" i="6"/>
  <c r="G338" i="6"/>
  <c r="G308" i="6"/>
  <c r="G392" i="6"/>
  <c r="G365" i="6"/>
  <c r="G333" i="6"/>
  <c r="G307" i="6"/>
  <c r="G390" i="6"/>
  <c r="G362" i="6"/>
  <c r="G332" i="6"/>
  <c r="G306" i="6"/>
  <c r="I400" i="6"/>
  <c r="G389" i="6"/>
  <c r="G357" i="6"/>
  <c r="G330" i="6"/>
  <c r="G305" i="6"/>
  <c r="I338" i="6"/>
  <c r="G386" i="6"/>
  <c r="G356" i="6"/>
  <c r="G329" i="6"/>
  <c r="G302" i="6"/>
  <c r="G380" i="6"/>
  <c r="G353" i="6"/>
  <c r="G321" i="6"/>
  <c r="E393" i="6"/>
  <c r="E381" i="6"/>
  <c r="E369" i="6"/>
  <c r="E357" i="6"/>
  <c r="E345" i="6"/>
  <c r="E333" i="6"/>
  <c r="E321" i="6"/>
  <c r="E309" i="6"/>
  <c r="C306" i="6"/>
  <c r="C318" i="6"/>
  <c r="C330" i="6"/>
  <c r="C342" i="6"/>
  <c r="C354" i="6"/>
  <c r="C366" i="6"/>
  <c r="C378" i="6"/>
  <c r="C390" i="6"/>
  <c r="E392" i="6"/>
  <c r="E380" i="6"/>
  <c r="E368" i="6"/>
  <c r="E356" i="6"/>
  <c r="E344" i="6"/>
  <c r="E332" i="6"/>
  <c r="E320" i="6"/>
  <c r="E308" i="6"/>
  <c r="C307" i="6"/>
  <c r="C319" i="6"/>
  <c r="C331" i="6"/>
  <c r="C343" i="6"/>
  <c r="C355" i="6"/>
  <c r="C367" i="6"/>
  <c r="C379" i="6"/>
  <c r="C391" i="6"/>
  <c r="E391" i="6"/>
  <c r="E379" i="6"/>
  <c r="E367" i="6"/>
  <c r="E355" i="6"/>
  <c r="E343" i="6"/>
  <c r="E331" i="6"/>
  <c r="E319" i="6"/>
  <c r="E307" i="6"/>
  <c r="C308" i="6"/>
  <c r="C320" i="6"/>
  <c r="C332" i="6"/>
  <c r="C344" i="6"/>
  <c r="C356" i="6"/>
  <c r="C368" i="6"/>
  <c r="C380" i="6"/>
  <c r="C392" i="6"/>
  <c r="E390" i="6"/>
  <c r="E378" i="6"/>
  <c r="E366" i="6"/>
  <c r="E354" i="6"/>
  <c r="E342" i="6"/>
  <c r="E330" i="6"/>
  <c r="E318" i="6"/>
  <c r="E306" i="6"/>
  <c r="C309" i="6"/>
  <c r="C321" i="6"/>
  <c r="C333" i="6"/>
  <c r="C345" i="6"/>
  <c r="C357" i="6"/>
  <c r="C369" i="6"/>
  <c r="C381" i="6"/>
  <c r="C393" i="6"/>
  <c r="G381" i="6"/>
  <c r="E401" i="6"/>
  <c r="E389" i="6"/>
  <c r="E377" i="6"/>
  <c r="E365" i="6"/>
  <c r="E353" i="6"/>
  <c r="E341" i="6"/>
  <c r="E329" i="6"/>
  <c r="E317" i="6"/>
  <c r="E305" i="6"/>
  <c r="C310" i="6"/>
  <c r="C322" i="6"/>
  <c r="C334" i="6"/>
  <c r="C346" i="6"/>
  <c r="C358" i="6"/>
  <c r="C370" i="6"/>
  <c r="C382" i="6"/>
  <c r="C394" i="6"/>
  <c r="G378" i="6"/>
  <c r="E400" i="6"/>
  <c r="E388" i="6"/>
  <c r="E376" i="6"/>
  <c r="E364" i="6"/>
  <c r="E352" i="6"/>
  <c r="E340" i="6"/>
  <c r="E328" i="6"/>
  <c r="E316" i="6"/>
  <c r="E304" i="6"/>
  <c r="C311" i="6"/>
  <c r="C323" i="6"/>
  <c r="C335" i="6"/>
  <c r="C347" i="6"/>
  <c r="C359" i="6"/>
  <c r="C371" i="6"/>
  <c r="C383" i="6"/>
  <c r="C395" i="6"/>
  <c r="G354" i="6"/>
  <c r="E399" i="6"/>
  <c r="E387" i="6"/>
  <c r="E375" i="6"/>
  <c r="E363" i="6"/>
  <c r="E351" i="6"/>
  <c r="E339" i="6"/>
  <c r="E327" i="6"/>
  <c r="E315" i="6"/>
  <c r="E303" i="6"/>
  <c r="E5" i="7" s="1"/>
  <c r="C312" i="6"/>
  <c r="C324" i="6"/>
  <c r="C336" i="6"/>
  <c r="C348" i="6"/>
  <c r="C360" i="6"/>
  <c r="C372" i="6"/>
  <c r="C384" i="6"/>
  <c r="C396" i="6"/>
  <c r="G350" i="6"/>
  <c r="E398" i="6"/>
  <c r="E386" i="6"/>
  <c r="E374" i="6"/>
  <c r="E362" i="6"/>
  <c r="E350" i="6"/>
  <c r="E338" i="6"/>
  <c r="E326" i="6"/>
  <c r="E314" i="6"/>
  <c r="E302" i="6"/>
  <c r="C313" i="6"/>
  <c r="C325" i="6"/>
  <c r="C337" i="6"/>
  <c r="C349" i="6"/>
  <c r="C361" i="6"/>
  <c r="C373" i="6"/>
  <c r="C385" i="6"/>
  <c r="C397" i="6"/>
  <c r="G326" i="6"/>
  <c r="E397" i="6"/>
  <c r="E385" i="6"/>
  <c r="E373" i="6"/>
  <c r="E361" i="6"/>
  <c r="E349" i="6"/>
  <c r="E337" i="6"/>
  <c r="E325" i="6"/>
  <c r="E313" i="6"/>
  <c r="C314" i="6"/>
  <c r="C326" i="6"/>
  <c r="C338" i="6"/>
  <c r="C350" i="6"/>
  <c r="C362" i="6"/>
  <c r="C374" i="6"/>
  <c r="C386" i="6"/>
  <c r="C398" i="6"/>
  <c r="G320" i="6"/>
  <c r="E396" i="6"/>
  <c r="E384" i="6"/>
  <c r="E372" i="6"/>
  <c r="E360" i="6"/>
  <c r="E348" i="6"/>
  <c r="E336" i="6"/>
  <c r="E324" i="6"/>
  <c r="E312" i="6"/>
  <c r="C303" i="6"/>
  <c r="C315" i="6"/>
  <c r="C327" i="6"/>
  <c r="C339" i="6"/>
  <c r="C351" i="6"/>
  <c r="C363" i="6"/>
  <c r="C375" i="6"/>
  <c r="C387" i="6"/>
  <c r="C399" i="6"/>
  <c r="B8" i="5"/>
  <c r="B20" i="5"/>
  <c r="C365" i="6"/>
  <c r="C1591" i="6"/>
  <c r="C1519" i="6"/>
  <c r="C2778" i="6"/>
  <c r="C2706" i="6"/>
  <c r="E358" i="6"/>
  <c r="E1505" i="6"/>
  <c r="B13" i="5"/>
  <c r="B25" i="5"/>
  <c r="E2392" i="6" s="1"/>
  <c r="C364" i="6"/>
  <c r="C1590" i="6"/>
  <c r="C1518" i="6"/>
  <c r="C2777" i="6"/>
  <c r="C2705" i="6"/>
  <c r="E359" i="6"/>
  <c r="E1508" i="6"/>
  <c r="B6" i="5"/>
  <c r="B18" i="5"/>
  <c r="B30" i="5"/>
  <c r="C353" i="6"/>
  <c r="C1579" i="6"/>
  <c r="C1507" i="6"/>
  <c r="C2766" i="6"/>
  <c r="E370" i="6"/>
  <c r="E1538" i="6"/>
  <c r="E2711" i="6"/>
  <c r="B11" i="5"/>
  <c r="B23" i="5"/>
  <c r="C352" i="6"/>
  <c r="C1578" i="6"/>
  <c r="C1506" i="6"/>
  <c r="C2765" i="6"/>
  <c r="E371" i="6"/>
  <c r="E1539" i="6"/>
  <c r="E2713" i="6"/>
  <c r="E29" i="8" s="1"/>
  <c r="C1029" i="6"/>
  <c r="K1036" i="6"/>
  <c r="B16" i="5"/>
  <c r="C1414" i="6" s="1"/>
  <c r="B28" i="5"/>
  <c r="C341" i="6"/>
  <c r="C1567" i="6"/>
  <c r="C2754" i="6"/>
  <c r="E310" i="6"/>
  <c r="E382" i="6"/>
  <c r="E1565" i="6"/>
  <c r="E2783" i="6"/>
  <c r="B9" i="5"/>
  <c r="B21" i="5"/>
  <c r="C302" i="6"/>
  <c r="C340" i="6"/>
  <c r="C1566" i="6"/>
  <c r="C2753" i="6"/>
  <c r="E311" i="6"/>
  <c r="E383" i="6"/>
  <c r="E2785" i="6"/>
  <c r="K1591" i="6"/>
  <c r="K1579" i="6"/>
  <c r="K1567" i="6"/>
  <c r="K1555" i="6"/>
  <c r="K1543" i="6"/>
  <c r="K1531" i="6"/>
  <c r="K1519" i="6"/>
  <c r="K1507" i="6"/>
  <c r="K1590" i="6"/>
  <c r="K1578" i="6"/>
  <c r="K1566" i="6"/>
  <c r="K1554" i="6"/>
  <c r="K1542" i="6"/>
  <c r="K1530" i="6"/>
  <c r="K1518" i="6"/>
  <c r="K1506" i="6"/>
  <c r="K1589" i="6"/>
  <c r="K1577" i="6"/>
  <c r="K1565" i="6"/>
  <c r="K1553" i="6"/>
  <c r="K1541" i="6"/>
  <c r="K1529" i="6"/>
  <c r="K1517" i="6"/>
  <c r="K1505" i="6"/>
  <c r="K1600" i="6"/>
  <c r="K1588" i="6"/>
  <c r="K1576" i="6"/>
  <c r="K1564" i="6"/>
  <c r="K1552" i="6"/>
  <c r="K1540" i="6"/>
  <c r="K1528" i="6"/>
  <c r="K1516" i="6"/>
  <c r="K1504" i="6"/>
  <c r="K1599" i="6"/>
  <c r="K1587" i="6"/>
  <c r="K1575" i="6"/>
  <c r="K1563" i="6"/>
  <c r="K1551" i="6"/>
  <c r="K1539" i="6"/>
  <c r="K1527" i="6"/>
  <c r="K1515" i="6"/>
  <c r="K1503" i="6"/>
  <c r="K1598" i="6"/>
  <c r="K1586" i="6"/>
  <c r="K1574" i="6"/>
  <c r="K1562" i="6"/>
  <c r="K1550" i="6"/>
  <c r="K1538" i="6"/>
  <c r="K1526" i="6"/>
  <c r="K1514" i="6"/>
  <c r="K1502" i="6"/>
  <c r="K1597" i="6"/>
  <c r="K1585" i="6"/>
  <c r="K1573" i="6"/>
  <c r="K1561" i="6"/>
  <c r="K1549" i="6"/>
  <c r="K1537" i="6"/>
  <c r="K1525" i="6"/>
  <c r="K1513" i="6"/>
  <c r="K1501" i="6"/>
  <c r="K1596" i="6"/>
  <c r="K1584" i="6"/>
  <c r="K1572" i="6"/>
  <c r="K1560" i="6"/>
  <c r="K1548" i="6"/>
  <c r="K1536" i="6"/>
  <c r="K1524" i="6"/>
  <c r="K1512" i="6"/>
  <c r="K1595" i="6"/>
  <c r="K1583" i="6"/>
  <c r="K1571" i="6"/>
  <c r="K1559" i="6"/>
  <c r="K1547" i="6"/>
  <c r="K1535" i="6"/>
  <c r="K1523" i="6"/>
  <c r="K1511" i="6"/>
  <c r="K1569" i="6"/>
  <c r="K1521" i="6"/>
  <c r="I1589" i="6"/>
  <c r="I1577" i="6"/>
  <c r="I1565" i="6"/>
  <c r="I1553" i="6"/>
  <c r="I1541" i="6"/>
  <c r="I1529" i="6"/>
  <c r="I1517" i="6"/>
  <c r="I1505" i="6"/>
  <c r="K1568" i="6"/>
  <c r="K1520" i="6"/>
  <c r="I1600" i="6"/>
  <c r="I1588" i="6"/>
  <c r="I1576" i="6"/>
  <c r="I1564" i="6"/>
  <c r="I1552" i="6"/>
  <c r="I1540" i="6"/>
  <c r="I1528" i="6"/>
  <c r="I1516" i="6"/>
  <c r="I1504" i="6"/>
  <c r="K1558" i="6"/>
  <c r="K1510" i="6"/>
  <c r="I1599" i="6"/>
  <c r="I1587" i="6"/>
  <c r="I1575" i="6"/>
  <c r="I1563" i="6"/>
  <c r="I1551" i="6"/>
  <c r="I1539" i="6"/>
  <c r="I1527" i="6"/>
  <c r="I1515" i="6"/>
  <c r="I1503" i="6"/>
  <c r="K1557" i="6"/>
  <c r="K1509" i="6"/>
  <c r="K1556" i="6"/>
  <c r="K1508" i="6"/>
  <c r="I1597" i="6"/>
  <c r="I1585" i="6"/>
  <c r="I1573" i="6"/>
  <c r="I1561" i="6"/>
  <c r="I1549" i="6"/>
  <c r="I1537" i="6"/>
  <c r="I1525" i="6"/>
  <c r="I1513" i="6"/>
  <c r="I1501" i="6"/>
  <c r="K1594" i="6"/>
  <c r="K1546" i="6"/>
  <c r="I1596" i="6"/>
  <c r="I1584" i="6"/>
  <c r="I1572" i="6"/>
  <c r="I1560" i="6"/>
  <c r="I1548" i="6"/>
  <c r="I1536" i="6"/>
  <c r="I1524" i="6"/>
  <c r="I1512" i="6"/>
  <c r="K1593" i="6"/>
  <c r="K1545" i="6"/>
  <c r="I1595" i="6"/>
  <c r="I1583" i="6"/>
  <c r="I1571" i="6"/>
  <c r="I1559" i="6"/>
  <c r="I1547" i="6"/>
  <c r="I1535" i="6"/>
  <c r="I1523" i="6"/>
  <c r="I1511" i="6"/>
  <c r="K1592" i="6"/>
  <c r="K1544" i="6"/>
  <c r="K1582" i="6"/>
  <c r="K1534" i="6"/>
  <c r="K1580" i="6"/>
  <c r="K1532" i="6"/>
  <c r="I1581" i="6"/>
  <c r="I1557" i="6"/>
  <c r="I1533" i="6"/>
  <c r="I1509" i="6"/>
  <c r="I1580" i="6"/>
  <c r="I1556" i="6"/>
  <c r="I1532" i="6"/>
  <c r="I1508" i="6"/>
  <c r="K1581" i="6"/>
  <c r="I1579" i="6"/>
  <c r="I1555" i="6"/>
  <c r="I1531" i="6"/>
  <c r="I1507" i="6"/>
  <c r="K1570" i="6"/>
  <c r="I1578" i="6"/>
  <c r="I1554" i="6"/>
  <c r="I1530" i="6"/>
  <c r="I1506" i="6"/>
  <c r="K1533" i="6"/>
  <c r="I1598" i="6"/>
  <c r="I1574" i="6"/>
  <c r="I1550" i="6"/>
  <c r="I1526" i="6"/>
  <c r="I1502" i="6"/>
  <c r="K1522" i="6"/>
  <c r="I1594" i="6"/>
  <c r="I1570" i="6"/>
  <c r="I1546" i="6"/>
  <c r="I1522" i="6"/>
  <c r="I1593" i="6"/>
  <c r="I1569" i="6"/>
  <c r="I1545" i="6"/>
  <c r="I1521" i="6"/>
  <c r="I1592" i="6"/>
  <c r="I1568" i="6"/>
  <c r="I1544" i="6"/>
  <c r="I1520" i="6"/>
  <c r="I1591" i="6"/>
  <c r="I1567" i="6"/>
  <c r="I1543" i="6"/>
  <c r="I1519" i="6"/>
  <c r="I1586" i="6"/>
  <c r="I1562" i="6"/>
  <c r="I1538" i="6"/>
  <c r="I1514" i="6"/>
  <c r="I1558" i="6"/>
  <c r="G1598" i="6"/>
  <c r="G1586" i="6"/>
  <c r="G1574" i="6"/>
  <c r="G1562" i="6"/>
  <c r="G1550" i="6"/>
  <c r="G1538" i="6"/>
  <c r="G1526" i="6"/>
  <c r="G1514" i="6"/>
  <c r="G1502" i="6"/>
  <c r="I1542" i="6"/>
  <c r="G1597" i="6"/>
  <c r="G1585" i="6"/>
  <c r="G1573" i="6"/>
  <c r="G1561" i="6"/>
  <c r="G1549" i="6"/>
  <c r="G1537" i="6"/>
  <c r="G1525" i="6"/>
  <c r="G1513" i="6"/>
  <c r="G1501" i="6"/>
  <c r="I1534" i="6"/>
  <c r="G1596" i="6"/>
  <c r="G1584" i="6"/>
  <c r="G1572" i="6"/>
  <c r="G1560" i="6"/>
  <c r="G1548" i="6"/>
  <c r="G1536" i="6"/>
  <c r="G1524" i="6"/>
  <c r="G1512" i="6"/>
  <c r="I1518" i="6"/>
  <c r="G1595" i="6"/>
  <c r="G1583" i="6"/>
  <c r="G1571" i="6"/>
  <c r="G1559" i="6"/>
  <c r="G1547" i="6"/>
  <c r="G1535" i="6"/>
  <c r="G1523" i="6"/>
  <c r="G1511" i="6"/>
  <c r="I1510" i="6"/>
  <c r="G1594" i="6"/>
  <c r="G1582" i="6"/>
  <c r="G1570" i="6"/>
  <c r="G1558" i="6"/>
  <c r="G1546" i="6"/>
  <c r="G1534" i="6"/>
  <c r="G1522" i="6"/>
  <c r="G1510" i="6"/>
  <c r="G1593" i="6"/>
  <c r="G1581" i="6"/>
  <c r="G1569" i="6"/>
  <c r="G1557" i="6"/>
  <c r="G1545" i="6"/>
  <c r="G1533" i="6"/>
  <c r="G1521" i="6"/>
  <c r="G1509" i="6"/>
  <c r="G1592" i="6"/>
  <c r="G1580" i="6"/>
  <c r="G1568" i="6"/>
  <c r="G1556" i="6"/>
  <c r="G1544" i="6"/>
  <c r="G1532" i="6"/>
  <c r="G1520" i="6"/>
  <c r="G1508" i="6"/>
  <c r="G1591" i="6"/>
  <c r="G1579" i="6"/>
  <c r="G1567" i="6"/>
  <c r="G1555" i="6"/>
  <c r="G1543" i="6"/>
  <c r="G1531" i="6"/>
  <c r="G1519" i="6"/>
  <c r="G1507" i="6"/>
  <c r="G1590" i="6"/>
  <c r="G1578" i="6"/>
  <c r="G1566" i="6"/>
  <c r="G1554" i="6"/>
  <c r="G1542" i="6"/>
  <c r="G1530" i="6"/>
  <c r="G1518" i="6"/>
  <c r="G1506" i="6"/>
  <c r="I1590" i="6"/>
  <c r="G1589" i="6"/>
  <c r="G1577" i="6"/>
  <c r="G1565" i="6"/>
  <c r="G1553" i="6"/>
  <c r="G1541" i="6"/>
  <c r="G1529" i="6"/>
  <c r="G1517" i="6"/>
  <c r="G1505" i="6"/>
  <c r="I1582" i="6"/>
  <c r="G1576" i="6"/>
  <c r="G1504" i="6"/>
  <c r="E1597" i="6"/>
  <c r="E1585" i="6"/>
  <c r="E1573" i="6"/>
  <c r="E1561" i="6"/>
  <c r="E1549" i="6"/>
  <c r="E1537" i="6"/>
  <c r="E1525" i="6"/>
  <c r="E1513" i="6"/>
  <c r="I1566" i="6"/>
  <c r="G1575" i="6"/>
  <c r="G1503" i="6"/>
  <c r="E1596" i="6"/>
  <c r="E1584" i="6"/>
  <c r="E1572" i="6"/>
  <c r="E1560" i="6"/>
  <c r="E1548" i="6"/>
  <c r="E1536" i="6"/>
  <c r="E1524" i="6"/>
  <c r="E1512" i="6"/>
  <c r="G1564" i="6"/>
  <c r="E1595" i="6"/>
  <c r="E1583" i="6"/>
  <c r="E1571" i="6"/>
  <c r="E1559" i="6"/>
  <c r="E1547" i="6"/>
  <c r="E1535" i="6"/>
  <c r="E1523" i="6"/>
  <c r="E1511" i="6"/>
  <c r="G1563" i="6"/>
  <c r="E1594" i="6"/>
  <c r="E1582" i="6"/>
  <c r="E1570" i="6"/>
  <c r="E1558" i="6"/>
  <c r="E1546" i="6"/>
  <c r="E1534" i="6"/>
  <c r="E1522" i="6"/>
  <c r="E1510" i="6"/>
  <c r="G1552" i="6"/>
  <c r="E1593" i="6"/>
  <c r="E1581" i="6"/>
  <c r="E1569" i="6"/>
  <c r="E1557" i="6"/>
  <c r="E1545" i="6"/>
  <c r="E1533" i="6"/>
  <c r="E1521" i="6"/>
  <c r="E1509" i="6"/>
  <c r="G1551" i="6"/>
  <c r="E1592" i="6"/>
  <c r="E1580" i="6"/>
  <c r="E1568" i="6"/>
  <c r="E1556" i="6"/>
  <c r="G1540" i="6"/>
  <c r="E1591" i="6"/>
  <c r="E1579" i="6"/>
  <c r="E1567" i="6"/>
  <c r="E1555" i="6"/>
  <c r="E1543" i="6"/>
  <c r="E1531" i="6"/>
  <c r="E1519" i="6"/>
  <c r="E1507" i="6"/>
  <c r="G1539" i="6"/>
  <c r="E1590" i="6"/>
  <c r="E1578" i="6"/>
  <c r="E1566" i="6"/>
  <c r="E1554" i="6"/>
  <c r="E1542" i="6"/>
  <c r="E1530" i="6"/>
  <c r="E1518" i="6"/>
  <c r="E1506" i="6"/>
  <c r="G1600" i="6"/>
  <c r="G1528" i="6"/>
  <c r="G1588" i="6"/>
  <c r="G1516" i="6"/>
  <c r="E1599" i="6"/>
  <c r="G1599" i="6"/>
  <c r="E1601" i="6"/>
  <c r="E1564" i="6"/>
  <c r="E1532" i="6"/>
  <c r="E1504" i="6"/>
  <c r="C1508" i="6"/>
  <c r="C1520" i="6"/>
  <c r="C1532" i="6"/>
  <c r="C1544" i="6"/>
  <c r="C1556" i="6"/>
  <c r="C1568" i="6"/>
  <c r="C1580" i="6"/>
  <c r="C1592" i="6"/>
  <c r="G1587" i="6"/>
  <c r="E1600" i="6"/>
  <c r="E1563" i="6"/>
  <c r="E1529" i="6"/>
  <c r="E1503" i="6"/>
  <c r="C1509" i="6"/>
  <c r="C17" i="8" s="1"/>
  <c r="C1521" i="6"/>
  <c r="C1533" i="6"/>
  <c r="C1545" i="6"/>
  <c r="C1557" i="6"/>
  <c r="C1569" i="6"/>
  <c r="C1581" i="6"/>
  <c r="C1593" i="6"/>
  <c r="G1527" i="6"/>
  <c r="E1598" i="6"/>
  <c r="E1562" i="6"/>
  <c r="E1528" i="6"/>
  <c r="E1502" i="6"/>
  <c r="C1510" i="6"/>
  <c r="C1522" i="6"/>
  <c r="C1534" i="6"/>
  <c r="C1546" i="6"/>
  <c r="C1558" i="6"/>
  <c r="C1570" i="6"/>
  <c r="C1582" i="6"/>
  <c r="C1594" i="6"/>
  <c r="G1515" i="6"/>
  <c r="E1589" i="6"/>
  <c r="E1553" i="6"/>
  <c r="E1527" i="6"/>
  <c r="C1511" i="6"/>
  <c r="C1523" i="6"/>
  <c r="C1535" i="6"/>
  <c r="C1547" i="6"/>
  <c r="C1559" i="6"/>
  <c r="C1571" i="6"/>
  <c r="C1583" i="6"/>
  <c r="C1595" i="6"/>
  <c r="E1588" i="6"/>
  <c r="E1552" i="6"/>
  <c r="E1526" i="6"/>
  <c r="C1512" i="6"/>
  <c r="C1524" i="6"/>
  <c r="C1536" i="6"/>
  <c r="C1548" i="6"/>
  <c r="C1560" i="6"/>
  <c r="C1572" i="6"/>
  <c r="C1584" i="6"/>
  <c r="C1596" i="6"/>
  <c r="E1587" i="6"/>
  <c r="E1551" i="6"/>
  <c r="E1520" i="6"/>
  <c r="C1513" i="6"/>
  <c r="C1525" i="6"/>
  <c r="C1537" i="6"/>
  <c r="C1549" i="6"/>
  <c r="C1561" i="6"/>
  <c r="C1573" i="6"/>
  <c r="C1585" i="6"/>
  <c r="C1597" i="6"/>
  <c r="E1586" i="6"/>
  <c r="E1550" i="6"/>
  <c r="E1517" i="6"/>
  <c r="C1514" i="6"/>
  <c r="C1526" i="6"/>
  <c r="C1538" i="6"/>
  <c r="C1550" i="6"/>
  <c r="C1562" i="6"/>
  <c r="C1574" i="6"/>
  <c r="C1586" i="6"/>
  <c r="C1598" i="6"/>
  <c r="E1577" i="6"/>
  <c r="E1544" i="6"/>
  <c r="E1516" i="6"/>
  <c r="C1503" i="6"/>
  <c r="C1515" i="6"/>
  <c r="C1527" i="6"/>
  <c r="C1539" i="6"/>
  <c r="C1551" i="6"/>
  <c r="C1563" i="6"/>
  <c r="C1575" i="6"/>
  <c r="C1587" i="6"/>
  <c r="C1599" i="6"/>
  <c r="E1576" i="6"/>
  <c r="E1541" i="6"/>
  <c r="E1515" i="6"/>
  <c r="C1504" i="6"/>
  <c r="C1516" i="6"/>
  <c r="C1528" i="6"/>
  <c r="C1540" i="6"/>
  <c r="C1552" i="6"/>
  <c r="C1564" i="6"/>
  <c r="C1576" i="6"/>
  <c r="C1588" i="6"/>
  <c r="C1600" i="6"/>
  <c r="E1575" i="6"/>
  <c r="E1540" i="6"/>
  <c r="E1514" i="6"/>
  <c r="C1505" i="6"/>
  <c r="C1517" i="6"/>
  <c r="C1529" i="6"/>
  <c r="C1541" i="6"/>
  <c r="C1553" i="6"/>
  <c r="C1565" i="6"/>
  <c r="C1577" i="6"/>
  <c r="C1589" i="6"/>
  <c r="C1601" i="6"/>
  <c r="B14" i="5"/>
  <c r="B26" i="5"/>
  <c r="C2423" i="6" s="1"/>
  <c r="C401" i="6"/>
  <c r="C329" i="6"/>
  <c r="C1555" i="6"/>
  <c r="C2742" i="6"/>
  <c r="E322" i="6"/>
  <c r="E394" i="6"/>
  <c r="B7" i="5"/>
  <c r="B19" i="5"/>
  <c r="B31" i="5"/>
  <c r="C400" i="6"/>
  <c r="C328" i="6"/>
  <c r="C1554" i="6"/>
  <c r="C2741" i="6"/>
  <c r="E323" i="6"/>
  <c r="E395" i="6"/>
  <c r="E3" i="9"/>
  <c r="D3" i="10"/>
  <c r="I4" i="8"/>
  <c r="K2" i="10"/>
  <c r="F3" i="10"/>
  <c r="D3" i="7"/>
  <c r="E4" i="7"/>
  <c r="C29" i="10"/>
  <c r="C4" i="7"/>
  <c r="D3" i="8"/>
  <c r="E1154" i="6"/>
  <c r="E1182" i="6"/>
  <c r="E1150" i="6"/>
  <c r="C1062" i="6"/>
  <c r="C2239" i="6"/>
  <c r="G2110" i="6"/>
  <c r="E2181" i="6"/>
  <c r="I2153" i="6"/>
  <c r="G2109" i="6"/>
  <c r="E2178" i="6"/>
  <c r="E2147" i="6"/>
  <c r="G2193" i="6"/>
  <c r="E2133" i="6"/>
  <c r="G2188" i="6"/>
  <c r="E2129" i="6"/>
  <c r="G2115" i="6"/>
  <c r="G2197" i="6"/>
  <c r="C2147" i="6"/>
  <c r="G2187" i="6"/>
  <c r="C2155" i="6"/>
  <c r="E2197" i="6"/>
  <c r="C2110" i="6"/>
  <c r="C2179" i="6"/>
  <c r="I958" i="6"/>
  <c r="G928" i="6"/>
  <c r="E969" i="6"/>
  <c r="E904" i="6"/>
  <c r="I931" i="6"/>
  <c r="G927" i="6"/>
  <c r="G910" i="6"/>
  <c r="E942" i="6"/>
  <c r="E988" i="6"/>
  <c r="E907" i="6"/>
  <c r="I985" i="6"/>
  <c r="G993" i="6"/>
  <c r="E978" i="6"/>
  <c r="E909" i="6"/>
  <c r="C910" i="6"/>
  <c r="C959" i="6"/>
  <c r="C902" i="6"/>
  <c r="K914" i="6"/>
  <c r="E908" i="6"/>
  <c r="G982" i="6"/>
  <c r="E980" i="6"/>
  <c r="C932" i="6"/>
  <c r="C979" i="6"/>
  <c r="C957" i="6"/>
  <c r="C1036" i="6"/>
  <c r="C2182" i="6"/>
  <c r="E1072" i="6"/>
  <c r="E1896" i="6"/>
  <c r="E2174" i="6"/>
  <c r="G926" i="6"/>
  <c r="G1849" i="6"/>
  <c r="K2084" i="6"/>
  <c r="K2054" i="6"/>
  <c r="K2020" i="6"/>
  <c r="I2094" i="6"/>
  <c r="I2067" i="6"/>
  <c r="I2042" i="6"/>
  <c r="I2015" i="6"/>
  <c r="G2081" i="6"/>
  <c r="G2061" i="6"/>
  <c r="G2042" i="6"/>
  <c r="G2022" i="6"/>
  <c r="G2005" i="6"/>
  <c r="E2099" i="6"/>
  <c r="E2087" i="6"/>
  <c r="E2075" i="6"/>
  <c r="E2063" i="6"/>
  <c r="E2051" i="6"/>
  <c r="E2039" i="6"/>
  <c r="E2027" i="6"/>
  <c r="E2015" i="6"/>
  <c r="E2003" i="6"/>
  <c r="K2082" i="6"/>
  <c r="K2053" i="6"/>
  <c r="K2019" i="6"/>
  <c r="I2091" i="6"/>
  <c r="I2063" i="6"/>
  <c r="I2040" i="6"/>
  <c r="I2014" i="6"/>
  <c r="G2079" i="6"/>
  <c r="G2060" i="6"/>
  <c r="G2041" i="6"/>
  <c r="G2021" i="6"/>
  <c r="G2004" i="6"/>
  <c r="E2098" i="6"/>
  <c r="E2086" i="6"/>
  <c r="E2074" i="6"/>
  <c r="E2062" i="6"/>
  <c r="E2050" i="6"/>
  <c r="E2038" i="6"/>
  <c r="E2026" i="6"/>
  <c r="E2014" i="6"/>
  <c r="E2002" i="6"/>
  <c r="K2079" i="6"/>
  <c r="K2043" i="6"/>
  <c r="K2010" i="6"/>
  <c r="I2084" i="6"/>
  <c r="I2060" i="6"/>
  <c r="I2034" i="6"/>
  <c r="I2010" i="6"/>
  <c r="G2094" i="6"/>
  <c r="G2073" i="6"/>
  <c r="G2055" i="6"/>
  <c r="G2036" i="6"/>
  <c r="G2018" i="6"/>
  <c r="E2095" i="6"/>
  <c r="E2083" i="6"/>
  <c r="E2071" i="6"/>
  <c r="E2059" i="6"/>
  <c r="E2047" i="6"/>
  <c r="E2035" i="6"/>
  <c r="E2023" i="6"/>
  <c r="E2011" i="6"/>
  <c r="K2064" i="6"/>
  <c r="K2017" i="6"/>
  <c r="I2099" i="6"/>
  <c r="I2062" i="6"/>
  <c r="I2028" i="6"/>
  <c r="G2084" i="6"/>
  <c r="G2056" i="6"/>
  <c r="G2031" i="6"/>
  <c r="G2007" i="6"/>
  <c r="E2089" i="6"/>
  <c r="E2072" i="6"/>
  <c r="E2056" i="6"/>
  <c r="E2041" i="6"/>
  <c r="E2024" i="6"/>
  <c r="E2008" i="6"/>
  <c r="K2057" i="6"/>
  <c r="K2011" i="6"/>
  <c r="I2097" i="6"/>
  <c r="I2061" i="6"/>
  <c r="I2027" i="6"/>
  <c r="G2082" i="6"/>
  <c r="G2054" i="6"/>
  <c r="G2030" i="6"/>
  <c r="G2006" i="6"/>
  <c r="E2088" i="6"/>
  <c r="E2070" i="6"/>
  <c r="E2055" i="6"/>
  <c r="E2040" i="6"/>
  <c r="E2022" i="6"/>
  <c r="E2007" i="6"/>
  <c r="K2095" i="6"/>
  <c r="K2047" i="6"/>
  <c r="I2085" i="6"/>
  <c r="I2052" i="6"/>
  <c r="I2019" i="6"/>
  <c r="G2072" i="6"/>
  <c r="G2049" i="6"/>
  <c r="G2024" i="6"/>
  <c r="E2100" i="6"/>
  <c r="E2082" i="6"/>
  <c r="E2067" i="6"/>
  <c r="E2052" i="6"/>
  <c r="E2034" i="6"/>
  <c r="E2019" i="6"/>
  <c r="E2004" i="6"/>
  <c r="K2081" i="6"/>
  <c r="K2031" i="6"/>
  <c r="I2078" i="6"/>
  <c r="I2036" i="6"/>
  <c r="G2070" i="6"/>
  <c r="G2040" i="6"/>
  <c r="G2008" i="6"/>
  <c r="E2097" i="6"/>
  <c r="E2078" i="6"/>
  <c r="E2057" i="6"/>
  <c r="E2033" i="6"/>
  <c r="E2013" i="6"/>
  <c r="C2005" i="6"/>
  <c r="C2017" i="6"/>
  <c r="C2029" i="6"/>
  <c r="C2041" i="6"/>
  <c r="C2053" i="6"/>
  <c r="C2065" i="6"/>
  <c r="C2077" i="6"/>
  <c r="C2089" i="6"/>
  <c r="C2101" i="6"/>
  <c r="K2080" i="6"/>
  <c r="K2023" i="6"/>
  <c r="I2076" i="6"/>
  <c r="I2031" i="6"/>
  <c r="G2069" i="6"/>
  <c r="G2037" i="6"/>
  <c r="G2001" i="6"/>
  <c r="E2096" i="6"/>
  <c r="E2077" i="6"/>
  <c r="E2054" i="6"/>
  <c r="E2032" i="6"/>
  <c r="E2012" i="6"/>
  <c r="C2006" i="6"/>
  <c r="C2018" i="6"/>
  <c r="C2030" i="6"/>
  <c r="C2042" i="6"/>
  <c r="C2054" i="6"/>
  <c r="C2066" i="6"/>
  <c r="C2078" i="6"/>
  <c r="C2090" i="6"/>
  <c r="C2002" i="6"/>
  <c r="K2067" i="6"/>
  <c r="K2003" i="6"/>
  <c r="I2070" i="6"/>
  <c r="I2016" i="6"/>
  <c r="G2095" i="6"/>
  <c r="G2066" i="6"/>
  <c r="G2029" i="6"/>
  <c r="E2092" i="6"/>
  <c r="E2069" i="6"/>
  <c r="E2048" i="6"/>
  <c r="E2029" i="6"/>
  <c r="E2006" i="6"/>
  <c r="C2009" i="6"/>
  <c r="C2021" i="6"/>
  <c r="C2033" i="6"/>
  <c r="C2045" i="6"/>
  <c r="C2057" i="6"/>
  <c r="C2069" i="6"/>
  <c r="C2081" i="6"/>
  <c r="C2093" i="6"/>
  <c r="K895" i="6"/>
  <c r="K869" i="6"/>
  <c r="K839" i="6"/>
  <c r="K815" i="6"/>
  <c r="I881" i="6"/>
  <c r="I853" i="6"/>
  <c r="I832" i="6"/>
  <c r="I802" i="6"/>
  <c r="G887" i="6"/>
  <c r="G870" i="6"/>
  <c r="G853" i="6"/>
  <c r="G838" i="6"/>
  <c r="G823" i="6"/>
  <c r="G809" i="6"/>
  <c r="K892" i="6"/>
  <c r="K868" i="6"/>
  <c r="K838" i="6"/>
  <c r="K810" i="6"/>
  <c r="I880" i="6"/>
  <c r="I852" i="6"/>
  <c r="I825" i="6"/>
  <c r="I801" i="6"/>
  <c r="G886" i="6"/>
  <c r="G869" i="6"/>
  <c r="G851" i="6"/>
  <c r="G837" i="6"/>
  <c r="G822" i="6"/>
  <c r="G808" i="6"/>
  <c r="K888" i="6"/>
  <c r="K861" i="6"/>
  <c r="K834" i="6"/>
  <c r="K802" i="6"/>
  <c r="I897" i="6"/>
  <c r="I871" i="6"/>
  <c r="I847" i="6"/>
  <c r="I820" i="6"/>
  <c r="G883" i="6"/>
  <c r="G862" i="6"/>
  <c r="G847" i="6"/>
  <c r="G833" i="6"/>
  <c r="G819" i="6"/>
  <c r="G805" i="6"/>
  <c r="E898" i="6"/>
  <c r="E886" i="6"/>
  <c r="K872" i="6"/>
  <c r="K833" i="6"/>
  <c r="I885" i="6"/>
  <c r="I850" i="6"/>
  <c r="I816" i="6"/>
  <c r="G898" i="6"/>
  <c r="G873" i="6"/>
  <c r="G850" i="6"/>
  <c r="G831" i="6"/>
  <c r="G813" i="6"/>
  <c r="K865" i="6"/>
  <c r="K825" i="6"/>
  <c r="I883" i="6"/>
  <c r="I848" i="6"/>
  <c r="I814" i="6"/>
  <c r="G896" i="6"/>
  <c r="G872" i="6"/>
  <c r="G849" i="6"/>
  <c r="G830" i="6"/>
  <c r="G811" i="6"/>
  <c r="E890" i="6"/>
  <c r="E877" i="6"/>
  <c r="E865" i="6"/>
  <c r="E853" i="6"/>
  <c r="E841" i="6"/>
  <c r="E829" i="6"/>
  <c r="E817" i="6"/>
  <c r="E805" i="6"/>
  <c r="K890" i="6"/>
  <c r="K854" i="6"/>
  <c r="K821" i="6"/>
  <c r="I873" i="6"/>
  <c r="I837" i="6"/>
  <c r="I808" i="6"/>
  <c r="G890" i="6"/>
  <c r="G863" i="6"/>
  <c r="G844" i="6"/>
  <c r="G826" i="6"/>
  <c r="G806" i="6"/>
  <c r="E900" i="6"/>
  <c r="E887" i="6"/>
  <c r="E874" i="6"/>
  <c r="E862" i="6"/>
  <c r="E850" i="6"/>
  <c r="E838" i="6"/>
  <c r="E826" i="6"/>
  <c r="E814" i="6"/>
  <c r="E802" i="6"/>
  <c r="K850" i="6"/>
  <c r="I895" i="6"/>
  <c r="I844" i="6"/>
  <c r="G889" i="6"/>
  <c r="G857" i="6"/>
  <c r="G832" i="6"/>
  <c r="G803" i="6"/>
  <c r="E889" i="6"/>
  <c r="E873" i="6"/>
  <c r="E859" i="6"/>
  <c r="E845" i="6"/>
  <c r="E831" i="6"/>
  <c r="E816" i="6"/>
  <c r="C814" i="6"/>
  <c r="C826" i="6"/>
  <c r="C838" i="6"/>
  <c r="C850" i="6"/>
  <c r="C862" i="6"/>
  <c r="C874" i="6"/>
  <c r="C886" i="6"/>
  <c r="C898" i="6"/>
  <c r="K849" i="6"/>
  <c r="I889" i="6"/>
  <c r="I838" i="6"/>
  <c r="G885" i="6"/>
  <c r="G856" i="6"/>
  <c r="G829" i="6"/>
  <c r="G802" i="6"/>
  <c r="E888" i="6"/>
  <c r="E872" i="6"/>
  <c r="E858" i="6"/>
  <c r="E844" i="6"/>
  <c r="E830" i="6"/>
  <c r="E815" i="6"/>
  <c r="K886" i="6"/>
  <c r="K837" i="6"/>
  <c r="I874" i="6"/>
  <c r="I834" i="6"/>
  <c r="G878" i="6"/>
  <c r="G846" i="6"/>
  <c r="G821" i="6"/>
  <c r="E899" i="6"/>
  <c r="E883" i="6"/>
  <c r="E869" i="6"/>
  <c r="E855" i="6"/>
  <c r="E840" i="6"/>
  <c r="E825" i="6"/>
  <c r="E811" i="6"/>
  <c r="C806" i="6"/>
  <c r="C818" i="6"/>
  <c r="C830" i="6"/>
  <c r="C842" i="6"/>
  <c r="C854" i="6"/>
  <c r="C866" i="6"/>
  <c r="C878" i="6"/>
  <c r="C890" i="6"/>
  <c r="C802" i="6"/>
  <c r="C594" i="6"/>
  <c r="C579" i="6"/>
  <c r="C565" i="6"/>
  <c r="C551" i="6"/>
  <c r="C537" i="6"/>
  <c r="C522" i="6"/>
  <c r="C507" i="6"/>
  <c r="C888" i="6"/>
  <c r="C873" i="6"/>
  <c r="C859" i="6"/>
  <c r="C845" i="6"/>
  <c r="C831" i="6"/>
  <c r="C816" i="6"/>
  <c r="C1000" i="6"/>
  <c r="C944" i="6"/>
  <c r="C1031" i="6"/>
  <c r="C1785" i="6"/>
  <c r="C1764" i="6"/>
  <c r="C1747" i="6"/>
  <c r="C1727" i="6"/>
  <c r="C1707" i="6"/>
  <c r="C1828" i="6"/>
  <c r="C2094" i="6"/>
  <c r="C2076" i="6"/>
  <c r="C2061" i="6"/>
  <c r="C2046" i="6"/>
  <c r="C2028" i="6"/>
  <c r="C2013" i="6"/>
  <c r="C2181" i="6"/>
  <c r="C2994" i="6"/>
  <c r="C2971" i="6"/>
  <c r="C2950" i="6"/>
  <c r="C2924" i="6"/>
  <c r="C2903" i="6"/>
  <c r="E525" i="6"/>
  <c r="E553" i="6"/>
  <c r="E576" i="6"/>
  <c r="E803" i="6"/>
  <c r="E821" i="6"/>
  <c r="E839" i="6"/>
  <c r="E860" i="6"/>
  <c r="E879" i="6"/>
  <c r="E897" i="6"/>
  <c r="E1716" i="6"/>
  <c r="E1748" i="6"/>
  <c r="E1781" i="6"/>
  <c r="E2025" i="6"/>
  <c r="E2053" i="6"/>
  <c r="E2081" i="6"/>
  <c r="E2177" i="6"/>
  <c r="E2902" i="6"/>
  <c r="E2943" i="6"/>
  <c r="E2981" i="6"/>
  <c r="G542" i="6"/>
  <c r="G578" i="6"/>
  <c r="G827" i="6"/>
  <c r="G861" i="6"/>
  <c r="G938" i="6"/>
  <c r="G1704" i="6"/>
  <c r="G1758" i="6"/>
  <c r="G2020" i="6"/>
  <c r="G2068" i="6"/>
  <c r="G2932" i="6"/>
  <c r="G2998" i="6"/>
  <c r="I516" i="6"/>
  <c r="I585" i="6"/>
  <c r="I817" i="6"/>
  <c r="I869" i="6"/>
  <c r="I1755" i="6"/>
  <c r="I2058" i="6"/>
  <c r="I2945" i="6"/>
  <c r="K596" i="6"/>
  <c r="K816" i="6"/>
  <c r="K877" i="6"/>
  <c r="K2035" i="6"/>
  <c r="K2963" i="6"/>
  <c r="C1138" i="6"/>
  <c r="C1030" i="6"/>
  <c r="E1833" i="6"/>
  <c r="K1877" i="6"/>
  <c r="I1855" i="6"/>
  <c r="G1840" i="6"/>
  <c r="E1854" i="6"/>
  <c r="I1816" i="6"/>
  <c r="G1815" i="6"/>
  <c r="E1841" i="6"/>
  <c r="E1809" i="6"/>
  <c r="G1804" i="6"/>
  <c r="E1875" i="6"/>
  <c r="E1812" i="6"/>
  <c r="E1885" i="6"/>
  <c r="C1845" i="6"/>
  <c r="I1899" i="6"/>
  <c r="I1868" i="6"/>
  <c r="E1881" i="6"/>
  <c r="C1859" i="6"/>
  <c r="C1895" i="6"/>
  <c r="C663" i="6"/>
  <c r="C936" i="6"/>
  <c r="C2156" i="6"/>
  <c r="G1894" i="6"/>
  <c r="I2004" i="6"/>
  <c r="K1715" i="6"/>
  <c r="I1771" i="6"/>
  <c r="I1734" i="6"/>
  <c r="G1783" i="6"/>
  <c r="G1762" i="6"/>
  <c r="G1741" i="6"/>
  <c r="G1719" i="6"/>
  <c r="E1792" i="6"/>
  <c r="E1776" i="6"/>
  <c r="E1759" i="6"/>
  <c r="E1744" i="6"/>
  <c r="E1728" i="6"/>
  <c r="E1711" i="6"/>
  <c r="K1797" i="6"/>
  <c r="K1710" i="6"/>
  <c r="I1770" i="6"/>
  <c r="I1732" i="6"/>
  <c r="G1779" i="6"/>
  <c r="G1759" i="6"/>
  <c r="G1739" i="6"/>
  <c r="G1716" i="6"/>
  <c r="E1790" i="6"/>
  <c r="E1773" i="6"/>
  <c r="E1758" i="6"/>
  <c r="E1742" i="6"/>
  <c r="E1725" i="6"/>
  <c r="E1710" i="6"/>
  <c r="K1771" i="6"/>
  <c r="I1793" i="6"/>
  <c r="I1757" i="6"/>
  <c r="I1725" i="6"/>
  <c r="G1795" i="6"/>
  <c r="G1776" i="6"/>
  <c r="G1754" i="6"/>
  <c r="G1731" i="6"/>
  <c r="G1711" i="6"/>
  <c r="E1785" i="6"/>
  <c r="E1770" i="6"/>
  <c r="E1754" i="6"/>
  <c r="E1737" i="6"/>
  <c r="E1722" i="6"/>
  <c r="E1706" i="6"/>
  <c r="K1768" i="6"/>
  <c r="I1760" i="6"/>
  <c r="I1718" i="6"/>
  <c r="G1774" i="6"/>
  <c r="G1744" i="6"/>
  <c r="G1715" i="6"/>
  <c r="K1754" i="6"/>
  <c r="I1758" i="6"/>
  <c r="I1717" i="6"/>
  <c r="G1800" i="6"/>
  <c r="G1770" i="6"/>
  <c r="G1743" i="6"/>
  <c r="G1714" i="6"/>
  <c r="E1788" i="6"/>
  <c r="E1766" i="6"/>
  <c r="E1746" i="6"/>
  <c r="E1723" i="6"/>
  <c r="K1738" i="6"/>
  <c r="I1796" i="6"/>
  <c r="I1754" i="6"/>
  <c r="I1706" i="6"/>
  <c r="G1791" i="6"/>
  <c r="G1764" i="6"/>
  <c r="G1735" i="6"/>
  <c r="G1706" i="6"/>
  <c r="E1782" i="6"/>
  <c r="E1761" i="6"/>
  <c r="E1740" i="6"/>
  <c r="E1718" i="6"/>
  <c r="K1769" i="6"/>
  <c r="I1748" i="6"/>
  <c r="G1792" i="6"/>
  <c r="G1756" i="6"/>
  <c r="G1722" i="6"/>
  <c r="E1784" i="6"/>
  <c r="E1760" i="6"/>
  <c r="E1734" i="6"/>
  <c r="E1709" i="6"/>
  <c r="C1710" i="6"/>
  <c r="C1724" i="6"/>
  <c r="C1738" i="6"/>
  <c r="C1752" i="6"/>
  <c r="C1767" i="6"/>
  <c r="C1782" i="6"/>
  <c r="C1796" i="6"/>
  <c r="K1744" i="6"/>
  <c r="I1744" i="6"/>
  <c r="G1790" i="6"/>
  <c r="G1753" i="6"/>
  <c r="G1720" i="6"/>
  <c r="E1783" i="6"/>
  <c r="E1757" i="6"/>
  <c r="E1733" i="6"/>
  <c r="E1708" i="6"/>
  <c r="C1711" i="6"/>
  <c r="C1725" i="6"/>
  <c r="C1739" i="6"/>
  <c r="C1754" i="6"/>
  <c r="C1768" i="6"/>
  <c r="C1783" i="6"/>
  <c r="K1706" i="6"/>
  <c r="I1786" i="6"/>
  <c r="I1731" i="6"/>
  <c r="G1786" i="6"/>
  <c r="G1746" i="6"/>
  <c r="G1705" i="6"/>
  <c r="E1801" i="6"/>
  <c r="E1778" i="6"/>
  <c r="E1752" i="6"/>
  <c r="E1729" i="6"/>
  <c r="C1714" i="6"/>
  <c r="C1728" i="6"/>
  <c r="C1743" i="6"/>
  <c r="C1758" i="6"/>
  <c r="C1772" i="6"/>
  <c r="C1786" i="6"/>
  <c r="C1800" i="6"/>
  <c r="C562" i="6"/>
  <c r="C518" i="6"/>
  <c r="C899" i="6"/>
  <c r="C884" i="6"/>
  <c r="C870" i="6"/>
  <c r="C841" i="6"/>
  <c r="C827" i="6"/>
  <c r="C812" i="6"/>
  <c r="C986" i="6"/>
  <c r="C935" i="6"/>
  <c r="C1287" i="6"/>
  <c r="C1798" i="6"/>
  <c r="C1779" i="6"/>
  <c r="C1761" i="6"/>
  <c r="C1742" i="6"/>
  <c r="C1722" i="6"/>
  <c r="C1703" i="6"/>
  <c r="C2088" i="6"/>
  <c r="C2073" i="6"/>
  <c r="C2058" i="6"/>
  <c r="C2040" i="6"/>
  <c r="C2025" i="6"/>
  <c r="C2010" i="6"/>
  <c r="C2146" i="6"/>
  <c r="C2990" i="6"/>
  <c r="C2967" i="6"/>
  <c r="C2942" i="6"/>
  <c r="C2921" i="6"/>
  <c r="E507" i="6"/>
  <c r="E533" i="6"/>
  <c r="E556" i="6"/>
  <c r="E584" i="6"/>
  <c r="E807" i="6"/>
  <c r="E824" i="6"/>
  <c r="E846" i="6"/>
  <c r="E864" i="6"/>
  <c r="E882" i="6"/>
  <c r="E916" i="6"/>
  <c r="E1721" i="6"/>
  <c r="E1756" i="6"/>
  <c r="E1794" i="6"/>
  <c r="E2031" i="6"/>
  <c r="E2061" i="6"/>
  <c r="E2090" i="6"/>
  <c r="E2918" i="6"/>
  <c r="E2951" i="6"/>
  <c r="E2986" i="6"/>
  <c r="G514" i="6"/>
  <c r="G552" i="6"/>
  <c r="G586" i="6"/>
  <c r="G801" i="6"/>
  <c r="G839" i="6"/>
  <c r="G874" i="6"/>
  <c r="G1000" i="6"/>
  <c r="G1726" i="6"/>
  <c r="G1768" i="6"/>
  <c r="G2034" i="6"/>
  <c r="G2085" i="6"/>
  <c r="G2952" i="6"/>
  <c r="I540" i="6"/>
  <c r="I600" i="6"/>
  <c r="I833" i="6"/>
  <c r="I896" i="6"/>
  <c r="I1774" i="6"/>
  <c r="I2012" i="6"/>
  <c r="I2075" i="6"/>
  <c r="K823" i="6"/>
  <c r="K889" i="6"/>
  <c r="K1775" i="6"/>
  <c r="K2052" i="6"/>
  <c r="E2291" i="6"/>
  <c r="E2245" i="6"/>
  <c r="C939" i="6"/>
  <c r="C2159" i="6"/>
  <c r="E2185" i="6"/>
  <c r="G975" i="6"/>
  <c r="K647" i="6"/>
  <c r="K655" i="6"/>
  <c r="C614" i="6"/>
  <c r="C987" i="6"/>
  <c r="E906" i="6"/>
  <c r="G990" i="6"/>
  <c r="I2073" i="6"/>
  <c r="K822" i="6"/>
  <c r="K887" i="6"/>
  <c r="K1772" i="6"/>
  <c r="K2039" i="6"/>
  <c r="K2984" i="6"/>
  <c r="I2991" i="6"/>
  <c r="I2939" i="6"/>
  <c r="G2975" i="6"/>
  <c r="G2950" i="6"/>
  <c r="G2920" i="6"/>
  <c r="E2994" i="6"/>
  <c r="E2979" i="6"/>
  <c r="E2963" i="6"/>
  <c r="E2946" i="6"/>
  <c r="E2931" i="6"/>
  <c r="E2915" i="6"/>
  <c r="K2977" i="6"/>
  <c r="I2981" i="6"/>
  <c r="I2934" i="6"/>
  <c r="G3000" i="6"/>
  <c r="G2974" i="6"/>
  <c r="G2948" i="6"/>
  <c r="G2916" i="6"/>
  <c r="E2993" i="6"/>
  <c r="E2978" i="6"/>
  <c r="E2962" i="6"/>
  <c r="E2945" i="6"/>
  <c r="E2930" i="6"/>
  <c r="E2914" i="6"/>
  <c r="K2947" i="6"/>
  <c r="I2971" i="6"/>
  <c r="I2923" i="6"/>
  <c r="G2997" i="6"/>
  <c r="G2966" i="6"/>
  <c r="G2937" i="6"/>
  <c r="G2909" i="6"/>
  <c r="E2990" i="6"/>
  <c r="E2974" i="6"/>
  <c r="E2957" i="6"/>
  <c r="E2942" i="6"/>
  <c r="E2926" i="6"/>
  <c r="E2909" i="6"/>
  <c r="K2917" i="6"/>
  <c r="I2967" i="6"/>
  <c r="I2905" i="6"/>
  <c r="G2980" i="6"/>
  <c r="G2941" i="6"/>
  <c r="G2903" i="6"/>
  <c r="E2998" i="6"/>
  <c r="E2975" i="6"/>
  <c r="E2954" i="6"/>
  <c r="E2933" i="6"/>
  <c r="E2910" i="6"/>
  <c r="K2907" i="6"/>
  <c r="I2958" i="6"/>
  <c r="G2978" i="6"/>
  <c r="G2936" i="6"/>
  <c r="G2902" i="6"/>
  <c r="E2995" i="6"/>
  <c r="E2971" i="6"/>
  <c r="E2952" i="6"/>
  <c r="E2932" i="6"/>
  <c r="E2908" i="6"/>
  <c r="C2916" i="6"/>
  <c r="C2931" i="6"/>
  <c r="C2945" i="6"/>
  <c r="C2959" i="6"/>
  <c r="C2974" i="6"/>
  <c r="C2988" i="6"/>
  <c r="I2950" i="6"/>
  <c r="G2965" i="6"/>
  <c r="G2930" i="6"/>
  <c r="E2988" i="6"/>
  <c r="E2968" i="6"/>
  <c r="E2947" i="6"/>
  <c r="E2923" i="6"/>
  <c r="E2904" i="6"/>
  <c r="C2906" i="6"/>
  <c r="C2920" i="6"/>
  <c r="C2934" i="6"/>
  <c r="C2948" i="6"/>
  <c r="C2963" i="6"/>
  <c r="C2978" i="6"/>
  <c r="C2992" i="6"/>
  <c r="I2955" i="6"/>
  <c r="G2957" i="6"/>
  <c r="G2912" i="6"/>
  <c r="E3000" i="6"/>
  <c r="E2969" i="6"/>
  <c r="E2940" i="6"/>
  <c r="E2916" i="6"/>
  <c r="C2911" i="6"/>
  <c r="C2928" i="6"/>
  <c r="C2946" i="6"/>
  <c r="C2964" i="6"/>
  <c r="C2981" i="6"/>
  <c r="C2998" i="6"/>
  <c r="I2951" i="6"/>
  <c r="G2954" i="6"/>
  <c r="G2906" i="6"/>
  <c r="E2999" i="6"/>
  <c r="E2967" i="6"/>
  <c r="E2939" i="6"/>
  <c r="E2911" i="6"/>
  <c r="C2912" i="6"/>
  <c r="C2930" i="6"/>
  <c r="C2947" i="6"/>
  <c r="C2966" i="6"/>
  <c r="C2982" i="6"/>
  <c r="C2999" i="6"/>
  <c r="K3000" i="6"/>
  <c r="I2926" i="6"/>
  <c r="G2996" i="6"/>
  <c r="G2951" i="6"/>
  <c r="E2987" i="6"/>
  <c r="E2959" i="6"/>
  <c r="E2934" i="6"/>
  <c r="E2903" i="6"/>
  <c r="C2918" i="6"/>
  <c r="C2935" i="6"/>
  <c r="C2952" i="6"/>
  <c r="C2969" i="6"/>
  <c r="C2986" i="6"/>
  <c r="K559" i="6"/>
  <c r="K512" i="6"/>
  <c r="I598" i="6"/>
  <c r="I566" i="6"/>
  <c r="I539" i="6"/>
  <c r="I510" i="6"/>
  <c r="G598" i="6"/>
  <c r="G581" i="6"/>
  <c r="G566" i="6"/>
  <c r="G550" i="6"/>
  <c r="G533" i="6"/>
  <c r="G518" i="6"/>
  <c r="G502" i="6"/>
  <c r="K557" i="6"/>
  <c r="K510" i="6"/>
  <c r="I590" i="6"/>
  <c r="I565" i="6"/>
  <c r="I537" i="6"/>
  <c r="I505" i="6"/>
  <c r="G595" i="6"/>
  <c r="G580" i="6"/>
  <c r="G564" i="6"/>
  <c r="G547" i="6"/>
  <c r="G532" i="6"/>
  <c r="G516" i="6"/>
  <c r="K595" i="6"/>
  <c r="K546" i="6"/>
  <c r="I586" i="6"/>
  <c r="I555" i="6"/>
  <c r="I527" i="6"/>
  <c r="I502" i="6"/>
  <c r="G592" i="6"/>
  <c r="G576" i="6"/>
  <c r="G559" i="6"/>
  <c r="G544" i="6"/>
  <c r="G528" i="6"/>
  <c r="G511" i="6"/>
  <c r="K562" i="6"/>
  <c r="I567" i="6"/>
  <c r="I525" i="6"/>
  <c r="G590" i="6"/>
  <c r="G569" i="6"/>
  <c r="G546" i="6"/>
  <c r="G526" i="6"/>
  <c r="G506" i="6"/>
  <c r="K561" i="6"/>
  <c r="I564" i="6"/>
  <c r="I522" i="6"/>
  <c r="G588" i="6"/>
  <c r="G568" i="6"/>
  <c r="G545" i="6"/>
  <c r="G523" i="6"/>
  <c r="G504" i="6"/>
  <c r="E597" i="6"/>
  <c r="E580" i="6"/>
  <c r="E565" i="6"/>
  <c r="E549" i="6"/>
  <c r="E532" i="6"/>
  <c r="E517" i="6"/>
  <c r="E502" i="6"/>
  <c r="K541" i="6"/>
  <c r="I588" i="6"/>
  <c r="I553" i="6"/>
  <c r="I518" i="6"/>
  <c r="G583" i="6"/>
  <c r="G562" i="6"/>
  <c r="G540" i="6"/>
  <c r="G520" i="6"/>
  <c r="E592" i="6"/>
  <c r="E577" i="6"/>
  <c r="E561" i="6"/>
  <c r="E544" i="6"/>
  <c r="E529" i="6"/>
  <c r="E513" i="6"/>
  <c r="K576" i="6"/>
  <c r="I576" i="6"/>
  <c r="I521" i="6"/>
  <c r="G599" i="6"/>
  <c r="G570" i="6"/>
  <c r="G539" i="6"/>
  <c r="G510" i="6"/>
  <c r="E586" i="6"/>
  <c r="E567" i="6"/>
  <c r="E548" i="6"/>
  <c r="E528" i="6"/>
  <c r="E509" i="6"/>
  <c r="C508" i="6"/>
  <c r="C520" i="6"/>
  <c r="C532" i="6"/>
  <c r="C544" i="6"/>
  <c r="C556" i="6"/>
  <c r="C568" i="6"/>
  <c r="C580" i="6"/>
  <c r="C592" i="6"/>
  <c r="K575" i="6"/>
  <c r="I575" i="6"/>
  <c r="I519" i="6"/>
  <c r="G594" i="6"/>
  <c r="G567" i="6"/>
  <c r="G538" i="6"/>
  <c r="G509" i="6"/>
  <c r="E585" i="6"/>
  <c r="E566" i="6"/>
  <c r="E545" i="6"/>
  <c r="E526" i="6"/>
  <c r="E508" i="6"/>
  <c r="K550" i="6"/>
  <c r="I554" i="6"/>
  <c r="I504" i="6"/>
  <c r="G587" i="6"/>
  <c r="G557" i="6"/>
  <c r="G531" i="6"/>
  <c r="G503" i="6"/>
  <c r="E600" i="6"/>
  <c r="E579" i="6"/>
  <c r="E560" i="6"/>
  <c r="E541" i="6"/>
  <c r="E521" i="6"/>
  <c r="E505" i="6"/>
  <c r="C512" i="6"/>
  <c r="C524" i="6"/>
  <c r="C536" i="6"/>
  <c r="C548" i="6"/>
  <c r="C560" i="6"/>
  <c r="C572" i="6"/>
  <c r="C584" i="6"/>
  <c r="C596" i="6"/>
  <c r="C590" i="6"/>
  <c r="C576" i="6"/>
  <c r="C547" i="6"/>
  <c r="C533" i="6"/>
  <c r="C504" i="6"/>
  <c r="C856" i="6"/>
  <c r="C589" i="6"/>
  <c r="C575" i="6"/>
  <c r="C561" i="6"/>
  <c r="C546" i="6"/>
  <c r="C531" i="6"/>
  <c r="C517" i="6"/>
  <c r="C503" i="6"/>
  <c r="C897" i="6"/>
  <c r="C883" i="6"/>
  <c r="C869" i="6"/>
  <c r="C855" i="6"/>
  <c r="C840" i="6"/>
  <c r="C825" i="6"/>
  <c r="C811" i="6"/>
  <c r="C985" i="6"/>
  <c r="C933" i="6"/>
  <c r="C1284" i="6"/>
  <c r="C1797" i="6"/>
  <c r="C1778" i="6"/>
  <c r="C1760" i="6"/>
  <c r="C1740" i="6"/>
  <c r="C1720" i="6"/>
  <c r="C1900" i="6"/>
  <c r="C2087" i="6"/>
  <c r="C2072" i="6"/>
  <c r="C2056" i="6"/>
  <c r="C2039" i="6"/>
  <c r="C2024" i="6"/>
  <c r="C2008" i="6"/>
  <c r="C2145" i="6"/>
  <c r="C2987" i="6"/>
  <c r="C2962" i="6"/>
  <c r="C2940" i="6"/>
  <c r="C2919" i="6"/>
  <c r="E510" i="6"/>
  <c r="E536" i="6"/>
  <c r="E557" i="6"/>
  <c r="E588" i="6"/>
  <c r="E808" i="6"/>
  <c r="E827" i="6"/>
  <c r="E847" i="6"/>
  <c r="E866" i="6"/>
  <c r="E884" i="6"/>
  <c r="E940" i="6"/>
  <c r="E1724" i="6"/>
  <c r="E1764" i="6"/>
  <c r="E1795" i="6"/>
  <c r="E2005" i="6"/>
  <c r="E2036" i="6"/>
  <c r="E2064" i="6"/>
  <c r="E2091" i="6"/>
  <c r="E2919" i="6"/>
  <c r="E2955" i="6"/>
  <c r="E2991" i="6"/>
  <c r="G515" i="6"/>
  <c r="G554" i="6"/>
  <c r="G591" i="6"/>
  <c r="G807" i="6"/>
  <c r="G841" i="6"/>
  <c r="G877" i="6"/>
  <c r="G1727" i="6"/>
  <c r="G1775" i="6"/>
  <c r="G2044" i="6"/>
  <c r="G2089" i="6"/>
  <c r="G2953" i="6"/>
  <c r="I542" i="6"/>
  <c r="I835" i="6"/>
  <c r="I898" i="6"/>
  <c r="I1778" i="6"/>
  <c r="I2013" i="6"/>
  <c r="I2079" i="6"/>
  <c r="I2998" i="6"/>
  <c r="K525" i="6"/>
  <c r="K835" i="6"/>
  <c r="K2055" i="6"/>
  <c r="C1235" i="6"/>
  <c r="C1234" i="6"/>
  <c r="C1016" i="6"/>
  <c r="C2496" i="6"/>
  <c r="C998" i="6"/>
  <c r="C907" i="6"/>
  <c r="C2109" i="6"/>
  <c r="E992" i="6"/>
  <c r="E2149" i="6"/>
  <c r="G1492" i="6"/>
  <c r="C997" i="6"/>
  <c r="C1188" i="6"/>
  <c r="C2136" i="6"/>
  <c r="E960" i="6"/>
  <c r="E2103" i="6"/>
  <c r="G1098" i="6"/>
  <c r="K1357" i="6"/>
  <c r="C948" i="6"/>
  <c r="C1471" i="6"/>
  <c r="C2403" i="6"/>
  <c r="E961" i="6"/>
  <c r="E2104" i="6"/>
  <c r="G954" i="6"/>
  <c r="G2151" i="6"/>
  <c r="C947" i="6"/>
  <c r="C1147" i="6"/>
  <c r="C1809" i="6"/>
  <c r="C2199" i="6"/>
  <c r="C2164" i="6"/>
  <c r="C2132" i="6"/>
  <c r="C2255" i="6"/>
  <c r="E660" i="6"/>
  <c r="E928" i="6"/>
  <c r="E964" i="6"/>
  <c r="E997" i="6"/>
  <c r="E1828" i="6"/>
  <c r="E1898" i="6"/>
  <c r="E2109" i="6"/>
  <c r="E2163" i="6"/>
  <c r="G957" i="6"/>
  <c r="G1438" i="6"/>
  <c r="G2162" i="6"/>
  <c r="K976" i="6"/>
  <c r="K2999" i="6"/>
  <c r="K2952" i="6"/>
  <c r="K2916" i="6"/>
  <c r="I2994" i="6"/>
  <c r="I2977" i="6"/>
  <c r="I2960" i="6"/>
  <c r="I2941" i="6"/>
  <c r="I2925" i="6"/>
  <c r="I2908" i="6"/>
  <c r="G2995" i="6"/>
  <c r="G2983" i="6"/>
  <c r="G2971" i="6"/>
  <c r="G2959" i="6"/>
  <c r="G2947" i="6"/>
  <c r="G2935" i="6"/>
  <c r="G2923" i="6"/>
  <c r="G2911" i="6"/>
  <c r="K2992" i="6"/>
  <c r="K2951" i="6"/>
  <c r="K2915" i="6"/>
  <c r="I2993" i="6"/>
  <c r="I2976" i="6"/>
  <c r="I2959" i="6"/>
  <c r="I2940" i="6"/>
  <c r="I2924" i="6"/>
  <c r="I2907" i="6"/>
  <c r="G2994" i="6"/>
  <c r="G2982" i="6"/>
  <c r="G2970" i="6"/>
  <c r="G2958" i="6"/>
  <c r="G2946" i="6"/>
  <c r="G2934" i="6"/>
  <c r="G2922" i="6"/>
  <c r="G2910" i="6"/>
  <c r="K2979" i="6"/>
  <c r="K2939" i="6"/>
  <c r="I2989" i="6"/>
  <c r="I2972" i="6"/>
  <c r="I2953" i="6"/>
  <c r="I2937" i="6"/>
  <c r="I2920" i="6"/>
  <c r="I2901" i="6"/>
  <c r="G2991" i="6"/>
  <c r="G2979" i="6"/>
  <c r="G2967" i="6"/>
  <c r="G2955" i="6"/>
  <c r="G2943" i="6"/>
  <c r="G2931" i="6"/>
  <c r="G2919" i="6"/>
  <c r="G2907" i="6"/>
  <c r="K2978" i="6"/>
  <c r="K2971" i="6"/>
  <c r="K2920" i="6"/>
  <c r="I2985" i="6"/>
  <c r="I2963" i="6"/>
  <c r="I2938" i="6"/>
  <c r="I2914" i="6"/>
  <c r="G2993" i="6"/>
  <c r="G2977" i="6"/>
  <c r="G2962" i="6"/>
  <c r="G2945" i="6"/>
  <c r="G2929" i="6"/>
  <c r="G2914" i="6"/>
  <c r="K2970" i="6"/>
  <c r="K2919" i="6"/>
  <c r="I2984" i="6"/>
  <c r="I2962" i="6"/>
  <c r="I2936" i="6"/>
  <c r="I2913" i="6"/>
  <c r="G2992" i="6"/>
  <c r="G2976" i="6"/>
  <c r="G2961" i="6"/>
  <c r="G2944" i="6"/>
  <c r="G2928" i="6"/>
  <c r="G2913" i="6"/>
  <c r="K2960" i="6"/>
  <c r="I2979" i="6"/>
  <c r="I2952" i="6"/>
  <c r="I2932" i="6"/>
  <c r="I2910" i="6"/>
  <c r="G2988" i="6"/>
  <c r="G2973" i="6"/>
  <c r="G2956" i="6"/>
  <c r="G2940" i="6"/>
  <c r="G2925" i="6"/>
  <c r="G2908" i="6"/>
  <c r="K2957" i="6"/>
  <c r="I2973" i="6"/>
  <c r="I2946" i="6"/>
  <c r="I2912" i="6"/>
  <c r="G2989" i="6"/>
  <c r="G2968" i="6"/>
  <c r="G2949" i="6"/>
  <c r="G2926" i="6"/>
  <c r="G2904" i="6"/>
  <c r="E3001" i="6"/>
  <c r="E2989" i="6"/>
  <c r="E2977" i="6"/>
  <c r="E2965" i="6"/>
  <c r="E2953" i="6"/>
  <c r="E2941" i="6"/>
  <c r="E2929" i="6"/>
  <c r="E2917" i="6"/>
  <c r="E2905" i="6"/>
  <c r="C2913" i="6"/>
  <c r="C2925" i="6"/>
  <c r="C2937" i="6"/>
  <c r="C2949" i="6"/>
  <c r="C2961" i="6"/>
  <c r="C2973" i="6"/>
  <c r="C2985" i="6"/>
  <c r="C2997" i="6"/>
  <c r="K2934" i="6"/>
  <c r="I2997" i="6"/>
  <c r="I2965" i="6"/>
  <c r="I2933" i="6"/>
  <c r="G2984" i="6"/>
  <c r="G2963" i="6"/>
  <c r="G2939" i="6"/>
  <c r="G2918" i="6"/>
  <c r="E2997" i="6"/>
  <c r="E2985" i="6"/>
  <c r="E2973" i="6"/>
  <c r="E2961" i="6"/>
  <c r="E2949" i="6"/>
  <c r="E2937" i="6"/>
  <c r="E2925" i="6"/>
  <c r="E2913" i="6"/>
  <c r="C2905" i="6"/>
  <c r="C2917" i="6"/>
  <c r="C2929" i="6"/>
  <c r="C2941" i="6"/>
  <c r="C2953" i="6"/>
  <c r="C2965" i="6"/>
  <c r="C2977" i="6"/>
  <c r="C2989" i="6"/>
  <c r="C3001" i="6"/>
  <c r="K2931" i="6"/>
  <c r="I2992" i="6"/>
  <c r="I2964" i="6"/>
  <c r="I2928" i="6"/>
  <c r="G2981" i="6"/>
  <c r="G2960" i="6"/>
  <c r="G2938" i="6"/>
  <c r="G2917" i="6"/>
  <c r="E2996" i="6"/>
  <c r="E2984" i="6"/>
  <c r="E2972" i="6"/>
  <c r="E2960" i="6"/>
  <c r="E2948" i="6"/>
  <c r="E2936" i="6"/>
  <c r="E2924" i="6"/>
  <c r="E2912" i="6"/>
  <c r="K1788" i="6"/>
  <c r="K1757" i="6"/>
  <c r="K1732" i="6"/>
  <c r="K1703" i="6"/>
  <c r="I1795" i="6"/>
  <c r="I1781" i="6"/>
  <c r="I1767" i="6"/>
  <c r="I1753" i="6"/>
  <c r="I1737" i="6"/>
  <c r="I1723" i="6"/>
  <c r="I1709" i="6"/>
  <c r="K1785" i="6"/>
  <c r="K1756" i="6"/>
  <c r="K1728" i="6"/>
  <c r="K1702" i="6"/>
  <c r="I1794" i="6"/>
  <c r="I1780" i="6"/>
  <c r="I1766" i="6"/>
  <c r="I1750" i="6"/>
  <c r="I1736" i="6"/>
  <c r="I1722" i="6"/>
  <c r="I1708" i="6"/>
  <c r="K1776" i="6"/>
  <c r="K1751" i="6"/>
  <c r="K1723" i="6"/>
  <c r="I1791" i="6"/>
  <c r="I1777" i="6"/>
  <c r="I1761" i="6"/>
  <c r="I1747" i="6"/>
  <c r="I1733" i="6"/>
  <c r="I1719" i="6"/>
  <c r="I1705" i="6"/>
  <c r="K1796" i="6"/>
  <c r="K1763" i="6"/>
  <c r="K1724" i="6"/>
  <c r="I1785" i="6"/>
  <c r="I1768" i="6"/>
  <c r="I1746" i="6"/>
  <c r="I1729" i="6"/>
  <c r="I1710" i="6"/>
  <c r="G1797" i="6"/>
  <c r="G1785" i="6"/>
  <c r="G1773" i="6"/>
  <c r="G1761" i="6"/>
  <c r="G1749" i="6"/>
  <c r="G1737" i="6"/>
  <c r="G1725" i="6"/>
  <c r="G1713" i="6"/>
  <c r="G1701" i="6"/>
  <c r="K1795" i="6"/>
  <c r="K1758" i="6"/>
  <c r="K1717" i="6"/>
  <c r="I1784" i="6"/>
  <c r="I1765" i="6"/>
  <c r="I1745" i="6"/>
  <c r="I1726" i="6"/>
  <c r="I1707" i="6"/>
  <c r="G1796" i="6"/>
  <c r="G1784" i="6"/>
  <c r="G1772" i="6"/>
  <c r="G1760" i="6"/>
  <c r="G1748" i="6"/>
  <c r="G1736" i="6"/>
  <c r="G1724" i="6"/>
  <c r="G1712" i="6"/>
  <c r="K1789" i="6"/>
  <c r="K1745" i="6"/>
  <c r="K1711" i="6"/>
  <c r="I1798" i="6"/>
  <c r="I1779" i="6"/>
  <c r="I1759" i="6"/>
  <c r="I1742" i="6"/>
  <c r="I1721" i="6"/>
  <c r="I1701" i="6"/>
  <c r="G1793" i="6"/>
  <c r="G1781" i="6"/>
  <c r="G1769" i="6"/>
  <c r="G1757" i="6"/>
  <c r="G1745" i="6"/>
  <c r="G1733" i="6"/>
  <c r="G1721" i="6"/>
  <c r="G1709" i="6"/>
  <c r="K1753" i="6"/>
  <c r="K1704" i="6"/>
  <c r="I1773" i="6"/>
  <c r="I1749" i="6"/>
  <c r="I1724" i="6"/>
  <c r="G1788" i="6"/>
  <c r="G1771" i="6"/>
  <c r="G1755" i="6"/>
  <c r="G1740" i="6"/>
  <c r="G1723" i="6"/>
  <c r="G1707" i="6"/>
  <c r="E1791" i="6"/>
  <c r="E1779" i="6"/>
  <c r="E1767" i="6"/>
  <c r="E1755" i="6"/>
  <c r="E1743" i="6"/>
  <c r="E1731" i="6"/>
  <c r="E1719" i="6"/>
  <c r="E1707" i="6"/>
  <c r="C1705" i="6"/>
  <c r="C1717" i="6"/>
  <c r="C1729" i="6"/>
  <c r="C1741" i="6"/>
  <c r="C1753" i="6"/>
  <c r="C1765" i="6"/>
  <c r="C1777" i="6"/>
  <c r="C1789" i="6"/>
  <c r="C1801" i="6"/>
  <c r="K1780" i="6"/>
  <c r="K1737" i="6"/>
  <c r="I1792" i="6"/>
  <c r="I1769" i="6"/>
  <c r="I1741" i="6"/>
  <c r="I1714" i="6"/>
  <c r="G1799" i="6"/>
  <c r="G1782" i="6"/>
  <c r="G1766" i="6"/>
  <c r="G1751" i="6"/>
  <c r="G1734" i="6"/>
  <c r="G1718" i="6"/>
  <c r="G1703" i="6"/>
  <c r="E1799" i="6"/>
  <c r="E1787" i="6"/>
  <c r="E1775" i="6"/>
  <c r="E1763" i="6"/>
  <c r="E1751" i="6"/>
  <c r="E1739" i="6"/>
  <c r="E1727" i="6"/>
  <c r="E1715" i="6"/>
  <c r="E1703" i="6"/>
  <c r="C1709" i="6"/>
  <c r="C1721" i="6"/>
  <c r="C1733" i="6"/>
  <c r="C1745" i="6"/>
  <c r="C1757" i="6"/>
  <c r="C1769" i="6"/>
  <c r="C1781" i="6"/>
  <c r="C1793" i="6"/>
  <c r="K1777" i="6"/>
  <c r="K1736" i="6"/>
  <c r="I1790" i="6"/>
  <c r="I1762" i="6"/>
  <c r="I1738" i="6"/>
  <c r="I1713" i="6"/>
  <c r="G1798" i="6"/>
  <c r="G1780" i="6"/>
  <c r="G1765" i="6"/>
  <c r="G1750" i="6"/>
  <c r="G1732" i="6"/>
  <c r="G1717" i="6"/>
  <c r="G1702" i="6"/>
  <c r="E1798" i="6"/>
  <c r="E1786" i="6"/>
  <c r="E1774" i="6"/>
  <c r="E1762" i="6"/>
  <c r="E1750" i="6"/>
  <c r="E1738" i="6"/>
  <c r="E1726" i="6"/>
  <c r="E1714" i="6"/>
  <c r="E1702" i="6"/>
  <c r="K589" i="6"/>
  <c r="K573" i="6"/>
  <c r="K556" i="6"/>
  <c r="K537" i="6"/>
  <c r="K521" i="6"/>
  <c r="K503" i="6"/>
  <c r="I596" i="6"/>
  <c r="I584" i="6"/>
  <c r="I572" i="6"/>
  <c r="I560" i="6"/>
  <c r="I548" i="6"/>
  <c r="I536" i="6"/>
  <c r="I524" i="6"/>
  <c r="I512" i="6"/>
  <c r="K588" i="6"/>
  <c r="K572" i="6"/>
  <c r="K554" i="6"/>
  <c r="K536" i="6"/>
  <c r="K520" i="6"/>
  <c r="K502" i="6"/>
  <c r="I595" i="6"/>
  <c r="I583" i="6"/>
  <c r="I571" i="6"/>
  <c r="I559" i="6"/>
  <c r="I547" i="6"/>
  <c r="I535" i="6"/>
  <c r="I523" i="6"/>
  <c r="I511" i="6"/>
  <c r="K585" i="6"/>
  <c r="K568" i="6"/>
  <c r="K549" i="6"/>
  <c r="K533" i="6"/>
  <c r="K515" i="6"/>
  <c r="I592" i="6"/>
  <c r="I580" i="6"/>
  <c r="I568" i="6"/>
  <c r="I556" i="6"/>
  <c r="I544" i="6"/>
  <c r="I532" i="6"/>
  <c r="I520" i="6"/>
  <c r="I508" i="6"/>
  <c r="K590" i="6"/>
  <c r="K564" i="6"/>
  <c r="K544" i="6"/>
  <c r="K522" i="6"/>
  <c r="I594" i="6"/>
  <c r="I578" i="6"/>
  <c r="I563" i="6"/>
  <c r="I546" i="6"/>
  <c r="I530" i="6"/>
  <c r="I515" i="6"/>
  <c r="K587" i="6"/>
  <c r="K563" i="6"/>
  <c r="K542" i="6"/>
  <c r="K517" i="6"/>
  <c r="I593" i="6"/>
  <c r="I577" i="6"/>
  <c r="I562" i="6"/>
  <c r="I545" i="6"/>
  <c r="I529" i="6"/>
  <c r="I514" i="6"/>
  <c r="K582" i="6"/>
  <c r="K560" i="6"/>
  <c r="K535" i="6"/>
  <c r="K511" i="6"/>
  <c r="I589" i="6"/>
  <c r="I574" i="6"/>
  <c r="I557" i="6"/>
  <c r="I541" i="6"/>
  <c r="I526" i="6"/>
  <c r="I509" i="6"/>
  <c r="K577" i="6"/>
  <c r="K548" i="6"/>
  <c r="K516" i="6"/>
  <c r="I581" i="6"/>
  <c r="I558" i="6"/>
  <c r="I538" i="6"/>
  <c r="I517" i="6"/>
  <c r="G589" i="6"/>
  <c r="G577" i="6"/>
  <c r="G565" i="6"/>
  <c r="G553" i="6"/>
  <c r="G541" i="6"/>
  <c r="G529" i="6"/>
  <c r="G517" i="6"/>
  <c r="G505" i="6"/>
  <c r="E599" i="6"/>
  <c r="E587" i="6"/>
  <c r="E575" i="6"/>
  <c r="E563" i="6"/>
  <c r="E551" i="6"/>
  <c r="E539" i="6"/>
  <c r="E527" i="6"/>
  <c r="E515" i="6"/>
  <c r="E503" i="6"/>
  <c r="K599" i="6"/>
  <c r="K570" i="6"/>
  <c r="K538" i="6"/>
  <c r="K508" i="6"/>
  <c r="I597" i="6"/>
  <c r="I573" i="6"/>
  <c r="I552" i="6"/>
  <c r="I531" i="6"/>
  <c r="I507" i="6"/>
  <c r="G597" i="6"/>
  <c r="G585" i="6"/>
  <c r="G573" i="6"/>
  <c r="G561" i="6"/>
  <c r="G549" i="6"/>
  <c r="G537" i="6"/>
  <c r="G525" i="6"/>
  <c r="G513" i="6"/>
  <c r="G501" i="6"/>
  <c r="E595" i="6"/>
  <c r="E583" i="6"/>
  <c r="E571" i="6"/>
  <c r="E559" i="6"/>
  <c r="E547" i="6"/>
  <c r="E535" i="6"/>
  <c r="E523" i="6"/>
  <c r="E511" i="6"/>
  <c r="K598" i="6"/>
  <c r="K569" i="6"/>
  <c r="K534" i="6"/>
  <c r="K506" i="6"/>
  <c r="I591" i="6"/>
  <c r="I570" i="6"/>
  <c r="I551" i="6"/>
  <c r="I528" i="6"/>
  <c r="I506" i="6"/>
  <c r="G596" i="6"/>
  <c r="G584" i="6"/>
  <c r="G572" i="6"/>
  <c r="G560" i="6"/>
  <c r="G548" i="6"/>
  <c r="G536" i="6"/>
  <c r="G524" i="6"/>
  <c r="G512" i="6"/>
  <c r="E594" i="6"/>
  <c r="E582" i="6"/>
  <c r="E570" i="6"/>
  <c r="E558" i="6"/>
  <c r="E546" i="6"/>
  <c r="E534" i="6"/>
  <c r="E522" i="6"/>
  <c r="G2653" i="6"/>
  <c r="I2633" i="6"/>
  <c r="E2627" i="6"/>
  <c r="G2567" i="6"/>
  <c r="C2528" i="6"/>
  <c r="I1287" i="6"/>
  <c r="G1216" i="6"/>
  <c r="I1290" i="6"/>
  <c r="G1206" i="6"/>
  <c r="C1231" i="6"/>
  <c r="I1247" i="6"/>
  <c r="E1274" i="6"/>
  <c r="E2488" i="6"/>
  <c r="G2251" i="6"/>
  <c r="G2245" i="6"/>
  <c r="G2232" i="6"/>
  <c r="G2244" i="6"/>
  <c r="G2239" i="6"/>
  <c r="K2225" i="6"/>
  <c r="C2248" i="6"/>
  <c r="G1059" i="6"/>
  <c r="I2129" i="6"/>
  <c r="G2177" i="6"/>
  <c r="G2139" i="6"/>
  <c r="I2127" i="6"/>
  <c r="G2176" i="6"/>
  <c r="G2134" i="6"/>
  <c r="K2185" i="6"/>
  <c r="I2110" i="6"/>
  <c r="G2163" i="6"/>
  <c r="G2125" i="6"/>
  <c r="I2121" i="6"/>
  <c r="G2161" i="6"/>
  <c r="G2106" i="6"/>
  <c r="I2119" i="6"/>
  <c r="G2158" i="6"/>
  <c r="G2105" i="6"/>
  <c r="G2194" i="6"/>
  <c r="G2141" i="6"/>
  <c r="G2164" i="6"/>
  <c r="E2200" i="6"/>
  <c r="E2169" i="6"/>
  <c r="E2130" i="6"/>
  <c r="C2112" i="6"/>
  <c r="C2144" i="6"/>
  <c r="C2168" i="6"/>
  <c r="C2196" i="6"/>
  <c r="I2177" i="6"/>
  <c r="G2140" i="6"/>
  <c r="E2195" i="6"/>
  <c r="E2152" i="6"/>
  <c r="E2121" i="6"/>
  <c r="C2124" i="6"/>
  <c r="C2148" i="6"/>
  <c r="C2180" i="6"/>
  <c r="I2175" i="6"/>
  <c r="G2200" i="6"/>
  <c r="G2133" i="6"/>
  <c r="E2188" i="6"/>
  <c r="E2151" i="6"/>
  <c r="E2116" i="6"/>
  <c r="C952" i="6"/>
  <c r="C1190" i="6"/>
  <c r="C2143" i="6"/>
  <c r="E917" i="6"/>
  <c r="E1273" i="6"/>
  <c r="E2102" i="6"/>
  <c r="G1060" i="6"/>
  <c r="G2518" i="6"/>
  <c r="K916" i="6"/>
  <c r="C949" i="6"/>
  <c r="C906" i="6"/>
  <c r="C2171" i="6"/>
  <c r="C2108" i="6"/>
  <c r="E924" i="6"/>
  <c r="E1365" i="6"/>
  <c r="E2199" i="6"/>
  <c r="G953" i="6"/>
  <c r="I1095" i="6"/>
  <c r="K931" i="6"/>
  <c r="K2164" i="6"/>
  <c r="C996" i="6"/>
  <c r="C904" i="6"/>
  <c r="C2200" i="6"/>
  <c r="C2135" i="6"/>
  <c r="E925" i="6"/>
  <c r="E996" i="6"/>
  <c r="E2248" i="6"/>
  <c r="I1098" i="6"/>
  <c r="K959" i="6"/>
  <c r="K652" i="6"/>
  <c r="I618" i="6"/>
  <c r="E612" i="6"/>
  <c r="C623" i="6"/>
  <c r="C1880" i="6"/>
  <c r="C992" i="6"/>
  <c r="C970" i="6"/>
  <c r="C946" i="6"/>
  <c r="C922" i="6"/>
  <c r="C1078" i="6"/>
  <c r="C1876" i="6"/>
  <c r="C1808" i="6"/>
  <c r="C2195" i="6"/>
  <c r="C2163" i="6"/>
  <c r="C2131" i="6"/>
  <c r="C2252" i="6"/>
  <c r="C2644" i="6"/>
  <c r="E932" i="6"/>
  <c r="E965" i="6"/>
  <c r="E1068" i="6"/>
  <c r="E2115" i="6"/>
  <c r="E2164" i="6"/>
  <c r="E2293" i="6"/>
  <c r="G902" i="6"/>
  <c r="G2169" i="6"/>
  <c r="I2158" i="6"/>
  <c r="I2902" i="6"/>
  <c r="I2947" i="6"/>
  <c r="I2986" i="6"/>
  <c r="K504" i="6"/>
  <c r="K547" i="6"/>
  <c r="K586" i="6"/>
  <c r="K1716" i="6"/>
  <c r="K1793" i="6"/>
  <c r="K2921" i="6"/>
  <c r="C1324" i="6"/>
  <c r="G1324" i="6"/>
  <c r="E1360" i="6"/>
  <c r="E2487" i="6"/>
  <c r="C1142" i="6"/>
  <c r="I1171" i="6"/>
  <c r="C1189" i="6"/>
  <c r="G1169" i="6"/>
  <c r="E1187" i="6"/>
  <c r="K1019" i="6"/>
  <c r="K1018" i="6"/>
  <c r="G1006" i="6"/>
  <c r="K1088" i="6"/>
  <c r="I1092" i="6"/>
  <c r="G1061" i="6"/>
  <c r="E1076" i="6"/>
  <c r="C1074" i="6"/>
  <c r="C1101" i="6"/>
  <c r="C1376" i="6"/>
  <c r="I979" i="6"/>
  <c r="I920" i="6"/>
  <c r="I973" i="6"/>
  <c r="I915" i="6"/>
  <c r="K956" i="6"/>
  <c r="K950" i="6"/>
  <c r="I959" i="6"/>
  <c r="I949" i="6"/>
  <c r="G981" i="6"/>
  <c r="G942" i="6"/>
  <c r="G909" i="6"/>
  <c r="I942" i="6"/>
  <c r="G976" i="6"/>
  <c r="G941" i="6"/>
  <c r="G906" i="6"/>
  <c r="I923" i="6"/>
  <c r="G970" i="6"/>
  <c r="G933" i="6"/>
  <c r="K941" i="6"/>
  <c r="I968" i="6"/>
  <c r="G987" i="6"/>
  <c r="G934" i="6"/>
  <c r="E981" i="6"/>
  <c r="E957" i="6"/>
  <c r="E929" i="6"/>
  <c r="E905" i="6"/>
  <c r="C914" i="6"/>
  <c r="C934" i="6"/>
  <c r="C954" i="6"/>
  <c r="C973" i="6"/>
  <c r="I927" i="6"/>
  <c r="G965" i="6"/>
  <c r="G922" i="6"/>
  <c r="E1001" i="6"/>
  <c r="E977" i="6"/>
  <c r="E945" i="6"/>
  <c r="E921" i="6"/>
  <c r="C921" i="6"/>
  <c r="C940" i="6"/>
  <c r="C960" i="6"/>
  <c r="C980" i="6"/>
  <c r="I922" i="6"/>
  <c r="G959" i="6"/>
  <c r="G917" i="6"/>
  <c r="E1000" i="6"/>
  <c r="E976" i="6"/>
  <c r="E944" i="6"/>
  <c r="E920" i="6"/>
  <c r="C975" i="6"/>
  <c r="C931" i="6"/>
  <c r="C1375" i="6"/>
  <c r="C2172" i="6"/>
  <c r="C2495" i="6"/>
  <c r="E956" i="6"/>
  <c r="E2198" i="6"/>
  <c r="G950" i="6"/>
  <c r="G2128" i="6"/>
  <c r="I1075" i="6"/>
  <c r="K2102" i="6"/>
  <c r="C974" i="6"/>
  <c r="C927" i="6"/>
  <c r="C1325" i="6"/>
  <c r="E993" i="6"/>
  <c r="E2150" i="6"/>
  <c r="G2146" i="6"/>
  <c r="C972" i="6"/>
  <c r="C926" i="6"/>
  <c r="C1187" i="6"/>
  <c r="C2167" i="6"/>
  <c r="C2107" i="6"/>
  <c r="E1455" i="6"/>
  <c r="E2157" i="6"/>
  <c r="I1882" i="6"/>
  <c r="K1808" i="6"/>
  <c r="I1825" i="6"/>
  <c r="I1821" i="6"/>
  <c r="G1858" i="6"/>
  <c r="I1820" i="6"/>
  <c r="G1850" i="6"/>
  <c r="G1845" i="6"/>
  <c r="K1802" i="6"/>
  <c r="I1815" i="6"/>
  <c r="G1830" i="6"/>
  <c r="E1876" i="6"/>
  <c r="E1810" i="6"/>
  <c r="C1807" i="6"/>
  <c r="C1863" i="6"/>
  <c r="G1900" i="6"/>
  <c r="E1852" i="6"/>
  <c r="C1827" i="6"/>
  <c r="C1879" i="6"/>
  <c r="G1899" i="6"/>
  <c r="E1851" i="6"/>
  <c r="C993" i="6"/>
  <c r="C971" i="6"/>
  <c r="C923" i="6"/>
  <c r="C1079" i="6"/>
  <c r="C988" i="6"/>
  <c r="C967" i="6"/>
  <c r="C945" i="6"/>
  <c r="C920" i="6"/>
  <c r="C1075" i="6"/>
  <c r="C1136" i="6"/>
  <c r="C1870" i="6"/>
  <c r="C1804" i="6"/>
  <c r="C2192" i="6"/>
  <c r="C2160" i="6"/>
  <c r="C2128" i="6"/>
  <c r="C2240" i="6"/>
  <c r="E933" i="6"/>
  <c r="E968" i="6"/>
  <c r="E1069" i="6"/>
  <c r="E1834" i="6"/>
  <c r="E2125" i="6"/>
  <c r="E2173" i="6"/>
  <c r="E2294" i="6"/>
  <c r="G905" i="6"/>
  <c r="G974" i="6"/>
  <c r="G2182" i="6"/>
  <c r="I901" i="6"/>
  <c r="I2180" i="6"/>
  <c r="I2949" i="6"/>
  <c r="I2988" i="6"/>
  <c r="K594" i="6"/>
  <c r="K1725" i="6"/>
  <c r="K1794" i="6"/>
  <c r="K2935" i="6"/>
  <c r="K2093" i="6"/>
  <c r="K2078" i="6"/>
  <c r="K2063" i="6"/>
  <c r="K2045" i="6"/>
  <c r="K2030" i="6"/>
  <c r="K2015" i="6"/>
  <c r="I2093" i="6"/>
  <c r="I2081" i="6"/>
  <c r="I2069" i="6"/>
  <c r="I2057" i="6"/>
  <c r="I2045" i="6"/>
  <c r="I2033" i="6"/>
  <c r="I2021" i="6"/>
  <c r="I2009" i="6"/>
  <c r="G2100" i="6"/>
  <c r="G2088" i="6"/>
  <c r="K2092" i="6"/>
  <c r="K2077" i="6"/>
  <c r="K2059" i="6"/>
  <c r="K2044" i="6"/>
  <c r="K2029" i="6"/>
  <c r="K2012" i="6"/>
  <c r="I2092" i="6"/>
  <c r="I2080" i="6"/>
  <c r="I2068" i="6"/>
  <c r="I2056" i="6"/>
  <c r="I2044" i="6"/>
  <c r="I2032" i="6"/>
  <c r="I2020" i="6"/>
  <c r="I2008" i="6"/>
  <c r="G2099" i="6"/>
  <c r="K2088" i="6"/>
  <c r="K2071" i="6"/>
  <c r="K2056" i="6"/>
  <c r="K2041" i="6"/>
  <c r="K2024" i="6"/>
  <c r="K2009" i="6"/>
  <c r="I2089" i="6"/>
  <c r="I2077" i="6"/>
  <c r="I2065" i="6"/>
  <c r="I2053" i="6"/>
  <c r="I2041" i="6"/>
  <c r="I2029" i="6"/>
  <c r="I2017" i="6"/>
  <c r="I2005" i="6"/>
  <c r="G2096" i="6"/>
  <c r="K2091" i="6"/>
  <c r="K2069" i="6"/>
  <c r="K2051" i="6"/>
  <c r="K2028" i="6"/>
  <c r="K2007" i="6"/>
  <c r="I2087" i="6"/>
  <c r="I2072" i="6"/>
  <c r="I2055" i="6"/>
  <c r="I2039" i="6"/>
  <c r="I2024" i="6"/>
  <c r="I2007" i="6"/>
  <c r="G2087" i="6"/>
  <c r="G2075" i="6"/>
  <c r="G2063" i="6"/>
  <c r="G2051" i="6"/>
  <c r="G2039" i="6"/>
  <c r="G2027" i="6"/>
  <c r="G2015" i="6"/>
  <c r="G2003" i="6"/>
  <c r="K2089" i="6"/>
  <c r="K2068" i="6"/>
  <c r="K2048" i="6"/>
  <c r="K2027" i="6"/>
  <c r="K2006" i="6"/>
  <c r="I2086" i="6"/>
  <c r="I2071" i="6"/>
  <c r="I2054" i="6"/>
  <c r="I2038" i="6"/>
  <c r="I2023" i="6"/>
  <c r="I2006" i="6"/>
  <c r="G2086" i="6"/>
  <c r="G2074" i="6"/>
  <c r="G2062" i="6"/>
  <c r="G2050" i="6"/>
  <c r="G2038" i="6"/>
  <c r="G2026" i="6"/>
  <c r="G2014" i="6"/>
  <c r="G2002" i="6"/>
  <c r="K2083" i="6"/>
  <c r="K2065" i="6"/>
  <c r="K2042" i="6"/>
  <c r="K2021" i="6"/>
  <c r="I2098" i="6"/>
  <c r="I2083" i="6"/>
  <c r="I2066" i="6"/>
  <c r="I2050" i="6"/>
  <c r="I2035" i="6"/>
  <c r="I2018" i="6"/>
  <c r="I2002" i="6"/>
  <c r="G2097" i="6"/>
  <c r="G2083" i="6"/>
  <c r="G2071" i="6"/>
  <c r="G2059" i="6"/>
  <c r="G2047" i="6"/>
  <c r="G2035" i="6"/>
  <c r="G2023" i="6"/>
  <c r="G2011" i="6"/>
  <c r="K897" i="6"/>
  <c r="K884" i="6"/>
  <c r="K871" i="6"/>
  <c r="K858" i="6"/>
  <c r="K845" i="6"/>
  <c r="K832" i="6"/>
  <c r="K818" i="6"/>
  <c r="K805" i="6"/>
  <c r="I891" i="6"/>
  <c r="I879" i="6"/>
  <c r="I867" i="6"/>
  <c r="I855" i="6"/>
  <c r="I843" i="6"/>
  <c r="I831" i="6"/>
  <c r="I819" i="6"/>
  <c r="I807" i="6"/>
  <c r="K896" i="6"/>
  <c r="K883" i="6"/>
  <c r="K870" i="6"/>
  <c r="K857" i="6"/>
  <c r="K844" i="6"/>
  <c r="K830" i="6"/>
  <c r="K817" i="6"/>
  <c r="K804" i="6"/>
  <c r="I890" i="6"/>
  <c r="I878" i="6"/>
  <c r="I866" i="6"/>
  <c r="I854" i="6"/>
  <c r="I842" i="6"/>
  <c r="I830" i="6"/>
  <c r="I818" i="6"/>
  <c r="I806" i="6"/>
  <c r="K893" i="6"/>
  <c r="K880" i="6"/>
  <c r="K866" i="6"/>
  <c r="K853" i="6"/>
  <c r="K840" i="6"/>
  <c r="K827" i="6"/>
  <c r="K814" i="6"/>
  <c r="K801" i="6"/>
  <c r="I899" i="6"/>
  <c r="I887" i="6"/>
  <c r="I875" i="6"/>
  <c r="I863" i="6"/>
  <c r="I851" i="6"/>
  <c r="I839" i="6"/>
  <c r="I827" i="6"/>
  <c r="I815" i="6"/>
  <c r="I803" i="6"/>
  <c r="K900" i="6"/>
  <c r="K882" i="6"/>
  <c r="K864" i="6"/>
  <c r="K848" i="6"/>
  <c r="K829" i="6"/>
  <c r="K812" i="6"/>
  <c r="I894" i="6"/>
  <c r="I877" i="6"/>
  <c r="I861" i="6"/>
  <c r="I846" i="6"/>
  <c r="I829" i="6"/>
  <c r="I813" i="6"/>
  <c r="G892" i="6"/>
  <c r="G880" i="6"/>
  <c r="G868" i="6"/>
  <c r="K899" i="6"/>
  <c r="K881" i="6"/>
  <c r="K863" i="6"/>
  <c r="K847" i="6"/>
  <c r="K828" i="6"/>
  <c r="K811" i="6"/>
  <c r="I893" i="6"/>
  <c r="I876" i="6"/>
  <c r="I860" i="6"/>
  <c r="I845" i="6"/>
  <c r="I828" i="6"/>
  <c r="I812" i="6"/>
  <c r="G891" i="6"/>
  <c r="G879" i="6"/>
  <c r="G867" i="6"/>
  <c r="K894" i="6"/>
  <c r="K876" i="6"/>
  <c r="K860" i="6"/>
  <c r="K841" i="6"/>
  <c r="K824" i="6"/>
  <c r="K808" i="6"/>
  <c r="I888" i="6"/>
  <c r="I872" i="6"/>
  <c r="I857" i="6"/>
  <c r="I840" i="6"/>
  <c r="I824" i="6"/>
  <c r="I809" i="6"/>
  <c r="G900" i="6"/>
  <c r="G888" i="6"/>
  <c r="G876" i="6"/>
  <c r="G864" i="6"/>
  <c r="G812" i="6"/>
  <c r="G824" i="6"/>
  <c r="G836" i="6"/>
  <c r="G848" i="6"/>
  <c r="G860" i="6"/>
  <c r="G875" i="6"/>
  <c r="G893" i="6"/>
  <c r="G2010" i="6"/>
  <c r="G2028" i="6"/>
  <c r="G2043" i="6"/>
  <c r="G2058" i="6"/>
  <c r="G2076" i="6"/>
  <c r="G2092" i="6"/>
  <c r="I821" i="6"/>
  <c r="I841" i="6"/>
  <c r="I864" i="6"/>
  <c r="I884" i="6"/>
  <c r="I2001" i="6"/>
  <c r="I2025" i="6"/>
  <c r="I2046" i="6"/>
  <c r="I2064" i="6"/>
  <c r="I2088" i="6"/>
  <c r="K803" i="6"/>
  <c r="K826" i="6"/>
  <c r="K851" i="6"/>
  <c r="K874" i="6"/>
  <c r="K898" i="6"/>
  <c r="K2005" i="6"/>
  <c r="K2034" i="6"/>
  <c r="K2058" i="6"/>
  <c r="K2087" i="6"/>
  <c r="G804" i="6"/>
  <c r="G816" i="6"/>
  <c r="G828" i="6"/>
  <c r="G840" i="6"/>
  <c r="G852" i="6"/>
  <c r="G865" i="6"/>
  <c r="G882" i="6"/>
  <c r="G897" i="6"/>
  <c r="G2017" i="6"/>
  <c r="G2032" i="6"/>
  <c r="G2048" i="6"/>
  <c r="G2065" i="6"/>
  <c r="G2080" i="6"/>
  <c r="G2098" i="6"/>
  <c r="I805" i="6"/>
  <c r="I826" i="6"/>
  <c r="I849" i="6"/>
  <c r="I870" i="6"/>
  <c r="I892" i="6"/>
  <c r="I2011" i="6"/>
  <c r="I2030" i="6"/>
  <c r="I2051" i="6"/>
  <c r="I2074" i="6"/>
  <c r="I2095" i="6"/>
  <c r="K813" i="6"/>
  <c r="K836" i="6"/>
  <c r="K859" i="6"/>
  <c r="K885" i="6"/>
  <c r="K2016" i="6"/>
  <c r="K2040" i="6"/>
  <c r="K2070" i="6"/>
  <c r="K2099" i="6"/>
  <c r="E2629" i="6"/>
  <c r="K2590" i="6"/>
  <c r="K2578" i="6"/>
  <c r="K2566" i="6"/>
  <c r="K2554" i="6"/>
  <c r="K2542" i="6"/>
  <c r="K2530" i="6"/>
  <c r="K2518" i="6"/>
  <c r="K2506" i="6"/>
  <c r="K2589" i="6"/>
  <c r="K2577" i="6"/>
  <c r="K2565" i="6"/>
  <c r="K2553" i="6"/>
  <c r="K2541" i="6"/>
  <c r="K2529" i="6"/>
  <c r="K2517" i="6"/>
  <c r="K2505" i="6"/>
  <c r="K2594" i="6"/>
  <c r="K2580" i="6"/>
  <c r="K2564" i="6"/>
  <c r="K2550" i="6"/>
  <c r="K2536" i="6"/>
  <c r="K2522" i="6"/>
  <c r="K2508" i="6"/>
  <c r="K2591" i="6"/>
  <c r="K2574" i="6"/>
  <c r="K2559" i="6"/>
  <c r="K2544" i="6"/>
  <c r="K2527" i="6"/>
  <c r="K2512" i="6"/>
  <c r="K2600" i="6"/>
  <c r="K2585" i="6"/>
  <c r="K2570" i="6"/>
  <c r="K2555" i="6"/>
  <c r="K2538" i="6"/>
  <c r="K2523" i="6"/>
  <c r="K2507" i="6"/>
  <c r="K2599" i="6"/>
  <c r="K2584" i="6"/>
  <c r="K2569" i="6"/>
  <c r="K2552" i="6"/>
  <c r="K2537" i="6"/>
  <c r="K2521" i="6"/>
  <c r="K2504" i="6"/>
  <c r="K2597" i="6"/>
  <c r="K2576" i="6"/>
  <c r="K2557" i="6"/>
  <c r="K2534" i="6"/>
  <c r="K2514" i="6"/>
  <c r="K2596" i="6"/>
  <c r="K2575" i="6"/>
  <c r="K2556" i="6"/>
  <c r="K2533" i="6"/>
  <c r="K2513" i="6"/>
  <c r="K2582" i="6"/>
  <c r="K2558" i="6"/>
  <c r="K2531" i="6"/>
  <c r="K2503" i="6"/>
  <c r="I2596" i="6"/>
  <c r="I2584" i="6"/>
  <c r="I2572" i="6"/>
  <c r="I2560" i="6"/>
  <c r="I2548" i="6"/>
  <c r="I2536" i="6"/>
  <c r="I2524" i="6"/>
  <c r="I2512" i="6"/>
  <c r="K2598" i="6"/>
  <c r="K2572" i="6"/>
  <c r="K2547" i="6"/>
  <c r="K2524" i="6"/>
  <c r="I2592" i="6"/>
  <c r="I2580" i="6"/>
  <c r="I2568" i="6"/>
  <c r="I2556" i="6"/>
  <c r="I2544" i="6"/>
  <c r="I2532" i="6"/>
  <c r="I2520" i="6"/>
  <c r="I2508" i="6"/>
  <c r="K2595" i="6"/>
  <c r="K2571" i="6"/>
  <c r="K2546" i="6"/>
  <c r="K2520" i="6"/>
  <c r="I2591" i="6"/>
  <c r="I2579" i="6"/>
  <c r="I2567" i="6"/>
  <c r="I2555" i="6"/>
  <c r="I2543" i="6"/>
  <c r="I2531" i="6"/>
  <c r="I2519" i="6"/>
  <c r="I2507" i="6"/>
  <c r="K2579" i="6"/>
  <c r="K2543" i="6"/>
  <c r="K2510" i="6"/>
  <c r="K2573" i="6"/>
  <c r="K2540" i="6"/>
  <c r="K2509" i="6"/>
  <c r="I2589" i="6"/>
  <c r="I2574" i="6"/>
  <c r="I2558" i="6"/>
  <c r="I2541" i="6"/>
  <c r="I2526" i="6"/>
  <c r="I2510" i="6"/>
  <c r="K2567" i="6"/>
  <c r="K2535" i="6"/>
  <c r="K2501" i="6"/>
  <c r="I2587" i="6"/>
  <c r="I2571" i="6"/>
  <c r="I2554" i="6"/>
  <c r="I2539" i="6"/>
  <c r="I2523" i="6"/>
  <c r="I2506" i="6"/>
  <c r="K2581" i="6"/>
  <c r="K2528" i="6"/>
  <c r="I2590" i="6"/>
  <c r="I2570" i="6"/>
  <c r="I2551" i="6"/>
  <c r="I2533" i="6"/>
  <c r="I2514" i="6"/>
  <c r="K2561" i="6"/>
  <c r="K2516" i="6"/>
  <c r="I2583" i="6"/>
  <c r="I2564" i="6"/>
  <c r="I2546" i="6"/>
  <c r="I2527" i="6"/>
  <c r="I2505" i="6"/>
  <c r="G2596" i="6"/>
  <c r="G2584" i="6"/>
  <c r="G2572" i="6"/>
  <c r="G2560" i="6"/>
  <c r="G2548" i="6"/>
  <c r="G2536" i="6"/>
  <c r="G2524" i="6"/>
  <c r="G2512" i="6"/>
  <c r="K2560" i="6"/>
  <c r="K2515" i="6"/>
  <c r="I2600" i="6"/>
  <c r="I2582" i="6"/>
  <c r="I2563" i="6"/>
  <c r="I2545" i="6"/>
  <c r="I2525" i="6"/>
  <c r="I2504" i="6"/>
  <c r="G2595" i="6"/>
  <c r="G2583" i="6"/>
  <c r="G2571" i="6"/>
  <c r="G2559" i="6"/>
  <c r="G2547" i="6"/>
  <c r="G2535" i="6"/>
  <c r="G2523" i="6"/>
  <c r="G2511" i="6"/>
  <c r="K2588" i="6"/>
  <c r="K2532" i="6"/>
  <c r="I2599" i="6"/>
  <c r="I2576" i="6"/>
  <c r="I2550" i="6"/>
  <c r="I2522" i="6"/>
  <c r="K2587" i="6"/>
  <c r="K2526" i="6"/>
  <c r="I2598" i="6"/>
  <c r="I2575" i="6"/>
  <c r="I2549" i="6"/>
  <c r="I2521" i="6"/>
  <c r="K2568" i="6"/>
  <c r="K2511" i="6"/>
  <c r="I2594" i="6"/>
  <c r="I2566" i="6"/>
  <c r="I2540" i="6"/>
  <c r="I2516" i="6"/>
  <c r="G2591" i="6"/>
  <c r="G2577" i="6"/>
  <c r="G2563" i="6"/>
  <c r="G2549" i="6"/>
  <c r="G2533" i="6"/>
  <c r="G2519" i="6"/>
  <c r="G2505" i="6"/>
  <c r="K2551" i="6"/>
  <c r="I2585" i="6"/>
  <c r="I2552" i="6"/>
  <c r="I2515" i="6"/>
  <c r="G2593" i="6"/>
  <c r="G2578" i="6"/>
  <c r="G2562" i="6"/>
  <c r="G2545" i="6"/>
  <c r="G2530" i="6"/>
  <c r="G2515" i="6"/>
  <c r="E2592" i="6"/>
  <c r="E2580" i="6"/>
  <c r="E2568" i="6"/>
  <c r="E2556" i="6"/>
  <c r="E2544" i="6"/>
  <c r="E2532" i="6"/>
  <c r="E2520" i="6"/>
  <c r="E2508" i="6"/>
  <c r="K2549" i="6"/>
  <c r="I2581" i="6"/>
  <c r="I2547" i="6"/>
  <c r="I2513" i="6"/>
  <c r="G2592" i="6"/>
  <c r="G2576" i="6"/>
  <c r="G2561" i="6"/>
  <c r="G2544" i="6"/>
  <c r="G2529" i="6"/>
  <c r="G2514" i="6"/>
  <c r="K2539" i="6"/>
  <c r="I2573" i="6"/>
  <c r="I2537" i="6"/>
  <c r="I2503" i="6"/>
  <c r="G2588" i="6"/>
  <c r="G2573" i="6"/>
  <c r="G2556" i="6"/>
  <c r="G2541" i="6"/>
  <c r="G2526" i="6"/>
  <c r="G2509" i="6"/>
  <c r="E2600" i="6"/>
  <c r="E2588" i="6"/>
  <c r="E2576" i="6"/>
  <c r="E2564" i="6"/>
  <c r="E2552" i="6"/>
  <c r="E2540" i="6"/>
  <c r="E2528" i="6"/>
  <c r="E2516" i="6"/>
  <c r="E2504" i="6"/>
  <c r="K2525" i="6"/>
  <c r="I2569" i="6"/>
  <c r="I2535" i="6"/>
  <c r="I2502" i="6"/>
  <c r="G2587" i="6"/>
  <c r="G2570" i="6"/>
  <c r="G2555" i="6"/>
  <c r="G2540" i="6"/>
  <c r="G2525" i="6"/>
  <c r="G2508" i="6"/>
  <c r="E2599" i="6"/>
  <c r="E2587" i="6"/>
  <c r="E2575" i="6"/>
  <c r="E2563" i="6"/>
  <c r="E2551" i="6"/>
  <c r="E2539" i="6"/>
  <c r="E2527" i="6"/>
  <c r="E2515" i="6"/>
  <c r="E2503" i="6"/>
  <c r="K2593" i="6"/>
  <c r="I2559" i="6"/>
  <c r="I2509" i="6"/>
  <c r="G2586" i="6"/>
  <c r="G2565" i="6"/>
  <c r="G2539" i="6"/>
  <c r="G2517" i="6"/>
  <c r="E2593" i="6"/>
  <c r="E2577" i="6"/>
  <c r="E2560" i="6"/>
  <c r="E2545" i="6"/>
  <c r="E2529" i="6"/>
  <c r="E2512" i="6"/>
  <c r="C2505" i="6"/>
  <c r="C2517" i="6"/>
  <c r="C2529" i="6"/>
  <c r="C2541" i="6"/>
  <c r="C2553" i="6"/>
  <c r="C2565" i="6"/>
  <c r="C2577" i="6"/>
  <c r="C2589" i="6"/>
  <c r="C2601" i="6"/>
  <c r="K2592" i="6"/>
  <c r="I2557" i="6"/>
  <c r="I2501" i="6"/>
  <c r="G2585" i="6"/>
  <c r="G2564" i="6"/>
  <c r="G2538" i="6"/>
  <c r="G2516" i="6"/>
  <c r="E2591" i="6"/>
  <c r="E2574" i="6"/>
  <c r="E2559" i="6"/>
  <c r="E2543" i="6"/>
  <c r="E2526" i="6"/>
  <c r="E2511" i="6"/>
  <c r="C2506" i="6"/>
  <c r="C2518" i="6"/>
  <c r="C2530" i="6"/>
  <c r="C2542" i="6"/>
  <c r="C2554" i="6"/>
  <c r="C2566" i="6"/>
  <c r="C2578" i="6"/>
  <c r="C2590" i="6"/>
  <c r="C2502" i="6"/>
  <c r="K2563" i="6"/>
  <c r="I2593" i="6"/>
  <c r="I2538" i="6"/>
  <c r="G2580" i="6"/>
  <c r="G2554" i="6"/>
  <c r="G2532" i="6"/>
  <c r="G2507" i="6"/>
  <c r="E2586" i="6"/>
  <c r="E2571" i="6"/>
  <c r="E2555" i="6"/>
  <c r="E2538" i="6"/>
  <c r="E2523" i="6"/>
  <c r="E2507" i="6"/>
  <c r="C2509" i="6"/>
  <c r="C2521" i="6"/>
  <c r="C2533" i="6"/>
  <c r="C2545" i="6"/>
  <c r="C2557" i="6"/>
  <c r="C2569" i="6"/>
  <c r="C2581" i="6"/>
  <c r="C2593" i="6"/>
  <c r="K2562" i="6"/>
  <c r="I2588" i="6"/>
  <c r="I2534" i="6"/>
  <c r="G2600" i="6"/>
  <c r="G2579" i="6"/>
  <c r="G2553" i="6"/>
  <c r="G2531" i="6"/>
  <c r="G2506" i="6"/>
  <c r="E2585" i="6"/>
  <c r="E2570" i="6"/>
  <c r="E2554" i="6"/>
  <c r="E2537" i="6"/>
  <c r="E2522" i="6"/>
  <c r="E2506" i="6"/>
  <c r="C2510" i="6"/>
  <c r="C2522" i="6"/>
  <c r="C2534" i="6"/>
  <c r="C2546" i="6"/>
  <c r="C2558" i="6"/>
  <c r="C2570" i="6"/>
  <c r="C2582" i="6"/>
  <c r="C2594" i="6"/>
  <c r="K2548" i="6"/>
  <c r="I2542" i="6"/>
  <c r="G2574" i="6"/>
  <c r="G2542" i="6"/>
  <c r="G2503" i="6"/>
  <c r="E2598" i="6"/>
  <c r="E2578" i="6"/>
  <c r="E2550" i="6"/>
  <c r="E2530" i="6"/>
  <c r="E2502" i="6"/>
  <c r="C2519" i="6"/>
  <c r="C2537" i="6"/>
  <c r="C2555" i="6"/>
  <c r="C2573" i="6"/>
  <c r="C2591" i="6"/>
  <c r="I2529" i="6"/>
  <c r="G2534" i="6"/>
  <c r="E2596" i="6"/>
  <c r="E2548" i="6"/>
  <c r="C2523" i="6"/>
  <c r="C2559" i="6"/>
  <c r="C2595" i="6"/>
  <c r="K2545" i="6"/>
  <c r="I2530" i="6"/>
  <c r="G2569" i="6"/>
  <c r="G2537" i="6"/>
  <c r="G2502" i="6"/>
  <c r="E2597" i="6"/>
  <c r="E2573" i="6"/>
  <c r="E2549" i="6"/>
  <c r="E2525" i="6"/>
  <c r="C2520" i="6"/>
  <c r="C2538" i="6"/>
  <c r="C2556" i="6"/>
  <c r="C2574" i="6"/>
  <c r="C2592" i="6"/>
  <c r="K2519" i="6"/>
  <c r="G2568" i="6"/>
  <c r="G2501" i="6"/>
  <c r="E2572" i="6"/>
  <c r="E2524" i="6"/>
  <c r="C2503" i="6"/>
  <c r="C2539" i="6"/>
  <c r="C2575" i="6"/>
  <c r="I2595" i="6"/>
  <c r="I2518" i="6"/>
  <c r="G2598" i="6"/>
  <c r="G2566" i="6"/>
  <c r="G2527" i="6"/>
  <c r="E2594" i="6"/>
  <c r="E2567" i="6"/>
  <c r="E2546" i="6"/>
  <c r="E2519" i="6"/>
  <c r="C2507" i="6"/>
  <c r="C2525" i="6"/>
  <c r="C2543" i="6"/>
  <c r="C2561" i="6"/>
  <c r="C2579" i="6"/>
  <c r="C2597" i="6"/>
  <c r="I2578" i="6"/>
  <c r="G2594" i="6"/>
  <c r="G2521" i="6"/>
  <c r="E2541" i="6"/>
  <c r="C2527" i="6"/>
  <c r="C2563" i="6"/>
  <c r="C2599" i="6"/>
  <c r="I2586" i="6"/>
  <c r="I2517" i="6"/>
  <c r="G2597" i="6"/>
  <c r="G2558" i="6"/>
  <c r="G2522" i="6"/>
  <c r="E2590" i="6"/>
  <c r="E2566" i="6"/>
  <c r="E2542" i="6"/>
  <c r="E2518" i="6"/>
  <c r="C2508" i="6"/>
  <c r="C2526" i="6"/>
  <c r="C2544" i="6"/>
  <c r="C2562" i="6"/>
  <c r="C2580" i="6"/>
  <c r="C2598" i="6"/>
  <c r="I2511" i="6"/>
  <c r="G2557" i="6"/>
  <c r="E2589" i="6"/>
  <c r="E2565" i="6"/>
  <c r="E2517" i="6"/>
  <c r="C2511" i="6"/>
  <c r="C2547" i="6"/>
  <c r="C2583" i="6"/>
  <c r="I2565" i="6"/>
  <c r="G2552" i="6"/>
  <c r="E2569" i="6"/>
  <c r="E2521" i="6"/>
  <c r="C2532" i="6"/>
  <c r="C2568" i="6"/>
  <c r="C2504" i="6"/>
  <c r="E2553" i="6"/>
  <c r="C2585" i="6"/>
  <c r="C2550" i="6"/>
  <c r="I2562" i="6"/>
  <c r="G2551" i="6"/>
  <c r="E2562" i="6"/>
  <c r="E2514" i="6"/>
  <c r="C2535" i="6"/>
  <c r="C2571" i="6"/>
  <c r="E2510" i="6"/>
  <c r="C2540" i="6"/>
  <c r="E2601" i="6"/>
  <c r="G2590" i="6"/>
  <c r="C2514" i="6"/>
  <c r="I2561" i="6"/>
  <c r="G2550" i="6"/>
  <c r="E2561" i="6"/>
  <c r="E2513" i="6"/>
  <c r="C2536" i="6"/>
  <c r="C2572" i="6"/>
  <c r="I2553" i="6"/>
  <c r="G2546" i="6"/>
  <c r="E2558" i="6"/>
  <c r="C2576" i="6"/>
  <c r="E2505" i="6"/>
  <c r="C2513" i="6"/>
  <c r="K2586" i="6"/>
  <c r="E2595" i="6"/>
  <c r="C2586" i="6"/>
  <c r="I2528" i="6"/>
  <c r="G2543" i="6"/>
  <c r="E2557" i="6"/>
  <c r="E2509" i="6"/>
  <c r="C2512" i="6"/>
  <c r="C2548" i="6"/>
  <c r="C2584" i="6"/>
  <c r="G2599" i="6"/>
  <c r="G2528" i="6"/>
  <c r="C2549" i="6"/>
  <c r="G2520" i="6"/>
  <c r="E2547" i="6"/>
  <c r="C1323" i="6"/>
  <c r="E1489" i="6"/>
  <c r="E2630" i="6"/>
  <c r="K2494" i="6"/>
  <c r="K2482" i="6"/>
  <c r="K2470" i="6"/>
  <c r="K2458" i="6"/>
  <c r="K2446" i="6"/>
  <c r="K2434" i="6"/>
  <c r="K2422" i="6"/>
  <c r="K2410" i="6"/>
  <c r="K2493" i="6"/>
  <c r="K2481" i="6"/>
  <c r="K2469" i="6"/>
  <c r="K2457" i="6"/>
  <c r="K2445" i="6"/>
  <c r="K2433" i="6"/>
  <c r="K2421" i="6"/>
  <c r="K2409" i="6"/>
  <c r="K2492" i="6"/>
  <c r="K2478" i="6"/>
  <c r="K2464" i="6"/>
  <c r="K2450" i="6"/>
  <c r="K2436" i="6"/>
  <c r="K2420" i="6"/>
  <c r="K2406" i="6"/>
  <c r="K2497" i="6"/>
  <c r="K2480" i="6"/>
  <c r="K2465" i="6"/>
  <c r="K2449" i="6"/>
  <c r="K2432" i="6"/>
  <c r="K2417" i="6"/>
  <c r="K2402" i="6"/>
  <c r="K2490" i="6"/>
  <c r="K2475" i="6"/>
  <c r="K2460" i="6"/>
  <c r="K2443" i="6"/>
  <c r="K2428" i="6"/>
  <c r="K2413" i="6"/>
  <c r="K2489" i="6"/>
  <c r="K2474" i="6"/>
  <c r="K2459" i="6"/>
  <c r="K2442" i="6"/>
  <c r="K2427" i="6"/>
  <c r="K2412" i="6"/>
  <c r="K2495" i="6"/>
  <c r="K2472" i="6"/>
  <c r="K2452" i="6"/>
  <c r="K2430" i="6"/>
  <c r="K2408" i="6"/>
  <c r="K2491" i="6"/>
  <c r="K2471" i="6"/>
  <c r="K2451" i="6"/>
  <c r="K2429" i="6"/>
  <c r="K2407" i="6"/>
  <c r="K2483" i="6"/>
  <c r="K2455" i="6"/>
  <c r="K2431" i="6"/>
  <c r="K2404" i="6"/>
  <c r="I2500" i="6"/>
  <c r="I2488" i="6"/>
  <c r="I2476" i="6"/>
  <c r="I2464" i="6"/>
  <c r="I2452" i="6"/>
  <c r="I2440" i="6"/>
  <c r="I2428" i="6"/>
  <c r="I2416" i="6"/>
  <c r="I2404" i="6"/>
  <c r="K2499" i="6"/>
  <c r="K2473" i="6"/>
  <c r="K2447" i="6"/>
  <c r="K2423" i="6"/>
  <c r="I2496" i="6"/>
  <c r="I2484" i="6"/>
  <c r="I2472" i="6"/>
  <c r="I2460" i="6"/>
  <c r="I2448" i="6"/>
  <c r="I2436" i="6"/>
  <c r="I2424" i="6"/>
  <c r="I2412" i="6"/>
  <c r="K2498" i="6"/>
  <c r="K2468" i="6"/>
  <c r="K2444" i="6"/>
  <c r="K2419" i="6"/>
  <c r="I2495" i="6"/>
  <c r="I2483" i="6"/>
  <c r="I2471" i="6"/>
  <c r="I2459" i="6"/>
  <c r="I2447" i="6"/>
  <c r="I2435" i="6"/>
  <c r="I2423" i="6"/>
  <c r="I2411" i="6"/>
  <c r="K2477" i="6"/>
  <c r="K2440" i="6"/>
  <c r="K2411" i="6"/>
  <c r="K2476" i="6"/>
  <c r="K2439" i="6"/>
  <c r="K2405" i="6"/>
  <c r="I2493" i="6"/>
  <c r="I2478" i="6"/>
  <c r="I2462" i="6"/>
  <c r="I2445" i="6"/>
  <c r="I2430" i="6"/>
  <c r="I2414" i="6"/>
  <c r="K2466" i="6"/>
  <c r="K2437" i="6"/>
  <c r="K2401" i="6"/>
  <c r="I2491" i="6"/>
  <c r="I2475" i="6"/>
  <c r="I2458" i="6"/>
  <c r="I2443" i="6"/>
  <c r="I2427" i="6"/>
  <c r="I2410" i="6"/>
  <c r="K2486" i="6"/>
  <c r="K2441" i="6"/>
  <c r="I2494" i="6"/>
  <c r="I2474" i="6"/>
  <c r="I2455" i="6"/>
  <c r="I2437" i="6"/>
  <c r="I2418" i="6"/>
  <c r="K2467" i="6"/>
  <c r="K2425" i="6"/>
  <c r="I2487" i="6"/>
  <c r="I2468" i="6"/>
  <c r="I2450" i="6"/>
  <c r="I2431" i="6"/>
  <c r="I2409" i="6"/>
  <c r="G2500" i="6"/>
  <c r="G2488" i="6"/>
  <c r="G2476" i="6"/>
  <c r="G2464" i="6"/>
  <c r="G2452" i="6"/>
  <c r="G2440" i="6"/>
  <c r="G2428" i="6"/>
  <c r="G2416" i="6"/>
  <c r="G2404" i="6"/>
  <c r="K2463" i="6"/>
  <c r="K2424" i="6"/>
  <c r="I2486" i="6"/>
  <c r="I2467" i="6"/>
  <c r="I2449" i="6"/>
  <c r="I2429" i="6"/>
  <c r="I2408" i="6"/>
  <c r="G2499" i="6"/>
  <c r="G2487" i="6"/>
  <c r="G2475" i="6"/>
  <c r="G2463" i="6"/>
  <c r="G2451" i="6"/>
  <c r="G2439" i="6"/>
  <c r="G2427" i="6"/>
  <c r="G2415" i="6"/>
  <c r="G2403" i="6"/>
  <c r="K2479" i="6"/>
  <c r="K2415" i="6"/>
  <c r="I2499" i="6"/>
  <c r="I2473" i="6"/>
  <c r="I2446" i="6"/>
  <c r="I2421" i="6"/>
  <c r="K2462" i="6"/>
  <c r="K2414" i="6"/>
  <c r="I2498" i="6"/>
  <c r="I2470" i="6"/>
  <c r="I2444" i="6"/>
  <c r="I2420" i="6"/>
  <c r="K2454" i="6"/>
  <c r="I2490" i="6"/>
  <c r="I2465" i="6"/>
  <c r="I2439" i="6"/>
  <c r="I2415" i="6"/>
  <c r="G2491" i="6"/>
  <c r="G2477" i="6"/>
  <c r="G2461" i="6"/>
  <c r="G2447" i="6"/>
  <c r="G2433" i="6"/>
  <c r="G2419" i="6"/>
  <c r="G2405" i="6"/>
  <c r="K2485" i="6"/>
  <c r="I2481" i="6"/>
  <c r="I2451" i="6"/>
  <c r="I2413" i="6"/>
  <c r="G2498" i="6"/>
  <c r="G2483" i="6"/>
  <c r="G2468" i="6"/>
  <c r="G2453" i="6"/>
  <c r="G2436" i="6"/>
  <c r="G2421" i="6"/>
  <c r="G2406" i="6"/>
  <c r="E2496" i="6"/>
  <c r="E2484" i="6"/>
  <c r="E2472" i="6"/>
  <c r="E2460" i="6"/>
  <c r="E2448" i="6"/>
  <c r="E2436" i="6"/>
  <c r="E2424" i="6"/>
  <c r="E2412" i="6"/>
  <c r="K2484" i="6"/>
  <c r="I2480" i="6"/>
  <c r="I2442" i="6"/>
  <c r="I2407" i="6"/>
  <c r="G2497" i="6"/>
  <c r="G2482" i="6"/>
  <c r="G2467" i="6"/>
  <c r="G2450" i="6"/>
  <c r="G2435" i="6"/>
  <c r="G2420" i="6"/>
  <c r="G2402" i="6"/>
  <c r="K2453" i="6"/>
  <c r="I2469" i="6"/>
  <c r="I2434" i="6"/>
  <c r="I2403" i="6"/>
  <c r="G2494" i="6"/>
  <c r="G2479" i="6"/>
  <c r="G2462" i="6"/>
  <c r="G2446" i="6"/>
  <c r="G2431" i="6"/>
  <c r="G2414" i="6"/>
  <c r="E2492" i="6"/>
  <c r="E2480" i="6"/>
  <c r="E2468" i="6"/>
  <c r="E2456" i="6"/>
  <c r="E2444" i="6"/>
  <c r="E2432" i="6"/>
  <c r="E2420" i="6"/>
  <c r="E2408" i="6"/>
  <c r="K2448" i="6"/>
  <c r="I2466" i="6"/>
  <c r="I2433" i="6"/>
  <c r="I2402" i="6"/>
  <c r="G2493" i="6"/>
  <c r="G2478" i="6"/>
  <c r="G2460" i="6"/>
  <c r="G2445" i="6"/>
  <c r="G2430" i="6"/>
  <c r="G2413" i="6"/>
  <c r="E2491" i="6"/>
  <c r="E2479" i="6"/>
  <c r="E2467" i="6"/>
  <c r="E2455" i="6"/>
  <c r="E2443" i="6"/>
  <c r="E2431" i="6"/>
  <c r="E2419" i="6"/>
  <c r="E2407" i="6"/>
  <c r="K2488" i="6"/>
  <c r="I2456" i="6"/>
  <c r="I2405" i="6"/>
  <c r="G2492" i="6"/>
  <c r="G2470" i="6"/>
  <c r="G2444" i="6"/>
  <c r="G2423" i="6"/>
  <c r="E2497" i="6"/>
  <c r="E2481" i="6"/>
  <c r="E2464" i="6"/>
  <c r="E2449" i="6"/>
  <c r="E2433" i="6"/>
  <c r="E2416" i="6"/>
  <c r="C2413" i="6"/>
  <c r="C2425" i="6"/>
  <c r="C2437" i="6"/>
  <c r="C2449" i="6"/>
  <c r="C2461" i="6"/>
  <c r="C2473" i="6"/>
  <c r="C2485" i="6"/>
  <c r="C2497" i="6"/>
  <c r="K2487" i="6"/>
  <c r="I2454" i="6"/>
  <c r="I2401" i="6"/>
  <c r="G2490" i="6"/>
  <c r="G2469" i="6"/>
  <c r="G2443" i="6"/>
  <c r="G2422" i="6"/>
  <c r="E2495" i="6"/>
  <c r="E2478" i="6"/>
  <c r="E2463" i="6"/>
  <c r="E2447" i="6"/>
  <c r="E2430" i="6"/>
  <c r="E2415" i="6"/>
  <c r="C2414" i="6"/>
  <c r="C2426" i="6"/>
  <c r="C2438" i="6"/>
  <c r="C2450" i="6"/>
  <c r="C2462" i="6"/>
  <c r="C2474" i="6"/>
  <c r="C2486" i="6"/>
  <c r="C2498" i="6"/>
  <c r="K2438" i="6"/>
  <c r="I2489" i="6"/>
  <c r="I2438" i="6"/>
  <c r="G2485" i="6"/>
  <c r="G2459" i="6"/>
  <c r="G2438" i="6"/>
  <c r="G2412" i="6"/>
  <c r="E2490" i="6"/>
  <c r="E2475" i="6"/>
  <c r="E2459" i="6"/>
  <c r="E2442" i="6"/>
  <c r="E2427" i="6"/>
  <c r="E2411" i="6"/>
  <c r="C2405" i="6"/>
  <c r="C2417" i="6"/>
  <c r="C2429" i="6"/>
  <c r="C2441" i="6"/>
  <c r="C2453" i="6"/>
  <c r="C2465" i="6"/>
  <c r="C2477" i="6"/>
  <c r="C2489" i="6"/>
  <c r="C2501" i="6"/>
  <c r="K2435" i="6"/>
  <c r="I2485" i="6"/>
  <c r="I2432" i="6"/>
  <c r="G2484" i="6"/>
  <c r="G2458" i="6"/>
  <c r="G2437" i="6"/>
  <c r="G2411" i="6"/>
  <c r="E2489" i="6"/>
  <c r="E2474" i="6"/>
  <c r="E2458" i="6"/>
  <c r="E2441" i="6"/>
  <c r="E2426" i="6"/>
  <c r="E2410" i="6"/>
  <c r="C2406" i="6"/>
  <c r="C2418" i="6"/>
  <c r="C2430" i="6"/>
  <c r="C2442" i="6"/>
  <c r="C2454" i="6"/>
  <c r="C2466" i="6"/>
  <c r="C2478" i="6"/>
  <c r="C2490" i="6"/>
  <c r="C2402" i="6"/>
  <c r="I2463" i="6"/>
  <c r="G2471" i="6"/>
  <c r="G2432" i="6"/>
  <c r="E2482" i="6"/>
  <c r="E2454" i="6"/>
  <c r="E2434" i="6"/>
  <c r="E2406" i="6"/>
  <c r="C2409" i="6"/>
  <c r="C2427" i="6"/>
  <c r="C2445" i="6"/>
  <c r="C2463" i="6"/>
  <c r="C2481" i="6"/>
  <c r="C2499" i="6"/>
  <c r="G2465" i="6"/>
  <c r="E2500" i="6"/>
  <c r="E2452" i="6"/>
  <c r="E2404" i="6"/>
  <c r="C2431" i="6"/>
  <c r="C2467" i="6"/>
  <c r="I2461" i="6"/>
  <c r="G2466" i="6"/>
  <c r="G2429" i="6"/>
  <c r="E2501" i="6"/>
  <c r="E2477" i="6"/>
  <c r="E2453" i="6"/>
  <c r="E2429" i="6"/>
  <c r="E2405" i="6"/>
  <c r="C2410" i="6"/>
  <c r="C2428" i="6"/>
  <c r="C2446" i="6"/>
  <c r="C2464" i="6"/>
  <c r="C2482" i="6"/>
  <c r="C2500" i="6"/>
  <c r="I2457" i="6"/>
  <c r="G2426" i="6"/>
  <c r="E2476" i="6"/>
  <c r="E2428" i="6"/>
  <c r="C2411" i="6"/>
  <c r="C2447" i="6"/>
  <c r="C2483" i="6"/>
  <c r="K2500" i="6"/>
  <c r="I2441" i="6"/>
  <c r="G2495" i="6"/>
  <c r="G2456" i="6"/>
  <c r="G2424" i="6"/>
  <c r="E2498" i="6"/>
  <c r="E2471" i="6"/>
  <c r="E2450" i="6"/>
  <c r="E2423" i="6"/>
  <c r="E2402" i="6"/>
  <c r="C2415" i="6"/>
  <c r="C2433" i="6"/>
  <c r="C2451" i="6"/>
  <c r="C2469" i="6"/>
  <c r="C2487" i="6"/>
  <c r="I2425" i="6"/>
  <c r="G2454" i="6"/>
  <c r="E2493" i="6"/>
  <c r="E2445" i="6"/>
  <c r="C2435" i="6"/>
  <c r="C2471" i="6"/>
  <c r="K2496" i="6"/>
  <c r="I2426" i="6"/>
  <c r="G2489" i="6"/>
  <c r="G2455" i="6"/>
  <c r="G2418" i="6"/>
  <c r="E2494" i="6"/>
  <c r="E2470" i="6"/>
  <c r="E2446" i="6"/>
  <c r="E2422" i="6"/>
  <c r="C2416" i="6"/>
  <c r="C2434" i="6"/>
  <c r="C2452" i="6"/>
  <c r="C2470" i="6"/>
  <c r="C2488" i="6"/>
  <c r="K2461" i="6"/>
  <c r="G2486" i="6"/>
  <c r="G2417" i="6"/>
  <c r="E2469" i="6"/>
  <c r="E2421" i="6"/>
  <c r="C2419" i="6"/>
  <c r="C2455" i="6"/>
  <c r="C2491" i="6"/>
  <c r="K2416" i="6"/>
  <c r="I2419" i="6"/>
  <c r="G2481" i="6"/>
  <c r="G2410" i="6"/>
  <c r="E2473" i="6"/>
  <c r="E2425" i="6"/>
  <c r="C2404" i="6"/>
  <c r="C2440" i="6"/>
  <c r="C2476" i="6"/>
  <c r="G2407" i="6"/>
  <c r="E2462" i="6"/>
  <c r="C2412" i="6"/>
  <c r="G2449" i="6"/>
  <c r="E2403" i="6"/>
  <c r="C2458" i="6"/>
  <c r="K2403" i="6"/>
  <c r="I2417" i="6"/>
  <c r="G2480" i="6"/>
  <c r="G2409" i="6"/>
  <c r="E2466" i="6"/>
  <c r="E2418" i="6"/>
  <c r="C2407" i="6"/>
  <c r="C2443" i="6"/>
  <c r="C2479" i="6"/>
  <c r="G2473" i="6"/>
  <c r="C2448" i="6"/>
  <c r="E2409" i="6"/>
  <c r="C2421" i="6"/>
  <c r="I2492" i="6"/>
  <c r="E2499" i="6"/>
  <c r="C2422" i="6"/>
  <c r="I2406" i="6"/>
  <c r="G2474" i="6"/>
  <c r="G2408" i="6"/>
  <c r="E2465" i="6"/>
  <c r="E2417" i="6"/>
  <c r="C2408" i="6"/>
  <c r="C2444" i="6"/>
  <c r="C2480" i="6"/>
  <c r="E2414" i="6"/>
  <c r="C2484" i="6"/>
  <c r="C2493" i="6"/>
  <c r="E2451" i="6"/>
  <c r="C2494" i="6"/>
  <c r="G2472" i="6"/>
  <c r="G2401" i="6"/>
  <c r="E2461" i="6"/>
  <c r="E2413" i="6"/>
  <c r="C2420" i="6"/>
  <c r="C2456" i="6"/>
  <c r="C2492" i="6"/>
  <c r="I2497" i="6"/>
  <c r="G2457" i="6"/>
  <c r="E2457" i="6"/>
  <c r="C2457" i="6"/>
  <c r="C1283" i="6"/>
  <c r="G2581" i="6"/>
  <c r="C1119" i="6"/>
  <c r="C1402" i="6"/>
  <c r="C2367" i="6"/>
  <c r="C2695" i="6"/>
  <c r="E1103" i="6"/>
  <c r="E2632" i="6"/>
  <c r="G1108" i="6"/>
  <c r="G1491" i="6"/>
  <c r="I1155" i="6"/>
  <c r="C1058" i="6"/>
  <c r="C1170" i="6"/>
  <c r="C1118" i="6"/>
  <c r="C1267" i="6"/>
  <c r="C1356" i="6"/>
  <c r="C1444" i="6"/>
  <c r="C2238" i="6"/>
  <c r="C2468" i="6"/>
  <c r="C2608" i="6"/>
  <c r="E1004" i="6"/>
  <c r="E1191" i="6"/>
  <c r="E1312" i="6"/>
  <c r="E1404" i="6"/>
  <c r="E1499" i="6"/>
  <c r="E2296" i="6"/>
  <c r="E2437" i="6"/>
  <c r="E2535" i="6"/>
  <c r="E2675" i="6"/>
  <c r="G1113" i="6"/>
  <c r="G1225" i="6"/>
  <c r="G1378" i="6"/>
  <c r="G2291" i="6"/>
  <c r="G2441" i="6"/>
  <c r="G2589" i="6"/>
  <c r="I1383" i="6"/>
  <c r="I2477" i="6"/>
  <c r="K1260" i="6"/>
  <c r="K2418" i="6"/>
  <c r="K1491" i="6"/>
  <c r="K1479" i="6"/>
  <c r="K1467" i="6"/>
  <c r="K1455" i="6"/>
  <c r="K1443" i="6"/>
  <c r="K1431" i="6"/>
  <c r="K1419" i="6"/>
  <c r="K1407" i="6"/>
  <c r="K1492" i="6"/>
  <c r="K1478" i="6"/>
  <c r="K1465" i="6"/>
  <c r="K1452" i="6"/>
  <c r="K1439" i="6"/>
  <c r="K1426" i="6"/>
  <c r="K1413" i="6"/>
  <c r="K1490" i="6"/>
  <c r="K1477" i="6"/>
  <c r="K1464" i="6"/>
  <c r="K1451" i="6"/>
  <c r="K1438" i="6"/>
  <c r="K1425" i="6"/>
  <c r="K1412" i="6"/>
  <c r="K1494" i="6"/>
  <c r="K1476" i="6"/>
  <c r="K1461" i="6"/>
  <c r="K1446" i="6"/>
  <c r="K1430" i="6"/>
  <c r="K1415" i="6"/>
  <c r="K1493" i="6"/>
  <c r="K1475" i="6"/>
  <c r="K1460" i="6"/>
  <c r="K1445" i="6"/>
  <c r="K1429" i="6"/>
  <c r="K1414" i="6"/>
  <c r="K1484" i="6"/>
  <c r="K1466" i="6"/>
  <c r="K1447" i="6"/>
  <c r="K1427" i="6"/>
  <c r="K1408" i="6"/>
  <c r="K1497" i="6"/>
  <c r="K1480" i="6"/>
  <c r="K1458" i="6"/>
  <c r="K1440" i="6"/>
  <c r="K1421" i="6"/>
  <c r="K1403" i="6"/>
  <c r="I1500" i="6"/>
  <c r="I1488" i="6"/>
  <c r="I1476" i="6"/>
  <c r="I1464" i="6"/>
  <c r="I1452" i="6"/>
  <c r="I1440" i="6"/>
  <c r="K1496" i="6"/>
  <c r="K1474" i="6"/>
  <c r="K1457" i="6"/>
  <c r="K1437" i="6"/>
  <c r="K1420" i="6"/>
  <c r="K1402" i="6"/>
  <c r="I1499" i="6"/>
  <c r="I1487" i="6"/>
  <c r="I1475" i="6"/>
  <c r="I1463" i="6"/>
  <c r="I1451" i="6"/>
  <c r="I1439" i="6"/>
  <c r="I1427" i="6"/>
  <c r="K1495" i="6"/>
  <c r="K1470" i="6"/>
  <c r="K1444" i="6"/>
  <c r="K1418" i="6"/>
  <c r="K1489" i="6"/>
  <c r="K1469" i="6"/>
  <c r="K1442" i="6"/>
  <c r="K1417" i="6"/>
  <c r="K1487" i="6"/>
  <c r="K1463" i="6"/>
  <c r="K1436" i="6"/>
  <c r="K1411" i="6"/>
  <c r="K1471" i="6"/>
  <c r="K1434" i="6"/>
  <c r="K1404" i="6"/>
  <c r="I1496" i="6"/>
  <c r="I1482" i="6"/>
  <c r="I1468" i="6"/>
  <c r="I1454" i="6"/>
  <c r="I1438" i="6"/>
  <c r="I1425" i="6"/>
  <c r="I1413" i="6"/>
  <c r="I1401" i="6"/>
  <c r="K1488" i="6"/>
  <c r="K1456" i="6"/>
  <c r="K1424" i="6"/>
  <c r="I1492" i="6"/>
  <c r="I1478" i="6"/>
  <c r="I1462" i="6"/>
  <c r="I1448" i="6"/>
  <c r="I1434" i="6"/>
  <c r="I1421" i="6"/>
  <c r="I1409" i="6"/>
  <c r="K1486" i="6"/>
  <c r="K1454" i="6"/>
  <c r="K1423" i="6"/>
  <c r="I1491" i="6"/>
  <c r="I1477" i="6"/>
  <c r="I1461" i="6"/>
  <c r="I1447" i="6"/>
  <c r="I1433" i="6"/>
  <c r="I1420" i="6"/>
  <c r="I1408" i="6"/>
  <c r="K1500" i="6"/>
  <c r="K1453" i="6"/>
  <c r="K1409" i="6"/>
  <c r="I1483" i="6"/>
  <c r="I1465" i="6"/>
  <c r="I1444" i="6"/>
  <c r="I1426" i="6"/>
  <c r="I1410" i="6"/>
  <c r="K1499" i="6"/>
  <c r="K1450" i="6"/>
  <c r="K1406" i="6"/>
  <c r="I1481" i="6"/>
  <c r="I1460" i="6"/>
  <c r="I1443" i="6"/>
  <c r="I1424" i="6"/>
  <c r="I1407" i="6"/>
  <c r="K1483" i="6"/>
  <c r="K1441" i="6"/>
  <c r="I1495" i="6"/>
  <c r="I1474" i="6"/>
  <c r="I1457" i="6"/>
  <c r="I1437" i="6"/>
  <c r="I1419" i="6"/>
  <c r="I1404" i="6"/>
  <c r="K1498" i="6"/>
  <c r="K1433" i="6"/>
  <c r="I1484" i="6"/>
  <c r="I1456" i="6"/>
  <c r="I1431" i="6"/>
  <c r="I1411" i="6"/>
  <c r="G1500" i="6"/>
  <c r="G1488" i="6"/>
  <c r="G1476" i="6"/>
  <c r="G1464" i="6"/>
  <c r="G1452" i="6"/>
  <c r="G1440" i="6"/>
  <c r="G1428" i="6"/>
  <c r="G1416" i="6"/>
  <c r="G1404" i="6"/>
  <c r="K1485" i="6"/>
  <c r="K1432" i="6"/>
  <c r="I1480" i="6"/>
  <c r="I1455" i="6"/>
  <c r="I1430" i="6"/>
  <c r="I1406" i="6"/>
  <c r="G1499" i="6"/>
  <c r="G1487" i="6"/>
  <c r="G1475" i="6"/>
  <c r="G1463" i="6"/>
  <c r="G1451" i="6"/>
  <c r="G1439" i="6"/>
  <c r="G1427" i="6"/>
  <c r="G1415" i="6"/>
  <c r="G1403" i="6"/>
  <c r="K1473" i="6"/>
  <c r="K1416" i="6"/>
  <c r="I1498" i="6"/>
  <c r="I1472" i="6"/>
  <c r="I1449" i="6"/>
  <c r="I1423" i="6"/>
  <c r="I1402" i="6"/>
  <c r="G1496" i="6"/>
  <c r="G1484" i="6"/>
  <c r="G1472" i="6"/>
  <c r="G1460" i="6"/>
  <c r="G1448" i="6"/>
  <c r="G1436" i="6"/>
  <c r="G1424" i="6"/>
  <c r="G1412" i="6"/>
  <c r="E1496" i="6"/>
  <c r="E1484" i="6"/>
  <c r="E1472" i="6"/>
  <c r="E1460" i="6"/>
  <c r="E1448" i="6"/>
  <c r="E1436" i="6"/>
  <c r="E1424" i="6"/>
  <c r="E1412" i="6"/>
  <c r="K1472" i="6"/>
  <c r="K1410" i="6"/>
  <c r="I1497" i="6"/>
  <c r="I1471" i="6"/>
  <c r="I1446" i="6"/>
  <c r="I1422" i="6"/>
  <c r="G1495" i="6"/>
  <c r="G1483" i="6"/>
  <c r="G1471" i="6"/>
  <c r="G1459" i="6"/>
  <c r="G1447" i="6"/>
  <c r="G1435" i="6"/>
  <c r="G1423" i="6"/>
  <c r="G1411" i="6"/>
  <c r="E1495" i="6"/>
  <c r="E1483" i="6"/>
  <c r="E1471" i="6"/>
  <c r="E1459" i="6"/>
  <c r="E1447" i="6"/>
  <c r="E1435" i="6"/>
  <c r="E1423" i="6"/>
  <c r="E1411" i="6"/>
  <c r="K1401" i="6"/>
  <c r="I1489" i="6"/>
  <c r="I1450" i="6"/>
  <c r="I1415" i="6"/>
  <c r="G1490" i="6"/>
  <c r="G1470" i="6"/>
  <c r="G1454" i="6"/>
  <c r="G1434" i="6"/>
  <c r="G1418" i="6"/>
  <c r="E1492" i="6"/>
  <c r="E1478" i="6"/>
  <c r="E1464" i="6"/>
  <c r="E1450" i="6"/>
  <c r="E1434" i="6"/>
  <c r="E1420" i="6"/>
  <c r="E1406" i="6"/>
  <c r="C1409" i="6"/>
  <c r="C1421" i="6"/>
  <c r="C1433" i="6"/>
  <c r="C1445" i="6"/>
  <c r="C1457" i="6"/>
  <c r="C1469" i="6"/>
  <c r="C1481" i="6"/>
  <c r="C1493" i="6"/>
  <c r="K1482" i="6"/>
  <c r="I1486" i="6"/>
  <c r="I1445" i="6"/>
  <c r="I1414" i="6"/>
  <c r="G1489" i="6"/>
  <c r="G1469" i="6"/>
  <c r="G1453" i="6"/>
  <c r="G1433" i="6"/>
  <c r="G1417" i="6"/>
  <c r="E1491" i="6"/>
  <c r="E1477" i="6"/>
  <c r="E1463" i="6"/>
  <c r="E1449" i="6"/>
  <c r="E1433" i="6"/>
  <c r="E1419" i="6"/>
  <c r="E1405" i="6"/>
  <c r="C1410" i="6"/>
  <c r="C1422" i="6"/>
  <c r="C1434" i="6"/>
  <c r="C1446" i="6"/>
  <c r="C1458" i="6"/>
  <c r="C1470" i="6"/>
  <c r="C1482" i="6"/>
  <c r="C1494" i="6"/>
  <c r="K1462" i="6"/>
  <c r="I1473" i="6"/>
  <c r="I1436" i="6"/>
  <c r="I1403" i="6"/>
  <c r="G1482" i="6"/>
  <c r="G1466" i="6"/>
  <c r="G1446" i="6"/>
  <c r="G1430" i="6"/>
  <c r="G1410" i="6"/>
  <c r="E1488" i="6"/>
  <c r="E1474" i="6"/>
  <c r="E1458" i="6"/>
  <c r="E1444" i="6"/>
  <c r="E1430" i="6"/>
  <c r="E1416" i="6"/>
  <c r="E1402" i="6"/>
  <c r="C1413" i="6"/>
  <c r="C1425" i="6"/>
  <c r="C1437" i="6"/>
  <c r="C1449" i="6"/>
  <c r="C1461" i="6"/>
  <c r="C1473" i="6"/>
  <c r="C1485" i="6"/>
  <c r="C1497" i="6"/>
  <c r="K1459" i="6"/>
  <c r="I1470" i="6"/>
  <c r="I1435" i="6"/>
  <c r="G1481" i="6"/>
  <c r="G1465" i="6"/>
  <c r="G1445" i="6"/>
  <c r="G1429" i="6"/>
  <c r="G1409" i="6"/>
  <c r="E1501" i="6"/>
  <c r="E1487" i="6"/>
  <c r="E1473" i="6"/>
  <c r="E1457" i="6"/>
  <c r="E1443" i="6"/>
  <c r="E1429" i="6"/>
  <c r="E1415" i="6"/>
  <c r="I1479" i="6"/>
  <c r="I1418" i="6"/>
  <c r="G1485" i="6"/>
  <c r="G1457" i="6"/>
  <c r="G1431" i="6"/>
  <c r="G1405" i="6"/>
  <c r="E1482" i="6"/>
  <c r="E1462" i="6"/>
  <c r="E1440" i="6"/>
  <c r="E1418" i="6"/>
  <c r="C1403" i="6"/>
  <c r="C1418" i="6"/>
  <c r="C1435" i="6"/>
  <c r="C1451" i="6"/>
  <c r="C1466" i="6"/>
  <c r="C1483" i="6"/>
  <c r="C1499" i="6"/>
  <c r="K1468" i="6"/>
  <c r="I1467" i="6"/>
  <c r="G1455" i="6"/>
  <c r="G1401" i="6"/>
  <c r="E1500" i="6"/>
  <c r="E1456" i="6"/>
  <c r="E1414" i="6"/>
  <c r="C1420" i="6"/>
  <c r="C1453" i="6"/>
  <c r="C1486" i="6"/>
  <c r="K1481" i="6"/>
  <c r="I1469" i="6"/>
  <c r="I1417" i="6"/>
  <c r="G1480" i="6"/>
  <c r="G1456" i="6"/>
  <c r="G1426" i="6"/>
  <c r="G1402" i="6"/>
  <c r="E1481" i="6"/>
  <c r="E1461" i="6"/>
  <c r="E1439" i="6"/>
  <c r="E1417" i="6"/>
  <c r="C1404" i="6"/>
  <c r="C1419" i="6"/>
  <c r="C1436" i="6"/>
  <c r="C1452" i="6"/>
  <c r="C1467" i="6"/>
  <c r="C1484" i="6"/>
  <c r="C1500" i="6"/>
  <c r="I1416" i="6"/>
  <c r="G1479" i="6"/>
  <c r="G1425" i="6"/>
  <c r="E1480" i="6"/>
  <c r="E1438" i="6"/>
  <c r="C1405" i="6"/>
  <c r="C1438" i="6"/>
  <c r="C1468" i="6"/>
  <c r="C1501" i="6"/>
  <c r="K1448" i="6"/>
  <c r="I1459" i="6"/>
  <c r="I1405" i="6"/>
  <c r="G1477" i="6"/>
  <c r="G1449" i="6"/>
  <c r="G1421" i="6"/>
  <c r="E1498" i="6"/>
  <c r="E1476" i="6"/>
  <c r="E1454" i="6"/>
  <c r="E1432" i="6"/>
  <c r="E1410" i="6"/>
  <c r="C1407" i="6"/>
  <c r="C1424" i="6"/>
  <c r="C1440" i="6"/>
  <c r="C1455" i="6"/>
  <c r="C1472" i="6"/>
  <c r="C1488" i="6"/>
  <c r="I1453" i="6"/>
  <c r="G1473" i="6"/>
  <c r="G1419" i="6"/>
  <c r="E1494" i="6"/>
  <c r="E1470" i="6"/>
  <c r="E1428" i="6"/>
  <c r="C1411" i="6"/>
  <c r="K1435" i="6"/>
  <c r="I1458" i="6"/>
  <c r="G1498" i="6"/>
  <c r="G1474" i="6"/>
  <c r="G1444" i="6"/>
  <c r="G1420" i="6"/>
  <c r="E1497" i="6"/>
  <c r="E1475" i="6"/>
  <c r="E1453" i="6"/>
  <c r="E1431" i="6"/>
  <c r="E1409" i="6"/>
  <c r="C1408" i="6"/>
  <c r="C1426" i="6"/>
  <c r="C1441" i="6"/>
  <c r="C1456" i="6"/>
  <c r="C1474" i="6"/>
  <c r="C1489" i="6"/>
  <c r="K1428" i="6"/>
  <c r="G1497" i="6"/>
  <c r="G1443" i="6"/>
  <c r="E1452" i="6"/>
  <c r="E1408" i="6"/>
  <c r="C1427" i="6"/>
  <c r="I1441" i="6"/>
  <c r="G1468" i="6"/>
  <c r="G1414" i="6"/>
  <c r="E1485" i="6"/>
  <c r="E1441" i="6"/>
  <c r="C1417" i="6"/>
  <c r="C1448" i="6"/>
  <c r="C1477" i="6"/>
  <c r="C1423" i="6"/>
  <c r="C1478" i="6"/>
  <c r="E1426" i="6"/>
  <c r="C1480" i="6"/>
  <c r="C1490" i="6"/>
  <c r="I1432" i="6"/>
  <c r="G1467" i="6"/>
  <c r="G1413" i="6"/>
  <c r="E1479" i="6"/>
  <c r="E1437" i="6"/>
  <c r="C1450" i="6"/>
  <c r="G1407" i="6"/>
  <c r="E1468" i="6"/>
  <c r="C1459" i="6"/>
  <c r="E1466" i="6"/>
  <c r="G1442" i="6"/>
  <c r="E1421" i="6"/>
  <c r="K1449" i="6"/>
  <c r="I1429" i="6"/>
  <c r="G1462" i="6"/>
  <c r="G1408" i="6"/>
  <c r="E1469" i="6"/>
  <c r="E1427" i="6"/>
  <c r="C1428" i="6"/>
  <c r="C1454" i="6"/>
  <c r="C1479" i="6"/>
  <c r="K1422" i="6"/>
  <c r="I1428" i="6"/>
  <c r="G1461" i="6"/>
  <c r="C1429" i="6"/>
  <c r="E1422" i="6"/>
  <c r="C1462" i="6"/>
  <c r="I1494" i="6"/>
  <c r="G1494" i="6"/>
  <c r="K1405" i="6"/>
  <c r="I1412" i="6"/>
  <c r="G1458" i="6"/>
  <c r="G1406" i="6"/>
  <c r="E1467" i="6"/>
  <c r="E1425" i="6"/>
  <c r="C1430" i="6"/>
  <c r="C1460" i="6"/>
  <c r="C1487" i="6"/>
  <c r="G1450" i="6"/>
  <c r="C1431" i="6"/>
  <c r="E1465" i="6"/>
  <c r="C1374" i="6"/>
  <c r="C2623" i="6"/>
  <c r="C2620" i="6"/>
  <c r="E1398" i="6"/>
  <c r="E2631" i="6"/>
  <c r="G2425" i="6"/>
  <c r="K1191" i="6"/>
  <c r="K1179" i="6"/>
  <c r="K1167" i="6"/>
  <c r="K1155" i="6"/>
  <c r="K1143" i="6"/>
  <c r="K1131" i="6"/>
  <c r="K1119" i="6"/>
  <c r="K1107" i="6"/>
  <c r="K1189" i="6"/>
  <c r="K1176" i="6"/>
  <c r="K1199" i="6"/>
  <c r="K1185" i="6"/>
  <c r="K1171" i="6"/>
  <c r="K1158" i="6"/>
  <c r="K1145" i="6"/>
  <c r="K1132" i="6"/>
  <c r="K1118" i="6"/>
  <c r="K1105" i="6"/>
  <c r="K1198" i="6"/>
  <c r="K1184" i="6"/>
  <c r="K1170" i="6"/>
  <c r="K1157" i="6"/>
  <c r="K1144" i="6"/>
  <c r="K1130" i="6"/>
  <c r="K1117" i="6"/>
  <c r="K1104" i="6"/>
  <c r="K1188" i="6"/>
  <c r="K1172" i="6"/>
  <c r="K1154" i="6"/>
  <c r="K1139" i="6"/>
  <c r="K1124" i="6"/>
  <c r="K1109" i="6"/>
  <c r="K1200" i="6"/>
  <c r="K1182" i="6"/>
  <c r="K1165" i="6"/>
  <c r="K1150" i="6"/>
  <c r="K1135" i="6"/>
  <c r="K1120" i="6"/>
  <c r="K1102" i="6"/>
  <c r="K1197" i="6"/>
  <c r="K1181" i="6"/>
  <c r="K1164" i="6"/>
  <c r="K1149" i="6"/>
  <c r="K1134" i="6"/>
  <c r="K1116" i="6"/>
  <c r="K1101" i="6"/>
  <c r="K1196" i="6"/>
  <c r="K1175" i="6"/>
  <c r="K1153" i="6"/>
  <c r="K1133" i="6"/>
  <c r="K1112" i="6"/>
  <c r="K1195" i="6"/>
  <c r="K1174" i="6"/>
  <c r="K1152" i="6"/>
  <c r="K1129" i="6"/>
  <c r="K1111" i="6"/>
  <c r="K1193" i="6"/>
  <c r="K1169" i="6"/>
  <c r="K1148" i="6"/>
  <c r="K1127" i="6"/>
  <c r="K1108" i="6"/>
  <c r="K1177" i="6"/>
  <c r="K1146" i="6"/>
  <c r="K1121" i="6"/>
  <c r="I1197" i="6"/>
  <c r="I1185" i="6"/>
  <c r="I1173" i="6"/>
  <c r="I1161" i="6"/>
  <c r="I1149" i="6"/>
  <c r="I1137" i="6"/>
  <c r="I1125" i="6"/>
  <c r="I1113" i="6"/>
  <c r="I1101" i="6"/>
  <c r="K1194" i="6"/>
  <c r="K1163" i="6"/>
  <c r="K1138" i="6"/>
  <c r="K1110" i="6"/>
  <c r="I1193" i="6"/>
  <c r="I1181" i="6"/>
  <c r="I1169" i="6"/>
  <c r="I1157" i="6"/>
  <c r="I1145" i="6"/>
  <c r="I1133" i="6"/>
  <c r="I1121" i="6"/>
  <c r="I1109" i="6"/>
  <c r="K1192" i="6"/>
  <c r="K1162" i="6"/>
  <c r="K1137" i="6"/>
  <c r="K1106" i="6"/>
  <c r="I1192" i="6"/>
  <c r="I1180" i="6"/>
  <c r="I1168" i="6"/>
  <c r="I1156" i="6"/>
  <c r="I1144" i="6"/>
  <c r="I1132" i="6"/>
  <c r="I1120" i="6"/>
  <c r="I1108" i="6"/>
  <c r="K1190" i="6"/>
  <c r="K1156" i="6"/>
  <c r="K1115" i="6"/>
  <c r="I1186" i="6"/>
  <c r="I1170" i="6"/>
  <c r="I1153" i="6"/>
  <c r="I1138" i="6"/>
  <c r="I1122" i="6"/>
  <c r="I1105" i="6"/>
  <c r="K1187" i="6"/>
  <c r="K1151" i="6"/>
  <c r="K1114" i="6"/>
  <c r="I1200" i="6"/>
  <c r="I1184" i="6"/>
  <c r="I1167" i="6"/>
  <c r="I1152" i="6"/>
  <c r="I1136" i="6"/>
  <c r="I1119" i="6"/>
  <c r="I1104" i="6"/>
  <c r="K1180" i="6"/>
  <c r="K1141" i="6"/>
  <c r="I1196" i="6"/>
  <c r="I1179" i="6"/>
  <c r="I1164" i="6"/>
  <c r="I1148" i="6"/>
  <c r="I1131" i="6"/>
  <c r="I1116" i="6"/>
  <c r="K1147" i="6"/>
  <c r="I1195" i="6"/>
  <c r="I1175" i="6"/>
  <c r="I1154" i="6"/>
  <c r="I1130" i="6"/>
  <c r="I1111" i="6"/>
  <c r="G1200" i="6"/>
  <c r="G1188" i="6"/>
  <c r="G1176" i="6"/>
  <c r="G1164" i="6"/>
  <c r="G1152" i="6"/>
  <c r="G1140" i="6"/>
  <c r="G1128" i="6"/>
  <c r="G1116" i="6"/>
  <c r="G1104" i="6"/>
  <c r="K1142" i="6"/>
  <c r="I1194" i="6"/>
  <c r="I1174" i="6"/>
  <c r="I1151" i="6"/>
  <c r="I1129" i="6"/>
  <c r="I1110" i="6"/>
  <c r="G1199" i="6"/>
  <c r="G1187" i="6"/>
  <c r="G1175" i="6"/>
  <c r="G1163" i="6"/>
  <c r="G1151" i="6"/>
  <c r="G1139" i="6"/>
  <c r="G1127" i="6"/>
  <c r="G1115" i="6"/>
  <c r="G1103" i="6"/>
  <c r="K1183" i="6"/>
  <c r="K1128" i="6"/>
  <c r="I1189" i="6"/>
  <c r="I1166" i="6"/>
  <c r="I1146" i="6"/>
  <c r="I1126" i="6"/>
  <c r="I1103" i="6"/>
  <c r="G1196" i="6"/>
  <c r="G1184" i="6"/>
  <c r="G1172" i="6"/>
  <c r="G1160" i="6"/>
  <c r="G1148" i="6"/>
  <c r="G1136" i="6"/>
  <c r="G1124" i="6"/>
  <c r="G1112" i="6"/>
  <c r="E1196" i="6"/>
  <c r="E1184" i="6"/>
  <c r="E1172" i="6"/>
  <c r="E1160" i="6"/>
  <c r="E1148" i="6"/>
  <c r="E1136" i="6"/>
  <c r="E1124" i="6"/>
  <c r="E1112" i="6"/>
  <c r="K1178" i="6"/>
  <c r="K1126" i="6"/>
  <c r="I1188" i="6"/>
  <c r="I1165" i="6"/>
  <c r="I1143" i="6"/>
  <c r="I1124" i="6"/>
  <c r="I1102" i="6"/>
  <c r="G1195" i="6"/>
  <c r="G1183" i="6"/>
  <c r="G1171" i="6"/>
  <c r="G1159" i="6"/>
  <c r="G1147" i="6"/>
  <c r="G1135" i="6"/>
  <c r="G1123" i="6"/>
  <c r="G1111" i="6"/>
  <c r="E1195" i="6"/>
  <c r="E1183" i="6"/>
  <c r="E1171" i="6"/>
  <c r="K1159" i="6"/>
  <c r="I1190" i="6"/>
  <c r="I1159" i="6"/>
  <c r="I1127" i="6"/>
  <c r="G1182" i="6"/>
  <c r="G1166" i="6"/>
  <c r="G1146" i="6"/>
  <c r="G1130" i="6"/>
  <c r="G1110" i="6"/>
  <c r="E1190" i="6"/>
  <c r="E1176" i="6"/>
  <c r="E1162" i="6"/>
  <c r="E1149" i="6"/>
  <c r="E1135" i="6"/>
  <c r="E1122" i="6"/>
  <c r="E1109" i="6"/>
  <c r="C1109" i="6"/>
  <c r="C1121" i="6"/>
  <c r="C1133" i="6"/>
  <c r="C1145" i="6"/>
  <c r="K1140" i="6"/>
  <c r="I1187" i="6"/>
  <c r="I1158" i="6"/>
  <c r="I1123" i="6"/>
  <c r="G1181" i="6"/>
  <c r="G1165" i="6"/>
  <c r="G1145" i="6"/>
  <c r="G1129" i="6"/>
  <c r="G1109" i="6"/>
  <c r="E1189" i="6"/>
  <c r="E1175" i="6"/>
  <c r="E1161" i="6"/>
  <c r="E1147" i="6"/>
  <c r="E1134" i="6"/>
  <c r="E1121" i="6"/>
  <c r="E1108" i="6"/>
  <c r="C1110" i="6"/>
  <c r="C1122" i="6"/>
  <c r="C1134" i="6"/>
  <c r="C1146" i="6"/>
  <c r="K1123" i="6"/>
  <c r="I1178" i="6"/>
  <c r="I1147" i="6"/>
  <c r="I1115" i="6"/>
  <c r="G1194" i="6"/>
  <c r="G1178" i="6"/>
  <c r="G1158" i="6"/>
  <c r="G1142" i="6"/>
  <c r="G1122" i="6"/>
  <c r="G1106" i="6"/>
  <c r="E1200" i="6"/>
  <c r="E1186" i="6"/>
  <c r="E1170" i="6"/>
  <c r="E1157" i="6"/>
  <c r="E1144" i="6"/>
  <c r="E1131" i="6"/>
  <c r="E1118" i="6"/>
  <c r="E1105" i="6"/>
  <c r="C1113" i="6"/>
  <c r="C1125" i="6"/>
  <c r="C1137" i="6"/>
  <c r="C1149" i="6"/>
  <c r="C1161" i="6"/>
  <c r="C1173" i="6"/>
  <c r="C1185" i="6"/>
  <c r="C1197" i="6"/>
  <c r="K1122" i="6"/>
  <c r="I1177" i="6"/>
  <c r="I1142" i="6"/>
  <c r="I1114" i="6"/>
  <c r="G1193" i="6"/>
  <c r="G1177" i="6"/>
  <c r="G1157" i="6"/>
  <c r="G1141" i="6"/>
  <c r="G1121" i="6"/>
  <c r="G1105" i="6"/>
  <c r="E1199" i="6"/>
  <c r="E1185" i="6"/>
  <c r="E1169" i="6"/>
  <c r="E1156" i="6"/>
  <c r="E1143" i="6"/>
  <c r="E1130" i="6"/>
  <c r="E1117" i="6"/>
  <c r="E1104" i="6"/>
  <c r="K1103" i="6"/>
  <c r="I1182" i="6"/>
  <c r="I1135" i="6"/>
  <c r="G1189" i="6"/>
  <c r="G1161" i="6"/>
  <c r="G1133" i="6"/>
  <c r="G1107" i="6"/>
  <c r="E1180" i="6"/>
  <c r="E1159" i="6"/>
  <c r="E1140" i="6"/>
  <c r="E1120" i="6"/>
  <c r="C1106" i="6"/>
  <c r="C1123" i="6"/>
  <c r="C1139" i="6"/>
  <c r="C1154" i="6"/>
  <c r="C1167" i="6"/>
  <c r="C1180" i="6"/>
  <c r="C1193" i="6"/>
  <c r="C1124" i="6"/>
  <c r="I1128" i="6"/>
  <c r="G1185" i="6"/>
  <c r="G1131" i="6"/>
  <c r="E1198" i="6"/>
  <c r="E1155" i="6"/>
  <c r="E1116" i="6"/>
  <c r="C1108" i="6"/>
  <c r="C1141" i="6"/>
  <c r="C1169" i="6"/>
  <c r="C1195" i="6"/>
  <c r="I1176" i="6"/>
  <c r="I1134" i="6"/>
  <c r="G1186" i="6"/>
  <c r="G1156" i="6"/>
  <c r="G1132" i="6"/>
  <c r="G1102" i="6"/>
  <c r="E1201" i="6"/>
  <c r="E1179" i="6"/>
  <c r="E1158" i="6"/>
  <c r="E1139" i="6"/>
  <c r="E1119" i="6"/>
  <c r="C1107" i="6"/>
  <c r="C1140" i="6"/>
  <c r="C1155" i="6"/>
  <c r="C1168" i="6"/>
  <c r="C1181" i="6"/>
  <c r="C1194" i="6"/>
  <c r="I1172" i="6"/>
  <c r="G1155" i="6"/>
  <c r="G1101" i="6"/>
  <c r="E1178" i="6"/>
  <c r="E1138" i="6"/>
  <c r="C1126" i="6"/>
  <c r="C1156" i="6"/>
  <c r="C1182" i="6"/>
  <c r="K1173" i="6"/>
  <c r="I1163" i="6"/>
  <c r="I1117" i="6"/>
  <c r="G1179" i="6"/>
  <c r="G1153" i="6"/>
  <c r="G1125" i="6"/>
  <c r="E1194" i="6"/>
  <c r="E1174" i="6"/>
  <c r="E1153" i="6"/>
  <c r="E1133" i="6"/>
  <c r="E1114" i="6"/>
  <c r="C1112" i="6"/>
  <c r="C1128" i="6"/>
  <c r="C1143" i="6"/>
  <c r="C1158" i="6"/>
  <c r="C1171" i="6"/>
  <c r="C1184" i="6"/>
  <c r="C1198" i="6"/>
  <c r="I1160" i="6"/>
  <c r="G1149" i="6"/>
  <c r="E1192" i="6"/>
  <c r="E1151" i="6"/>
  <c r="E1111" i="6"/>
  <c r="K1168" i="6"/>
  <c r="I1162" i="6"/>
  <c r="I1112" i="6"/>
  <c r="G1174" i="6"/>
  <c r="G1150" i="6"/>
  <c r="G1120" i="6"/>
  <c r="E1193" i="6"/>
  <c r="E1173" i="6"/>
  <c r="E1152" i="6"/>
  <c r="E1132" i="6"/>
  <c r="E1113" i="6"/>
  <c r="C1114" i="6"/>
  <c r="C1129" i="6"/>
  <c r="C1144" i="6"/>
  <c r="C1159" i="6"/>
  <c r="C1172" i="6"/>
  <c r="C1186" i="6"/>
  <c r="C1199" i="6"/>
  <c r="K1166" i="6"/>
  <c r="I1107" i="6"/>
  <c r="G1173" i="6"/>
  <c r="G1119" i="6"/>
  <c r="E1168" i="6"/>
  <c r="E1129" i="6"/>
  <c r="I1150" i="6"/>
  <c r="G1198" i="6"/>
  <c r="G1144" i="6"/>
  <c r="E1181" i="6"/>
  <c r="E1141" i="6"/>
  <c r="E1102" i="6"/>
  <c r="C1120" i="6"/>
  <c r="C1151" i="6"/>
  <c r="C1175" i="6"/>
  <c r="C1196" i="6"/>
  <c r="C1152" i="6"/>
  <c r="C1200" i="6"/>
  <c r="C1103" i="6"/>
  <c r="C1102" i="6"/>
  <c r="E1164" i="6"/>
  <c r="C1162" i="6"/>
  <c r="G1118" i="6"/>
  <c r="I1141" i="6"/>
  <c r="G1197" i="6"/>
  <c r="G1143" i="6"/>
  <c r="E1177" i="6"/>
  <c r="E1137" i="6"/>
  <c r="C1127" i="6"/>
  <c r="C1176" i="6"/>
  <c r="G1137" i="6"/>
  <c r="E1166" i="6"/>
  <c r="C1157" i="6"/>
  <c r="E1125" i="6"/>
  <c r="C1135" i="6"/>
  <c r="K1125" i="6"/>
  <c r="K1186" i="6"/>
  <c r="I1140" i="6"/>
  <c r="G1192" i="6"/>
  <c r="G1138" i="6"/>
  <c r="E1167" i="6"/>
  <c r="E1128" i="6"/>
  <c r="C1130" i="6"/>
  <c r="C1153" i="6"/>
  <c r="C1177" i="6"/>
  <c r="C1201" i="6"/>
  <c r="K1161" i="6"/>
  <c r="I1139" i="6"/>
  <c r="G1191" i="6"/>
  <c r="E1127" i="6"/>
  <c r="C1131" i="6"/>
  <c r="C1178" i="6"/>
  <c r="C1183" i="6"/>
  <c r="I1199" i="6"/>
  <c r="E1163" i="6"/>
  <c r="K1160" i="6"/>
  <c r="I1118" i="6"/>
  <c r="G1190" i="6"/>
  <c r="G1134" i="6"/>
  <c r="E1165" i="6"/>
  <c r="E1126" i="6"/>
  <c r="C1104" i="6"/>
  <c r="C1132" i="6"/>
  <c r="C1160" i="6"/>
  <c r="C1179" i="6"/>
  <c r="K1136" i="6"/>
  <c r="I1106" i="6"/>
  <c r="G1180" i="6"/>
  <c r="G1126" i="6"/>
  <c r="C1105" i="6"/>
  <c r="G1170" i="6"/>
  <c r="E1123" i="6"/>
  <c r="C1268" i="6"/>
  <c r="C2616" i="6"/>
  <c r="E1283" i="6"/>
  <c r="E2435" i="6"/>
  <c r="G2434" i="6"/>
  <c r="I1375" i="6"/>
  <c r="K1113" i="6"/>
  <c r="C1015" i="6"/>
  <c r="C1498" i="6"/>
  <c r="C2692" i="6"/>
  <c r="C1097" i="6"/>
  <c r="C1014" i="6"/>
  <c r="C1117" i="6"/>
  <c r="C1207" i="6"/>
  <c r="C1443" i="6"/>
  <c r="C2219" i="6"/>
  <c r="C2567" i="6"/>
  <c r="C2607" i="6"/>
  <c r="E1029" i="6"/>
  <c r="E1197" i="6"/>
  <c r="E1407" i="6"/>
  <c r="E2677" i="6"/>
  <c r="G1262" i="6"/>
  <c r="G2442" i="6"/>
  <c r="I1183" i="6"/>
  <c r="I2479" i="6"/>
  <c r="K1264" i="6"/>
  <c r="C1096" i="6"/>
  <c r="C1055" i="6"/>
  <c r="C1013" i="6"/>
  <c r="C1165" i="6"/>
  <c r="C1116" i="6"/>
  <c r="C1257" i="6"/>
  <c r="C1206" i="6"/>
  <c r="C1350" i="6"/>
  <c r="C1495" i="6"/>
  <c r="C1442" i="6"/>
  <c r="C2288" i="6"/>
  <c r="C2216" i="6"/>
  <c r="C2459" i="6"/>
  <c r="C2564" i="6"/>
  <c r="C2680" i="6"/>
  <c r="E1032" i="6"/>
  <c r="E1110" i="6"/>
  <c r="E1226" i="6"/>
  <c r="E1318" i="6"/>
  <c r="E1413" i="6"/>
  <c r="E2341" i="6"/>
  <c r="E2439" i="6"/>
  <c r="E2579" i="6"/>
  <c r="E2678" i="6"/>
  <c r="G1005" i="6"/>
  <c r="G1117" i="6"/>
  <c r="G1270" i="6"/>
  <c r="G1384" i="6"/>
  <c r="G2448" i="6"/>
  <c r="G2646" i="6"/>
  <c r="I1191" i="6"/>
  <c r="I1442" i="6"/>
  <c r="I2482" i="6"/>
  <c r="K1274" i="6"/>
  <c r="K2456" i="6"/>
  <c r="C2643" i="6"/>
  <c r="C1406" i="6"/>
  <c r="C1463" i="6"/>
  <c r="C2596" i="6"/>
  <c r="G1333" i="6"/>
  <c r="C2587" i="6"/>
  <c r="C1355" i="6"/>
  <c r="E2438" i="6"/>
  <c r="G1383" i="6"/>
  <c r="G2298" i="6"/>
  <c r="C1095" i="6"/>
  <c r="C1054" i="6"/>
  <c r="C1010" i="6"/>
  <c r="C1164" i="6"/>
  <c r="C1115" i="6"/>
  <c r="C1256" i="6"/>
  <c r="C1204" i="6"/>
  <c r="C1346" i="6"/>
  <c r="C1492" i="6"/>
  <c r="C1439" i="6"/>
  <c r="C2284" i="6"/>
  <c r="C2212" i="6"/>
  <c r="C2439" i="6"/>
  <c r="C2560" i="6"/>
  <c r="C2679" i="6"/>
  <c r="E1033" i="6"/>
  <c r="E1115" i="6"/>
  <c r="E1229" i="6"/>
  <c r="E1321" i="6"/>
  <c r="E1442" i="6"/>
  <c r="E2243" i="6"/>
  <c r="E2440" i="6"/>
  <c r="E2581" i="6"/>
  <c r="E2679" i="6"/>
  <c r="G1154" i="6"/>
  <c r="G1275" i="6"/>
  <c r="G1385" i="6"/>
  <c r="G2496" i="6"/>
  <c r="G2652" i="6"/>
  <c r="I1198" i="6"/>
  <c r="I1466" i="6"/>
  <c r="I2577" i="6"/>
  <c r="K1330" i="6"/>
  <c r="K2502" i="6"/>
  <c r="C1465" i="6"/>
  <c r="E1486" i="6"/>
  <c r="G1441" i="6"/>
  <c r="C2600" i="6"/>
  <c r="G1478" i="6"/>
  <c r="I1347" i="6"/>
  <c r="C1373" i="6"/>
  <c r="C2515" i="6"/>
  <c r="E1277" i="6"/>
  <c r="E2533" i="6"/>
  <c r="I1363" i="6"/>
  <c r="K2398" i="6"/>
  <c r="K2385" i="6"/>
  <c r="K2361" i="6"/>
  <c r="K2334" i="6"/>
  <c r="K2306" i="6"/>
  <c r="K2351" i="6"/>
  <c r="K2318" i="6"/>
  <c r="K2345" i="6"/>
  <c r="K2305" i="6"/>
  <c r="I2392" i="6"/>
  <c r="I2368" i="6"/>
  <c r="I2400" i="6"/>
  <c r="I2376" i="6"/>
  <c r="K2319" i="6"/>
  <c r="I2387" i="6"/>
  <c r="K2310" i="6"/>
  <c r="K2339" i="6"/>
  <c r="K2335" i="6"/>
  <c r="I2379" i="6"/>
  <c r="I2359" i="6"/>
  <c r="I2322" i="6"/>
  <c r="G2380" i="6"/>
  <c r="G2356" i="6"/>
  <c r="I2333" i="6"/>
  <c r="G2391" i="6"/>
  <c r="I2370" i="6"/>
  <c r="I2321" i="6"/>
  <c r="I2337" i="6"/>
  <c r="G2389" i="6"/>
  <c r="G2358" i="6"/>
  <c r="G2328" i="6"/>
  <c r="E2304" i="6"/>
  <c r="K2315" i="6"/>
  <c r="K2369" i="6"/>
  <c r="I2330" i="6"/>
  <c r="E2372" i="6"/>
  <c r="E2348" i="6"/>
  <c r="G2351" i="6"/>
  <c r="G2323" i="6"/>
  <c r="K2359" i="6"/>
  <c r="I2305" i="6"/>
  <c r="E2337" i="6"/>
  <c r="E2305" i="6"/>
  <c r="I2350" i="6"/>
  <c r="G2374" i="6"/>
  <c r="E2303" i="6"/>
  <c r="C2322" i="6"/>
  <c r="G2393" i="6"/>
  <c r="G2346" i="6"/>
  <c r="C2325" i="6"/>
  <c r="C2349" i="6"/>
  <c r="G2345" i="6"/>
  <c r="G2301" i="6"/>
  <c r="C2350" i="6"/>
  <c r="C2374" i="6"/>
  <c r="E2358" i="6"/>
  <c r="E2310" i="6"/>
  <c r="E2356" i="6"/>
  <c r="C2303" i="6"/>
  <c r="E2357" i="6"/>
  <c r="E2309" i="6"/>
  <c r="C2319" i="6"/>
  <c r="C2391" i="6"/>
  <c r="C2305" i="6"/>
  <c r="C2341" i="6"/>
  <c r="C2379" i="6"/>
  <c r="G2382" i="6"/>
  <c r="C2342" i="6"/>
  <c r="C2378" i="6"/>
  <c r="E2377" i="6"/>
  <c r="C2312" i="6"/>
  <c r="E2370" i="6"/>
  <c r="C2315" i="6"/>
  <c r="K2342" i="6"/>
  <c r="E2369" i="6"/>
  <c r="G2334" i="6"/>
  <c r="E2317" i="6"/>
  <c r="C1358" i="6"/>
  <c r="C2588" i="6"/>
  <c r="E1403" i="6"/>
  <c r="G1222" i="6"/>
  <c r="I2453" i="6"/>
  <c r="K1095" i="6"/>
  <c r="K1083" i="6"/>
  <c r="K1071" i="6"/>
  <c r="K1059" i="6"/>
  <c r="K1047" i="6"/>
  <c r="K1035" i="6"/>
  <c r="K1023" i="6"/>
  <c r="K1011" i="6"/>
  <c r="K1092" i="6"/>
  <c r="K1079" i="6"/>
  <c r="K1066" i="6"/>
  <c r="K1053" i="6"/>
  <c r="K1040" i="6"/>
  <c r="K1027" i="6"/>
  <c r="K1014" i="6"/>
  <c r="K1001" i="6"/>
  <c r="K1091" i="6"/>
  <c r="K1078" i="6"/>
  <c r="K1065" i="6"/>
  <c r="K1052" i="6"/>
  <c r="K1039" i="6"/>
  <c r="K1026" i="6"/>
  <c r="K1013" i="6"/>
  <c r="K1093" i="6"/>
  <c r="K1076" i="6"/>
  <c r="K1061" i="6"/>
  <c r="K1045" i="6"/>
  <c r="K1030" i="6"/>
  <c r="K1015" i="6"/>
  <c r="K1087" i="6"/>
  <c r="K1072" i="6"/>
  <c r="K1056" i="6"/>
  <c r="K1041" i="6"/>
  <c r="K1024" i="6"/>
  <c r="K1008" i="6"/>
  <c r="K1086" i="6"/>
  <c r="K1070" i="6"/>
  <c r="K1055" i="6"/>
  <c r="K1038" i="6"/>
  <c r="K1022" i="6"/>
  <c r="K1007" i="6"/>
  <c r="K1090" i="6"/>
  <c r="K1069" i="6"/>
  <c r="K1049" i="6"/>
  <c r="K1029" i="6"/>
  <c r="K1006" i="6"/>
  <c r="K1089" i="6"/>
  <c r="K1068" i="6"/>
  <c r="K1048" i="6"/>
  <c r="K1028" i="6"/>
  <c r="K1005" i="6"/>
  <c r="K1085" i="6"/>
  <c r="K1064" i="6"/>
  <c r="K1044" i="6"/>
  <c r="K1021" i="6"/>
  <c r="K1003" i="6"/>
  <c r="K1094" i="6"/>
  <c r="K1062" i="6"/>
  <c r="K1034" i="6"/>
  <c r="K1009" i="6"/>
  <c r="I1089" i="6"/>
  <c r="I1077" i="6"/>
  <c r="I1065" i="6"/>
  <c r="I1053" i="6"/>
  <c r="I1041" i="6"/>
  <c r="I1029" i="6"/>
  <c r="I1017" i="6"/>
  <c r="I1005" i="6"/>
  <c r="K1081" i="6"/>
  <c r="K1054" i="6"/>
  <c r="K1025" i="6"/>
  <c r="I1097" i="6"/>
  <c r="I1085" i="6"/>
  <c r="I1073" i="6"/>
  <c r="I1061" i="6"/>
  <c r="I1049" i="6"/>
  <c r="I1037" i="6"/>
  <c r="I1025" i="6"/>
  <c r="I1013" i="6"/>
  <c r="I1001" i="6"/>
  <c r="K1080" i="6"/>
  <c r="K1051" i="6"/>
  <c r="K1020" i="6"/>
  <c r="I1096" i="6"/>
  <c r="I1084" i="6"/>
  <c r="I1072" i="6"/>
  <c r="I1060" i="6"/>
  <c r="I1048" i="6"/>
  <c r="I1036" i="6"/>
  <c r="I1024" i="6"/>
  <c r="I1012" i="6"/>
  <c r="K1077" i="6"/>
  <c r="K1042" i="6"/>
  <c r="K1004" i="6"/>
  <c r="I1090" i="6"/>
  <c r="I1074" i="6"/>
  <c r="I1057" i="6"/>
  <c r="I1042" i="6"/>
  <c r="I1026" i="6"/>
  <c r="I1009" i="6"/>
  <c r="K1075" i="6"/>
  <c r="K1037" i="6"/>
  <c r="K1002" i="6"/>
  <c r="I1088" i="6"/>
  <c r="I1071" i="6"/>
  <c r="K1100" i="6"/>
  <c r="K1067" i="6"/>
  <c r="K1032" i="6"/>
  <c r="I1100" i="6"/>
  <c r="I1083" i="6"/>
  <c r="I1068" i="6"/>
  <c r="I1052" i="6"/>
  <c r="I1035" i="6"/>
  <c r="I1020" i="6"/>
  <c r="I1004" i="6"/>
  <c r="K1098" i="6"/>
  <c r="K1050" i="6"/>
  <c r="I1091" i="6"/>
  <c r="I1067" i="6"/>
  <c r="I1047" i="6"/>
  <c r="I1030" i="6"/>
  <c r="I1010" i="6"/>
  <c r="G1092" i="6"/>
  <c r="G1080" i="6"/>
  <c r="G1068" i="6"/>
  <c r="G1056" i="6"/>
  <c r="G1044" i="6"/>
  <c r="G1032" i="6"/>
  <c r="G1020" i="6"/>
  <c r="G1008" i="6"/>
  <c r="K1097" i="6"/>
  <c r="K1046" i="6"/>
  <c r="I1087" i="6"/>
  <c r="I1066" i="6"/>
  <c r="I1046" i="6"/>
  <c r="I1028" i="6"/>
  <c r="I1008" i="6"/>
  <c r="G1091" i="6"/>
  <c r="G1079" i="6"/>
  <c r="G1067" i="6"/>
  <c r="G1055" i="6"/>
  <c r="G1043" i="6"/>
  <c r="G1031" i="6"/>
  <c r="G1019" i="6"/>
  <c r="G1007" i="6"/>
  <c r="K1084" i="6"/>
  <c r="K1033" i="6"/>
  <c r="I1081" i="6"/>
  <c r="I1062" i="6"/>
  <c r="I1043" i="6"/>
  <c r="I1022" i="6"/>
  <c r="I1003" i="6"/>
  <c r="G1100" i="6"/>
  <c r="G1088" i="6"/>
  <c r="G1076" i="6"/>
  <c r="G1064" i="6"/>
  <c r="G1052" i="6"/>
  <c r="G1040" i="6"/>
  <c r="G1028" i="6"/>
  <c r="G1016" i="6"/>
  <c r="G1004" i="6"/>
  <c r="E1100" i="6"/>
  <c r="E1088" i="6"/>
  <c r="K1082" i="6"/>
  <c r="K1031" i="6"/>
  <c r="I1080" i="6"/>
  <c r="I1059" i="6"/>
  <c r="I1040" i="6"/>
  <c r="I1021" i="6"/>
  <c r="I1002" i="6"/>
  <c r="G1099" i="6"/>
  <c r="G1087" i="6"/>
  <c r="G1075" i="6"/>
  <c r="G1063" i="6"/>
  <c r="G1051" i="6"/>
  <c r="G1039" i="6"/>
  <c r="G1027" i="6"/>
  <c r="G1015" i="6"/>
  <c r="G1003" i="6"/>
  <c r="K1073" i="6"/>
  <c r="K1010" i="6"/>
  <c r="I1094" i="6"/>
  <c r="I1063" i="6"/>
  <c r="I1033" i="6"/>
  <c r="I1006" i="6"/>
  <c r="G1094" i="6"/>
  <c r="G1074" i="6"/>
  <c r="G1058" i="6"/>
  <c r="G1038" i="6"/>
  <c r="G1022" i="6"/>
  <c r="G1002" i="6"/>
  <c r="E1096" i="6"/>
  <c r="E1083" i="6"/>
  <c r="E1071" i="6"/>
  <c r="E1059" i="6"/>
  <c r="E1047" i="6"/>
  <c r="E1035" i="6"/>
  <c r="E1023" i="6"/>
  <c r="E1011" i="6"/>
  <c r="K1063" i="6"/>
  <c r="I1093" i="6"/>
  <c r="I1058" i="6"/>
  <c r="I1032" i="6"/>
  <c r="G1093" i="6"/>
  <c r="G1073" i="6"/>
  <c r="G1057" i="6"/>
  <c r="G1037" i="6"/>
  <c r="G1021" i="6"/>
  <c r="G1001" i="6"/>
  <c r="E1095" i="6"/>
  <c r="E1082" i="6"/>
  <c r="E1070" i="6"/>
  <c r="E1058" i="6"/>
  <c r="E1046" i="6"/>
  <c r="E1034" i="6"/>
  <c r="E1022" i="6"/>
  <c r="E1010" i="6"/>
  <c r="K1057" i="6"/>
  <c r="I1082" i="6"/>
  <c r="I1054" i="6"/>
  <c r="I1023" i="6"/>
  <c r="G1086" i="6"/>
  <c r="G1070" i="6"/>
  <c r="G1050" i="6"/>
  <c r="G1034" i="6"/>
  <c r="G1014" i="6"/>
  <c r="E1092" i="6"/>
  <c r="E1079" i="6"/>
  <c r="E1067" i="6"/>
  <c r="E1055" i="6"/>
  <c r="E1043" i="6"/>
  <c r="E1031" i="6"/>
  <c r="E1019" i="6"/>
  <c r="E1007" i="6"/>
  <c r="C1009" i="6"/>
  <c r="C1021" i="6"/>
  <c r="C1033" i="6"/>
  <c r="C1045" i="6"/>
  <c r="C1057" i="6"/>
  <c r="C1069" i="6"/>
  <c r="C1081" i="6"/>
  <c r="C1093" i="6"/>
  <c r="K1043" i="6"/>
  <c r="I1079" i="6"/>
  <c r="I1051" i="6"/>
  <c r="I1019" i="6"/>
  <c r="G1085" i="6"/>
  <c r="G1069" i="6"/>
  <c r="G1049" i="6"/>
  <c r="G1033" i="6"/>
  <c r="G1013" i="6"/>
  <c r="E1091" i="6"/>
  <c r="E1078" i="6"/>
  <c r="E1066" i="6"/>
  <c r="E1054" i="6"/>
  <c r="E1042" i="6"/>
  <c r="E1030" i="6"/>
  <c r="E1018" i="6"/>
  <c r="E1006" i="6"/>
  <c r="K1012" i="6"/>
  <c r="I1086" i="6"/>
  <c r="I1039" i="6"/>
  <c r="G1081" i="6"/>
  <c r="G1053" i="6"/>
  <c r="G1025" i="6"/>
  <c r="E1101" i="6"/>
  <c r="E1081" i="6"/>
  <c r="E1063" i="6"/>
  <c r="E1045" i="6"/>
  <c r="E1027" i="6"/>
  <c r="E1009" i="6"/>
  <c r="C1006" i="6"/>
  <c r="C1019" i="6"/>
  <c r="C1032" i="6"/>
  <c r="C1046" i="6"/>
  <c r="C1059" i="6"/>
  <c r="C1072" i="6"/>
  <c r="C1085" i="6"/>
  <c r="C1098" i="6"/>
  <c r="K1096" i="6"/>
  <c r="I1034" i="6"/>
  <c r="G1077" i="6"/>
  <c r="G1023" i="6"/>
  <c r="E1098" i="6"/>
  <c r="E1061" i="6"/>
  <c r="E1025" i="6"/>
  <c r="C1022" i="6"/>
  <c r="C1048" i="6"/>
  <c r="K1099" i="6"/>
  <c r="I1078" i="6"/>
  <c r="I1038" i="6"/>
  <c r="G1078" i="6"/>
  <c r="G1048" i="6"/>
  <c r="G1024" i="6"/>
  <c r="E1099" i="6"/>
  <c r="E1080" i="6"/>
  <c r="E1062" i="6"/>
  <c r="E1044" i="6"/>
  <c r="E1026" i="6"/>
  <c r="E1008" i="6"/>
  <c r="C1007" i="6"/>
  <c r="C1020" i="6"/>
  <c r="C1034" i="6"/>
  <c r="C1047" i="6"/>
  <c r="C1060" i="6"/>
  <c r="C1073" i="6"/>
  <c r="C1086" i="6"/>
  <c r="C1099" i="6"/>
  <c r="I1076" i="6"/>
  <c r="G1047" i="6"/>
  <c r="E1077" i="6"/>
  <c r="E1041" i="6"/>
  <c r="E1005" i="6"/>
  <c r="C1008" i="6"/>
  <c r="C1035" i="6"/>
  <c r="C1061" i="6"/>
  <c r="K1074" i="6"/>
  <c r="I1070" i="6"/>
  <c r="I1027" i="6"/>
  <c r="G1097" i="6"/>
  <c r="G1071" i="6"/>
  <c r="G1045" i="6"/>
  <c r="G1017" i="6"/>
  <c r="E1094" i="6"/>
  <c r="E1075" i="6"/>
  <c r="E1057" i="6"/>
  <c r="E1039" i="6"/>
  <c r="E1021" i="6"/>
  <c r="E1003" i="6"/>
  <c r="C1011" i="6"/>
  <c r="C1024" i="6"/>
  <c r="C1037" i="6"/>
  <c r="C1050" i="6"/>
  <c r="C1063" i="6"/>
  <c r="C1076" i="6"/>
  <c r="C1089" i="6"/>
  <c r="C1002" i="6"/>
  <c r="K1058" i="6"/>
  <c r="I1064" i="6"/>
  <c r="G1095" i="6"/>
  <c r="G1041" i="6"/>
  <c r="E1073" i="6"/>
  <c r="E1037" i="6"/>
  <c r="K1060" i="6"/>
  <c r="I1069" i="6"/>
  <c r="I1018" i="6"/>
  <c r="G1096" i="6"/>
  <c r="G1066" i="6"/>
  <c r="G1042" i="6"/>
  <c r="G1012" i="6"/>
  <c r="E1093" i="6"/>
  <c r="E1074" i="6"/>
  <c r="E1056" i="6"/>
  <c r="E1038" i="6"/>
  <c r="E1020" i="6"/>
  <c r="E1002" i="6"/>
  <c r="C1012" i="6"/>
  <c r="C1025" i="6"/>
  <c r="C1038" i="6"/>
  <c r="C1051" i="6"/>
  <c r="C1064" i="6"/>
  <c r="C1077" i="6"/>
  <c r="C1090" i="6"/>
  <c r="I1016" i="6"/>
  <c r="G1065" i="6"/>
  <c r="G1011" i="6"/>
  <c r="E1090" i="6"/>
  <c r="E1053" i="6"/>
  <c r="E1017" i="6"/>
  <c r="K1017" i="6"/>
  <c r="I1055" i="6"/>
  <c r="G1090" i="6"/>
  <c r="G1036" i="6"/>
  <c r="E1064" i="6"/>
  <c r="E1028" i="6"/>
  <c r="C1017" i="6"/>
  <c r="C1041" i="6"/>
  <c r="C1065" i="6"/>
  <c r="C1083" i="6"/>
  <c r="C1042" i="6"/>
  <c r="C1084" i="6"/>
  <c r="I1044" i="6"/>
  <c r="G1083" i="6"/>
  <c r="E1087" i="6"/>
  <c r="C1068" i="6"/>
  <c r="E1013" i="6"/>
  <c r="C1071" i="6"/>
  <c r="E1048" i="6"/>
  <c r="K1016" i="6"/>
  <c r="I1050" i="6"/>
  <c r="G1089" i="6"/>
  <c r="G1035" i="6"/>
  <c r="E1097" i="6"/>
  <c r="E1060" i="6"/>
  <c r="E1024" i="6"/>
  <c r="C1018" i="6"/>
  <c r="C1066" i="6"/>
  <c r="E1051" i="6"/>
  <c r="C1026" i="6"/>
  <c r="C1088" i="6"/>
  <c r="C1028" i="6"/>
  <c r="I1014" i="6"/>
  <c r="G1010" i="6"/>
  <c r="E1084" i="6"/>
  <c r="I1045" i="6"/>
  <c r="G1084" i="6"/>
  <c r="G1030" i="6"/>
  <c r="E1089" i="6"/>
  <c r="E1052" i="6"/>
  <c r="E1016" i="6"/>
  <c r="C1023" i="6"/>
  <c r="C1043" i="6"/>
  <c r="C1067" i="6"/>
  <c r="C1087" i="6"/>
  <c r="G1029" i="6"/>
  <c r="E1015" i="6"/>
  <c r="C1044" i="6"/>
  <c r="E1085" i="6"/>
  <c r="C1052" i="6"/>
  <c r="G1062" i="6"/>
  <c r="E1012" i="6"/>
  <c r="I1031" i="6"/>
  <c r="G1082" i="6"/>
  <c r="G1026" i="6"/>
  <c r="E1086" i="6"/>
  <c r="E1050" i="6"/>
  <c r="E1014" i="6"/>
  <c r="C1003" i="6"/>
  <c r="C1027" i="6"/>
  <c r="C1049" i="6"/>
  <c r="C1070" i="6"/>
  <c r="C1091" i="6"/>
  <c r="I1015" i="6"/>
  <c r="G1072" i="6"/>
  <c r="G1018" i="6"/>
  <c r="E1049" i="6"/>
  <c r="C1004" i="6"/>
  <c r="C1092" i="6"/>
  <c r="I1099" i="6"/>
  <c r="C1100" i="6"/>
  <c r="C1208" i="6"/>
  <c r="C1056" i="6"/>
  <c r="C1166" i="6"/>
  <c r="C1263" i="6"/>
  <c r="C1496" i="6"/>
  <c r="C2291" i="6"/>
  <c r="C2460" i="6"/>
  <c r="C2688" i="6"/>
  <c r="E1107" i="6"/>
  <c r="E1317" i="6"/>
  <c r="E2536" i="6"/>
  <c r="G1114" i="6"/>
  <c r="G1493" i="6"/>
  <c r="G2638" i="6"/>
  <c r="I1390" i="6"/>
  <c r="K2426" i="6"/>
  <c r="C1094" i="6"/>
  <c r="C1053" i="6"/>
  <c r="C1005" i="6"/>
  <c r="C1163" i="6"/>
  <c r="C1111" i="6"/>
  <c r="C1255" i="6"/>
  <c r="C1203" i="6"/>
  <c r="C1344" i="6"/>
  <c r="C1491" i="6"/>
  <c r="C1432" i="6"/>
  <c r="C2276" i="6"/>
  <c r="C2204" i="6"/>
  <c r="C2436" i="6"/>
  <c r="C2552" i="6"/>
  <c r="C2659" i="6"/>
  <c r="E1036" i="6"/>
  <c r="E1142" i="6"/>
  <c r="E1230" i="6"/>
  <c r="E1325" i="6"/>
  <c r="E1445" i="6"/>
  <c r="E2343" i="6"/>
  <c r="E2483" i="6"/>
  <c r="E2582" i="6"/>
  <c r="E2680" i="6"/>
  <c r="G1009" i="6"/>
  <c r="G1162" i="6"/>
  <c r="G1276" i="6"/>
  <c r="G1422" i="6"/>
  <c r="G2504" i="6"/>
  <c r="I1007" i="6"/>
  <c r="I1485" i="6"/>
  <c r="I2597" i="6"/>
  <c r="K2583" i="6"/>
  <c r="K2698" i="6"/>
  <c r="K2686" i="6"/>
  <c r="K2674" i="6"/>
  <c r="K2662" i="6"/>
  <c r="K2650" i="6"/>
  <c r="K2638" i="6"/>
  <c r="K2626" i="6"/>
  <c r="K2614" i="6"/>
  <c r="K2602" i="6"/>
  <c r="K2697" i="6"/>
  <c r="K2685" i="6"/>
  <c r="K2673" i="6"/>
  <c r="K2661" i="6"/>
  <c r="K2649" i="6"/>
  <c r="K2637" i="6"/>
  <c r="K2625" i="6"/>
  <c r="K2613" i="6"/>
  <c r="K2601" i="6"/>
  <c r="K2694" i="6"/>
  <c r="K2680" i="6"/>
  <c r="K2666" i="6"/>
  <c r="K2652" i="6"/>
  <c r="K2636" i="6"/>
  <c r="K2622" i="6"/>
  <c r="K2608" i="6"/>
  <c r="K2684" i="6"/>
  <c r="K2669" i="6"/>
  <c r="K2654" i="6"/>
  <c r="K2639" i="6"/>
  <c r="K2621" i="6"/>
  <c r="K2606" i="6"/>
  <c r="K2695" i="6"/>
  <c r="K2679" i="6"/>
  <c r="K2664" i="6"/>
  <c r="K2647" i="6"/>
  <c r="K2632" i="6"/>
  <c r="K2617" i="6"/>
  <c r="K2693" i="6"/>
  <c r="K2678" i="6"/>
  <c r="K2663" i="6"/>
  <c r="K2646" i="6"/>
  <c r="K2631" i="6"/>
  <c r="K2616" i="6"/>
  <c r="K2682" i="6"/>
  <c r="K2659" i="6"/>
  <c r="K2641" i="6"/>
  <c r="K2619" i="6"/>
  <c r="K2681" i="6"/>
  <c r="K2658" i="6"/>
  <c r="K2640" i="6"/>
  <c r="K2618" i="6"/>
  <c r="K2683" i="6"/>
  <c r="K2656" i="6"/>
  <c r="K2630" i="6"/>
  <c r="K2607" i="6"/>
  <c r="I2692" i="6"/>
  <c r="I2680" i="6"/>
  <c r="I2668" i="6"/>
  <c r="I2656" i="6"/>
  <c r="I2644" i="6"/>
  <c r="I2632" i="6"/>
  <c r="I2620" i="6"/>
  <c r="I2608" i="6"/>
  <c r="K2699" i="6"/>
  <c r="K2672" i="6"/>
  <c r="K2648" i="6"/>
  <c r="K2624" i="6"/>
  <c r="I2700" i="6"/>
  <c r="I2688" i="6"/>
  <c r="I2676" i="6"/>
  <c r="I2664" i="6"/>
  <c r="I2652" i="6"/>
  <c r="I2640" i="6"/>
  <c r="I2628" i="6"/>
  <c r="I2616" i="6"/>
  <c r="I2604" i="6"/>
  <c r="K2696" i="6"/>
  <c r="K2671" i="6"/>
  <c r="K2645" i="6"/>
  <c r="K2623" i="6"/>
  <c r="I2699" i="6"/>
  <c r="I2687" i="6"/>
  <c r="I2675" i="6"/>
  <c r="I2663" i="6"/>
  <c r="I2651" i="6"/>
  <c r="I2639" i="6"/>
  <c r="I2627" i="6"/>
  <c r="I2615" i="6"/>
  <c r="I2603" i="6"/>
  <c r="K2676" i="6"/>
  <c r="K2643" i="6"/>
  <c r="K2610" i="6"/>
  <c r="K2675" i="6"/>
  <c r="K2642" i="6"/>
  <c r="K2609" i="6"/>
  <c r="I2685" i="6"/>
  <c r="I2670" i="6"/>
  <c r="I2654" i="6"/>
  <c r="I2637" i="6"/>
  <c r="I2622" i="6"/>
  <c r="I2606" i="6"/>
  <c r="K2668" i="6"/>
  <c r="K2634" i="6"/>
  <c r="K2604" i="6"/>
  <c r="I2698" i="6"/>
  <c r="I2683" i="6"/>
  <c r="I2667" i="6"/>
  <c r="I2650" i="6"/>
  <c r="I2635" i="6"/>
  <c r="I2619" i="6"/>
  <c r="I2602" i="6"/>
  <c r="K2665" i="6"/>
  <c r="K2620" i="6"/>
  <c r="I2686" i="6"/>
  <c r="I2666" i="6"/>
  <c r="I2647" i="6"/>
  <c r="I2629" i="6"/>
  <c r="I2610" i="6"/>
  <c r="K2691" i="6"/>
  <c r="K2653" i="6"/>
  <c r="K2605" i="6"/>
  <c r="I2697" i="6"/>
  <c r="I2679" i="6"/>
  <c r="I2660" i="6"/>
  <c r="I2642" i="6"/>
  <c r="I2623" i="6"/>
  <c r="I2601" i="6"/>
  <c r="G2692" i="6"/>
  <c r="G2680" i="6"/>
  <c r="G2668" i="6"/>
  <c r="G2656" i="6"/>
  <c r="G2644" i="6"/>
  <c r="G2632" i="6"/>
  <c r="G2620" i="6"/>
  <c r="G2608" i="6"/>
  <c r="K2690" i="6"/>
  <c r="K2651" i="6"/>
  <c r="K2603" i="6"/>
  <c r="I2696" i="6"/>
  <c r="I2678" i="6"/>
  <c r="I2659" i="6"/>
  <c r="I2641" i="6"/>
  <c r="I2621" i="6"/>
  <c r="G2691" i="6"/>
  <c r="G2679" i="6"/>
  <c r="G2667" i="6"/>
  <c r="G2655" i="6"/>
  <c r="G2643" i="6"/>
  <c r="G2631" i="6"/>
  <c r="G2619" i="6"/>
  <c r="G2607" i="6"/>
  <c r="K2655" i="6"/>
  <c r="I2677" i="6"/>
  <c r="I2653" i="6"/>
  <c r="I2626" i="6"/>
  <c r="K2644" i="6"/>
  <c r="I2674" i="6"/>
  <c r="I2649" i="6"/>
  <c r="I2625" i="6"/>
  <c r="K2689" i="6"/>
  <c r="K2629" i="6"/>
  <c r="I2694" i="6"/>
  <c r="I2671" i="6"/>
  <c r="I2645" i="6"/>
  <c r="I2617" i="6"/>
  <c r="G2693" i="6"/>
  <c r="G2677" i="6"/>
  <c r="G2663" i="6"/>
  <c r="G2649" i="6"/>
  <c r="G2635" i="6"/>
  <c r="G2621" i="6"/>
  <c r="G2605" i="6"/>
  <c r="K2633" i="6"/>
  <c r="I2689" i="6"/>
  <c r="I2655" i="6"/>
  <c r="I2614" i="6"/>
  <c r="G2687" i="6"/>
  <c r="G2672" i="6"/>
  <c r="G2657" i="6"/>
  <c r="G2640" i="6"/>
  <c r="G2625" i="6"/>
  <c r="G2610" i="6"/>
  <c r="E2700" i="6"/>
  <c r="E2688" i="6"/>
  <c r="E2676" i="6"/>
  <c r="E2664" i="6"/>
  <c r="E2652" i="6"/>
  <c r="E2640" i="6"/>
  <c r="E2628" i="6"/>
  <c r="E2616" i="6"/>
  <c r="E2604" i="6"/>
  <c r="K2628" i="6"/>
  <c r="I2684" i="6"/>
  <c r="I2648" i="6"/>
  <c r="I2613" i="6"/>
  <c r="G2686" i="6"/>
  <c r="G2671" i="6"/>
  <c r="G2654" i="6"/>
  <c r="G2639" i="6"/>
  <c r="G2624" i="6"/>
  <c r="G2609" i="6"/>
  <c r="K2688" i="6"/>
  <c r="K2612" i="6"/>
  <c r="I2673" i="6"/>
  <c r="I2638" i="6"/>
  <c r="I2609" i="6"/>
  <c r="G2698" i="6"/>
  <c r="G2683" i="6"/>
  <c r="G2666" i="6"/>
  <c r="G2651" i="6"/>
  <c r="G2636" i="6"/>
  <c r="G2618" i="6"/>
  <c r="G2603" i="6"/>
  <c r="E2696" i="6"/>
  <c r="E2684" i="6"/>
  <c r="E2672" i="6"/>
  <c r="E2660" i="6"/>
  <c r="E2648" i="6"/>
  <c r="E2636" i="6"/>
  <c r="E2624" i="6"/>
  <c r="E2612" i="6"/>
  <c r="K2687" i="6"/>
  <c r="K2611" i="6"/>
  <c r="I2672" i="6"/>
  <c r="I2636" i="6"/>
  <c r="I2607" i="6"/>
  <c r="G2697" i="6"/>
  <c r="G2682" i="6"/>
  <c r="G2665" i="6"/>
  <c r="G2650" i="6"/>
  <c r="G2634" i="6"/>
  <c r="G2617" i="6"/>
  <c r="G2602" i="6"/>
  <c r="E2695" i="6"/>
  <c r="E2683" i="6"/>
  <c r="E2671" i="6"/>
  <c r="E2659" i="6"/>
  <c r="E2647" i="6"/>
  <c r="E2635" i="6"/>
  <c r="E2623" i="6"/>
  <c r="E2611" i="6"/>
  <c r="I2661" i="6"/>
  <c r="I2611" i="6"/>
  <c r="G2681" i="6"/>
  <c r="G2659" i="6"/>
  <c r="G2633" i="6"/>
  <c r="G2612" i="6"/>
  <c r="E2689" i="6"/>
  <c r="E2673" i="6"/>
  <c r="E2656" i="6"/>
  <c r="E2641" i="6"/>
  <c r="E2625" i="6"/>
  <c r="E2608" i="6"/>
  <c r="C2609" i="6"/>
  <c r="C2621" i="6"/>
  <c r="C2633" i="6"/>
  <c r="C2645" i="6"/>
  <c r="C2657" i="6"/>
  <c r="C2669" i="6"/>
  <c r="C2681" i="6"/>
  <c r="C2693" i="6"/>
  <c r="I2658" i="6"/>
  <c r="I2605" i="6"/>
  <c r="G2678" i="6"/>
  <c r="G2658" i="6"/>
  <c r="G2630" i="6"/>
  <c r="G2611" i="6"/>
  <c r="E2687" i="6"/>
  <c r="E2670" i="6"/>
  <c r="E2655" i="6"/>
  <c r="E2639" i="6"/>
  <c r="E2622" i="6"/>
  <c r="E2607" i="6"/>
  <c r="C2610" i="6"/>
  <c r="C2622" i="6"/>
  <c r="C2634" i="6"/>
  <c r="C2646" i="6"/>
  <c r="C2658" i="6"/>
  <c r="C2670" i="6"/>
  <c r="C2682" i="6"/>
  <c r="C2694" i="6"/>
  <c r="K2677" i="6"/>
  <c r="I2693" i="6"/>
  <c r="I2643" i="6"/>
  <c r="G2696" i="6"/>
  <c r="G2674" i="6"/>
  <c r="G2648" i="6"/>
  <c r="G2627" i="6"/>
  <c r="G2601" i="6"/>
  <c r="E2699" i="6"/>
  <c r="E2682" i="6"/>
  <c r="E2667" i="6"/>
  <c r="E2651" i="6"/>
  <c r="E2634" i="6"/>
  <c r="E2619" i="6"/>
  <c r="E2603" i="6"/>
  <c r="C2613" i="6"/>
  <c r="C2625" i="6"/>
  <c r="C2637" i="6"/>
  <c r="C2649" i="6"/>
  <c r="C2661" i="6"/>
  <c r="C2673" i="6"/>
  <c r="C2685" i="6"/>
  <c r="C2697" i="6"/>
  <c r="K2670" i="6"/>
  <c r="I2691" i="6"/>
  <c r="I2634" i="6"/>
  <c r="G2695" i="6"/>
  <c r="G2673" i="6"/>
  <c r="G2647" i="6"/>
  <c r="G2626" i="6"/>
  <c r="E2698" i="6"/>
  <c r="E2681" i="6"/>
  <c r="E2666" i="6"/>
  <c r="E2650" i="6"/>
  <c r="E2633" i="6"/>
  <c r="E2618" i="6"/>
  <c r="E2602" i="6"/>
  <c r="C2614" i="6"/>
  <c r="C2626" i="6"/>
  <c r="C2638" i="6"/>
  <c r="C2650" i="6"/>
  <c r="C2662" i="6"/>
  <c r="C2674" i="6"/>
  <c r="C2686" i="6"/>
  <c r="C2698" i="6"/>
  <c r="I2695" i="6"/>
  <c r="I2624" i="6"/>
  <c r="G2684" i="6"/>
  <c r="G2645" i="6"/>
  <c r="G2613" i="6"/>
  <c r="E2694" i="6"/>
  <c r="E2674" i="6"/>
  <c r="E2646" i="6"/>
  <c r="E2626" i="6"/>
  <c r="C2611" i="6"/>
  <c r="C2629" i="6"/>
  <c r="C2647" i="6"/>
  <c r="C2665" i="6"/>
  <c r="C2683" i="6"/>
  <c r="C2701" i="6"/>
  <c r="K2700" i="6"/>
  <c r="I2612" i="6"/>
  <c r="G2675" i="6"/>
  <c r="G2604" i="6"/>
  <c r="E2644" i="6"/>
  <c r="C2615" i="6"/>
  <c r="C2651" i="6"/>
  <c r="C2687" i="6"/>
  <c r="I2690" i="6"/>
  <c r="I2618" i="6"/>
  <c r="G2676" i="6"/>
  <c r="G2642" i="6"/>
  <c r="G2606" i="6"/>
  <c r="E2693" i="6"/>
  <c r="E2669" i="6"/>
  <c r="E2645" i="6"/>
  <c r="E2621" i="6"/>
  <c r="C2612" i="6"/>
  <c r="C2630" i="6"/>
  <c r="C2648" i="6"/>
  <c r="C2666" i="6"/>
  <c r="C2684" i="6"/>
  <c r="C2602" i="6"/>
  <c r="I2682" i="6"/>
  <c r="G2641" i="6"/>
  <c r="E2692" i="6"/>
  <c r="E2668" i="6"/>
  <c r="E2620" i="6"/>
  <c r="C2631" i="6"/>
  <c r="C2667" i="6"/>
  <c r="K2667" i="6"/>
  <c r="I2669" i="6"/>
  <c r="G2669" i="6"/>
  <c r="G2637" i="6"/>
  <c r="E2690" i="6"/>
  <c r="E2663" i="6"/>
  <c r="E2642" i="6"/>
  <c r="E2615" i="6"/>
  <c r="C2617" i="6"/>
  <c r="C2635" i="6"/>
  <c r="C2653" i="6"/>
  <c r="C2671" i="6"/>
  <c r="C2689" i="6"/>
  <c r="K2657" i="6"/>
  <c r="I2662" i="6"/>
  <c r="G2662" i="6"/>
  <c r="E2685" i="6"/>
  <c r="E2661" i="6"/>
  <c r="E2613" i="6"/>
  <c r="C2619" i="6"/>
  <c r="C2655" i="6"/>
  <c r="C2691" i="6"/>
  <c r="K2660" i="6"/>
  <c r="I2665" i="6"/>
  <c r="G2700" i="6"/>
  <c r="G2664" i="6"/>
  <c r="G2629" i="6"/>
  <c r="E2686" i="6"/>
  <c r="E2662" i="6"/>
  <c r="E2638" i="6"/>
  <c r="E2614" i="6"/>
  <c r="C2618" i="6"/>
  <c r="C2636" i="6"/>
  <c r="C2654" i="6"/>
  <c r="C2672" i="6"/>
  <c r="C2690" i="6"/>
  <c r="G2699" i="6"/>
  <c r="G2628" i="6"/>
  <c r="E2637" i="6"/>
  <c r="C2603" i="6"/>
  <c r="C2639" i="6"/>
  <c r="C2675" i="6"/>
  <c r="G2694" i="6"/>
  <c r="G2623" i="6"/>
  <c r="E2665" i="6"/>
  <c r="E2617" i="6"/>
  <c r="C2624" i="6"/>
  <c r="C2660" i="6"/>
  <c r="C2696" i="6"/>
  <c r="G2615" i="6"/>
  <c r="E2606" i="6"/>
  <c r="G2661" i="6"/>
  <c r="E2643" i="6"/>
  <c r="C2642" i="6"/>
  <c r="G2690" i="6"/>
  <c r="G2622" i="6"/>
  <c r="E2658" i="6"/>
  <c r="E2610" i="6"/>
  <c r="C2627" i="6"/>
  <c r="C2663" i="6"/>
  <c r="C2699" i="6"/>
  <c r="G2688" i="6"/>
  <c r="C2668" i="6"/>
  <c r="C2605" i="6"/>
  <c r="C2677" i="6"/>
  <c r="E2691" i="6"/>
  <c r="C2606" i="6"/>
  <c r="K2692" i="6"/>
  <c r="G2689" i="6"/>
  <c r="G2616" i="6"/>
  <c r="E2657" i="6"/>
  <c r="E2609" i="6"/>
  <c r="C2628" i="6"/>
  <c r="C2664" i="6"/>
  <c r="C2700" i="6"/>
  <c r="K2635" i="6"/>
  <c r="E2654" i="6"/>
  <c r="C2632" i="6"/>
  <c r="E2697" i="6"/>
  <c r="I2646" i="6"/>
  <c r="C2678" i="6"/>
  <c r="K2627" i="6"/>
  <c r="I2681" i="6"/>
  <c r="G2685" i="6"/>
  <c r="G2614" i="6"/>
  <c r="E2701" i="6"/>
  <c r="E2653" i="6"/>
  <c r="E2605" i="6"/>
  <c r="C2604" i="6"/>
  <c r="C2640" i="6"/>
  <c r="C2676" i="6"/>
  <c r="K2615" i="6"/>
  <c r="I2657" i="6"/>
  <c r="G2670" i="6"/>
  <c r="E2649" i="6"/>
  <c r="C2641" i="6"/>
  <c r="C1412" i="6"/>
  <c r="K1395" i="6"/>
  <c r="K1383" i="6"/>
  <c r="K1371" i="6"/>
  <c r="K1359" i="6"/>
  <c r="K1347" i="6"/>
  <c r="K1335" i="6"/>
  <c r="K1323" i="6"/>
  <c r="K1311" i="6"/>
  <c r="K1400" i="6"/>
  <c r="K1387" i="6"/>
  <c r="K1374" i="6"/>
  <c r="K1361" i="6"/>
  <c r="K1348" i="6"/>
  <c r="K1334" i="6"/>
  <c r="K1321" i="6"/>
  <c r="K1308" i="6"/>
  <c r="K1399" i="6"/>
  <c r="K1386" i="6"/>
  <c r="K1373" i="6"/>
  <c r="K1360" i="6"/>
  <c r="K1346" i="6"/>
  <c r="K1333" i="6"/>
  <c r="K1320" i="6"/>
  <c r="K1307" i="6"/>
  <c r="K1398" i="6"/>
  <c r="K1382" i="6"/>
  <c r="K1367" i="6"/>
  <c r="K1352" i="6"/>
  <c r="K1337" i="6"/>
  <c r="K1319" i="6"/>
  <c r="K1304" i="6"/>
  <c r="K1397" i="6"/>
  <c r="K1381" i="6"/>
  <c r="K1366" i="6"/>
  <c r="K1351" i="6"/>
  <c r="K1336" i="6"/>
  <c r="K1318" i="6"/>
  <c r="K1303" i="6"/>
  <c r="K1390" i="6"/>
  <c r="K1370" i="6"/>
  <c r="K1353" i="6"/>
  <c r="K1331" i="6"/>
  <c r="K1314" i="6"/>
  <c r="K1384" i="6"/>
  <c r="K1364" i="6"/>
  <c r="K1344" i="6"/>
  <c r="K1327" i="6"/>
  <c r="K1309" i="6"/>
  <c r="K1380" i="6"/>
  <c r="K1363" i="6"/>
  <c r="K1343" i="6"/>
  <c r="K1326" i="6"/>
  <c r="K1306" i="6"/>
  <c r="K1393" i="6"/>
  <c r="K1369" i="6"/>
  <c r="K1342" i="6"/>
  <c r="K1317" i="6"/>
  <c r="K1392" i="6"/>
  <c r="K1368" i="6"/>
  <c r="K1341" i="6"/>
  <c r="K1316" i="6"/>
  <c r="K1389" i="6"/>
  <c r="K1362" i="6"/>
  <c r="K1339" i="6"/>
  <c r="K1313" i="6"/>
  <c r="K1372" i="6"/>
  <c r="K1332" i="6"/>
  <c r="K1301" i="6"/>
  <c r="I1389" i="6"/>
  <c r="I1377" i="6"/>
  <c r="I1365" i="6"/>
  <c r="I1353" i="6"/>
  <c r="I1341" i="6"/>
  <c r="I1329" i="6"/>
  <c r="I1317" i="6"/>
  <c r="I1305" i="6"/>
  <c r="K1391" i="6"/>
  <c r="K1356" i="6"/>
  <c r="K1325" i="6"/>
  <c r="I1397" i="6"/>
  <c r="I1385" i="6"/>
  <c r="I1373" i="6"/>
  <c r="I1361" i="6"/>
  <c r="I1349" i="6"/>
  <c r="I1337" i="6"/>
  <c r="I1325" i="6"/>
  <c r="I1313" i="6"/>
  <c r="I1301" i="6"/>
  <c r="K1388" i="6"/>
  <c r="K1355" i="6"/>
  <c r="K1324" i="6"/>
  <c r="I1396" i="6"/>
  <c r="I1384" i="6"/>
  <c r="I1372" i="6"/>
  <c r="I1360" i="6"/>
  <c r="I1348" i="6"/>
  <c r="I1336" i="6"/>
  <c r="I1324" i="6"/>
  <c r="I1312" i="6"/>
  <c r="K1365" i="6"/>
  <c r="K1322" i="6"/>
  <c r="I1393" i="6"/>
  <c r="I1378" i="6"/>
  <c r="I1362" i="6"/>
  <c r="I1345" i="6"/>
  <c r="I1330" i="6"/>
  <c r="I1314" i="6"/>
  <c r="K1358" i="6"/>
  <c r="K1315" i="6"/>
  <c r="I1392" i="6"/>
  <c r="I1376" i="6"/>
  <c r="I1359" i="6"/>
  <c r="I1344" i="6"/>
  <c r="I1328" i="6"/>
  <c r="I1311" i="6"/>
  <c r="K1396" i="6"/>
  <c r="K1350" i="6"/>
  <c r="K1305" i="6"/>
  <c r="I1388" i="6"/>
  <c r="I1371" i="6"/>
  <c r="I1356" i="6"/>
  <c r="I1340" i="6"/>
  <c r="I1323" i="6"/>
  <c r="I1308" i="6"/>
  <c r="K1377" i="6"/>
  <c r="K1312" i="6"/>
  <c r="I1387" i="6"/>
  <c r="I1367" i="6"/>
  <c r="I1346" i="6"/>
  <c r="I1322" i="6"/>
  <c r="I1303" i="6"/>
  <c r="G1392" i="6"/>
  <c r="G1380" i="6"/>
  <c r="G1368" i="6"/>
  <c r="G1356" i="6"/>
  <c r="G1344" i="6"/>
  <c r="G1332" i="6"/>
  <c r="G1320" i="6"/>
  <c r="G1308" i="6"/>
  <c r="K1376" i="6"/>
  <c r="K1310" i="6"/>
  <c r="I1386" i="6"/>
  <c r="I1366" i="6"/>
  <c r="I1343" i="6"/>
  <c r="I1321" i="6"/>
  <c r="I1302" i="6"/>
  <c r="G1391" i="6"/>
  <c r="G1379" i="6"/>
  <c r="G1367" i="6"/>
  <c r="G1355" i="6"/>
  <c r="G1343" i="6"/>
  <c r="G1331" i="6"/>
  <c r="G1319" i="6"/>
  <c r="G1307" i="6"/>
  <c r="K1354" i="6"/>
  <c r="I1381" i="6"/>
  <c r="I1358" i="6"/>
  <c r="I1338" i="6"/>
  <c r="I1318" i="6"/>
  <c r="G1400" i="6"/>
  <c r="G1388" i="6"/>
  <c r="G1376" i="6"/>
  <c r="G1364" i="6"/>
  <c r="G1352" i="6"/>
  <c r="G1340" i="6"/>
  <c r="G1328" i="6"/>
  <c r="G1316" i="6"/>
  <c r="G1304" i="6"/>
  <c r="E1400" i="6"/>
  <c r="E1388" i="6"/>
  <c r="E1376" i="6"/>
  <c r="E1364" i="6"/>
  <c r="E1352" i="6"/>
  <c r="E1340" i="6"/>
  <c r="E1328" i="6"/>
  <c r="E1316" i="6"/>
  <c r="E1304" i="6"/>
  <c r="K1349" i="6"/>
  <c r="I1400" i="6"/>
  <c r="I1380" i="6"/>
  <c r="I1357" i="6"/>
  <c r="I1335" i="6"/>
  <c r="I1316" i="6"/>
  <c r="G1399" i="6"/>
  <c r="G1387" i="6"/>
  <c r="G1375" i="6"/>
  <c r="G1363" i="6"/>
  <c r="G1351" i="6"/>
  <c r="G1339" i="6"/>
  <c r="G1327" i="6"/>
  <c r="G1315" i="6"/>
  <c r="G1303" i="6"/>
  <c r="E1399" i="6"/>
  <c r="E1387" i="6"/>
  <c r="E1375" i="6"/>
  <c r="E1363" i="6"/>
  <c r="E1351" i="6"/>
  <c r="E1339" i="6"/>
  <c r="E1327" i="6"/>
  <c r="E1315" i="6"/>
  <c r="E1303" i="6"/>
  <c r="K1328" i="6"/>
  <c r="I1382" i="6"/>
  <c r="I1351" i="6"/>
  <c r="I1319" i="6"/>
  <c r="G1398" i="6"/>
  <c r="G1382" i="6"/>
  <c r="G1362" i="6"/>
  <c r="G1346" i="6"/>
  <c r="G1326" i="6"/>
  <c r="G1310" i="6"/>
  <c r="E1392" i="6"/>
  <c r="E1378" i="6"/>
  <c r="E1362" i="6"/>
  <c r="E1348" i="6"/>
  <c r="E1334" i="6"/>
  <c r="E1320" i="6"/>
  <c r="E1306" i="6"/>
  <c r="C1305" i="6"/>
  <c r="C1317" i="6"/>
  <c r="C1329" i="6"/>
  <c r="C1341" i="6"/>
  <c r="C1353" i="6"/>
  <c r="C1365" i="6"/>
  <c r="C1377" i="6"/>
  <c r="C1389" i="6"/>
  <c r="C1401" i="6"/>
  <c r="K1394" i="6"/>
  <c r="K1302" i="6"/>
  <c r="I1379" i="6"/>
  <c r="I1350" i="6"/>
  <c r="I1315" i="6"/>
  <c r="G1397" i="6"/>
  <c r="G1381" i="6"/>
  <c r="G1361" i="6"/>
  <c r="G1345" i="6"/>
  <c r="G1325" i="6"/>
  <c r="G1309" i="6"/>
  <c r="E1391" i="6"/>
  <c r="E1377" i="6"/>
  <c r="E1361" i="6"/>
  <c r="E1347" i="6"/>
  <c r="E1333" i="6"/>
  <c r="E1319" i="6"/>
  <c r="E1305" i="6"/>
  <c r="C1306" i="6"/>
  <c r="C1318" i="6"/>
  <c r="C1330" i="6"/>
  <c r="C1342" i="6"/>
  <c r="C1354" i="6"/>
  <c r="C1366" i="6"/>
  <c r="C1378" i="6"/>
  <c r="C1390" i="6"/>
  <c r="C1302" i="6"/>
  <c r="K1378" i="6"/>
  <c r="I1370" i="6"/>
  <c r="I1339" i="6"/>
  <c r="I1307" i="6"/>
  <c r="G1394" i="6"/>
  <c r="G1374" i="6"/>
  <c r="G1358" i="6"/>
  <c r="G1338" i="6"/>
  <c r="G1322" i="6"/>
  <c r="G1302" i="6"/>
  <c r="E1386" i="6"/>
  <c r="E1372" i="6"/>
  <c r="E1358" i="6"/>
  <c r="E1344" i="6"/>
  <c r="E1330" i="6"/>
  <c r="E1314" i="6"/>
  <c r="C1309" i="6"/>
  <c r="C1321" i="6"/>
  <c r="C1333" i="6"/>
  <c r="C1345" i="6"/>
  <c r="C1357" i="6"/>
  <c r="C1369" i="6"/>
  <c r="C1381" i="6"/>
  <c r="C1393" i="6"/>
  <c r="K1375" i="6"/>
  <c r="I1399" i="6"/>
  <c r="I1369" i="6"/>
  <c r="I1334" i="6"/>
  <c r="I1306" i="6"/>
  <c r="G1393" i="6"/>
  <c r="G1373" i="6"/>
  <c r="G1357" i="6"/>
  <c r="G1337" i="6"/>
  <c r="G1321" i="6"/>
  <c r="G1301" i="6"/>
  <c r="E1401" i="6"/>
  <c r="E1385" i="6"/>
  <c r="E1371" i="6"/>
  <c r="E1357" i="6"/>
  <c r="E1343" i="6"/>
  <c r="E1329" i="6"/>
  <c r="E1313" i="6"/>
  <c r="K1345" i="6"/>
  <c r="I1374" i="6"/>
  <c r="I1327" i="6"/>
  <c r="G1377" i="6"/>
  <c r="G1349" i="6"/>
  <c r="G1323" i="6"/>
  <c r="E1396" i="6"/>
  <c r="E1374" i="6"/>
  <c r="E1354" i="6"/>
  <c r="E1332" i="6"/>
  <c r="E1310" i="6"/>
  <c r="C1314" i="6"/>
  <c r="C1331" i="6"/>
  <c r="C1347" i="6"/>
  <c r="C1362" i="6"/>
  <c r="C1379" i="6"/>
  <c r="C1395" i="6"/>
  <c r="I1320" i="6"/>
  <c r="G1347" i="6"/>
  <c r="E1370" i="6"/>
  <c r="E1326" i="6"/>
  <c r="C1316" i="6"/>
  <c r="C1349" i="6"/>
  <c r="C1382" i="6"/>
  <c r="K1340" i="6"/>
  <c r="I1368" i="6"/>
  <c r="I1326" i="6"/>
  <c r="G1372" i="6"/>
  <c r="G1348" i="6"/>
  <c r="G1318" i="6"/>
  <c r="E1395" i="6"/>
  <c r="E1373" i="6"/>
  <c r="E1353" i="6"/>
  <c r="E1331" i="6"/>
  <c r="E1309" i="6"/>
  <c r="C1315" i="6"/>
  <c r="C1332" i="6"/>
  <c r="C1348" i="6"/>
  <c r="C1363" i="6"/>
  <c r="C1380" i="6"/>
  <c r="C1396" i="6"/>
  <c r="K1338" i="6"/>
  <c r="I1364" i="6"/>
  <c r="G1371" i="6"/>
  <c r="G1317" i="6"/>
  <c r="E1394" i="6"/>
  <c r="E1350" i="6"/>
  <c r="E1308" i="6"/>
  <c r="C1334" i="6"/>
  <c r="C1364" i="6"/>
  <c r="C1397" i="6"/>
  <c r="K1329" i="6"/>
  <c r="I1355" i="6"/>
  <c r="I1309" i="6"/>
  <c r="G1395" i="6"/>
  <c r="G1369" i="6"/>
  <c r="G1341" i="6"/>
  <c r="G1313" i="6"/>
  <c r="E1390" i="6"/>
  <c r="E1368" i="6"/>
  <c r="E1346" i="6"/>
  <c r="E1324" i="6"/>
  <c r="E1302" i="6"/>
  <c r="C1303" i="6"/>
  <c r="C1320" i="6"/>
  <c r="C1336" i="6"/>
  <c r="C1351" i="6"/>
  <c r="C1368" i="6"/>
  <c r="C1384" i="6"/>
  <c r="C1399" i="6"/>
  <c r="I1352" i="6"/>
  <c r="G1365" i="6"/>
  <c r="G1311" i="6"/>
  <c r="E1384" i="6"/>
  <c r="E1342" i="6"/>
  <c r="I1398" i="6"/>
  <c r="I1354" i="6"/>
  <c r="I1304" i="6"/>
  <c r="G1390" i="6"/>
  <c r="G1366" i="6"/>
  <c r="G1336" i="6"/>
  <c r="G1312" i="6"/>
  <c r="E1389" i="6"/>
  <c r="E1367" i="6"/>
  <c r="E1345" i="6"/>
  <c r="E1323" i="6"/>
  <c r="C1304" i="6"/>
  <c r="C1322" i="6"/>
  <c r="C1337" i="6"/>
  <c r="C1352" i="6"/>
  <c r="C1370" i="6"/>
  <c r="C1385" i="6"/>
  <c r="C1400" i="6"/>
  <c r="I1395" i="6"/>
  <c r="G1389" i="6"/>
  <c r="G1335" i="6"/>
  <c r="E1366" i="6"/>
  <c r="E1322" i="6"/>
  <c r="I1342" i="6"/>
  <c r="G1360" i="6"/>
  <c r="G1306" i="6"/>
  <c r="E1397" i="6"/>
  <c r="E1355" i="6"/>
  <c r="E1311" i="6"/>
  <c r="C1307" i="6"/>
  <c r="C1328" i="6"/>
  <c r="C1359" i="6"/>
  <c r="C1387" i="6"/>
  <c r="C1308" i="6"/>
  <c r="C1360" i="6"/>
  <c r="C1388" i="6"/>
  <c r="G1353" i="6"/>
  <c r="E1338" i="6"/>
  <c r="C1392" i="6"/>
  <c r="E1336" i="6"/>
  <c r="G1334" i="6"/>
  <c r="E1379" i="6"/>
  <c r="I1333" i="6"/>
  <c r="G1359" i="6"/>
  <c r="G1305" i="6"/>
  <c r="E1393" i="6"/>
  <c r="E1349" i="6"/>
  <c r="E1307" i="6"/>
  <c r="C1335" i="6"/>
  <c r="I1331" i="6"/>
  <c r="C1339" i="6"/>
  <c r="C1313" i="6"/>
  <c r="C1398" i="6"/>
  <c r="I1391" i="6"/>
  <c r="I1332" i="6"/>
  <c r="G1354" i="6"/>
  <c r="E1383" i="6"/>
  <c r="E1341" i="6"/>
  <c r="C1310" i="6"/>
  <c r="C1338" i="6"/>
  <c r="C1361" i="6"/>
  <c r="C1391" i="6"/>
  <c r="E1382" i="6"/>
  <c r="C1311" i="6"/>
  <c r="C1367" i="6"/>
  <c r="C1372" i="6"/>
  <c r="K1379" i="6"/>
  <c r="E1335" i="6"/>
  <c r="I1310" i="6"/>
  <c r="G1350" i="6"/>
  <c r="E1381" i="6"/>
  <c r="E1337" i="6"/>
  <c r="C1312" i="6"/>
  <c r="C1340" i="6"/>
  <c r="C1371" i="6"/>
  <c r="C1394" i="6"/>
  <c r="K1385" i="6"/>
  <c r="I1394" i="6"/>
  <c r="G1396" i="6"/>
  <c r="G1342" i="6"/>
  <c r="E1380" i="6"/>
  <c r="C1343" i="6"/>
  <c r="G1386" i="6"/>
  <c r="C1464" i="6"/>
  <c r="C2516" i="6"/>
  <c r="E1369" i="6"/>
  <c r="E2531" i="6"/>
  <c r="G1330" i="6"/>
  <c r="G2575" i="6"/>
  <c r="K1299" i="6"/>
  <c r="K1287" i="6"/>
  <c r="K1275" i="6"/>
  <c r="K1263" i="6"/>
  <c r="K1251" i="6"/>
  <c r="K1239" i="6"/>
  <c r="K1227" i="6"/>
  <c r="K1215" i="6"/>
  <c r="K1203" i="6"/>
  <c r="K1295" i="6"/>
  <c r="K1282" i="6"/>
  <c r="K1269" i="6"/>
  <c r="K1256" i="6"/>
  <c r="K1294" i="6"/>
  <c r="K1281" i="6"/>
  <c r="K1268" i="6"/>
  <c r="K1255" i="6"/>
  <c r="K1242" i="6"/>
  <c r="K1229" i="6"/>
  <c r="K1216" i="6"/>
  <c r="K1202" i="6"/>
  <c r="K1289" i="6"/>
  <c r="K1273" i="6"/>
  <c r="K1258" i="6"/>
  <c r="K1243" i="6"/>
  <c r="K1228" i="6"/>
  <c r="K1213" i="6"/>
  <c r="K1288" i="6"/>
  <c r="K1272" i="6"/>
  <c r="K1257" i="6"/>
  <c r="K1241" i="6"/>
  <c r="K1226" i="6"/>
  <c r="K1212" i="6"/>
  <c r="K1296" i="6"/>
  <c r="K1277" i="6"/>
  <c r="K1259" i="6"/>
  <c r="K1238" i="6"/>
  <c r="K1222" i="6"/>
  <c r="K1206" i="6"/>
  <c r="K1290" i="6"/>
  <c r="K1270" i="6"/>
  <c r="K1250" i="6"/>
  <c r="K1234" i="6"/>
  <c r="K1218" i="6"/>
  <c r="K1286" i="6"/>
  <c r="K1267" i="6"/>
  <c r="K1249" i="6"/>
  <c r="K1233" i="6"/>
  <c r="K1217" i="6"/>
  <c r="K1293" i="6"/>
  <c r="K1266" i="6"/>
  <c r="K1245" i="6"/>
  <c r="K1221" i="6"/>
  <c r="K1292" i="6"/>
  <c r="K1265" i="6"/>
  <c r="K1244" i="6"/>
  <c r="K1220" i="6"/>
  <c r="K1285" i="6"/>
  <c r="K1262" i="6"/>
  <c r="K1237" i="6"/>
  <c r="K1214" i="6"/>
  <c r="K1271" i="6"/>
  <c r="K1235" i="6"/>
  <c r="K1207" i="6"/>
  <c r="I1293" i="6"/>
  <c r="I1281" i="6"/>
  <c r="I1269" i="6"/>
  <c r="I1257" i="6"/>
  <c r="I1245" i="6"/>
  <c r="I1233" i="6"/>
  <c r="I1221" i="6"/>
  <c r="I1209" i="6"/>
  <c r="K1291" i="6"/>
  <c r="K1254" i="6"/>
  <c r="K1225" i="6"/>
  <c r="I1289" i="6"/>
  <c r="I1277" i="6"/>
  <c r="I1265" i="6"/>
  <c r="I1253" i="6"/>
  <c r="I1241" i="6"/>
  <c r="I1229" i="6"/>
  <c r="I1217" i="6"/>
  <c r="I1205" i="6"/>
  <c r="K1284" i="6"/>
  <c r="K1253" i="6"/>
  <c r="K1224" i="6"/>
  <c r="I1300" i="6"/>
  <c r="I1288" i="6"/>
  <c r="I1276" i="6"/>
  <c r="I1264" i="6"/>
  <c r="I1252" i="6"/>
  <c r="I1240" i="6"/>
  <c r="I1228" i="6"/>
  <c r="I1216" i="6"/>
  <c r="I1204" i="6"/>
  <c r="K1278" i="6"/>
  <c r="K1232" i="6"/>
  <c r="I1297" i="6"/>
  <c r="I1282" i="6"/>
  <c r="I1266" i="6"/>
  <c r="I1249" i="6"/>
  <c r="I1234" i="6"/>
  <c r="I1218" i="6"/>
  <c r="I1201" i="6"/>
  <c r="K1276" i="6"/>
  <c r="K1231" i="6"/>
  <c r="I1296" i="6"/>
  <c r="I1280" i="6"/>
  <c r="I1263" i="6"/>
  <c r="I1248" i="6"/>
  <c r="I1232" i="6"/>
  <c r="I1215" i="6"/>
  <c r="K1261" i="6"/>
  <c r="K1219" i="6"/>
  <c r="I1292" i="6"/>
  <c r="I1275" i="6"/>
  <c r="I1260" i="6"/>
  <c r="I1244" i="6"/>
  <c r="I1227" i="6"/>
  <c r="I1212" i="6"/>
  <c r="K1252" i="6"/>
  <c r="K1205" i="6"/>
  <c r="I1283" i="6"/>
  <c r="I1259" i="6"/>
  <c r="I1238" i="6"/>
  <c r="I1219" i="6"/>
  <c r="G1296" i="6"/>
  <c r="G1284" i="6"/>
  <c r="G1272" i="6"/>
  <c r="G1260" i="6"/>
  <c r="G1248" i="6"/>
  <c r="G1236" i="6"/>
  <c r="G1224" i="6"/>
  <c r="G1212" i="6"/>
  <c r="K1248" i="6"/>
  <c r="K1204" i="6"/>
  <c r="I1279" i="6"/>
  <c r="I1258" i="6"/>
  <c r="I1237" i="6"/>
  <c r="I1214" i="6"/>
  <c r="G1295" i="6"/>
  <c r="G1283" i="6"/>
  <c r="G1271" i="6"/>
  <c r="G1259" i="6"/>
  <c r="G1247" i="6"/>
  <c r="G1235" i="6"/>
  <c r="G1223" i="6"/>
  <c r="G1211" i="6"/>
  <c r="K1298" i="6"/>
  <c r="K1240" i="6"/>
  <c r="I1295" i="6"/>
  <c r="I1273" i="6"/>
  <c r="I1254" i="6"/>
  <c r="I1231" i="6"/>
  <c r="I1210" i="6"/>
  <c r="G1292" i="6"/>
  <c r="G1280" i="6"/>
  <c r="G1268" i="6"/>
  <c r="G1256" i="6"/>
  <c r="G1244" i="6"/>
  <c r="G1232" i="6"/>
  <c r="G1220" i="6"/>
  <c r="G1208" i="6"/>
  <c r="E1292" i="6"/>
  <c r="E1280" i="6"/>
  <c r="E1268" i="6"/>
  <c r="E1256" i="6"/>
  <c r="E1244" i="6"/>
  <c r="E1232" i="6"/>
  <c r="E1220" i="6"/>
  <c r="E1208" i="6"/>
  <c r="K1297" i="6"/>
  <c r="K1236" i="6"/>
  <c r="I1294" i="6"/>
  <c r="I1272" i="6"/>
  <c r="I1251" i="6"/>
  <c r="I1230" i="6"/>
  <c r="I1208" i="6"/>
  <c r="G1291" i="6"/>
  <c r="G1279" i="6"/>
  <c r="G1267" i="6"/>
  <c r="G1255" i="6"/>
  <c r="G1243" i="6"/>
  <c r="G1231" i="6"/>
  <c r="G1219" i="6"/>
  <c r="G1207" i="6"/>
  <c r="E1291" i="6"/>
  <c r="E1279" i="6"/>
  <c r="E1267" i="6"/>
  <c r="E1255" i="6"/>
  <c r="E1243" i="6"/>
  <c r="E1231" i="6"/>
  <c r="E1219" i="6"/>
  <c r="E1207" i="6"/>
  <c r="K1223" i="6"/>
  <c r="I1286" i="6"/>
  <c r="I1255" i="6"/>
  <c r="I1223" i="6"/>
  <c r="G1290" i="6"/>
  <c r="G1274" i="6"/>
  <c r="G1254" i="6"/>
  <c r="G1238" i="6"/>
  <c r="G1218" i="6"/>
  <c r="G1202" i="6"/>
  <c r="E1290" i="6"/>
  <c r="E1276" i="6"/>
  <c r="E1262" i="6"/>
  <c r="E1248" i="6"/>
  <c r="E1234" i="6"/>
  <c r="E1218" i="6"/>
  <c r="E1204" i="6"/>
  <c r="C1213" i="6"/>
  <c r="C1225" i="6"/>
  <c r="C1237" i="6"/>
  <c r="C1249" i="6"/>
  <c r="C1261" i="6"/>
  <c r="C1273" i="6"/>
  <c r="C1285" i="6"/>
  <c r="C1297" i="6"/>
  <c r="K1211" i="6"/>
  <c r="I1285" i="6"/>
  <c r="I1250" i="6"/>
  <c r="I1222" i="6"/>
  <c r="G1289" i="6"/>
  <c r="G1273" i="6"/>
  <c r="G1253" i="6"/>
  <c r="G1237" i="6"/>
  <c r="G1217" i="6"/>
  <c r="G1201" i="6"/>
  <c r="E1289" i="6"/>
  <c r="E1275" i="6"/>
  <c r="E1261" i="6"/>
  <c r="E1247" i="6"/>
  <c r="E1233" i="6"/>
  <c r="E1217" i="6"/>
  <c r="E1203" i="6"/>
  <c r="C1214" i="6"/>
  <c r="C1226" i="6"/>
  <c r="C1238" i="6"/>
  <c r="C1250" i="6"/>
  <c r="C1262" i="6"/>
  <c r="C1274" i="6"/>
  <c r="C1286" i="6"/>
  <c r="C1298" i="6"/>
  <c r="K1280" i="6"/>
  <c r="K1208" i="6"/>
  <c r="I1274" i="6"/>
  <c r="I1243" i="6"/>
  <c r="I1211" i="6"/>
  <c r="G1286" i="6"/>
  <c r="G1266" i="6"/>
  <c r="G1250" i="6"/>
  <c r="G1230" i="6"/>
  <c r="G1214" i="6"/>
  <c r="E1300" i="6"/>
  <c r="E1286" i="6"/>
  <c r="E1272" i="6"/>
  <c r="E1258" i="6"/>
  <c r="E1242" i="6"/>
  <c r="E1228" i="6"/>
  <c r="E1214" i="6"/>
  <c r="C1205" i="6"/>
  <c r="C1217" i="6"/>
  <c r="C1229" i="6"/>
  <c r="C1241" i="6"/>
  <c r="C1253" i="6"/>
  <c r="C1265" i="6"/>
  <c r="C1277" i="6"/>
  <c r="C1289" i="6"/>
  <c r="C1301" i="6"/>
  <c r="K1279" i="6"/>
  <c r="K1201" i="6"/>
  <c r="I1271" i="6"/>
  <c r="I1242" i="6"/>
  <c r="I1207" i="6"/>
  <c r="G1285" i="6"/>
  <c r="G1265" i="6"/>
  <c r="G1249" i="6"/>
  <c r="G1229" i="6"/>
  <c r="G1213" i="6"/>
  <c r="E1299" i="6"/>
  <c r="E1285" i="6"/>
  <c r="E1271" i="6"/>
  <c r="E1257" i="6"/>
  <c r="E1241" i="6"/>
  <c r="E1227" i="6"/>
  <c r="E1213" i="6"/>
  <c r="K1230" i="6"/>
  <c r="I1278" i="6"/>
  <c r="I1226" i="6"/>
  <c r="G1297" i="6"/>
  <c r="G1269" i="6"/>
  <c r="G1241" i="6"/>
  <c r="G1215" i="6"/>
  <c r="E1288" i="6"/>
  <c r="E1266" i="6"/>
  <c r="E1246" i="6"/>
  <c r="E1224" i="6"/>
  <c r="E1202" i="6"/>
  <c r="C1210" i="6"/>
  <c r="C1227" i="6"/>
  <c r="C1243" i="6"/>
  <c r="C1258" i="6"/>
  <c r="C1275" i="6"/>
  <c r="C1291" i="6"/>
  <c r="K1209" i="6"/>
  <c r="I1224" i="6"/>
  <c r="G1293" i="6"/>
  <c r="G1239" i="6"/>
  <c r="E1284" i="6"/>
  <c r="E1240" i="6"/>
  <c r="C1212" i="6"/>
  <c r="C1245" i="6"/>
  <c r="C1278" i="6"/>
  <c r="K1210" i="6"/>
  <c r="I1270" i="6"/>
  <c r="I1225" i="6"/>
  <c r="G1294" i="6"/>
  <c r="G1264" i="6"/>
  <c r="G1240" i="6"/>
  <c r="G1210" i="6"/>
  <c r="E1287" i="6"/>
  <c r="E1265" i="6"/>
  <c r="E1245" i="6"/>
  <c r="E1223" i="6"/>
  <c r="C1211" i="6"/>
  <c r="C1228" i="6"/>
  <c r="C1244" i="6"/>
  <c r="C1259" i="6"/>
  <c r="C1276" i="6"/>
  <c r="C1292" i="6"/>
  <c r="I1268" i="6"/>
  <c r="G1263" i="6"/>
  <c r="G1209" i="6"/>
  <c r="E1264" i="6"/>
  <c r="E1222" i="6"/>
  <c r="C1230" i="6"/>
  <c r="C1260" i="6"/>
  <c r="C1293" i="6"/>
  <c r="I1262" i="6"/>
  <c r="I1213" i="6"/>
  <c r="G1287" i="6"/>
  <c r="G1261" i="6"/>
  <c r="G1233" i="6"/>
  <c r="G1205" i="6"/>
  <c r="E1282" i="6"/>
  <c r="E1260" i="6"/>
  <c r="E1238" i="6"/>
  <c r="E1216" i="6"/>
  <c r="C1216" i="6"/>
  <c r="C1232" i="6"/>
  <c r="C1247" i="6"/>
  <c r="C1264" i="6"/>
  <c r="C1280" i="6"/>
  <c r="C1295" i="6"/>
  <c r="K1283" i="6"/>
  <c r="I1256" i="6"/>
  <c r="G1257" i="6"/>
  <c r="G1203" i="6"/>
  <c r="E1298" i="6"/>
  <c r="E1254" i="6"/>
  <c r="K1300" i="6"/>
  <c r="I1261" i="6"/>
  <c r="I1206" i="6"/>
  <c r="G1282" i="6"/>
  <c r="G1258" i="6"/>
  <c r="G1228" i="6"/>
  <c r="G1204" i="6"/>
  <c r="E1301" i="6"/>
  <c r="E1281" i="6"/>
  <c r="E1259" i="6"/>
  <c r="E1237" i="6"/>
  <c r="E1215" i="6"/>
  <c r="C1218" i="6"/>
  <c r="C1233" i="6"/>
  <c r="C1248" i="6"/>
  <c r="C1266" i="6"/>
  <c r="C1281" i="6"/>
  <c r="C1296" i="6"/>
  <c r="I1299" i="6"/>
  <c r="I1203" i="6"/>
  <c r="G1281" i="6"/>
  <c r="G1227" i="6"/>
  <c r="E1278" i="6"/>
  <c r="E1236" i="6"/>
  <c r="E1212" i="6"/>
  <c r="K1247" i="6"/>
  <c r="I1246" i="6"/>
  <c r="G1252" i="6"/>
  <c r="E1269" i="6"/>
  <c r="E1225" i="6"/>
  <c r="C1215" i="6"/>
  <c r="C1240" i="6"/>
  <c r="C1269" i="6"/>
  <c r="C1299" i="6"/>
  <c r="C1242" i="6"/>
  <c r="C1300" i="6"/>
  <c r="I1235" i="6"/>
  <c r="E1210" i="6"/>
  <c r="C1254" i="6"/>
  <c r="I1291" i="6"/>
  <c r="E1205" i="6"/>
  <c r="K1246" i="6"/>
  <c r="I1239" i="6"/>
  <c r="G1251" i="6"/>
  <c r="E1263" i="6"/>
  <c r="E1221" i="6"/>
  <c r="C1219" i="6"/>
  <c r="C1270" i="6"/>
  <c r="G1245" i="6"/>
  <c r="E1296" i="6"/>
  <c r="C1221" i="6"/>
  <c r="C1272" i="6"/>
  <c r="E1294" i="6"/>
  <c r="G1226" i="6"/>
  <c r="E1249" i="6"/>
  <c r="I1236" i="6"/>
  <c r="G1300" i="6"/>
  <c r="G1246" i="6"/>
  <c r="E1297" i="6"/>
  <c r="E1253" i="6"/>
  <c r="E1211" i="6"/>
  <c r="C1220" i="6"/>
  <c r="C1246" i="6"/>
  <c r="C1271" i="6"/>
  <c r="C1202" i="6"/>
  <c r="G1299" i="6"/>
  <c r="E1252" i="6"/>
  <c r="C1251" i="6"/>
  <c r="E1250" i="6"/>
  <c r="C1282" i="6"/>
  <c r="G1278" i="6"/>
  <c r="I1220" i="6"/>
  <c r="G1298" i="6"/>
  <c r="G1242" i="6"/>
  <c r="E1295" i="6"/>
  <c r="E1251" i="6"/>
  <c r="E1209" i="6"/>
  <c r="C1222" i="6"/>
  <c r="C1252" i="6"/>
  <c r="C1279" i="6"/>
  <c r="I1298" i="6"/>
  <c r="I1202" i="6"/>
  <c r="G1288" i="6"/>
  <c r="G1234" i="6"/>
  <c r="E1206" i="6"/>
  <c r="C1223" i="6"/>
  <c r="E1293" i="6"/>
  <c r="C1319" i="6"/>
  <c r="E1490" i="6"/>
  <c r="G1486" i="6"/>
  <c r="I2422" i="6"/>
  <c r="C1174" i="6"/>
  <c r="C1209" i="6"/>
  <c r="C1447" i="6"/>
  <c r="C2472" i="6"/>
  <c r="E1188" i="6"/>
  <c r="E1493" i="6"/>
  <c r="E2534" i="6"/>
  <c r="G1370" i="6"/>
  <c r="G2582" i="6"/>
  <c r="K2290" i="6"/>
  <c r="K2278" i="6"/>
  <c r="K2266" i="6"/>
  <c r="K2254" i="6"/>
  <c r="K2242" i="6"/>
  <c r="K2230" i="6"/>
  <c r="K2218" i="6"/>
  <c r="K2206" i="6"/>
  <c r="K2289" i="6"/>
  <c r="K2277" i="6"/>
  <c r="K2265" i="6"/>
  <c r="K2253" i="6"/>
  <c r="K2241" i="6"/>
  <c r="K2229" i="6"/>
  <c r="K2217" i="6"/>
  <c r="K2205" i="6"/>
  <c r="K2292" i="6"/>
  <c r="K2276" i="6"/>
  <c r="K2262" i="6"/>
  <c r="K2248" i="6"/>
  <c r="K2234" i="6"/>
  <c r="K2220" i="6"/>
  <c r="K2204" i="6"/>
  <c r="K2293" i="6"/>
  <c r="K2275" i="6"/>
  <c r="K2260" i="6"/>
  <c r="K2245" i="6"/>
  <c r="K2228" i="6"/>
  <c r="K2213" i="6"/>
  <c r="K2286" i="6"/>
  <c r="K2271" i="6"/>
  <c r="K2256" i="6"/>
  <c r="K2239" i="6"/>
  <c r="K2224" i="6"/>
  <c r="K2209" i="6"/>
  <c r="K2300" i="6"/>
  <c r="K2285" i="6"/>
  <c r="K2270" i="6"/>
  <c r="K2255" i="6"/>
  <c r="K2238" i="6"/>
  <c r="K2223" i="6"/>
  <c r="K2208" i="6"/>
  <c r="K2283" i="6"/>
  <c r="K2263" i="6"/>
  <c r="K2243" i="6"/>
  <c r="K2221" i="6"/>
  <c r="K2282" i="6"/>
  <c r="K2261" i="6"/>
  <c r="K2240" i="6"/>
  <c r="K2219" i="6"/>
  <c r="K2280" i="6"/>
  <c r="K2252" i="6"/>
  <c r="K2231" i="6"/>
  <c r="K2203" i="6"/>
  <c r="I2296" i="6"/>
  <c r="I2284" i="6"/>
  <c r="I2272" i="6"/>
  <c r="I2260" i="6"/>
  <c r="I2248" i="6"/>
  <c r="I2236" i="6"/>
  <c r="I2224" i="6"/>
  <c r="I2212" i="6"/>
  <c r="K2296" i="6"/>
  <c r="K2272" i="6"/>
  <c r="K2247" i="6"/>
  <c r="K2222" i="6"/>
  <c r="I2292" i="6"/>
  <c r="I2280" i="6"/>
  <c r="I2268" i="6"/>
  <c r="I2256" i="6"/>
  <c r="I2244" i="6"/>
  <c r="I2232" i="6"/>
  <c r="I2220" i="6"/>
  <c r="I2208" i="6"/>
  <c r="K2295" i="6"/>
  <c r="K2269" i="6"/>
  <c r="K2246" i="6"/>
  <c r="K2216" i="6"/>
  <c r="I2291" i="6"/>
  <c r="I2279" i="6"/>
  <c r="I2267" i="6"/>
  <c r="I2255" i="6"/>
  <c r="I2243" i="6"/>
  <c r="I2231" i="6"/>
  <c r="I2219" i="6"/>
  <c r="I2207" i="6"/>
  <c r="K2274" i="6"/>
  <c r="K2237" i="6"/>
  <c r="K2210" i="6"/>
  <c r="K2273" i="6"/>
  <c r="K2236" i="6"/>
  <c r="K2207" i="6"/>
  <c r="I2286" i="6"/>
  <c r="I2270" i="6"/>
  <c r="I2253" i="6"/>
  <c r="I2238" i="6"/>
  <c r="K2298" i="6"/>
  <c r="K2267" i="6"/>
  <c r="K2233" i="6"/>
  <c r="K2201" i="6"/>
  <c r="I2299" i="6"/>
  <c r="I2283" i="6"/>
  <c r="I2266" i="6"/>
  <c r="I2251" i="6"/>
  <c r="I2235" i="6"/>
  <c r="I2218" i="6"/>
  <c r="I2203" i="6"/>
  <c r="K2259" i="6"/>
  <c r="K2215" i="6"/>
  <c r="I2282" i="6"/>
  <c r="I2263" i="6"/>
  <c r="I2245" i="6"/>
  <c r="I2226" i="6"/>
  <c r="I2209" i="6"/>
  <c r="K2291" i="6"/>
  <c r="K2250" i="6"/>
  <c r="K2202" i="6"/>
  <c r="I2295" i="6"/>
  <c r="I2276" i="6"/>
  <c r="I2258" i="6"/>
  <c r="I2239" i="6"/>
  <c r="I2221" i="6"/>
  <c r="I2202" i="6"/>
  <c r="G2296" i="6"/>
  <c r="G2284" i="6"/>
  <c r="G2272" i="6"/>
  <c r="G2260" i="6"/>
  <c r="G2248" i="6"/>
  <c r="G2236" i="6"/>
  <c r="G2224" i="6"/>
  <c r="G2212" i="6"/>
  <c r="K2288" i="6"/>
  <c r="K2249" i="6"/>
  <c r="I2294" i="6"/>
  <c r="I2275" i="6"/>
  <c r="I2257" i="6"/>
  <c r="I2237" i="6"/>
  <c r="I2217" i="6"/>
  <c r="I2201" i="6"/>
  <c r="K2294" i="6"/>
  <c r="K2232" i="6"/>
  <c r="I2293" i="6"/>
  <c r="I2269" i="6"/>
  <c r="I2242" i="6"/>
  <c r="I2216" i="6"/>
  <c r="K2287" i="6"/>
  <c r="K2227" i="6"/>
  <c r="I2290" i="6"/>
  <c r="I2265" i="6"/>
  <c r="I2241" i="6"/>
  <c r="I2215" i="6"/>
  <c r="K2279" i="6"/>
  <c r="K2214" i="6"/>
  <c r="I2287" i="6"/>
  <c r="I2261" i="6"/>
  <c r="I2233" i="6"/>
  <c r="I2211" i="6"/>
  <c r="K2244" i="6"/>
  <c r="I2277" i="6"/>
  <c r="I2246" i="6"/>
  <c r="I2210" i="6"/>
  <c r="G2300" i="6"/>
  <c r="G2287" i="6"/>
  <c r="G2274" i="6"/>
  <c r="G2261" i="6"/>
  <c r="G2247" i="6"/>
  <c r="G2234" i="6"/>
  <c r="G2221" i="6"/>
  <c r="G2208" i="6"/>
  <c r="E2292" i="6"/>
  <c r="E2280" i="6"/>
  <c r="E2268" i="6"/>
  <c r="E2256" i="6"/>
  <c r="E2244" i="6"/>
  <c r="E2232" i="6"/>
  <c r="E2220" i="6"/>
  <c r="E2208" i="6"/>
  <c r="K2235" i="6"/>
  <c r="I2274" i="6"/>
  <c r="I2240" i="6"/>
  <c r="I2206" i="6"/>
  <c r="G2299" i="6"/>
  <c r="G2286" i="6"/>
  <c r="G2273" i="6"/>
  <c r="G2259" i="6"/>
  <c r="G2246" i="6"/>
  <c r="G2233" i="6"/>
  <c r="G2220" i="6"/>
  <c r="G2207" i="6"/>
  <c r="K2297" i="6"/>
  <c r="K2212" i="6"/>
  <c r="I2300" i="6"/>
  <c r="I2264" i="6"/>
  <c r="I2229" i="6"/>
  <c r="G2295" i="6"/>
  <c r="G2282" i="6"/>
  <c r="G2269" i="6"/>
  <c r="G2256" i="6"/>
  <c r="G2243" i="6"/>
  <c r="G2230" i="6"/>
  <c r="G2217" i="6"/>
  <c r="G2204" i="6"/>
  <c r="E2300" i="6"/>
  <c r="E2288" i="6"/>
  <c r="E2276" i="6"/>
  <c r="E2264" i="6"/>
  <c r="E2252" i="6"/>
  <c r="E2240" i="6"/>
  <c r="E2228" i="6"/>
  <c r="E2216" i="6"/>
  <c r="E2204" i="6"/>
  <c r="K2284" i="6"/>
  <c r="K2211" i="6"/>
  <c r="I2298" i="6"/>
  <c r="I2262" i="6"/>
  <c r="I2228" i="6"/>
  <c r="G2294" i="6"/>
  <c r="G2281" i="6"/>
  <c r="G2268" i="6"/>
  <c r="G2255" i="6"/>
  <c r="G2242" i="6"/>
  <c r="G2229" i="6"/>
  <c r="G2216" i="6"/>
  <c r="G2203" i="6"/>
  <c r="E2299" i="6"/>
  <c r="E2287" i="6"/>
  <c r="E2275" i="6"/>
  <c r="E2263" i="6"/>
  <c r="E2251" i="6"/>
  <c r="E2239" i="6"/>
  <c r="E2227" i="6"/>
  <c r="E2215" i="6"/>
  <c r="E2203" i="6"/>
  <c r="K2257" i="6"/>
  <c r="I2250" i="6"/>
  <c r="I2204" i="6"/>
  <c r="G2289" i="6"/>
  <c r="G2267" i="6"/>
  <c r="G2250" i="6"/>
  <c r="G2228" i="6"/>
  <c r="G2210" i="6"/>
  <c r="E2289" i="6"/>
  <c r="E2272" i="6"/>
  <c r="E2257" i="6"/>
  <c r="E2241" i="6"/>
  <c r="E2224" i="6"/>
  <c r="E2209" i="6"/>
  <c r="C2205" i="6"/>
  <c r="C2217" i="6"/>
  <c r="C2229" i="6"/>
  <c r="C2241" i="6"/>
  <c r="C2253" i="6"/>
  <c r="C2265" i="6"/>
  <c r="C2277" i="6"/>
  <c r="C2289" i="6"/>
  <c r="C2301" i="6"/>
  <c r="K2251" i="6"/>
  <c r="I2297" i="6"/>
  <c r="I2249" i="6"/>
  <c r="G2288" i="6"/>
  <c r="G2266" i="6"/>
  <c r="G2249" i="6"/>
  <c r="G2227" i="6"/>
  <c r="G2209" i="6"/>
  <c r="E2286" i="6"/>
  <c r="E2271" i="6"/>
  <c r="E2255" i="6"/>
  <c r="E2238" i="6"/>
  <c r="E2223" i="6"/>
  <c r="E2207" i="6"/>
  <c r="C2206" i="6"/>
  <c r="C2218" i="6"/>
  <c r="C2230" i="6"/>
  <c r="C2242" i="6"/>
  <c r="C2254" i="6"/>
  <c r="C2266" i="6"/>
  <c r="C2278" i="6"/>
  <c r="C2290" i="6"/>
  <c r="C2202" i="6"/>
  <c r="I2285" i="6"/>
  <c r="I2230" i="6"/>
  <c r="G2280" i="6"/>
  <c r="G2263" i="6"/>
  <c r="G2241" i="6"/>
  <c r="G2223" i="6"/>
  <c r="G2202" i="6"/>
  <c r="E2298" i="6"/>
  <c r="E2283" i="6"/>
  <c r="E2267" i="6"/>
  <c r="E2250" i="6"/>
  <c r="E2235" i="6"/>
  <c r="E2219" i="6"/>
  <c r="E2202" i="6"/>
  <c r="C2209" i="6"/>
  <c r="C2221" i="6"/>
  <c r="C2233" i="6"/>
  <c r="C2245" i="6"/>
  <c r="C2257" i="6"/>
  <c r="C2269" i="6"/>
  <c r="C2281" i="6"/>
  <c r="C2293" i="6"/>
  <c r="I2281" i="6"/>
  <c r="I2227" i="6"/>
  <c r="G2279" i="6"/>
  <c r="G2262" i="6"/>
  <c r="G2240" i="6"/>
  <c r="G2222" i="6"/>
  <c r="G2201" i="6"/>
  <c r="E2297" i="6"/>
  <c r="E2282" i="6"/>
  <c r="E2266" i="6"/>
  <c r="E2249" i="6"/>
  <c r="E2234" i="6"/>
  <c r="E2218" i="6"/>
  <c r="C2210" i="6"/>
  <c r="C2222" i="6"/>
  <c r="C2234" i="6"/>
  <c r="C2246" i="6"/>
  <c r="C2258" i="6"/>
  <c r="C2270" i="6"/>
  <c r="C2282" i="6"/>
  <c r="C2294" i="6"/>
  <c r="I2234" i="6"/>
  <c r="G2297" i="6"/>
  <c r="G2270" i="6"/>
  <c r="G2238" i="6"/>
  <c r="G2211" i="6"/>
  <c r="E2290" i="6"/>
  <c r="E2262" i="6"/>
  <c r="E2242" i="6"/>
  <c r="E2214" i="6"/>
  <c r="C2207" i="6"/>
  <c r="C2225" i="6"/>
  <c r="C2243" i="6"/>
  <c r="C2261" i="6"/>
  <c r="C2279" i="6"/>
  <c r="C2297" i="6"/>
  <c r="I2223" i="6"/>
  <c r="G2264" i="6"/>
  <c r="G2205" i="6"/>
  <c r="E2260" i="6"/>
  <c r="E2212" i="6"/>
  <c r="C2211" i="6"/>
  <c r="C2247" i="6"/>
  <c r="C2283" i="6"/>
  <c r="I2225" i="6"/>
  <c r="G2293" i="6"/>
  <c r="G2265" i="6"/>
  <c r="G2237" i="6"/>
  <c r="G2206" i="6"/>
  <c r="E2285" i="6"/>
  <c r="E2261" i="6"/>
  <c r="E2237" i="6"/>
  <c r="E2213" i="6"/>
  <c r="C2208" i="6"/>
  <c r="C2226" i="6"/>
  <c r="C2244" i="6"/>
  <c r="C2262" i="6"/>
  <c r="C2280" i="6"/>
  <c r="C2298" i="6"/>
  <c r="G2292" i="6"/>
  <c r="G2235" i="6"/>
  <c r="E2284" i="6"/>
  <c r="E2236" i="6"/>
  <c r="C2227" i="6"/>
  <c r="C2263" i="6"/>
  <c r="C2299" i="6"/>
  <c r="I2288" i="6"/>
  <c r="I2214" i="6"/>
  <c r="G2290" i="6"/>
  <c r="G2257" i="6"/>
  <c r="G2231" i="6"/>
  <c r="E2279" i="6"/>
  <c r="E2258" i="6"/>
  <c r="E2231" i="6"/>
  <c r="E2210" i="6"/>
  <c r="C2213" i="6"/>
  <c r="C2231" i="6"/>
  <c r="C2249" i="6"/>
  <c r="C2267" i="6"/>
  <c r="C2285" i="6"/>
  <c r="K2281" i="6"/>
  <c r="I2273" i="6"/>
  <c r="G2253" i="6"/>
  <c r="E2301" i="6"/>
  <c r="E2253" i="6"/>
  <c r="E2205" i="6"/>
  <c r="C2215" i="6"/>
  <c r="C2251" i="6"/>
  <c r="C2287" i="6"/>
  <c r="K2299" i="6"/>
  <c r="I2278" i="6"/>
  <c r="I2213" i="6"/>
  <c r="G2285" i="6"/>
  <c r="G2254" i="6"/>
  <c r="G2226" i="6"/>
  <c r="E2278" i="6"/>
  <c r="E2254" i="6"/>
  <c r="E2230" i="6"/>
  <c r="E2206" i="6"/>
  <c r="C2214" i="6"/>
  <c r="C2232" i="6"/>
  <c r="C2250" i="6"/>
  <c r="C2268" i="6"/>
  <c r="C2286" i="6"/>
  <c r="I2205" i="6"/>
  <c r="G2283" i="6"/>
  <c r="G2225" i="6"/>
  <c r="E2277" i="6"/>
  <c r="E2229" i="6"/>
  <c r="C2235" i="6"/>
  <c r="C2271" i="6"/>
  <c r="I2259" i="6"/>
  <c r="G2278" i="6"/>
  <c r="G2219" i="6"/>
  <c r="E2281" i="6"/>
  <c r="E2233" i="6"/>
  <c r="C2220" i="6"/>
  <c r="C2256" i="6"/>
  <c r="C2292" i="6"/>
  <c r="I2247" i="6"/>
  <c r="G2214" i="6"/>
  <c r="E2270" i="6"/>
  <c r="C2300" i="6"/>
  <c r="C2273" i="6"/>
  <c r="E2211" i="6"/>
  <c r="I2254" i="6"/>
  <c r="G2277" i="6"/>
  <c r="G2218" i="6"/>
  <c r="E2274" i="6"/>
  <c r="E2226" i="6"/>
  <c r="C2223" i="6"/>
  <c r="C2259" i="6"/>
  <c r="C2295" i="6"/>
  <c r="G2275" i="6"/>
  <c r="C2228" i="6"/>
  <c r="E2265" i="6"/>
  <c r="K2226" i="6"/>
  <c r="I2252" i="6"/>
  <c r="G2276" i="6"/>
  <c r="G2215" i="6"/>
  <c r="E2273" i="6"/>
  <c r="E2225" i="6"/>
  <c r="C2224" i="6"/>
  <c r="C2260" i="6"/>
  <c r="C2296" i="6"/>
  <c r="K2268" i="6"/>
  <c r="E2222" i="6"/>
  <c r="C2264" i="6"/>
  <c r="C2237" i="6"/>
  <c r="E2259" i="6"/>
  <c r="K2264" i="6"/>
  <c r="I2222" i="6"/>
  <c r="G2271" i="6"/>
  <c r="G2213" i="6"/>
  <c r="E2269" i="6"/>
  <c r="E2221" i="6"/>
  <c r="C2236" i="6"/>
  <c r="C2272" i="6"/>
  <c r="K2258" i="6"/>
  <c r="G2258" i="6"/>
  <c r="E2217" i="6"/>
  <c r="G2252" i="6"/>
  <c r="E1106" i="6"/>
  <c r="C1040" i="6"/>
  <c r="C1294" i="6"/>
  <c r="C1386" i="6"/>
  <c r="C1476" i="6"/>
  <c r="C2203" i="6"/>
  <c r="C2551" i="6"/>
  <c r="E1145" i="6"/>
  <c r="E1356" i="6"/>
  <c r="E2583" i="6"/>
  <c r="G1167" i="6"/>
  <c r="C1224" i="6"/>
  <c r="C2475" i="6"/>
  <c r="G1221" i="6"/>
  <c r="C1082" i="6"/>
  <c r="C1192" i="6"/>
  <c r="C1150" i="6"/>
  <c r="C1239" i="6"/>
  <c r="C1327" i="6"/>
  <c r="C1416" i="6"/>
  <c r="C2275" i="6"/>
  <c r="C2432" i="6"/>
  <c r="C2656" i="6"/>
  <c r="E1040" i="6"/>
  <c r="E1235" i="6"/>
  <c r="E1446" i="6"/>
  <c r="E2246" i="6"/>
  <c r="E2485" i="6"/>
  <c r="G1046" i="6"/>
  <c r="G1277" i="6"/>
  <c r="G1432" i="6"/>
  <c r="G2510" i="6"/>
  <c r="G2660" i="6"/>
  <c r="I1011" i="6"/>
  <c r="I1267" i="6"/>
  <c r="I1490" i="6"/>
  <c r="I2271" i="6"/>
  <c r="I2630" i="6"/>
  <c r="C1080" i="6"/>
  <c r="C1039" i="6"/>
  <c r="C1191" i="6"/>
  <c r="C1148" i="6"/>
  <c r="C1290" i="6"/>
  <c r="C1236" i="6"/>
  <c r="C1383" i="6"/>
  <c r="C1326" i="6"/>
  <c r="C1475" i="6"/>
  <c r="C1415" i="6"/>
  <c r="C2274" i="6"/>
  <c r="C2302" i="6"/>
  <c r="C2424" i="6"/>
  <c r="C2531" i="6"/>
  <c r="C2652" i="6"/>
  <c r="E1065" i="6"/>
  <c r="E1146" i="6"/>
  <c r="E1239" i="6"/>
  <c r="E1359" i="6"/>
  <c r="E1451" i="6"/>
  <c r="E2247" i="6"/>
  <c r="E2486" i="6"/>
  <c r="E2584" i="6"/>
  <c r="G1054" i="6"/>
  <c r="G1168" i="6"/>
  <c r="G1314" i="6"/>
  <c r="G1437" i="6"/>
  <c r="G2513" i="6"/>
  <c r="I1056" i="6"/>
  <c r="I1284" i="6"/>
  <c r="I1493" i="6"/>
  <c r="I2289" i="6"/>
  <c r="I2631" i="6"/>
  <c r="C1896" i="6"/>
  <c r="C1860" i="6"/>
  <c r="C1824" i="6"/>
  <c r="E1811" i="6"/>
  <c r="E1853" i="6"/>
  <c r="E1897" i="6"/>
  <c r="G697" i="6"/>
  <c r="G1814" i="6"/>
  <c r="G1866" i="6"/>
  <c r="I1880" i="6"/>
  <c r="K615" i="6"/>
  <c r="K689" i="6"/>
  <c r="K658" i="6"/>
  <c r="K632" i="6"/>
  <c r="K605" i="6"/>
  <c r="K680" i="6"/>
  <c r="K609" i="6"/>
  <c r="K677" i="6"/>
  <c r="I681" i="6"/>
  <c r="I657" i="6"/>
  <c r="I665" i="6"/>
  <c r="I641" i="6"/>
  <c r="I676" i="6"/>
  <c r="I652" i="6"/>
  <c r="K617" i="6"/>
  <c r="K640" i="6"/>
  <c r="I691" i="6"/>
  <c r="I656" i="6"/>
  <c r="G624" i="6"/>
  <c r="K685" i="6"/>
  <c r="I684" i="6"/>
  <c r="I649" i="6"/>
  <c r="G608" i="6"/>
  <c r="K625" i="6"/>
  <c r="G655" i="6"/>
  <c r="G631" i="6"/>
  <c r="G685" i="6"/>
  <c r="G652" i="6"/>
  <c r="E627" i="6"/>
  <c r="E603" i="6"/>
  <c r="G651" i="6"/>
  <c r="G618" i="6"/>
  <c r="E602" i="6"/>
  <c r="K613" i="6"/>
  <c r="G615" i="6"/>
  <c r="E683" i="6"/>
  <c r="C641" i="6"/>
  <c r="C665" i="6"/>
  <c r="G694" i="6"/>
  <c r="G662" i="6"/>
  <c r="E622" i="6"/>
  <c r="K635" i="6"/>
  <c r="E657" i="6"/>
  <c r="E621" i="6"/>
  <c r="C609" i="6"/>
  <c r="C661" i="6"/>
  <c r="I694" i="6"/>
  <c r="I612" i="6"/>
  <c r="E604" i="6"/>
  <c r="C648" i="6"/>
  <c r="I685" i="6"/>
  <c r="I609" i="6"/>
  <c r="C612" i="6"/>
  <c r="C638" i="6"/>
  <c r="E649" i="6"/>
  <c r="K690" i="6"/>
  <c r="E652" i="6"/>
  <c r="E616" i="6"/>
  <c r="G609" i="6"/>
  <c r="E631" i="6"/>
  <c r="C1894" i="6"/>
  <c r="C1858" i="6"/>
  <c r="C1822" i="6"/>
  <c r="E665" i="6"/>
  <c r="E1813" i="6"/>
  <c r="E1857" i="6"/>
  <c r="E1899" i="6"/>
  <c r="G1816" i="6"/>
  <c r="G1870" i="6"/>
  <c r="I1889" i="6"/>
  <c r="C668" i="6"/>
  <c r="C607" i="6"/>
  <c r="C1888" i="6"/>
  <c r="E1823" i="6"/>
  <c r="E1865" i="6"/>
  <c r="G1821" i="6"/>
  <c r="G1875" i="6"/>
  <c r="I670" i="6"/>
  <c r="K1894" i="6"/>
  <c r="K1893" i="6"/>
  <c r="K1881" i="6"/>
  <c r="K1888" i="6"/>
  <c r="K1875" i="6"/>
  <c r="K1863" i="6"/>
  <c r="K1851" i="6"/>
  <c r="K1839" i="6"/>
  <c r="K1827" i="6"/>
  <c r="K1815" i="6"/>
  <c r="K1803" i="6"/>
  <c r="K1899" i="6"/>
  <c r="K1884" i="6"/>
  <c r="K1870" i="6"/>
  <c r="K1857" i="6"/>
  <c r="K1844" i="6"/>
  <c r="K1831" i="6"/>
  <c r="K1818" i="6"/>
  <c r="K1805" i="6"/>
  <c r="K1895" i="6"/>
  <c r="K1879" i="6"/>
  <c r="K1866" i="6"/>
  <c r="K1853" i="6"/>
  <c r="K1840" i="6"/>
  <c r="K1826" i="6"/>
  <c r="K1813" i="6"/>
  <c r="K1892" i="6"/>
  <c r="K1878" i="6"/>
  <c r="K1865" i="6"/>
  <c r="K1852" i="6"/>
  <c r="K1838" i="6"/>
  <c r="K1825" i="6"/>
  <c r="K1812" i="6"/>
  <c r="K1889" i="6"/>
  <c r="K1871" i="6"/>
  <c r="K1854" i="6"/>
  <c r="K1835" i="6"/>
  <c r="K1819" i="6"/>
  <c r="K1801" i="6"/>
  <c r="K1887" i="6"/>
  <c r="K1869" i="6"/>
  <c r="K1850" i="6"/>
  <c r="K1834" i="6"/>
  <c r="K1817" i="6"/>
  <c r="K1898" i="6"/>
  <c r="K1874" i="6"/>
  <c r="K1855" i="6"/>
  <c r="K1832" i="6"/>
  <c r="K1810" i="6"/>
  <c r="I1900" i="6"/>
  <c r="I1888" i="6"/>
  <c r="I1876" i="6"/>
  <c r="I1864" i="6"/>
  <c r="I1852" i="6"/>
  <c r="I1840" i="6"/>
  <c r="I1828" i="6"/>
  <c r="K1890" i="6"/>
  <c r="K1867" i="6"/>
  <c r="K1846" i="6"/>
  <c r="K1824" i="6"/>
  <c r="K1806" i="6"/>
  <c r="I1896" i="6"/>
  <c r="I1884" i="6"/>
  <c r="I1872" i="6"/>
  <c r="I1860" i="6"/>
  <c r="I1848" i="6"/>
  <c r="I1836" i="6"/>
  <c r="I1824" i="6"/>
  <c r="I1812" i="6"/>
  <c r="K1886" i="6"/>
  <c r="K1864" i="6"/>
  <c r="K1845" i="6"/>
  <c r="K1823" i="6"/>
  <c r="K1804" i="6"/>
  <c r="I1895" i="6"/>
  <c r="I1883" i="6"/>
  <c r="I1871" i="6"/>
  <c r="I1859" i="6"/>
  <c r="I1847" i="6"/>
  <c r="I1835" i="6"/>
  <c r="I1823" i="6"/>
  <c r="I1811" i="6"/>
  <c r="K1900" i="6"/>
  <c r="K1868" i="6"/>
  <c r="K1841" i="6"/>
  <c r="K1811" i="6"/>
  <c r="K1897" i="6"/>
  <c r="K1862" i="6"/>
  <c r="K1837" i="6"/>
  <c r="K1809" i="6"/>
  <c r="K1891" i="6"/>
  <c r="K1860" i="6"/>
  <c r="K1833" i="6"/>
  <c r="K1807" i="6"/>
  <c r="K1872" i="6"/>
  <c r="K1829" i="6"/>
  <c r="I1898" i="6"/>
  <c r="I1881" i="6"/>
  <c r="I1866" i="6"/>
  <c r="I1850" i="6"/>
  <c r="I1833" i="6"/>
  <c r="I1818" i="6"/>
  <c r="I1804" i="6"/>
  <c r="K1896" i="6"/>
  <c r="K1856" i="6"/>
  <c r="K1820" i="6"/>
  <c r="I1892" i="6"/>
  <c r="I1877" i="6"/>
  <c r="I1861" i="6"/>
  <c r="I1844" i="6"/>
  <c r="I1829" i="6"/>
  <c r="I1814" i="6"/>
  <c r="K1885" i="6"/>
  <c r="K1849" i="6"/>
  <c r="K1816" i="6"/>
  <c r="I1891" i="6"/>
  <c r="I1875" i="6"/>
  <c r="I1858" i="6"/>
  <c r="I1843" i="6"/>
  <c r="I1827" i="6"/>
  <c r="I1813" i="6"/>
  <c r="K1882" i="6"/>
  <c r="K1836" i="6"/>
  <c r="I1894" i="6"/>
  <c r="I1873" i="6"/>
  <c r="I1853" i="6"/>
  <c r="I1831" i="6"/>
  <c r="I1809" i="6"/>
  <c r="K1880" i="6"/>
  <c r="K1830" i="6"/>
  <c r="I1893" i="6"/>
  <c r="I1870" i="6"/>
  <c r="I1851" i="6"/>
  <c r="I1830" i="6"/>
  <c r="I1808" i="6"/>
  <c r="K1873" i="6"/>
  <c r="K1821" i="6"/>
  <c r="I1887" i="6"/>
  <c r="I1867" i="6"/>
  <c r="I1845" i="6"/>
  <c r="I1822" i="6"/>
  <c r="I1805" i="6"/>
  <c r="K1847" i="6"/>
  <c r="I1878" i="6"/>
  <c r="I1846" i="6"/>
  <c r="I1819" i="6"/>
  <c r="G1896" i="6"/>
  <c r="G1884" i="6"/>
  <c r="G1872" i="6"/>
  <c r="G1860" i="6"/>
  <c r="G1848" i="6"/>
  <c r="G1836" i="6"/>
  <c r="G1824" i="6"/>
  <c r="G1812" i="6"/>
  <c r="K1843" i="6"/>
  <c r="I1874" i="6"/>
  <c r="I1842" i="6"/>
  <c r="I1817" i="6"/>
  <c r="G1895" i="6"/>
  <c r="G1883" i="6"/>
  <c r="G1871" i="6"/>
  <c r="G1859" i="6"/>
  <c r="G1847" i="6"/>
  <c r="G1835" i="6"/>
  <c r="G1823" i="6"/>
  <c r="G1811" i="6"/>
  <c r="K1822" i="6"/>
  <c r="I1897" i="6"/>
  <c r="I1865" i="6"/>
  <c r="I1838" i="6"/>
  <c r="I1810" i="6"/>
  <c r="G1892" i="6"/>
  <c r="G1880" i="6"/>
  <c r="G1868" i="6"/>
  <c r="G1856" i="6"/>
  <c r="G1844" i="6"/>
  <c r="G1832" i="6"/>
  <c r="G1820" i="6"/>
  <c r="G1808" i="6"/>
  <c r="E1892" i="6"/>
  <c r="E1880" i="6"/>
  <c r="E1868" i="6"/>
  <c r="E1856" i="6"/>
  <c r="E1844" i="6"/>
  <c r="E1832" i="6"/>
  <c r="E1820" i="6"/>
  <c r="E1808" i="6"/>
  <c r="K1883" i="6"/>
  <c r="K1814" i="6"/>
  <c r="I1890" i="6"/>
  <c r="I1863" i="6"/>
  <c r="I1837" i="6"/>
  <c r="I1807" i="6"/>
  <c r="G1891" i="6"/>
  <c r="G1879" i="6"/>
  <c r="G1867" i="6"/>
  <c r="G1855" i="6"/>
  <c r="G1843" i="6"/>
  <c r="G1831" i="6"/>
  <c r="G1819" i="6"/>
  <c r="G1807" i="6"/>
  <c r="E1891" i="6"/>
  <c r="E1879" i="6"/>
  <c r="E1867" i="6"/>
  <c r="E1855" i="6"/>
  <c r="E1843" i="6"/>
  <c r="E1831" i="6"/>
  <c r="E1819" i="6"/>
  <c r="E1807" i="6"/>
  <c r="K1876" i="6"/>
  <c r="I1886" i="6"/>
  <c r="I1849" i="6"/>
  <c r="I1803" i="6"/>
  <c r="G1898" i="6"/>
  <c r="G1878" i="6"/>
  <c r="G1862" i="6"/>
  <c r="G1842" i="6"/>
  <c r="G1826" i="6"/>
  <c r="G1806" i="6"/>
  <c r="E1894" i="6"/>
  <c r="E1878" i="6"/>
  <c r="E1864" i="6"/>
  <c r="E1850" i="6"/>
  <c r="E1836" i="6"/>
  <c r="E1822" i="6"/>
  <c r="E1806" i="6"/>
  <c r="C1813" i="6"/>
  <c r="C1825" i="6"/>
  <c r="C1837" i="6"/>
  <c r="C1849" i="6"/>
  <c r="C1861" i="6"/>
  <c r="C1873" i="6"/>
  <c r="C1885" i="6"/>
  <c r="C1897" i="6"/>
  <c r="K1861" i="6"/>
  <c r="I1885" i="6"/>
  <c r="I1841" i="6"/>
  <c r="I1802" i="6"/>
  <c r="G1897" i="6"/>
  <c r="G1877" i="6"/>
  <c r="G1861" i="6"/>
  <c r="G1841" i="6"/>
  <c r="G1825" i="6"/>
  <c r="G1805" i="6"/>
  <c r="E1893" i="6"/>
  <c r="E1877" i="6"/>
  <c r="E1863" i="6"/>
  <c r="E1849" i="6"/>
  <c r="E1835" i="6"/>
  <c r="E1821" i="6"/>
  <c r="E1805" i="6"/>
  <c r="C1814" i="6"/>
  <c r="C1826" i="6"/>
  <c r="C1838" i="6"/>
  <c r="C1850" i="6"/>
  <c r="C1862" i="6"/>
  <c r="C1874" i="6"/>
  <c r="C1886" i="6"/>
  <c r="C1898" i="6"/>
  <c r="K1848" i="6"/>
  <c r="I1879" i="6"/>
  <c r="I1832" i="6"/>
  <c r="G1890" i="6"/>
  <c r="G1874" i="6"/>
  <c r="G1854" i="6"/>
  <c r="G1838" i="6"/>
  <c r="G1818" i="6"/>
  <c r="G1802" i="6"/>
  <c r="E1888" i="6"/>
  <c r="E1874" i="6"/>
  <c r="E1860" i="6"/>
  <c r="E1846" i="6"/>
  <c r="E1830" i="6"/>
  <c r="E1816" i="6"/>
  <c r="E1802" i="6"/>
  <c r="C1805" i="6"/>
  <c r="C1817" i="6"/>
  <c r="C1829" i="6"/>
  <c r="C1841" i="6"/>
  <c r="C1853" i="6"/>
  <c r="C1865" i="6"/>
  <c r="C1877" i="6"/>
  <c r="C1889" i="6"/>
  <c r="C1901" i="6"/>
  <c r="K1842" i="6"/>
  <c r="I1869" i="6"/>
  <c r="I1826" i="6"/>
  <c r="G1889" i="6"/>
  <c r="G1873" i="6"/>
  <c r="G1853" i="6"/>
  <c r="G1837" i="6"/>
  <c r="G1817" i="6"/>
  <c r="G1801" i="6"/>
  <c r="E1901" i="6"/>
  <c r="E1887" i="6"/>
  <c r="E1873" i="6"/>
  <c r="E1859" i="6"/>
  <c r="E1845" i="6"/>
  <c r="E1829" i="6"/>
  <c r="E1815" i="6"/>
  <c r="C1806" i="6"/>
  <c r="C1818" i="6"/>
  <c r="C1830" i="6"/>
  <c r="C1842" i="6"/>
  <c r="C1854" i="6"/>
  <c r="C1866" i="6"/>
  <c r="C1878" i="6"/>
  <c r="C1890" i="6"/>
  <c r="C1802" i="6"/>
  <c r="I1862" i="6"/>
  <c r="I1806" i="6"/>
  <c r="G1893" i="6"/>
  <c r="G1865" i="6"/>
  <c r="G1839" i="6"/>
  <c r="G1813" i="6"/>
  <c r="E1890" i="6"/>
  <c r="E1870" i="6"/>
  <c r="E1848" i="6"/>
  <c r="E1826" i="6"/>
  <c r="E1804" i="6"/>
  <c r="C1811" i="6"/>
  <c r="C1831" i="6"/>
  <c r="C1847" i="6"/>
  <c r="C1867" i="6"/>
  <c r="C1883" i="6"/>
  <c r="I1856" i="6"/>
  <c r="G1863" i="6"/>
  <c r="G1809" i="6"/>
  <c r="E1866" i="6"/>
  <c r="E1842" i="6"/>
  <c r="C1815" i="6"/>
  <c r="C1833" i="6"/>
  <c r="C1869" i="6"/>
  <c r="I1857" i="6"/>
  <c r="I1801" i="6"/>
  <c r="G1888" i="6"/>
  <c r="G1864" i="6"/>
  <c r="G1834" i="6"/>
  <c r="G1810" i="6"/>
  <c r="E1889" i="6"/>
  <c r="E1869" i="6"/>
  <c r="E1847" i="6"/>
  <c r="E1825" i="6"/>
  <c r="E1803" i="6"/>
  <c r="C1812" i="6"/>
  <c r="C1832" i="6"/>
  <c r="C1848" i="6"/>
  <c r="C1868" i="6"/>
  <c r="C1884" i="6"/>
  <c r="G1887" i="6"/>
  <c r="G1833" i="6"/>
  <c r="E1886" i="6"/>
  <c r="E1824" i="6"/>
  <c r="C1851" i="6"/>
  <c r="C1887" i="6"/>
  <c r="K1859" i="6"/>
  <c r="I1854" i="6"/>
  <c r="G1885" i="6"/>
  <c r="G1857" i="6"/>
  <c r="G1829" i="6"/>
  <c r="G1803" i="6"/>
  <c r="E1884" i="6"/>
  <c r="E1862" i="6"/>
  <c r="E1840" i="6"/>
  <c r="E1818" i="6"/>
  <c r="C1819" i="6"/>
  <c r="C1835" i="6"/>
  <c r="C1855" i="6"/>
  <c r="C1871" i="6"/>
  <c r="C1891" i="6"/>
  <c r="K1828" i="6"/>
  <c r="I1834" i="6"/>
  <c r="G1881" i="6"/>
  <c r="G1827" i="6"/>
  <c r="E1882" i="6"/>
  <c r="E1838" i="6"/>
  <c r="C1821" i="6"/>
  <c r="C1857" i="6"/>
  <c r="K1858" i="6"/>
  <c r="I1839" i="6"/>
  <c r="G1882" i="6"/>
  <c r="G1852" i="6"/>
  <c r="G1828" i="6"/>
  <c r="E1883" i="6"/>
  <c r="E1861" i="6"/>
  <c r="E1839" i="6"/>
  <c r="E1817" i="6"/>
  <c r="C1820" i="6"/>
  <c r="C1836" i="6"/>
  <c r="C1856" i="6"/>
  <c r="C1872" i="6"/>
  <c r="C1892" i="6"/>
  <c r="G1851" i="6"/>
  <c r="E1900" i="6"/>
  <c r="E1858" i="6"/>
  <c r="E1814" i="6"/>
  <c r="C1803" i="6"/>
  <c r="C1839" i="6"/>
  <c r="C1875" i="6"/>
  <c r="C1893" i="6"/>
  <c r="C1852" i="6"/>
  <c r="C1816" i="6"/>
  <c r="C645" i="6"/>
  <c r="C606" i="6"/>
  <c r="C1882" i="6"/>
  <c r="C1846" i="6"/>
  <c r="C1810" i="6"/>
  <c r="E1827" i="6"/>
  <c r="E1871" i="6"/>
  <c r="G1822" i="6"/>
  <c r="G1876" i="6"/>
  <c r="I610" i="6"/>
  <c r="K2194" i="6"/>
  <c r="K2182" i="6"/>
  <c r="K2170" i="6"/>
  <c r="K2158" i="6"/>
  <c r="K2146" i="6"/>
  <c r="K2134" i="6"/>
  <c r="K2122" i="6"/>
  <c r="K2110" i="6"/>
  <c r="K2193" i="6"/>
  <c r="K2181" i="6"/>
  <c r="K2169" i="6"/>
  <c r="K2157" i="6"/>
  <c r="K2145" i="6"/>
  <c r="K2133" i="6"/>
  <c r="K2121" i="6"/>
  <c r="K2109" i="6"/>
  <c r="K2190" i="6"/>
  <c r="K2176" i="6"/>
  <c r="K2162" i="6"/>
  <c r="K2148" i="6"/>
  <c r="K2132" i="6"/>
  <c r="K2118" i="6"/>
  <c r="K2104" i="6"/>
  <c r="K2198" i="6"/>
  <c r="K2183" i="6"/>
  <c r="K2166" i="6"/>
  <c r="K2151" i="6"/>
  <c r="K2136" i="6"/>
  <c r="K2119" i="6"/>
  <c r="K2103" i="6"/>
  <c r="K2192" i="6"/>
  <c r="K2177" i="6"/>
  <c r="K2161" i="6"/>
  <c r="K2144" i="6"/>
  <c r="K2129" i="6"/>
  <c r="K2114" i="6"/>
  <c r="K2191" i="6"/>
  <c r="K2175" i="6"/>
  <c r="K2160" i="6"/>
  <c r="K2143" i="6"/>
  <c r="K2128" i="6"/>
  <c r="K2113" i="6"/>
  <c r="K2200" i="6"/>
  <c r="K2179" i="6"/>
  <c r="K2156" i="6"/>
  <c r="K2138" i="6"/>
  <c r="K2116" i="6"/>
  <c r="K2199" i="6"/>
  <c r="K2178" i="6"/>
  <c r="K2155" i="6"/>
  <c r="K2137" i="6"/>
  <c r="K2115" i="6"/>
  <c r="K2180" i="6"/>
  <c r="K2153" i="6"/>
  <c r="K2127" i="6"/>
  <c r="K2105" i="6"/>
  <c r="I2200" i="6"/>
  <c r="I2188" i="6"/>
  <c r="I2176" i="6"/>
  <c r="I2164" i="6"/>
  <c r="I2152" i="6"/>
  <c r="I2140" i="6"/>
  <c r="I2128" i="6"/>
  <c r="I2116" i="6"/>
  <c r="I2104" i="6"/>
  <c r="K2196" i="6"/>
  <c r="K2171" i="6"/>
  <c r="K2147" i="6"/>
  <c r="K2123" i="6"/>
  <c r="I2196" i="6"/>
  <c r="I2184" i="6"/>
  <c r="I2172" i="6"/>
  <c r="I2160" i="6"/>
  <c r="I2148" i="6"/>
  <c r="I2136" i="6"/>
  <c r="I2124" i="6"/>
  <c r="I2112" i="6"/>
  <c r="K2195" i="6"/>
  <c r="K2168" i="6"/>
  <c r="K2142" i="6"/>
  <c r="K2120" i="6"/>
  <c r="I2195" i="6"/>
  <c r="I2183" i="6"/>
  <c r="I2171" i="6"/>
  <c r="I2159" i="6"/>
  <c r="I2147" i="6"/>
  <c r="I2135" i="6"/>
  <c r="I2123" i="6"/>
  <c r="I2111" i="6"/>
  <c r="K2173" i="6"/>
  <c r="K2140" i="6"/>
  <c r="K2107" i="6"/>
  <c r="K2172" i="6"/>
  <c r="K2139" i="6"/>
  <c r="K2106" i="6"/>
  <c r="K2165" i="6"/>
  <c r="K2131" i="6"/>
  <c r="K2101" i="6"/>
  <c r="I2187" i="6"/>
  <c r="I2170" i="6"/>
  <c r="I2155" i="6"/>
  <c r="I2139" i="6"/>
  <c r="I2122" i="6"/>
  <c r="I2107" i="6"/>
  <c r="K2174" i="6"/>
  <c r="K2126" i="6"/>
  <c r="I2191" i="6"/>
  <c r="I2174" i="6"/>
  <c r="I2156" i="6"/>
  <c r="I2138" i="6"/>
  <c r="I2120" i="6"/>
  <c r="I2103" i="6"/>
  <c r="K2159" i="6"/>
  <c r="K2112" i="6"/>
  <c r="I2185" i="6"/>
  <c r="I2167" i="6"/>
  <c r="I2150" i="6"/>
  <c r="I2132" i="6"/>
  <c r="I2115" i="6"/>
  <c r="K2197" i="6"/>
  <c r="K2154" i="6"/>
  <c r="K2111" i="6"/>
  <c r="I2182" i="6"/>
  <c r="I2166" i="6"/>
  <c r="I2149" i="6"/>
  <c r="I2131" i="6"/>
  <c r="I2114" i="6"/>
  <c r="K2184" i="6"/>
  <c r="K2117" i="6"/>
  <c r="I2194" i="6"/>
  <c r="I2173" i="6"/>
  <c r="I2146" i="6"/>
  <c r="I2126" i="6"/>
  <c r="I2102" i="6"/>
  <c r="K2167" i="6"/>
  <c r="K2108" i="6"/>
  <c r="I2193" i="6"/>
  <c r="I2169" i="6"/>
  <c r="I2145" i="6"/>
  <c r="I2125" i="6"/>
  <c r="I2101" i="6"/>
  <c r="K2152" i="6"/>
  <c r="I2189" i="6"/>
  <c r="I2163" i="6"/>
  <c r="I2142" i="6"/>
  <c r="I2118" i="6"/>
  <c r="K2163" i="6"/>
  <c r="I2179" i="6"/>
  <c r="I2151" i="6"/>
  <c r="I2117" i="6"/>
  <c r="G2196" i="6"/>
  <c r="G2184" i="6"/>
  <c r="G2172" i="6"/>
  <c r="G2160" i="6"/>
  <c r="G2148" i="6"/>
  <c r="G2136" i="6"/>
  <c r="G2124" i="6"/>
  <c r="G2112" i="6"/>
  <c r="E2196" i="6"/>
  <c r="E2184" i="6"/>
  <c r="E2172" i="6"/>
  <c r="E2160" i="6"/>
  <c r="E2148" i="6"/>
  <c r="E2136" i="6"/>
  <c r="E2124" i="6"/>
  <c r="E2112" i="6"/>
  <c r="K2150" i="6"/>
  <c r="I2178" i="6"/>
  <c r="I2144" i="6"/>
  <c r="I2113" i="6"/>
  <c r="G2195" i="6"/>
  <c r="G2183" i="6"/>
  <c r="G2171" i="6"/>
  <c r="G2159" i="6"/>
  <c r="G2147" i="6"/>
  <c r="G2135" i="6"/>
  <c r="G2123" i="6"/>
  <c r="G2111" i="6"/>
  <c r="K2135" i="6"/>
  <c r="I2199" i="6"/>
  <c r="I2168" i="6"/>
  <c r="I2137" i="6"/>
  <c r="I2108" i="6"/>
  <c r="G2192" i="6"/>
  <c r="G2180" i="6"/>
  <c r="G2168" i="6"/>
  <c r="G2156" i="6"/>
  <c r="G2144" i="6"/>
  <c r="G2132" i="6"/>
  <c r="G2120" i="6"/>
  <c r="G2108" i="6"/>
  <c r="E2192" i="6"/>
  <c r="E2180" i="6"/>
  <c r="E2168" i="6"/>
  <c r="E2156" i="6"/>
  <c r="E2144" i="6"/>
  <c r="E2132" i="6"/>
  <c r="E2120" i="6"/>
  <c r="E2108" i="6"/>
  <c r="K2130" i="6"/>
  <c r="I2198" i="6"/>
  <c r="I2165" i="6"/>
  <c r="I2134" i="6"/>
  <c r="I2106" i="6"/>
  <c r="G2191" i="6"/>
  <c r="G2179" i="6"/>
  <c r="G2167" i="6"/>
  <c r="G2155" i="6"/>
  <c r="G2143" i="6"/>
  <c r="G2131" i="6"/>
  <c r="G2119" i="6"/>
  <c r="G2107" i="6"/>
  <c r="E2191" i="6"/>
  <c r="E2179" i="6"/>
  <c r="E2167" i="6"/>
  <c r="E2155" i="6"/>
  <c r="E2143" i="6"/>
  <c r="E2131" i="6"/>
  <c r="E2119" i="6"/>
  <c r="E2107" i="6"/>
  <c r="K2125" i="6"/>
  <c r="I2157" i="6"/>
  <c r="I2109" i="6"/>
  <c r="G2190" i="6"/>
  <c r="G2174" i="6"/>
  <c r="G2154" i="6"/>
  <c r="G2138" i="6"/>
  <c r="G2118" i="6"/>
  <c r="G2102" i="6"/>
  <c r="E2193" i="6"/>
  <c r="E2176" i="6"/>
  <c r="E2161" i="6"/>
  <c r="E2145" i="6"/>
  <c r="E2128" i="6"/>
  <c r="E2113" i="6"/>
  <c r="C2113" i="6"/>
  <c r="C2125" i="6"/>
  <c r="C2137" i="6"/>
  <c r="C2149" i="6"/>
  <c r="C2161" i="6"/>
  <c r="C2173" i="6"/>
  <c r="C2185" i="6"/>
  <c r="C2197" i="6"/>
  <c r="K2124" i="6"/>
  <c r="I2197" i="6"/>
  <c r="I2154" i="6"/>
  <c r="I2105" i="6"/>
  <c r="G2189" i="6"/>
  <c r="G2173" i="6"/>
  <c r="G2153" i="6"/>
  <c r="G2137" i="6"/>
  <c r="G2117" i="6"/>
  <c r="G2101" i="6"/>
  <c r="E2190" i="6"/>
  <c r="E2175" i="6"/>
  <c r="E2159" i="6"/>
  <c r="E2142" i="6"/>
  <c r="E2127" i="6"/>
  <c r="E2111" i="6"/>
  <c r="C2114" i="6"/>
  <c r="C2126" i="6"/>
  <c r="C2138" i="6"/>
  <c r="C2150" i="6"/>
  <c r="C2162" i="6"/>
  <c r="C2174" i="6"/>
  <c r="C2186" i="6"/>
  <c r="C2198" i="6"/>
  <c r="K2189" i="6"/>
  <c r="I2186" i="6"/>
  <c r="I2141" i="6"/>
  <c r="G2186" i="6"/>
  <c r="G2166" i="6"/>
  <c r="G2150" i="6"/>
  <c r="G2130" i="6"/>
  <c r="G2114" i="6"/>
  <c r="E2187" i="6"/>
  <c r="E2171" i="6"/>
  <c r="E2154" i="6"/>
  <c r="E2139" i="6"/>
  <c r="E2123" i="6"/>
  <c r="E2106" i="6"/>
  <c r="C2105" i="6"/>
  <c r="C2117" i="6"/>
  <c r="C2129" i="6"/>
  <c r="C2141" i="6"/>
  <c r="C2153" i="6"/>
  <c r="C2165" i="6"/>
  <c r="C2177" i="6"/>
  <c r="C2189" i="6"/>
  <c r="C2201" i="6"/>
  <c r="K2188" i="6"/>
  <c r="I2181" i="6"/>
  <c r="I2133" i="6"/>
  <c r="G2185" i="6"/>
  <c r="G2165" i="6"/>
  <c r="G2149" i="6"/>
  <c r="G2129" i="6"/>
  <c r="G2113" i="6"/>
  <c r="E2201" i="6"/>
  <c r="E2186" i="6"/>
  <c r="E2170" i="6"/>
  <c r="E2153" i="6"/>
  <c r="E2138" i="6"/>
  <c r="E2122" i="6"/>
  <c r="E2105" i="6"/>
  <c r="C2106" i="6"/>
  <c r="C2118" i="6"/>
  <c r="C2130" i="6"/>
  <c r="C2142" i="6"/>
  <c r="C2154" i="6"/>
  <c r="C2166" i="6"/>
  <c r="C2178" i="6"/>
  <c r="C2190" i="6"/>
  <c r="C2102" i="6"/>
  <c r="C995" i="6"/>
  <c r="C982" i="6"/>
  <c r="C969" i="6"/>
  <c r="C956" i="6"/>
  <c r="C943" i="6"/>
  <c r="C930" i="6"/>
  <c r="C916" i="6"/>
  <c r="C903" i="6"/>
  <c r="C2194" i="6"/>
  <c r="C2176" i="6"/>
  <c r="C2158" i="6"/>
  <c r="C2140" i="6"/>
  <c r="C2122" i="6"/>
  <c r="C2104" i="6"/>
  <c r="E912" i="6"/>
  <c r="E930" i="6"/>
  <c r="E948" i="6"/>
  <c r="E966" i="6"/>
  <c r="E984" i="6"/>
  <c r="E2110" i="6"/>
  <c r="E2134" i="6"/>
  <c r="E2158" i="6"/>
  <c r="E2182" i="6"/>
  <c r="G913" i="6"/>
  <c r="G939" i="6"/>
  <c r="G961" i="6"/>
  <c r="G988" i="6"/>
  <c r="G2116" i="6"/>
  <c r="G2142" i="6"/>
  <c r="G2170" i="6"/>
  <c r="G2198" i="6"/>
  <c r="I935" i="6"/>
  <c r="I980" i="6"/>
  <c r="I2130" i="6"/>
  <c r="K2141" i="6"/>
  <c r="K999" i="6"/>
  <c r="K987" i="6"/>
  <c r="K975" i="6"/>
  <c r="K963" i="6"/>
  <c r="K951" i="6"/>
  <c r="K939" i="6"/>
  <c r="K927" i="6"/>
  <c r="K915" i="6"/>
  <c r="K903" i="6"/>
  <c r="K988" i="6"/>
  <c r="K974" i="6"/>
  <c r="K961" i="6"/>
  <c r="K948" i="6"/>
  <c r="K935" i="6"/>
  <c r="K922" i="6"/>
  <c r="K1000" i="6"/>
  <c r="K986" i="6"/>
  <c r="K997" i="6"/>
  <c r="K982" i="6"/>
  <c r="K968" i="6"/>
  <c r="K954" i="6"/>
  <c r="K940" i="6"/>
  <c r="K925" i="6"/>
  <c r="K911" i="6"/>
  <c r="K993" i="6"/>
  <c r="K978" i="6"/>
  <c r="K964" i="6"/>
  <c r="K949" i="6"/>
  <c r="K934" i="6"/>
  <c r="K920" i="6"/>
  <c r="K907" i="6"/>
  <c r="K992" i="6"/>
  <c r="K977" i="6"/>
  <c r="K962" i="6"/>
  <c r="K947" i="6"/>
  <c r="K933" i="6"/>
  <c r="K919" i="6"/>
  <c r="K906" i="6"/>
  <c r="K985" i="6"/>
  <c r="K967" i="6"/>
  <c r="K946" i="6"/>
  <c r="K929" i="6"/>
  <c r="K910" i="6"/>
  <c r="K984" i="6"/>
  <c r="K966" i="6"/>
  <c r="K945" i="6"/>
  <c r="K928" i="6"/>
  <c r="K909" i="6"/>
  <c r="K981" i="6"/>
  <c r="K960" i="6"/>
  <c r="K943" i="6"/>
  <c r="K924" i="6"/>
  <c r="K905" i="6"/>
  <c r="K979" i="6"/>
  <c r="K955" i="6"/>
  <c r="K930" i="6"/>
  <c r="K902" i="6"/>
  <c r="I993" i="6"/>
  <c r="I981" i="6"/>
  <c r="I969" i="6"/>
  <c r="I957" i="6"/>
  <c r="I945" i="6"/>
  <c r="I933" i="6"/>
  <c r="I921" i="6"/>
  <c r="I909" i="6"/>
  <c r="K996" i="6"/>
  <c r="K971" i="6"/>
  <c r="K944" i="6"/>
  <c r="K918" i="6"/>
  <c r="I989" i="6"/>
  <c r="I977" i="6"/>
  <c r="I965" i="6"/>
  <c r="I953" i="6"/>
  <c r="I941" i="6"/>
  <c r="I929" i="6"/>
  <c r="I917" i="6"/>
  <c r="I905" i="6"/>
  <c r="K995" i="6"/>
  <c r="K970" i="6"/>
  <c r="K942" i="6"/>
  <c r="K917" i="6"/>
  <c r="I1000" i="6"/>
  <c r="I988" i="6"/>
  <c r="I976" i="6"/>
  <c r="I964" i="6"/>
  <c r="I952" i="6"/>
  <c r="I940" i="6"/>
  <c r="I928" i="6"/>
  <c r="I916" i="6"/>
  <c r="I904" i="6"/>
  <c r="K969" i="6"/>
  <c r="K936" i="6"/>
  <c r="K901" i="6"/>
  <c r="I994" i="6"/>
  <c r="I978" i="6"/>
  <c r="I961" i="6"/>
  <c r="I946" i="6"/>
  <c r="I930" i="6"/>
  <c r="I913" i="6"/>
  <c r="K965" i="6"/>
  <c r="K932" i="6"/>
  <c r="K991" i="6"/>
  <c r="K957" i="6"/>
  <c r="K923" i="6"/>
  <c r="I987" i="6"/>
  <c r="I972" i="6"/>
  <c r="I956" i="6"/>
  <c r="I939" i="6"/>
  <c r="I924" i="6"/>
  <c r="I908" i="6"/>
  <c r="K998" i="6"/>
  <c r="K953" i="6"/>
  <c r="K912" i="6"/>
  <c r="I991" i="6"/>
  <c r="I971" i="6"/>
  <c r="I951" i="6"/>
  <c r="I934" i="6"/>
  <c r="I914" i="6"/>
  <c r="G996" i="6"/>
  <c r="G984" i="6"/>
  <c r="G972" i="6"/>
  <c r="G960" i="6"/>
  <c r="G948" i="6"/>
  <c r="G936" i="6"/>
  <c r="G924" i="6"/>
  <c r="G912" i="6"/>
  <c r="K994" i="6"/>
  <c r="K952" i="6"/>
  <c r="K908" i="6"/>
  <c r="I990" i="6"/>
  <c r="I970" i="6"/>
  <c r="I950" i="6"/>
  <c r="I932" i="6"/>
  <c r="I912" i="6"/>
  <c r="G995" i="6"/>
  <c r="G983" i="6"/>
  <c r="K983" i="6"/>
  <c r="K938" i="6"/>
  <c r="I984" i="6"/>
  <c r="I966" i="6"/>
  <c r="I947" i="6"/>
  <c r="I926" i="6"/>
  <c r="I907" i="6"/>
  <c r="G992" i="6"/>
  <c r="G980" i="6"/>
  <c r="G968" i="6"/>
  <c r="G956" i="6"/>
  <c r="G944" i="6"/>
  <c r="G932" i="6"/>
  <c r="G920" i="6"/>
  <c r="G908" i="6"/>
  <c r="K980" i="6"/>
  <c r="K937" i="6"/>
  <c r="I983" i="6"/>
  <c r="I963" i="6"/>
  <c r="I944" i="6"/>
  <c r="I925" i="6"/>
  <c r="I906" i="6"/>
  <c r="G991" i="6"/>
  <c r="G979" i="6"/>
  <c r="G967" i="6"/>
  <c r="G955" i="6"/>
  <c r="G943" i="6"/>
  <c r="G931" i="6"/>
  <c r="G919" i="6"/>
  <c r="G907" i="6"/>
  <c r="K926" i="6"/>
  <c r="I975" i="6"/>
  <c r="I948" i="6"/>
  <c r="I919" i="6"/>
  <c r="G986" i="6"/>
  <c r="G969" i="6"/>
  <c r="G952" i="6"/>
  <c r="G937" i="6"/>
  <c r="G921" i="6"/>
  <c r="G904" i="6"/>
  <c r="E999" i="6"/>
  <c r="E987" i="6"/>
  <c r="E975" i="6"/>
  <c r="E963" i="6"/>
  <c r="E951" i="6"/>
  <c r="E939" i="6"/>
  <c r="E927" i="6"/>
  <c r="E915" i="6"/>
  <c r="E903" i="6"/>
  <c r="K990" i="6"/>
  <c r="K921" i="6"/>
  <c r="I999" i="6"/>
  <c r="I974" i="6"/>
  <c r="I943" i="6"/>
  <c r="I918" i="6"/>
  <c r="G985" i="6"/>
  <c r="G966" i="6"/>
  <c r="G951" i="6"/>
  <c r="G935" i="6"/>
  <c r="G918" i="6"/>
  <c r="G903" i="6"/>
  <c r="E998" i="6"/>
  <c r="E986" i="6"/>
  <c r="E974" i="6"/>
  <c r="E962" i="6"/>
  <c r="E950" i="6"/>
  <c r="E938" i="6"/>
  <c r="E926" i="6"/>
  <c r="E914" i="6"/>
  <c r="E902" i="6"/>
  <c r="K973" i="6"/>
  <c r="K913" i="6"/>
  <c r="I996" i="6"/>
  <c r="I967" i="6"/>
  <c r="I937" i="6"/>
  <c r="I910" i="6"/>
  <c r="G998" i="6"/>
  <c r="G978" i="6"/>
  <c r="G963" i="6"/>
  <c r="G947" i="6"/>
  <c r="G930" i="6"/>
  <c r="G915" i="6"/>
  <c r="E995" i="6"/>
  <c r="E983" i="6"/>
  <c r="E971" i="6"/>
  <c r="E959" i="6"/>
  <c r="E947" i="6"/>
  <c r="E935" i="6"/>
  <c r="E923" i="6"/>
  <c r="E911" i="6"/>
  <c r="C905" i="6"/>
  <c r="C917" i="6"/>
  <c r="C929" i="6"/>
  <c r="C941" i="6"/>
  <c r="C953" i="6"/>
  <c r="C965" i="6"/>
  <c r="C977" i="6"/>
  <c r="C989" i="6"/>
  <c r="C1001" i="6"/>
  <c r="K972" i="6"/>
  <c r="K904" i="6"/>
  <c r="I995" i="6"/>
  <c r="I962" i="6"/>
  <c r="I936" i="6"/>
  <c r="I903" i="6"/>
  <c r="G997" i="6"/>
  <c r="G977" i="6"/>
  <c r="G962" i="6"/>
  <c r="G946" i="6"/>
  <c r="G929" i="6"/>
  <c r="G914" i="6"/>
  <c r="E994" i="6"/>
  <c r="E982" i="6"/>
  <c r="E970" i="6"/>
  <c r="E958" i="6"/>
  <c r="E946" i="6"/>
  <c r="E934" i="6"/>
  <c r="E922" i="6"/>
  <c r="E910" i="6"/>
  <c r="C994" i="6"/>
  <c r="C981" i="6"/>
  <c r="C968" i="6"/>
  <c r="C955" i="6"/>
  <c r="C942" i="6"/>
  <c r="C928" i="6"/>
  <c r="C915" i="6"/>
  <c r="C2193" i="6"/>
  <c r="C2175" i="6"/>
  <c r="C2157" i="6"/>
  <c r="C2139" i="6"/>
  <c r="C2121" i="6"/>
  <c r="C2103" i="6"/>
  <c r="E913" i="6"/>
  <c r="E931" i="6"/>
  <c r="E949" i="6"/>
  <c r="E967" i="6"/>
  <c r="E985" i="6"/>
  <c r="E2114" i="6"/>
  <c r="E2135" i="6"/>
  <c r="E2162" i="6"/>
  <c r="E2183" i="6"/>
  <c r="G916" i="6"/>
  <c r="G940" i="6"/>
  <c r="G964" i="6"/>
  <c r="G989" i="6"/>
  <c r="G2121" i="6"/>
  <c r="G2145" i="6"/>
  <c r="G2175" i="6"/>
  <c r="G2199" i="6"/>
  <c r="I938" i="6"/>
  <c r="I982" i="6"/>
  <c r="I2143" i="6"/>
  <c r="K958" i="6"/>
  <c r="K2149" i="6"/>
  <c r="C978" i="6"/>
  <c r="C964" i="6"/>
  <c r="C938" i="6"/>
  <c r="C925" i="6"/>
  <c r="C912" i="6"/>
  <c r="C2188" i="6"/>
  <c r="C2170" i="6"/>
  <c r="C2152" i="6"/>
  <c r="C2134" i="6"/>
  <c r="C2116" i="6"/>
  <c r="E918" i="6"/>
  <c r="E936" i="6"/>
  <c r="E954" i="6"/>
  <c r="E972" i="6"/>
  <c r="E990" i="6"/>
  <c r="E2117" i="6"/>
  <c r="E2141" i="6"/>
  <c r="E2165" i="6"/>
  <c r="E2189" i="6"/>
  <c r="G923" i="6"/>
  <c r="G945" i="6"/>
  <c r="G971" i="6"/>
  <c r="G994" i="6"/>
  <c r="G2126" i="6"/>
  <c r="G2152" i="6"/>
  <c r="G2178" i="6"/>
  <c r="I902" i="6"/>
  <c r="I954" i="6"/>
  <c r="I992" i="6"/>
  <c r="I2161" i="6"/>
  <c r="K989" i="6"/>
  <c r="K2186" i="6"/>
  <c r="C991" i="6"/>
  <c r="C951" i="6"/>
  <c r="C990" i="6"/>
  <c r="C976" i="6"/>
  <c r="C963" i="6"/>
  <c r="C950" i="6"/>
  <c r="C937" i="6"/>
  <c r="C924" i="6"/>
  <c r="C911" i="6"/>
  <c r="C2187" i="6"/>
  <c r="C2169" i="6"/>
  <c r="C2151" i="6"/>
  <c r="C2133" i="6"/>
  <c r="C2115" i="6"/>
  <c r="E919" i="6"/>
  <c r="E937" i="6"/>
  <c r="E955" i="6"/>
  <c r="E973" i="6"/>
  <c r="E991" i="6"/>
  <c r="E2118" i="6"/>
  <c r="E2146" i="6"/>
  <c r="E2166" i="6"/>
  <c r="E2194" i="6"/>
  <c r="G901" i="6"/>
  <c r="G925" i="6"/>
  <c r="G949" i="6"/>
  <c r="G973" i="6"/>
  <c r="G999" i="6"/>
  <c r="G2103" i="6"/>
  <c r="G2127" i="6"/>
  <c r="G2157" i="6"/>
  <c r="G2181" i="6"/>
  <c r="I911" i="6"/>
  <c r="I955" i="6"/>
  <c r="I997" i="6"/>
  <c r="I2162" i="6"/>
  <c r="K2187" i="6"/>
  <c r="K2906" i="6"/>
  <c r="K2941" i="6"/>
  <c r="K2998" i="6"/>
  <c r="K2986" i="6"/>
  <c r="K2974" i="6"/>
  <c r="K2962" i="6"/>
  <c r="K2950" i="6"/>
  <c r="K2938" i="6"/>
  <c r="K2926" i="6"/>
  <c r="K2914" i="6"/>
  <c r="K2902" i="6"/>
  <c r="K2997" i="6"/>
  <c r="K2985" i="6"/>
  <c r="K2973" i="6"/>
  <c r="K2961" i="6"/>
  <c r="K2949" i="6"/>
  <c r="K2937" i="6"/>
  <c r="K2925" i="6"/>
  <c r="K2913" i="6"/>
  <c r="K2901" i="6"/>
  <c r="K2996" i="6"/>
  <c r="K2982" i="6"/>
  <c r="K2968" i="6"/>
  <c r="K2954" i="6"/>
  <c r="K2940" i="6"/>
  <c r="K2924" i="6"/>
  <c r="K2910" i="6"/>
  <c r="I2990" i="6"/>
  <c r="I2978" i="6"/>
  <c r="I2966" i="6"/>
  <c r="I2954" i="6"/>
  <c r="I2942" i="6"/>
  <c r="I2930" i="6"/>
  <c r="I2918" i="6"/>
  <c r="I2906" i="6"/>
  <c r="K2995" i="6"/>
  <c r="K2980" i="6"/>
  <c r="K2965" i="6"/>
  <c r="K2948" i="6"/>
  <c r="K2933" i="6"/>
  <c r="K2918" i="6"/>
  <c r="K2903" i="6"/>
  <c r="K2991" i="6"/>
  <c r="K2976" i="6"/>
  <c r="K2959" i="6"/>
  <c r="K2944" i="6"/>
  <c r="K2929" i="6"/>
  <c r="K2912" i="6"/>
  <c r="K2990" i="6"/>
  <c r="K2975" i="6"/>
  <c r="K2958" i="6"/>
  <c r="K2943" i="6"/>
  <c r="K2928" i="6"/>
  <c r="K2911" i="6"/>
  <c r="K2994" i="6"/>
  <c r="K2972" i="6"/>
  <c r="K2953" i="6"/>
  <c r="K2932" i="6"/>
  <c r="K2909" i="6"/>
  <c r="K2988" i="6"/>
  <c r="K2967" i="6"/>
  <c r="K2946" i="6"/>
  <c r="K2923" i="6"/>
  <c r="K2905" i="6"/>
  <c r="K2987" i="6"/>
  <c r="K2966" i="6"/>
  <c r="K2945" i="6"/>
  <c r="K2922" i="6"/>
  <c r="K2904" i="6"/>
  <c r="K2993" i="6"/>
  <c r="K2964" i="6"/>
  <c r="K2936" i="6"/>
  <c r="K2908" i="6"/>
  <c r="I3000" i="6"/>
  <c r="I2987" i="6"/>
  <c r="I2974" i="6"/>
  <c r="I2961" i="6"/>
  <c r="I2948" i="6"/>
  <c r="I2935" i="6"/>
  <c r="I2922" i="6"/>
  <c r="I2909" i="6"/>
  <c r="K2983" i="6"/>
  <c r="K2956" i="6"/>
  <c r="K2930" i="6"/>
  <c r="I2996" i="6"/>
  <c r="I2983" i="6"/>
  <c r="I2970" i="6"/>
  <c r="I2957" i="6"/>
  <c r="I2944" i="6"/>
  <c r="I2931" i="6"/>
  <c r="I2917" i="6"/>
  <c r="I2904" i="6"/>
  <c r="K2981" i="6"/>
  <c r="K2955" i="6"/>
  <c r="K2927" i="6"/>
  <c r="I2995" i="6"/>
  <c r="I2982" i="6"/>
  <c r="I2969" i="6"/>
  <c r="I2956" i="6"/>
  <c r="I2943" i="6"/>
  <c r="I2929" i="6"/>
  <c r="I2916" i="6"/>
  <c r="I2903" i="6"/>
  <c r="K1791" i="6"/>
  <c r="K1779" i="6"/>
  <c r="K1767" i="6"/>
  <c r="K1755" i="6"/>
  <c r="K1743" i="6"/>
  <c r="K1731" i="6"/>
  <c r="K1719" i="6"/>
  <c r="K1707" i="6"/>
  <c r="K1792" i="6"/>
  <c r="K1778" i="6"/>
  <c r="K1765" i="6"/>
  <c r="K1752" i="6"/>
  <c r="K1739" i="6"/>
  <c r="K1726" i="6"/>
  <c r="K1713" i="6"/>
  <c r="K1800" i="6"/>
  <c r="K1787" i="6"/>
  <c r="K1774" i="6"/>
  <c r="K1761" i="6"/>
  <c r="K1748" i="6"/>
  <c r="K1735" i="6"/>
  <c r="K1722" i="6"/>
  <c r="K1709" i="6"/>
  <c r="K1799" i="6"/>
  <c r="K1786" i="6"/>
  <c r="K1773" i="6"/>
  <c r="K1760" i="6"/>
  <c r="K1747" i="6"/>
  <c r="K1734" i="6"/>
  <c r="K1721" i="6"/>
  <c r="K1708" i="6"/>
  <c r="K1783" i="6"/>
  <c r="K1766" i="6"/>
  <c r="K1749" i="6"/>
  <c r="K1730" i="6"/>
  <c r="K1714" i="6"/>
  <c r="K1798" i="6"/>
  <c r="K1782" i="6"/>
  <c r="K1764" i="6"/>
  <c r="K1746" i="6"/>
  <c r="K1729" i="6"/>
  <c r="K1712" i="6"/>
  <c r="K1790" i="6"/>
  <c r="K1770" i="6"/>
  <c r="K1750" i="6"/>
  <c r="K1727" i="6"/>
  <c r="K1705" i="6"/>
  <c r="K1784" i="6"/>
  <c r="K1762" i="6"/>
  <c r="K1741" i="6"/>
  <c r="K1720" i="6"/>
  <c r="K1701" i="6"/>
  <c r="I1800" i="6"/>
  <c r="I1788" i="6"/>
  <c r="I1776" i="6"/>
  <c r="I1764" i="6"/>
  <c r="I1752" i="6"/>
  <c r="I1740" i="6"/>
  <c r="I1728" i="6"/>
  <c r="I1716" i="6"/>
  <c r="I1704" i="6"/>
  <c r="K1781" i="6"/>
  <c r="K1759" i="6"/>
  <c r="K1740" i="6"/>
  <c r="K1718" i="6"/>
  <c r="I1799" i="6"/>
  <c r="I1787" i="6"/>
  <c r="I1775" i="6"/>
  <c r="I1763" i="6"/>
  <c r="I1751" i="6"/>
  <c r="I1739" i="6"/>
  <c r="I1727" i="6"/>
  <c r="I1715" i="6"/>
  <c r="I1703" i="6"/>
  <c r="K591" i="6"/>
  <c r="K579" i="6"/>
  <c r="K567" i="6"/>
  <c r="K555" i="6"/>
  <c r="K543" i="6"/>
  <c r="K531" i="6"/>
  <c r="K519" i="6"/>
  <c r="K507" i="6"/>
  <c r="K597" i="6"/>
  <c r="K584" i="6"/>
  <c r="K571" i="6"/>
  <c r="K558" i="6"/>
  <c r="K545" i="6"/>
  <c r="K532" i="6"/>
  <c r="K518" i="6"/>
  <c r="K505" i="6"/>
  <c r="K593" i="6"/>
  <c r="K580" i="6"/>
  <c r="K566" i="6"/>
  <c r="K553" i="6"/>
  <c r="K540" i="6"/>
  <c r="K527" i="6"/>
  <c r="K514" i="6"/>
  <c r="K501" i="6"/>
  <c r="K592" i="6"/>
  <c r="K578" i="6"/>
  <c r="K565" i="6"/>
  <c r="K552" i="6"/>
  <c r="K539" i="6"/>
  <c r="K526" i="6"/>
  <c r="K513" i="6"/>
  <c r="K2098" i="6"/>
  <c r="K2086" i="6"/>
  <c r="K2074" i="6"/>
  <c r="K2062" i="6"/>
  <c r="K2050" i="6"/>
  <c r="K2038" i="6"/>
  <c r="K2026" i="6"/>
  <c r="K2014" i="6"/>
  <c r="K2002" i="6"/>
  <c r="K2097" i="6"/>
  <c r="K2085" i="6"/>
  <c r="K2073" i="6"/>
  <c r="K2061" i="6"/>
  <c r="K2049" i="6"/>
  <c r="K2037" i="6"/>
  <c r="K2025" i="6"/>
  <c r="K2013" i="6"/>
  <c r="K2001" i="6"/>
  <c r="K2090" i="6"/>
  <c r="K2076" i="6"/>
  <c r="K2060" i="6"/>
  <c r="K2046" i="6"/>
  <c r="K2032" i="6"/>
  <c r="K2018" i="6"/>
  <c r="K2004" i="6"/>
  <c r="K891" i="6"/>
  <c r="K879" i="6"/>
  <c r="K867" i="6"/>
  <c r="K855" i="6"/>
  <c r="K843" i="6"/>
  <c r="K831" i="6"/>
  <c r="K819" i="6"/>
  <c r="K807" i="6"/>
  <c r="K1990" i="6"/>
  <c r="K1978" i="6"/>
  <c r="K1966" i="6"/>
  <c r="K1954" i="6"/>
  <c r="K1942" i="6"/>
  <c r="K1930" i="6"/>
  <c r="K1918" i="6"/>
  <c r="K1906" i="6"/>
  <c r="K1989" i="6"/>
  <c r="K1977" i="6"/>
  <c r="K1965" i="6"/>
  <c r="K1953" i="6"/>
  <c r="K1941" i="6"/>
  <c r="K1929" i="6"/>
  <c r="K1917" i="6"/>
  <c r="K1905" i="6"/>
  <c r="K1988" i="6"/>
  <c r="K1974" i="6"/>
  <c r="K1960" i="6"/>
  <c r="K1946" i="6"/>
  <c r="K1932" i="6"/>
  <c r="K1916" i="6"/>
  <c r="K1902" i="6"/>
  <c r="K2806" i="6"/>
  <c r="K2818" i="6"/>
  <c r="K2830" i="6"/>
  <c r="K2842" i="6"/>
  <c r="K2854" i="6"/>
  <c r="K2866" i="6"/>
  <c r="K2878" i="6"/>
  <c r="E645" i="6" l="1"/>
  <c r="G628" i="6"/>
  <c r="G625" i="6"/>
  <c r="G623" i="6"/>
  <c r="G627" i="6"/>
  <c r="C637" i="6"/>
  <c r="C695" i="6"/>
  <c r="C640" i="6"/>
  <c r="C696" i="6"/>
  <c r="C642" i="6"/>
  <c r="C655" i="6"/>
  <c r="C656" i="6"/>
  <c r="C657" i="6"/>
  <c r="C603" i="6"/>
  <c r="C8" i="8" s="1"/>
  <c r="C670" i="6"/>
  <c r="C604" i="6"/>
  <c r="C680" i="6"/>
  <c r="E696" i="6"/>
  <c r="C611" i="6"/>
  <c r="C681" i="6"/>
  <c r="E684" i="6"/>
  <c r="C615" i="6"/>
  <c r="C683" i="6"/>
  <c r="E681" i="6"/>
  <c r="E628" i="6"/>
  <c r="C632" i="6"/>
  <c r="C636" i="6"/>
  <c r="C690" i="6"/>
  <c r="C693" i="6"/>
  <c r="C3" i="10"/>
  <c r="I3" i="10"/>
  <c r="E17" i="9"/>
  <c r="K793" i="6"/>
  <c r="K780" i="6"/>
  <c r="K767" i="6"/>
  <c r="K754" i="6"/>
  <c r="K741" i="6"/>
  <c r="K728" i="6"/>
  <c r="K715" i="6"/>
  <c r="K702" i="6"/>
  <c r="K792" i="6"/>
  <c r="K779" i="6"/>
  <c r="K766" i="6"/>
  <c r="K753" i="6"/>
  <c r="K740" i="6"/>
  <c r="K727" i="6"/>
  <c r="K714" i="6"/>
  <c r="K701" i="6"/>
  <c r="K791" i="6"/>
  <c r="K778" i="6"/>
  <c r="K765" i="6"/>
  <c r="K752" i="6"/>
  <c r="K739" i="6"/>
  <c r="K726" i="6"/>
  <c r="K713" i="6"/>
  <c r="K790" i="6"/>
  <c r="K777" i="6"/>
  <c r="K764" i="6"/>
  <c r="K751" i="6"/>
  <c r="K738" i="6"/>
  <c r="K725" i="6"/>
  <c r="K712" i="6"/>
  <c r="K789" i="6"/>
  <c r="K776" i="6"/>
  <c r="K763" i="6"/>
  <c r="K750" i="6"/>
  <c r="K737" i="6"/>
  <c r="K724" i="6"/>
  <c r="K710" i="6"/>
  <c r="K788" i="6"/>
  <c r="K775" i="6"/>
  <c r="K762" i="6"/>
  <c r="K749" i="6"/>
  <c r="K736" i="6"/>
  <c r="K722" i="6"/>
  <c r="K709" i="6"/>
  <c r="K800" i="6"/>
  <c r="K787" i="6"/>
  <c r="K774" i="6"/>
  <c r="K761" i="6"/>
  <c r="K748" i="6"/>
  <c r="K734" i="6"/>
  <c r="K721" i="6"/>
  <c r="K708" i="6"/>
  <c r="K799" i="6"/>
  <c r="K786" i="6"/>
  <c r="K773" i="6"/>
  <c r="K760" i="6"/>
  <c r="K746" i="6"/>
  <c r="K733" i="6"/>
  <c r="K720" i="6"/>
  <c r="K707" i="6"/>
  <c r="K798" i="6"/>
  <c r="K785" i="6"/>
  <c r="K772" i="6"/>
  <c r="K758" i="6"/>
  <c r="K745" i="6"/>
  <c r="K732" i="6"/>
  <c r="K719" i="6"/>
  <c r="K706" i="6"/>
  <c r="K782" i="6"/>
  <c r="K730" i="6"/>
  <c r="I799" i="6"/>
  <c r="I787" i="6"/>
  <c r="I775" i="6"/>
  <c r="I763" i="6"/>
  <c r="I751" i="6"/>
  <c r="I739" i="6"/>
  <c r="I727" i="6"/>
  <c r="I715" i="6"/>
  <c r="I9" i="10" s="1"/>
  <c r="I703" i="6"/>
  <c r="K781" i="6"/>
  <c r="K729" i="6"/>
  <c r="I798" i="6"/>
  <c r="I786" i="6"/>
  <c r="I774" i="6"/>
  <c r="I762" i="6"/>
  <c r="I750" i="6"/>
  <c r="K770" i="6"/>
  <c r="K718" i="6"/>
  <c r="I797" i="6"/>
  <c r="I785" i="6"/>
  <c r="I773" i="6"/>
  <c r="I761" i="6"/>
  <c r="I749" i="6"/>
  <c r="I737" i="6"/>
  <c r="K769" i="6"/>
  <c r="K717" i="6"/>
  <c r="K768" i="6"/>
  <c r="K716" i="6"/>
  <c r="I795" i="6"/>
  <c r="I783" i="6"/>
  <c r="I771" i="6"/>
  <c r="I759" i="6"/>
  <c r="I747" i="6"/>
  <c r="I735" i="6"/>
  <c r="I723" i="6"/>
  <c r="I711" i="6"/>
  <c r="K757" i="6"/>
  <c r="K705" i="6"/>
  <c r="I794" i="6"/>
  <c r="I782" i="6"/>
  <c r="I770" i="6"/>
  <c r="I758" i="6"/>
  <c r="K756" i="6"/>
  <c r="K704" i="6"/>
  <c r="K9" i="7" s="1"/>
  <c r="I793" i="6"/>
  <c r="I781" i="6"/>
  <c r="I769" i="6"/>
  <c r="I757" i="6"/>
  <c r="I745" i="6"/>
  <c r="I733" i="6"/>
  <c r="K755" i="6"/>
  <c r="K703" i="6"/>
  <c r="K797" i="6"/>
  <c r="K744" i="6"/>
  <c r="K794" i="6"/>
  <c r="K742" i="6"/>
  <c r="I779" i="6"/>
  <c r="I755" i="6"/>
  <c r="I736" i="6"/>
  <c r="I720" i="6"/>
  <c r="I706" i="6"/>
  <c r="I778" i="6"/>
  <c r="I754" i="6"/>
  <c r="I734" i="6"/>
  <c r="I719" i="6"/>
  <c r="I705" i="6"/>
  <c r="I777" i="6"/>
  <c r="I753" i="6"/>
  <c r="I732" i="6"/>
  <c r="I718" i="6"/>
  <c r="I704" i="6"/>
  <c r="I800" i="6"/>
  <c r="I776" i="6"/>
  <c r="I752" i="6"/>
  <c r="I731" i="6"/>
  <c r="I717" i="6"/>
  <c r="I702" i="6"/>
  <c r="I796" i="6"/>
  <c r="I772" i="6"/>
  <c r="I748" i="6"/>
  <c r="I730" i="6"/>
  <c r="I716" i="6"/>
  <c r="I701" i="6"/>
  <c r="I792" i="6"/>
  <c r="I768" i="6"/>
  <c r="I746" i="6"/>
  <c r="I729" i="6"/>
  <c r="I714" i="6"/>
  <c r="K796" i="6"/>
  <c r="I791" i="6"/>
  <c r="I767" i="6"/>
  <c r="I744" i="6"/>
  <c r="I728" i="6"/>
  <c r="I713" i="6"/>
  <c r="K784" i="6"/>
  <c r="I790" i="6"/>
  <c r="I766" i="6"/>
  <c r="I743" i="6"/>
  <c r="I726" i="6"/>
  <c r="I712" i="6"/>
  <c r="K743" i="6"/>
  <c r="I789" i="6"/>
  <c r="I765" i="6"/>
  <c r="I742" i="6"/>
  <c r="I725" i="6"/>
  <c r="I710" i="6"/>
  <c r="I784" i="6"/>
  <c r="I760" i="6"/>
  <c r="I740" i="6"/>
  <c r="I722" i="6"/>
  <c r="I708" i="6"/>
  <c r="I738" i="6"/>
  <c r="G790" i="6"/>
  <c r="G778" i="6"/>
  <c r="G766" i="6"/>
  <c r="G754" i="6"/>
  <c r="G742" i="6"/>
  <c r="G730" i="6"/>
  <c r="G718" i="6"/>
  <c r="G706" i="6"/>
  <c r="I724" i="6"/>
  <c r="G789" i="6"/>
  <c r="G777" i="6"/>
  <c r="G765" i="6"/>
  <c r="G753" i="6"/>
  <c r="G741" i="6"/>
  <c r="G729" i="6"/>
  <c r="G717" i="6"/>
  <c r="G705" i="6"/>
  <c r="I721" i="6"/>
  <c r="G800" i="6"/>
  <c r="G788" i="6"/>
  <c r="G776" i="6"/>
  <c r="G764" i="6"/>
  <c r="G752" i="6"/>
  <c r="I709" i="6"/>
  <c r="G799" i="6"/>
  <c r="G787" i="6"/>
  <c r="G775" i="6"/>
  <c r="G763" i="6"/>
  <c r="G751" i="6"/>
  <c r="G739" i="6"/>
  <c r="G727" i="6"/>
  <c r="G715" i="6"/>
  <c r="G703" i="6"/>
  <c r="I707" i="6"/>
  <c r="G798" i="6"/>
  <c r="G786" i="6"/>
  <c r="G774" i="6"/>
  <c r="G762" i="6"/>
  <c r="G750" i="6"/>
  <c r="G738" i="6"/>
  <c r="G726" i="6"/>
  <c r="G714" i="6"/>
  <c r="G702" i="6"/>
  <c r="G797" i="6"/>
  <c r="G785" i="6"/>
  <c r="G773" i="6"/>
  <c r="G761" i="6"/>
  <c r="G749" i="6"/>
  <c r="G737" i="6"/>
  <c r="G725" i="6"/>
  <c r="G713" i="6"/>
  <c r="G701" i="6"/>
  <c r="G796" i="6"/>
  <c r="G784" i="6"/>
  <c r="G772" i="6"/>
  <c r="G760" i="6"/>
  <c r="G748" i="6"/>
  <c r="G736" i="6"/>
  <c r="G724" i="6"/>
  <c r="G712" i="6"/>
  <c r="I788" i="6"/>
  <c r="G795" i="6"/>
  <c r="G783" i="6"/>
  <c r="G771" i="6"/>
  <c r="G759" i="6"/>
  <c r="I780" i="6"/>
  <c r="G794" i="6"/>
  <c r="G782" i="6"/>
  <c r="G770" i="6"/>
  <c r="G758" i="6"/>
  <c r="G746" i="6"/>
  <c r="G734" i="6"/>
  <c r="G722" i="6"/>
  <c r="G710" i="6"/>
  <c r="I764" i="6"/>
  <c r="G793" i="6"/>
  <c r="G781" i="6"/>
  <c r="G769" i="6"/>
  <c r="G757" i="6"/>
  <c r="G745" i="6"/>
  <c r="G733" i="6"/>
  <c r="G721" i="6"/>
  <c r="G709" i="6"/>
  <c r="G756" i="6"/>
  <c r="G719" i="6"/>
  <c r="E793" i="6"/>
  <c r="E781" i="6"/>
  <c r="E769" i="6"/>
  <c r="E757" i="6"/>
  <c r="E745" i="6"/>
  <c r="E733" i="6"/>
  <c r="G755" i="6"/>
  <c r="G716" i="6"/>
  <c r="E792" i="6"/>
  <c r="E780" i="6"/>
  <c r="E768" i="6"/>
  <c r="E756" i="6"/>
  <c r="E744" i="6"/>
  <c r="I756" i="6"/>
  <c r="G747" i="6"/>
  <c r="G711" i="6"/>
  <c r="I741" i="6"/>
  <c r="G744" i="6"/>
  <c r="G708" i="6"/>
  <c r="E790" i="6"/>
  <c r="E778" i="6"/>
  <c r="E766" i="6"/>
  <c r="E754" i="6"/>
  <c r="E742" i="6"/>
  <c r="E730" i="6"/>
  <c r="G743" i="6"/>
  <c r="G707" i="6"/>
  <c r="G9" i="8" s="1"/>
  <c r="E801" i="6"/>
  <c r="E789" i="6"/>
  <c r="E777" i="6"/>
  <c r="E765" i="6"/>
  <c r="G740" i="6"/>
  <c r="G704" i="6"/>
  <c r="G792" i="6"/>
  <c r="G735" i="6"/>
  <c r="E799" i="6"/>
  <c r="G791" i="6"/>
  <c r="G732" i="6"/>
  <c r="G780" i="6"/>
  <c r="G731" i="6"/>
  <c r="G768" i="6"/>
  <c r="G723" i="6"/>
  <c r="E785" i="6"/>
  <c r="E767" i="6"/>
  <c r="E750" i="6"/>
  <c r="E735" i="6"/>
  <c r="E721" i="6"/>
  <c r="E709" i="6"/>
  <c r="C713" i="6"/>
  <c r="C725" i="6"/>
  <c r="C737" i="6"/>
  <c r="C749" i="6"/>
  <c r="C761" i="6"/>
  <c r="C773" i="6"/>
  <c r="C785" i="6"/>
  <c r="C797" i="6"/>
  <c r="E784" i="6"/>
  <c r="E764" i="6"/>
  <c r="E749" i="6"/>
  <c r="E734" i="6"/>
  <c r="E720" i="6"/>
  <c r="E708" i="6"/>
  <c r="C714" i="6"/>
  <c r="C726" i="6"/>
  <c r="C738" i="6"/>
  <c r="C750" i="6"/>
  <c r="C762" i="6"/>
  <c r="C774" i="6"/>
  <c r="C786" i="6"/>
  <c r="C798" i="6"/>
  <c r="E800" i="6"/>
  <c r="E783" i="6"/>
  <c r="E763" i="6"/>
  <c r="E748" i="6"/>
  <c r="E732" i="6"/>
  <c r="E719" i="6"/>
  <c r="E707" i="6"/>
  <c r="C703" i="6"/>
  <c r="C715" i="6"/>
  <c r="C727" i="6"/>
  <c r="C739" i="6"/>
  <c r="C751" i="6"/>
  <c r="C763" i="6"/>
  <c r="C775" i="6"/>
  <c r="C787" i="6"/>
  <c r="C799" i="6"/>
  <c r="E798" i="6"/>
  <c r="E782" i="6"/>
  <c r="E762" i="6"/>
  <c r="E747" i="6"/>
  <c r="E731" i="6"/>
  <c r="E718" i="6"/>
  <c r="E706" i="6"/>
  <c r="C704" i="6"/>
  <c r="C716" i="6"/>
  <c r="C728" i="6"/>
  <c r="C740" i="6"/>
  <c r="C752" i="6"/>
  <c r="C764" i="6"/>
  <c r="C776" i="6"/>
  <c r="C788" i="6"/>
  <c r="C800" i="6"/>
  <c r="G779" i="6"/>
  <c r="E797" i="6"/>
  <c r="E779" i="6"/>
  <c r="E761" i="6"/>
  <c r="E746" i="6"/>
  <c r="E729" i="6"/>
  <c r="E717" i="6"/>
  <c r="E705" i="6"/>
  <c r="C705" i="6"/>
  <c r="C717" i="6"/>
  <c r="C729" i="6"/>
  <c r="C741" i="6"/>
  <c r="C753" i="6"/>
  <c r="C765" i="6"/>
  <c r="C777" i="6"/>
  <c r="C789" i="6"/>
  <c r="C801" i="6"/>
  <c r="G767" i="6"/>
  <c r="E796" i="6"/>
  <c r="E776" i="6"/>
  <c r="E760" i="6"/>
  <c r="E743" i="6"/>
  <c r="E728" i="6"/>
  <c r="E716" i="6"/>
  <c r="E704" i="6"/>
  <c r="C706" i="6"/>
  <c r="C718" i="6"/>
  <c r="C730" i="6"/>
  <c r="C742" i="6"/>
  <c r="C754" i="6"/>
  <c r="C766" i="6"/>
  <c r="C778" i="6"/>
  <c r="C790" i="6"/>
  <c r="C702" i="6"/>
  <c r="G728" i="6"/>
  <c r="E795" i="6"/>
  <c r="E775" i="6"/>
  <c r="E759" i="6"/>
  <c r="E741" i="6"/>
  <c r="E727" i="6"/>
  <c r="E715" i="6"/>
  <c r="E703" i="6"/>
  <c r="C707" i="6"/>
  <c r="C719" i="6"/>
  <c r="C731" i="6"/>
  <c r="C743" i="6"/>
  <c r="C755" i="6"/>
  <c r="C767" i="6"/>
  <c r="C779" i="6"/>
  <c r="C791" i="6"/>
  <c r="G720" i="6"/>
  <c r="E794" i="6"/>
  <c r="E774" i="6"/>
  <c r="E758" i="6"/>
  <c r="E740" i="6"/>
  <c r="E726" i="6"/>
  <c r="E714" i="6"/>
  <c r="E702" i="6"/>
  <c r="C708" i="6"/>
  <c r="C720" i="6"/>
  <c r="C732" i="6"/>
  <c r="C744" i="6"/>
  <c r="C756" i="6"/>
  <c r="C768" i="6"/>
  <c r="C780" i="6"/>
  <c r="C792" i="6"/>
  <c r="K731" i="6"/>
  <c r="E791" i="6"/>
  <c r="E773" i="6"/>
  <c r="E755" i="6"/>
  <c r="E739" i="6"/>
  <c r="E725" i="6"/>
  <c r="E713" i="6"/>
  <c r="C709" i="6"/>
  <c r="C721" i="6"/>
  <c r="C733" i="6"/>
  <c r="C745" i="6"/>
  <c r="C757" i="6"/>
  <c r="C769" i="6"/>
  <c r="C781" i="6"/>
  <c r="C793" i="6"/>
  <c r="E788" i="6"/>
  <c r="E772" i="6"/>
  <c r="E753" i="6"/>
  <c r="E738" i="6"/>
  <c r="E724" i="6"/>
  <c r="E712" i="6"/>
  <c r="C710" i="6"/>
  <c r="C722" i="6"/>
  <c r="C734" i="6"/>
  <c r="C746" i="6"/>
  <c r="C758" i="6"/>
  <c r="C770" i="6"/>
  <c r="C782" i="6"/>
  <c r="C794" i="6"/>
  <c r="E787" i="6"/>
  <c r="C723" i="6"/>
  <c r="C795" i="6"/>
  <c r="E786" i="6"/>
  <c r="C724" i="6"/>
  <c r="C796" i="6"/>
  <c r="E771" i="6"/>
  <c r="C735" i="6"/>
  <c r="E770" i="6"/>
  <c r="C736" i="6"/>
  <c r="E752" i="6"/>
  <c r="C747" i="6"/>
  <c r="E751" i="6"/>
  <c r="C748" i="6"/>
  <c r="E737" i="6"/>
  <c r="C759" i="6"/>
  <c r="E736" i="6"/>
  <c r="C760" i="6"/>
  <c r="E723" i="6"/>
  <c r="C771" i="6"/>
  <c r="E722" i="6"/>
  <c r="C772" i="6"/>
  <c r="E711" i="6"/>
  <c r="C711" i="6"/>
  <c r="C783" i="6"/>
  <c r="E710" i="6"/>
  <c r="C712" i="6"/>
  <c r="C784" i="6"/>
  <c r="E4" i="10"/>
  <c r="C627" i="6"/>
  <c r="K700" i="6"/>
  <c r="C646" i="6"/>
  <c r="E701" i="6"/>
  <c r="E667" i="6"/>
  <c r="E632" i="6"/>
  <c r="E613" i="6"/>
  <c r="C625" i="6"/>
  <c r="I643" i="6"/>
  <c r="C622" i="6"/>
  <c r="I651" i="6"/>
  <c r="C635" i="6"/>
  <c r="E641" i="6"/>
  <c r="E610" i="6"/>
  <c r="G677" i="6"/>
  <c r="C653" i="6"/>
  <c r="E695" i="6"/>
  <c r="K672" i="6"/>
  <c r="G635" i="6"/>
  <c r="E615" i="6"/>
  <c r="G669" i="6"/>
  <c r="G643" i="6"/>
  <c r="K667" i="6"/>
  <c r="I667" i="6"/>
  <c r="G612" i="6"/>
  <c r="I673" i="6"/>
  <c r="K669" i="6"/>
  <c r="I664" i="6"/>
  <c r="I653" i="6"/>
  <c r="I669" i="6"/>
  <c r="K693" i="6"/>
  <c r="K698" i="6"/>
  <c r="K645" i="6"/>
  <c r="K603" i="6"/>
  <c r="C2308" i="6"/>
  <c r="C2347" i="6"/>
  <c r="E2365" i="6"/>
  <c r="G2336" i="6"/>
  <c r="E2322" i="6"/>
  <c r="E2329" i="6"/>
  <c r="C2360" i="6"/>
  <c r="I2358" i="6"/>
  <c r="C2323" i="6"/>
  <c r="C2355" i="6"/>
  <c r="E2333" i="6"/>
  <c r="E2308" i="6"/>
  <c r="E2338" i="6"/>
  <c r="C2362" i="6"/>
  <c r="G2321" i="6"/>
  <c r="C2337" i="6"/>
  <c r="G2365" i="6"/>
  <c r="C2310" i="6"/>
  <c r="G2396" i="6"/>
  <c r="E2320" i="6"/>
  <c r="I2355" i="6"/>
  <c r="G2337" i="6"/>
  <c r="E2360" i="6"/>
  <c r="I2367" i="6"/>
  <c r="K2390" i="6"/>
  <c r="G2342" i="6"/>
  <c r="I2310" i="6"/>
  <c r="I2345" i="6"/>
  <c r="I2312" i="6"/>
  <c r="G2368" i="6"/>
  <c r="I2341" i="6"/>
  <c r="I2395" i="6"/>
  <c r="K2375" i="6"/>
  <c r="I2399" i="6"/>
  <c r="I2388" i="6"/>
  <c r="I2380" i="6"/>
  <c r="K2327" i="6"/>
  <c r="K2333" i="6"/>
  <c r="K2320" i="6"/>
  <c r="K2373" i="6"/>
  <c r="E2342" i="6"/>
  <c r="G2377" i="6"/>
  <c r="C2304" i="6"/>
  <c r="C25" i="9" s="1"/>
  <c r="C676" i="6"/>
  <c r="I635" i="6"/>
  <c r="G2371" i="6"/>
  <c r="E648" i="6"/>
  <c r="E624" i="6"/>
  <c r="G698" i="6"/>
  <c r="G673" i="6"/>
  <c r="K29" i="9"/>
  <c r="G4" i="9"/>
  <c r="E17" i="10"/>
  <c r="C17" i="7"/>
  <c r="I2" i="10"/>
  <c r="K2" i="9"/>
  <c r="C4" i="10"/>
  <c r="K711" i="6"/>
  <c r="G661" i="6"/>
  <c r="C667" i="6"/>
  <c r="K660" i="6"/>
  <c r="E629" i="6"/>
  <c r="G657" i="6"/>
  <c r="E668" i="6"/>
  <c r="E685" i="6"/>
  <c r="E617" i="6"/>
  <c r="K694" i="6"/>
  <c r="E620" i="6"/>
  <c r="K621" i="6"/>
  <c r="C699" i="6"/>
  <c r="E677" i="6"/>
  <c r="E634" i="6"/>
  <c r="I622" i="6"/>
  <c r="C629" i="6"/>
  <c r="G630" i="6"/>
  <c r="E614" i="6"/>
  <c r="G666" i="6"/>
  <c r="E639" i="6"/>
  <c r="G700" i="6"/>
  <c r="G667" i="6"/>
  <c r="G620" i="6"/>
  <c r="K629" i="6"/>
  <c r="G636" i="6"/>
  <c r="K642" i="6"/>
  <c r="K648" i="6"/>
  <c r="I688" i="6"/>
  <c r="I677" i="6"/>
  <c r="I693" i="6"/>
  <c r="K626" i="6"/>
  <c r="K618" i="6"/>
  <c r="K671" i="6"/>
  <c r="K627" i="6"/>
  <c r="G649" i="6"/>
  <c r="E2387" i="6"/>
  <c r="I2373" i="6"/>
  <c r="C2330" i="6"/>
  <c r="G2339" i="6"/>
  <c r="G2340" i="6"/>
  <c r="C2324" i="6"/>
  <c r="C2343" i="6"/>
  <c r="E2306" i="6"/>
  <c r="E2332" i="6"/>
  <c r="E2381" i="6"/>
  <c r="G2325" i="6"/>
  <c r="E2386" i="6"/>
  <c r="C2338" i="6"/>
  <c r="G2364" i="6"/>
  <c r="C2313" i="6"/>
  <c r="I2336" i="6"/>
  <c r="E2319" i="6"/>
  <c r="K2358" i="6"/>
  <c r="E2353" i="6"/>
  <c r="E2311" i="6"/>
  <c r="G2366" i="6"/>
  <c r="E2384" i="6"/>
  <c r="G2313" i="6"/>
  <c r="E2316" i="6"/>
  <c r="G2373" i="6"/>
  <c r="I2361" i="6"/>
  <c r="I2396" i="6"/>
  <c r="I2353" i="6"/>
  <c r="G2392" i="6"/>
  <c r="I2378" i="6"/>
  <c r="K2363" i="6"/>
  <c r="K2341" i="6"/>
  <c r="K2343" i="6"/>
  <c r="K2321" i="6"/>
  <c r="K2307" i="6"/>
  <c r="K2368" i="6"/>
  <c r="K2366" i="6"/>
  <c r="K2348" i="6"/>
  <c r="K2397" i="6"/>
  <c r="C2344" i="6"/>
  <c r="C654" i="6"/>
  <c r="E678" i="6"/>
  <c r="I634" i="6"/>
  <c r="E2390" i="6"/>
  <c r="C631" i="6"/>
  <c r="E644" i="6"/>
  <c r="E608" i="6"/>
  <c r="C17" i="10"/>
  <c r="K2" i="7"/>
  <c r="G2" i="10"/>
  <c r="E3" i="7"/>
  <c r="C2" i="9"/>
  <c r="G2" i="7"/>
  <c r="C4" i="9"/>
  <c r="K723" i="6"/>
  <c r="G613" i="6"/>
  <c r="C684" i="6"/>
  <c r="I639" i="6"/>
  <c r="E688" i="6"/>
  <c r="G633" i="6"/>
  <c r="E633" i="6"/>
  <c r="E637" i="6"/>
  <c r="E640" i="6"/>
  <c r="E619" i="6"/>
  <c r="C686" i="6"/>
  <c r="E693" i="6"/>
  <c r="E646" i="6"/>
  <c r="I646" i="6"/>
  <c r="C617" i="6"/>
  <c r="G647" i="6"/>
  <c r="E626" i="6"/>
  <c r="G683" i="6"/>
  <c r="E651" i="6"/>
  <c r="I607" i="6"/>
  <c r="G679" i="6"/>
  <c r="G632" i="6"/>
  <c r="K668" i="6"/>
  <c r="G648" i="6"/>
  <c r="K688" i="6"/>
  <c r="K681" i="6"/>
  <c r="I700" i="6"/>
  <c r="I689" i="6"/>
  <c r="K616" i="6"/>
  <c r="K643" i="6"/>
  <c r="K631" i="6"/>
  <c r="K684" i="6"/>
  <c r="K639" i="6"/>
  <c r="G601" i="6"/>
  <c r="G2311" i="6"/>
  <c r="E2355" i="6"/>
  <c r="G2378" i="6"/>
  <c r="E2307" i="6"/>
  <c r="C2366" i="6"/>
  <c r="C2399" i="6"/>
  <c r="C2306" i="6"/>
  <c r="C2307" i="6"/>
  <c r="E2327" i="6"/>
  <c r="E2380" i="6"/>
  <c r="G2326" i="6"/>
  <c r="G2394" i="6"/>
  <c r="G2333" i="6"/>
  <c r="C2326" i="6"/>
  <c r="G2390" i="6"/>
  <c r="E2315" i="6"/>
  <c r="I2385" i="6"/>
  <c r="E2334" i="6"/>
  <c r="C2393" i="6"/>
  <c r="E2368" i="6"/>
  <c r="E2323" i="6"/>
  <c r="G2383" i="6"/>
  <c r="E2396" i="6"/>
  <c r="G2327" i="6"/>
  <c r="E2328" i="6"/>
  <c r="G2388" i="6"/>
  <c r="I2386" i="6"/>
  <c r="K2357" i="6"/>
  <c r="I2371" i="6"/>
  <c r="I2313" i="6"/>
  <c r="I25" i="7" s="1"/>
  <c r="I2398" i="6"/>
  <c r="I2301" i="6"/>
  <c r="K2376" i="6"/>
  <c r="K2371" i="6"/>
  <c r="K2346" i="6"/>
  <c r="K2330" i="6"/>
  <c r="K2389" i="6"/>
  <c r="K2381" i="6"/>
  <c r="K2364" i="6"/>
  <c r="K2302" i="6"/>
  <c r="G645" i="6"/>
  <c r="K601" i="6"/>
  <c r="E2391" i="6"/>
  <c r="C694" i="6"/>
  <c r="G626" i="6"/>
  <c r="C5" i="10"/>
  <c r="K4" i="8"/>
  <c r="I4" i="9"/>
  <c r="E2" i="8"/>
  <c r="F3" i="8"/>
  <c r="K2895" i="6"/>
  <c r="K2882" i="6"/>
  <c r="K2869" i="6"/>
  <c r="K2856" i="6"/>
  <c r="K2843" i="6"/>
  <c r="K2829" i="6"/>
  <c r="K2816" i="6"/>
  <c r="K2803" i="6"/>
  <c r="K2894" i="6"/>
  <c r="K2881" i="6"/>
  <c r="K2868" i="6"/>
  <c r="K2855" i="6"/>
  <c r="K2841" i="6"/>
  <c r="K2828" i="6"/>
  <c r="K2815" i="6"/>
  <c r="K2802" i="6"/>
  <c r="K2890" i="6"/>
  <c r="K2893" i="6"/>
  <c r="K2880" i="6"/>
  <c r="K2867" i="6"/>
  <c r="K2853" i="6"/>
  <c r="K2840" i="6"/>
  <c r="K2827" i="6"/>
  <c r="K2814" i="6"/>
  <c r="K2801" i="6"/>
  <c r="K29" i="8" s="1"/>
  <c r="K2892" i="6"/>
  <c r="K2879" i="6"/>
  <c r="K2865" i="6"/>
  <c r="K2852" i="6"/>
  <c r="K2839" i="6"/>
  <c r="K2826" i="6"/>
  <c r="K2813" i="6"/>
  <c r="K2891" i="6"/>
  <c r="K2877" i="6"/>
  <c r="K2864" i="6"/>
  <c r="K2851" i="6"/>
  <c r="K2838" i="6"/>
  <c r="K2825" i="6"/>
  <c r="K30" i="10" s="1"/>
  <c r="K2812" i="6"/>
  <c r="K2889" i="6"/>
  <c r="K2876" i="6"/>
  <c r="K2863" i="6"/>
  <c r="K2850" i="6"/>
  <c r="K2837" i="6"/>
  <c r="K2824" i="6"/>
  <c r="K2811" i="6"/>
  <c r="K2888" i="6"/>
  <c r="K2875" i="6"/>
  <c r="K2862" i="6"/>
  <c r="K2849" i="6"/>
  <c r="K2836" i="6"/>
  <c r="K2823" i="6"/>
  <c r="K2810" i="6"/>
  <c r="K2900" i="6"/>
  <c r="K2887" i="6"/>
  <c r="K2874" i="6"/>
  <c r="K2861" i="6"/>
  <c r="K2848" i="6"/>
  <c r="K2835" i="6"/>
  <c r="K2822" i="6"/>
  <c r="K2809" i="6"/>
  <c r="K2899" i="6"/>
  <c r="K2886" i="6"/>
  <c r="K2873" i="6"/>
  <c r="K2860" i="6"/>
  <c r="K2847" i="6"/>
  <c r="K2834" i="6"/>
  <c r="K2821" i="6"/>
  <c r="K2808" i="6"/>
  <c r="K2871" i="6"/>
  <c r="K2819" i="6"/>
  <c r="I2893" i="6"/>
  <c r="I2881" i="6"/>
  <c r="I2869" i="6"/>
  <c r="I2857" i="6"/>
  <c r="I2845" i="6"/>
  <c r="I2833" i="6"/>
  <c r="I2821" i="6"/>
  <c r="I2809" i="6"/>
  <c r="K2870" i="6"/>
  <c r="K2817" i="6"/>
  <c r="I2892" i="6"/>
  <c r="I2880" i="6"/>
  <c r="I2868" i="6"/>
  <c r="I2856" i="6"/>
  <c r="I2844" i="6"/>
  <c r="I2832" i="6"/>
  <c r="I2820" i="6"/>
  <c r="I2808" i="6"/>
  <c r="K2859" i="6"/>
  <c r="K2807" i="6"/>
  <c r="I2891" i="6"/>
  <c r="I2879" i="6"/>
  <c r="I2867" i="6"/>
  <c r="I2855" i="6"/>
  <c r="I2843" i="6"/>
  <c r="I2831" i="6"/>
  <c r="I2819" i="6"/>
  <c r="I30" i="7" s="1"/>
  <c r="I2807" i="6"/>
  <c r="K2858" i="6"/>
  <c r="K2805" i="6"/>
  <c r="I2890" i="6"/>
  <c r="I2878" i="6"/>
  <c r="I2866" i="6"/>
  <c r="I2854" i="6"/>
  <c r="I2842" i="6"/>
  <c r="I2830" i="6"/>
  <c r="I2818" i="6"/>
  <c r="I2806" i="6"/>
  <c r="K2857" i="6"/>
  <c r="K2804" i="6"/>
  <c r="I2889" i="6"/>
  <c r="I2877" i="6"/>
  <c r="I2865" i="6"/>
  <c r="I2853" i="6"/>
  <c r="I2841" i="6"/>
  <c r="I2829" i="6"/>
  <c r="I2817" i="6"/>
  <c r="I2805" i="6"/>
  <c r="K2898" i="6"/>
  <c r="K2846" i="6"/>
  <c r="I2900" i="6"/>
  <c r="I2888" i="6"/>
  <c r="I2876" i="6"/>
  <c r="I2864" i="6"/>
  <c r="I2852" i="6"/>
  <c r="I2840" i="6"/>
  <c r="I2828" i="6"/>
  <c r="I2816" i="6"/>
  <c r="I2804" i="6"/>
  <c r="K2897" i="6"/>
  <c r="K2845" i="6"/>
  <c r="I2899" i="6"/>
  <c r="I2887" i="6"/>
  <c r="I2875" i="6"/>
  <c r="I2863" i="6"/>
  <c r="I2851" i="6"/>
  <c r="I2839" i="6"/>
  <c r="I2827" i="6"/>
  <c r="I2815" i="6"/>
  <c r="I2803" i="6"/>
  <c r="K2896" i="6"/>
  <c r="K2844" i="6"/>
  <c r="I2898" i="6"/>
  <c r="I2886" i="6"/>
  <c r="I2874" i="6"/>
  <c r="I2862" i="6"/>
  <c r="I2850" i="6"/>
  <c r="I2838" i="6"/>
  <c r="I2826" i="6"/>
  <c r="I2814" i="6"/>
  <c r="I2802" i="6"/>
  <c r="K2885" i="6"/>
  <c r="K2833" i="6"/>
  <c r="I2897" i="6"/>
  <c r="I2885" i="6"/>
  <c r="I2873" i="6"/>
  <c r="I2861" i="6"/>
  <c r="I2849" i="6"/>
  <c r="I2837" i="6"/>
  <c r="I2825" i="6"/>
  <c r="I2813" i="6"/>
  <c r="I2801" i="6"/>
  <c r="I29" i="7" s="1"/>
  <c r="K2883" i="6"/>
  <c r="K2831" i="6"/>
  <c r="I2895" i="6"/>
  <c r="I2883" i="6"/>
  <c r="I2871" i="6"/>
  <c r="I2859" i="6"/>
  <c r="I2847" i="6"/>
  <c r="I2835" i="6"/>
  <c r="I2823" i="6"/>
  <c r="I2811" i="6"/>
  <c r="K2832" i="6"/>
  <c r="I2896" i="6"/>
  <c r="I2824" i="6"/>
  <c r="G2892" i="6"/>
  <c r="G2880" i="6"/>
  <c r="G2868" i="6"/>
  <c r="G2856" i="6"/>
  <c r="G2844" i="6"/>
  <c r="G2832" i="6"/>
  <c r="G2820" i="6"/>
  <c r="G2808" i="6"/>
  <c r="K2820" i="6"/>
  <c r="I2894" i="6"/>
  <c r="I2822" i="6"/>
  <c r="G2891" i="6"/>
  <c r="G2879" i="6"/>
  <c r="G2867" i="6"/>
  <c r="G2855" i="6"/>
  <c r="G2843" i="6"/>
  <c r="G2831" i="6"/>
  <c r="G2819" i="6"/>
  <c r="G2807" i="6"/>
  <c r="I2884" i="6"/>
  <c r="I2812" i="6"/>
  <c r="I2882" i="6"/>
  <c r="I2810" i="6"/>
  <c r="G2889" i="6"/>
  <c r="G2877" i="6"/>
  <c r="G2865" i="6"/>
  <c r="G2853" i="6"/>
  <c r="G2841" i="6"/>
  <c r="G2829" i="6"/>
  <c r="G2817" i="6"/>
  <c r="G2805" i="6"/>
  <c r="I2872" i="6"/>
  <c r="G2900" i="6"/>
  <c r="G2888" i="6"/>
  <c r="G2876" i="6"/>
  <c r="G2864" i="6"/>
  <c r="G2852" i="6"/>
  <c r="G2840" i="6"/>
  <c r="G2828" i="6"/>
  <c r="G2816" i="6"/>
  <c r="G2804" i="6"/>
  <c r="I2870" i="6"/>
  <c r="I2860" i="6"/>
  <c r="G2898" i="6"/>
  <c r="G2886" i="6"/>
  <c r="G2874" i="6"/>
  <c r="G2862" i="6"/>
  <c r="G2850" i="6"/>
  <c r="G2838" i="6"/>
  <c r="I2858" i="6"/>
  <c r="I2848" i="6"/>
  <c r="K2884" i="6"/>
  <c r="I2836" i="6"/>
  <c r="G2896" i="6"/>
  <c r="G2875" i="6"/>
  <c r="G2857" i="6"/>
  <c r="G2835" i="6"/>
  <c r="G2815" i="6"/>
  <c r="G2895" i="6"/>
  <c r="G2873" i="6"/>
  <c r="G2854" i="6"/>
  <c r="G2834" i="6"/>
  <c r="G2814" i="6"/>
  <c r="G2894" i="6"/>
  <c r="G2872" i="6"/>
  <c r="G2851" i="6"/>
  <c r="G2833" i="6"/>
  <c r="G2813" i="6"/>
  <c r="G2893" i="6"/>
  <c r="G2871" i="6"/>
  <c r="G2849" i="6"/>
  <c r="G2830" i="6"/>
  <c r="G2812" i="6"/>
  <c r="G2890" i="6"/>
  <c r="G2870" i="6"/>
  <c r="G2848" i="6"/>
  <c r="G2827" i="6"/>
  <c r="G2811" i="6"/>
  <c r="G2887" i="6"/>
  <c r="G2869" i="6"/>
  <c r="G2847" i="6"/>
  <c r="G2826" i="6"/>
  <c r="G2810" i="6"/>
  <c r="G2885" i="6"/>
  <c r="G2866" i="6"/>
  <c r="G2846" i="6"/>
  <c r="G2825" i="6"/>
  <c r="G2809" i="6"/>
  <c r="I2846" i="6"/>
  <c r="G2884" i="6"/>
  <c r="G2863" i="6"/>
  <c r="G2845" i="6"/>
  <c r="G2824" i="6"/>
  <c r="G2806" i="6"/>
  <c r="K2872" i="6"/>
  <c r="I2834" i="6"/>
  <c r="G2883" i="6"/>
  <c r="G2861" i="6"/>
  <c r="G2842" i="6"/>
  <c r="G2823" i="6"/>
  <c r="G2803" i="6"/>
  <c r="G2882" i="6"/>
  <c r="G2860" i="6"/>
  <c r="G2839" i="6"/>
  <c r="G2822" i="6"/>
  <c r="G2802" i="6"/>
  <c r="G2837" i="6"/>
  <c r="E2890" i="6"/>
  <c r="E2878" i="6"/>
  <c r="E2866" i="6"/>
  <c r="E2854" i="6"/>
  <c r="E2842" i="6"/>
  <c r="E2830" i="6"/>
  <c r="E2818" i="6"/>
  <c r="E2806" i="6"/>
  <c r="G2836" i="6"/>
  <c r="E2901" i="6"/>
  <c r="E2889" i="6"/>
  <c r="E2877" i="6"/>
  <c r="E2865" i="6"/>
  <c r="E2853" i="6"/>
  <c r="E2841" i="6"/>
  <c r="E2829" i="6"/>
  <c r="E2817" i="6"/>
  <c r="E2805" i="6"/>
  <c r="G2821" i="6"/>
  <c r="E2900" i="6"/>
  <c r="E2888" i="6"/>
  <c r="E2876" i="6"/>
  <c r="E2864" i="6"/>
  <c r="E2852" i="6"/>
  <c r="E2840" i="6"/>
  <c r="E2828" i="6"/>
  <c r="E2816" i="6"/>
  <c r="E2804" i="6"/>
  <c r="G2818" i="6"/>
  <c r="E2899" i="6"/>
  <c r="E2887" i="6"/>
  <c r="E2875" i="6"/>
  <c r="E2863" i="6"/>
  <c r="E2851" i="6"/>
  <c r="E2839" i="6"/>
  <c r="E2827" i="6"/>
  <c r="E2815" i="6"/>
  <c r="E2803" i="6"/>
  <c r="G2801" i="6"/>
  <c r="E2898" i="6"/>
  <c r="E2886" i="6"/>
  <c r="E2874" i="6"/>
  <c r="E2862" i="6"/>
  <c r="E2850" i="6"/>
  <c r="E2838" i="6"/>
  <c r="E2826" i="6"/>
  <c r="E2814" i="6"/>
  <c r="E2802" i="6"/>
  <c r="E2897" i="6"/>
  <c r="E2885" i="6"/>
  <c r="E2873" i="6"/>
  <c r="E2861" i="6"/>
  <c r="E2849" i="6"/>
  <c r="E2837" i="6"/>
  <c r="E2825" i="6"/>
  <c r="E2813" i="6"/>
  <c r="G2899" i="6"/>
  <c r="E2896" i="6"/>
  <c r="E2884" i="6"/>
  <c r="E2872" i="6"/>
  <c r="E2860" i="6"/>
  <c r="E2848" i="6"/>
  <c r="E2836" i="6"/>
  <c r="E2824" i="6"/>
  <c r="E2812" i="6"/>
  <c r="G2897" i="6"/>
  <c r="E2895" i="6"/>
  <c r="E2883" i="6"/>
  <c r="E2871" i="6"/>
  <c r="E2859" i="6"/>
  <c r="E2847" i="6"/>
  <c r="E2835" i="6"/>
  <c r="E2823" i="6"/>
  <c r="E2811" i="6"/>
  <c r="G2881" i="6"/>
  <c r="E2894" i="6"/>
  <c r="E2882" i="6"/>
  <c r="E2870" i="6"/>
  <c r="E2858" i="6"/>
  <c r="E2846" i="6"/>
  <c r="E2834" i="6"/>
  <c r="E2822" i="6"/>
  <c r="E2810" i="6"/>
  <c r="G2859" i="6"/>
  <c r="E2892" i="6"/>
  <c r="E2880" i="6"/>
  <c r="E2868" i="6"/>
  <c r="E2856" i="6"/>
  <c r="E2844" i="6"/>
  <c r="E2832" i="6"/>
  <c r="E2820" i="6"/>
  <c r="E2808" i="6"/>
  <c r="E2845" i="6"/>
  <c r="C2811" i="6"/>
  <c r="C2823" i="6"/>
  <c r="C2835" i="6"/>
  <c r="C2847" i="6"/>
  <c r="C2859" i="6"/>
  <c r="C2871" i="6"/>
  <c r="C2883" i="6"/>
  <c r="C2895" i="6"/>
  <c r="E2843" i="6"/>
  <c r="C2812" i="6"/>
  <c r="C2824" i="6"/>
  <c r="C2836" i="6"/>
  <c r="C2848" i="6"/>
  <c r="C2860" i="6"/>
  <c r="C2872" i="6"/>
  <c r="C2884" i="6"/>
  <c r="C2896" i="6"/>
  <c r="G2878" i="6"/>
  <c r="E2833" i="6"/>
  <c r="C2813" i="6"/>
  <c r="C2825" i="6"/>
  <c r="C2837" i="6"/>
  <c r="C2849" i="6"/>
  <c r="C2861" i="6"/>
  <c r="C2873" i="6"/>
  <c r="C2885" i="6"/>
  <c r="C2897" i="6"/>
  <c r="G2858" i="6"/>
  <c r="E2831" i="6"/>
  <c r="C2814" i="6"/>
  <c r="C2826" i="6"/>
  <c r="C2838" i="6"/>
  <c r="C2850" i="6"/>
  <c r="C2862" i="6"/>
  <c r="C2874" i="6"/>
  <c r="C2886" i="6"/>
  <c r="C2898" i="6"/>
  <c r="E2893" i="6"/>
  <c r="E2821" i="6"/>
  <c r="C2803" i="6"/>
  <c r="C2815" i="6"/>
  <c r="C2827" i="6"/>
  <c r="C2839" i="6"/>
  <c r="C2851" i="6"/>
  <c r="C2863" i="6"/>
  <c r="C2875" i="6"/>
  <c r="C2887" i="6"/>
  <c r="C2899" i="6"/>
  <c r="E2891" i="6"/>
  <c r="E2819" i="6"/>
  <c r="C2804" i="6"/>
  <c r="C2816" i="6"/>
  <c r="C2828" i="6"/>
  <c r="C2840" i="6"/>
  <c r="C2852" i="6"/>
  <c r="C2864" i="6"/>
  <c r="C2876" i="6"/>
  <c r="C2888" i="6"/>
  <c r="C2900" i="6"/>
  <c r="E2881" i="6"/>
  <c r="E2809" i="6"/>
  <c r="C2805" i="6"/>
  <c r="C2817" i="6"/>
  <c r="C2829" i="6"/>
  <c r="C2841" i="6"/>
  <c r="C2853" i="6"/>
  <c r="C2865" i="6"/>
  <c r="C2877" i="6"/>
  <c r="C2889" i="6"/>
  <c r="C2901" i="6"/>
  <c r="E2879" i="6"/>
  <c r="E2807" i="6"/>
  <c r="C2806" i="6"/>
  <c r="C2818" i="6"/>
  <c r="C2830" i="6"/>
  <c r="C2842" i="6"/>
  <c r="C2854" i="6"/>
  <c r="C2866" i="6"/>
  <c r="C2878" i="6"/>
  <c r="C2890" i="6"/>
  <c r="C2802" i="6"/>
  <c r="E2869" i="6"/>
  <c r="C2807" i="6"/>
  <c r="C2819" i="6"/>
  <c r="C2831" i="6"/>
  <c r="C2843" i="6"/>
  <c r="C2855" i="6"/>
  <c r="C2867" i="6"/>
  <c r="C2879" i="6"/>
  <c r="C2891" i="6"/>
  <c r="E2867" i="6"/>
  <c r="C2808" i="6"/>
  <c r="C2820" i="6"/>
  <c r="C2832" i="6"/>
  <c r="C2844" i="6"/>
  <c r="C2856" i="6"/>
  <c r="C2868" i="6"/>
  <c r="C2880" i="6"/>
  <c r="C2892" i="6"/>
  <c r="E2857" i="6"/>
  <c r="C2869" i="6"/>
  <c r="E2855" i="6"/>
  <c r="C2870" i="6"/>
  <c r="C2809" i="6"/>
  <c r="C2881" i="6"/>
  <c r="C2810" i="6"/>
  <c r="C2882" i="6"/>
  <c r="C2821" i="6"/>
  <c r="C2893" i="6"/>
  <c r="C2822" i="6"/>
  <c r="C2894" i="6"/>
  <c r="C2833" i="6"/>
  <c r="C2834" i="6"/>
  <c r="C2845" i="6"/>
  <c r="C2846" i="6"/>
  <c r="C2857" i="6"/>
  <c r="C2858" i="6"/>
  <c r="G3" i="10"/>
  <c r="K735" i="6"/>
  <c r="G654" i="6"/>
  <c r="I668" i="6"/>
  <c r="C692" i="6"/>
  <c r="G610" i="6"/>
  <c r="G681" i="6"/>
  <c r="E653" i="6"/>
  <c r="E691" i="6"/>
  <c r="E656" i="6"/>
  <c r="E655" i="6"/>
  <c r="C673" i="6"/>
  <c r="G622" i="6"/>
  <c r="G8" i="10" s="1"/>
  <c r="E658" i="6"/>
  <c r="I674" i="6"/>
  <c r="C605" i="6"/>
  <c r="G663" i="6"/>
  <c r="E638" i="6"/>
  <c r="G699" i="6"/>
  <c r="E663" i="6"/>
  <c r="I630" i="6"/>
  <c r="G691" i="6"/>
  <c r="G644" i="6"/>
  <c r="I602" i="6"/>
  <c r="G660" i="6"/>
  <c r="I608" i="6"/>
  <c r="K620" i="6"/>
  <c r="K604" i="6"/>
  <c r="K608" i="6"/>
  <c r="K638" i="6"/>
  <c r="K661" i="6"/>
  <c r="K644" i="6"/>
  <c r="K697" i="6"/>
  <c r="K651" i="6"/>
  <c r="C2365" i="6"/>
  <c r="E2361" i="6"/>
  <c r="G2312" i="6"/>
  <c r="I2338" i="6"/>
  <c r="C2363" i="6"/>
  <c r="E2302" i="6"/>
  <c r="E2349" i="6"/>
  <c r="E2354" i="6"/>
  <c r="G2359" i="6"/>
  <c r="G2360" i="6"/>
  <c r="I2374" i="6"/>
  <c r="G2362" i="6"/>
  <c r="C2314" i="6"/>
  <c r="I2326" i="6"/>
  <c r="E2331" i="6"/>
  <c r="E25" i="8" s="1"/>
  <c r="K2328" i="6"/>
  <c r="E2351" i="6"/>
  <c r="C2381" i="6"/>
  <c r="E2385" i="6"/>
  <c r="E2335" i="6"/>
  <c r="G2398" i="6"/>
  <c r="G2310" i="6"/>
  <c r="G2341" i="6"/>
  <c r="E2340" i="6"/>
  <c r="I2309" i="6"/>
  <c r="K2329" i="6"/>
  <c r="G2307" i="6"/>
  <c r="G25" i="10" s="1"/>
  <c r="I2390" i="6"/>
  <c r="I2335" i="6"/>
  <c r="K2311" i="6"/>
  <c r="I2318" i="6"/>
  <c r="I2303" i="6"/>
  <c r="K2394" i="6"/>
  <c r="K2372" i="6"/>
  <c r="K2356" i="6"/>
  <c r="K2317" i="6"/>
  <c r="K2396" i="6"/>
  <c r="K2378" i="6"/>
  <c r="K2314" i="6"/>
  <c r="K25" i="10" s="1"/>
  <c r="E680" i="6"/>
  <c r="E664" i="6"/>
  <c r="E618" i="6"/>
  <c r="I661" i="6"/>
  <c r="G2370" i="6"/>
  <c r="C658" i="6"/>
  <c r="E654" i="6"/>
  <c r="K3" i="10"/>
  <c r="C29" i="9"/>
  <c r="I3" i="8"/>
  <c r="G3" i="9"/>
  <c r="E2" i="7"/>
  <c r="K1699" i="6"/>
  <c r="K1687" i="6"/>
  <c r="K1675" i="6"/>
  <c r="K1663" i="6"/>
  <c r="K1651" i="6"/>
  <c r="K1639" i="6"/>
  <c r="K1627" i="6"/>
  <c r="K1615" i="6"/>
  <c r="K1603" i="6"/>
  <c r="K1698" i="6"/>
  <c r="K1686" i="6"/>
  <c r="K1674" i="6"/>
  <c r="K1662" i="6"/>
  <c r="K1650" i="6"/>
  <c r="K1638" i="6"/>
  <c r="K1626" i="6"/>
  <c r="K1614" i="6"/>
  <c r="K1602" i="6"/>
  <c r="K1697" i="6"/>
  <c r="K1685" i="6"/>
  <c r="K1673" i="6"/>
  <c r="K1661" i="6"/>
  <c r="K1649" i="6"/>
  <c r="K1637" i="6"/>
  <c r="K1625" i="6"/>
  <c r="K1613" i="6"/>
  <c r="K1601" i="6"/>
  <c r="K17" i="8" s="1"/>
  <c r="K1696" i="6"/>
  <c r="K1684" i="6"/>
  <c r="K1672" i="6"/>
  <c r="K1660" i="6"/>
  <c r="K1648" i="6"/>
  <c r="K1636" i="6"/>
  <c r="K1624" i="6"/>
  <c r="K1612" i="6"/>
  <c r="K1695" i="6"/>
  <c r="K1683" i="6"/>
  <c r="K1671" i="6"/>
  <c r="K1659" i="6"/>
  <c r="K1647" i="6"/>
  <c r="K1635" i="6"/>
  <c r="K1623" i="6"/>
  <c r="K1611" i="6"/>
  <c r="K1694" i="6"/>
  <c r="K1682" i="6"/>
  <c r="K1670" i="6"/>
  <c r="K1658" i="6"/>
  <c r="K1646" i="6"/>
  <c r="K1634" i="6"/>
  <c r="K1622" i="6"/>
  <c r="K1610" i="6"/>
  <c r="K1693" i="6"/>
  <c r="K1681" i="6"/>
  <c r="K1669" i="6"/>
  <c r="K1657" i="6"/>
  <c r="K1645" i="6"/>
  <c r="K1633" i="6"/>
  <c r="K1621" i="6"/>
  <c r="K1609" i="6"/>
  <c r="K18" i="9" s="1"/>
  <c r="K1692" i="6"/>
  <c r="K1680" i="6"/>
  <c r="K1668" i="6"/>
  <c r="K1656" i="6"/>
  <c r="K1644" i="6"/>
  <c r="K1632" i="6"/>
  <c r="K1620" i="6"/>
  <c r="K1608" i="6"/>
  <c r="K1691" i="6"/>
  <c r="K1679" i="6"/>
  <c r="K1667" i="6"/>
  <c r="K1655" i="6"/>
  <c r="K1643" i="6"/>
  <c r="K1631" i="6"/>
  <c r="K1619" i="6"/>
  <c r="K1607" i="6"/>
  <c r="K1665" i="6"/>
  <c r="K1617" i="6"/>
  <c r="I1697" i="6"/>
  <c r="I1685" i="6"/>
  <c r="I1673" i="6"/>
  <c r="I1661" i="6"/>
  <c r="I1649" i="6"/>
  <c r="I1637" i="6"/>
  <c r="I1625" i="6"/>
  <c r="I1613" i="6"/>
  <c r="I1601" i="6"/>
  <c r="I17" i="9" s="1"/>
  <c r="K1664" i="6"/>
  <c r="K1616" i="6"/>
  <c r="I1696" i="6"/>
  <c r="I1684" i="6"/>
  <c r="I1672" i="6"/>
  <c r="I1660" i="6"/>
  <c r="I1648" i="6"/>
  <c r="I1636" i="6"/>
  <c r="I1624" i="6"/>
  <c r="I1612" i="6"/>
  <c r="K1654" i="6"/>
  <c r="K1606" i="6"/>
  <c r="I1695" i="6"/>
  <c r="I1683" i="6"/>
  <c r="I1671" i="6"/>
  <c r="I1659" i="6"/>
  <c r="I1647" i="6"/>
  <c r="I1635" i="6"/>
  <c r="I1623" i="6"/>
  <c r="I1611" i="6"/>
  <c r="K1653" i="6"/>
  <c r="K1605" i="6"/>
  <c r="K1700" i="6"/>
  <c r="K1652" i="6"/>
  <c r="K1604" i="6"/>
  <c r="I1693" i="6"/>
  <c r="I1681" i="6"/>
  <c r="I1669" i="6"/>
  <c r="I1657" i="6"/>
  <c r="I1645" i="6"/>
  <c r="I1633" i="6"/>
  <c r="I1621" i="6"/>
  <c r="I1609" i="6"/>
  <c r="I18" i="10" s="1"/>
  <c r="K1690" i="6"/>
  <c r="K1642" i="6"/>
  <c r="I1692" i="6"/>
  <c r="I1680" i="6"/>
  <c r="I1668" i="6"/>
  <c r="I1656" i="6"/>
  <c r="I1644" i="6"/>
  <c r="I1632" i="6"/>
  <c r="I1620" i="6"/>
  <c r="I1608" i="6"/>
  <c r="K1689" i="6"/>
  <c r="K1641" i="6"/>
  <c r="I1691" i="6"/>
  <c r="I1679" i="6"/>
  <c r="I1667" i="6"/>
  <c r="I1655" i="6"/>
  <c r="I1643" i="6"/>
  <c r="I1631" i="6"/>
  <c r="I1619" i="6"/>
  <c r="I1607" i="6"/>
  <c r="K1688" i="6"/>
  <c r="K1640" i="6"/>
  <c r="K1678" i="6"/>
  <c r="K1630" i="6"/>
  <c r="I1689" i="6"/>
  <c r="I1677" i="6"/>
  <c r="I1665" i="6"/>
  <c r="I1653" i="6"/>
  <c r="I1641" i="6"/>
  <c r="I1629" i="6"/>
  <c r="I1617" i="6"/>
  <c r="I1605" i="6"/>
  <c r="K1676" i="6"/>
  <c r="K1628" i="6"/>
  <c r="I1699" i="6"/>
  <c r="I1687" i="6"/>
  <c r="I1675" i="6"/>
  <c r="I1663" i="6"/>
  <c r="I1651" i="6"/>
  <c r="I1639" i="6"/>
  <c r="I1627" i="6"/>
  <c r="I1615" i="6"/>
  <c r="I1603" i="6"/>
  <c r="K1629" i="6"/>
  <c r="I1682" i="6"/>
  <c r="I1646" i="6"/>
  <c r="I1610" i="6"/>
  <c r="K1618" i="6"/>
  <c r="I1678" i="6"/>
  <c r="I1642" i="6"/>
  <c r="I1606" i="6"/>
  <c r="I1676" i="6"/>
  <c r="I1640" i="6"/>
  <c r="I1604" i="6"/>
  <c r="I1674" i="6"/>
  <c r="I1638" i="6"/>
  <c r="I1602" i="6"/>
  <c r="I18" i="8" s="1"/>
  <c r="I1670" i="6"/>
  <c r="I1634" i="6"/>
  <c r="I1666" i="6"/>
  <c r="I1630" i="6"/>
  <c r="I1700" i="6"/>
  <c r="I1664" i="6"/>
  <c r="I1628" i="6"/>
  <c r="I1698" i="6"/>
  <c r="I1662" i="6"/>
  <c r="I1626" i="6"/>
  <c r="I1694" i="6"/>
  <c r="I1658" i="6"/>
  <c r="I1622" i="6"/>
  <c r="K1677" i="6"/>
  <c r="I1688" i="6"/>
  <c r="I1652" i="6"/>
  <c r="I1616" i="6"/>
  <c r="G1694" i="6"/>
  <c r="G1682" i="6"/>
  <c r="G1670" i="6"/>
  <c r="G1658" i="6"/>
  <c r="G1646" i="6"/>
  <c r="G1634" i="6"/>
  <c r="G1622" i="6"/>
  <c r="G1610" i="6"/>
  <c r="G1693" i="6"/>
  <c r="G1681" i="6"/>
  <c r="G1669" i="6"/>
  <c r="G1657" i="6"/>
  <c r="G1645" i="6"/>
  <c r="G1633" i="6"/>
  <c r="G1621" i="6"/>
  <c r="G1609" i="6"/>
  <c r="G1692" i="6"/>
  <c r="G1680" i="6"/>
  <c r="G1668" i="6"/>
  <c r="G1656" i="6"/>
  <c r="G1644" i="6"/>
  <c r="G1632" i="6"/>
  <c r="G1620" i="6"/>
  <c r="G1608" i="6"/>
  <c r="I1690" i="6"/>
  <c r="G1691" i="6"/>
  <c r="G1679" i="6"/>
  <c r="G1667" i="6"/>
  <c r="G1655" i="6"/>
  <c r="G1643" i="6"/>
  <c r="G1631" i="6"/>
  <c r="G1619" i="6"/>
  <c r="G1607" i="6"/>
  <c r="I1686" i="6"/>
  <c r="G1690" i="6"/>
  <c r="G1678" i="6"/>
  <c r="G1666" i="6"/>
  <c r="G1654" i="6"/>
  <c r="G1642" i="6"/>
  <c r="G1630" i="6"/>
  <c r="G1618" i="6"/>
  <c r="G1606" i="6"/>
  <c r="I1654" i="6"/>
  <c r="G1689" i="6"/>
  <c r="G1677" i="6"/>
  <c r="G1665" i="6"/>
  <c r="G1653" i="6"/>
  <c r="G1641" i="6"/>
  <c r="G1629" i="6"/>
  <c r="G1617" i="6"/>
  <c r="G1605" i="6"/>
  <c r="I1650" i="6"/>
  <c r="G1700" i="6"/>
  <c r="G1688" i="6"/>
  <c r="G1676" i="6"/>
  <c r="G1664" i="6"/>
  <c r="G1652" i="6"/>
  <c r="G1640" i="6"/>
  <c r="G1628" i="6"/>
  <c r="G1616" i="6"/>
  <c r="G1604" i="6"/>
  <c r="I1618" i="6"/>
  <c r="G1699" i="6"/>
  <c r="G1687" i="6"/>
  <c r="G1675" i="6"/>
  <c r="G1663" i="6"/>
  <c r="G1651" i="6"/>
  <c r="G1639" i="6"/>
  <c r="G1627" i="6"/>
  <c r="G1615" i="6"/>
  <c r="G18" i="9" s="1"/>
  <c r="G1603" i="6"/>
  <c r="I1614" i="6"/>
  <c r="G1698" i="6"/>
  <c r="G1686" i="6"/>
  <c r="G1674" i="6"/>
  <c r="G1662" i="6"/>
  <c r="G1650" i="6"/>
  <c r="G1638" i="6"/>
  <c r="G1626" i="6"/>
  <c r="G1614" i="6"/>
  <c r="G1602" i="6"/>
  <c r="G18" i="7" s="1"/>
  <c r="G1697" i="6"/>
  <c r="G1685" i="6"/>
  <c r="G1673" i="6"/>
  <c r="G1661" i="6"/>
  <c r="G1649" i="6"/>
  <c r="G1637" i="6"/>
  <c r="G1625" i="6"/>
  <c r="G1613" i="6"/>
  <c r="G1601" i="6"/>
  <c r="G17" i="10" s="1"/>
  <c r="G1648" i="6"/>
  <c r="E1693" i="6"/>
  <c r="E1681" i="6"/>
  <c r="E1669" i="6"/>
  <c r="E1657" i="6"/>
  <c r="E1645" i="6"/>
  <c r="E1633" i="6"/>
  <c r="E1621" i="6"/>
  <c r="E1609" i="6"/>
  <c r="G1647" i="6"/>
  <c r="E1692" i="6"/>
  <c r="E1680" i="6"/>
  <c r="E1668" i="6"/>
  <c r="E1656" i="6"/>
  <c r="E1644" i="6"/>
  <c r="E1632" i="6"/>
  <c r="E1620" i="6"/>
  <c r="E1608" i="6"/>
  <c r="G1636" i="6"/>
  <c r="E1691" i="6"/>
  <c r="E1679" i="6"/>
  <c r="E1667" i="6"/>
  <c r="E1655" i="6"/>
  <c r="E1643" i="6"/>
  <c r="E1631" i="6"/>
  <c r="E1619" i="6"/>
  <c r="E1607" i="6"/>
  <c r="G1635" i="6"/>
  <c r="E1690" i="6"/>
  <c r="E1678" i="6"/>
  <c r="E1666" i="6"/>
  <c r="E1654" i="6"/>
  <c r="E1642" i="6"/>
  <c r="E1630" i="6"/>
  <c r="E1618" i="6"/>
  <c r="E1606" i="6"/>
  <c r="G1696" i="6"/>
  <c r="G1624" i="6"/>
  <c r="E1701" i="6"/>
  <c r="E1689" i="6"/>
  <c r="E1677" i="6"/>
  <c r="E1665" i="6"/>
  <c r="E1653" i="6"/>
  <c r="E1641" i="6"/>
  <c r="E1629" i="6"/>
  <c r="E1617" i="6"/>
  <c r="E1605" i="6"/>
  <c r="G1695" i="6"/>
  <c r="G1623" i="6"/>
  <c r="E1700" i="6"/>
  <c r="E1688" i="6"/>
  <c r="E1676" i="6"/>
  <c r="E1664" i="6"/>
  <c r="E1652" i="6"/>
  <c r="E1640" i="6"/>
  <c r="E1628" i="6"/>
  <c r="E1616" i="6"/>
  <c r="E1604" i="6"/>
  <c r="G1684" i="6"/>
  <c r="G1612" i="6"/>
  <c r="E1699" i="6"/>
  <c r="E1687" i="6"/>
  <c r="E1675" i="6"/>
  <c r="E1663" i="6"/>
  <c r="E1651" i="6"/>
  <c r="E1639" i="6"/>
  <c r="E1627" i="6"/>
  <c r="E1615" i="6"/>
  <c r="E1603" i="6"/>
  <c r="G1683" i="6"/>
  <c r="G1611" i="6"/>
  <c r="E1698" i="6"/>
  <c r="E1686" i="6"/>
  <c r="E1674" i="6"/>
  <c r="E1662" i="6"/>
  <c r="E1650" i="6"/>
  <c r="E1638" i="6"/>
  <c r="E1626" i="6"/>
  <c r="E1614" i="6"/>
  <c r="E1602" i="6"/>
  <c r="K1666" i="6"/>
  <c r="G1672" i="6"/>
  <c r="E1697" i="6"/>
  <c r="E1685" i="6"/>
  <c r="E1673" i="6"/>
  <c r="E1661" i="6"/>
  <c r="G1660" i="6"/>
  <c r="E1695" i="6"/>
  <c r="E1683" i="6"/>
  <c r="E1671" i="6"/>
  <c r="E1659" i="6"/>
  <c r="E1647" i="6"/>
  <c r="E1635" i="6"/>
  <c r="E1623" i="6"/>
  <c r="E1611" i="6"/>
  <c r="E1649" i="6"/>
  <c r="C1612" i="6"/>
  <c r="C1624" i="6"/>
  <c r="C1636" i="6"/>
  <c r="C1648" i="6"/>
  <c r="C1660" i="6"/>
  <c r="C1672" i="6"/>
  <c r="C1684" i="6"/>
  <c r="C1696" i="6"/>
  <c r="E1648" i="6"/>
  <c r="C1613" i="6"/>
  <c r="C1625" i="6"/>
  <c r="C1637" i="6"/>
  <c r="C1649" i="6"/>
  <c r="C1661" i="6"/>
  <c r="C1673" i="6"/>
  <c r="C1685" i="6"/>
  <c r="C1697" i="6"/>
  <c r="E1646" i="6"/>
  <c r="C1614" i="6"/>
  <c r="C1626" i="6"/>
  <c r="C1638" i="6"/>
  <c r="C1650" i="6"/>
  <c r="C1662" i="6"/>
  <c r="C1674" i="6"/>
  <c r="C1686" i="6"/>
  <c r="C1698" i="6"/>
  <c r="E1637" i="6"/>
  <c r="C1603" i="6"/>
  <c r="C1615" i="6"/>
  <c r="C1627" i="6"/>
  <c r="C1639" i="6"/>
  <c r="C1651" i="6"/>
  <c r="C1663" i="6"/>
  <c r="C1675" i="6"/>
  <c r="C1687" i="6"/>
  <c r="C1699" i="6"/>
  <c r="E1696" i="6"/>
  <c r="E1636" i="6"/>
  <c r="C1604" i="6"/>
  <c r="C1616" i="6"/>
  <c r="C1628" i="6"/>
  <c r="C1640" i="6"/>
  <c r="C1652" i="6"/>
  <c r="C1664" i="6"/>
  <c r="C1676" i="6"/>
  <c r="C1688" i="6"/>
  <c r="C1700" i="6"/>
  <c r="E1694" i="6"/>
  <c r="E1634" i="6"/>
  <c r="C1605" i="6"/>
  <c r="C1617" i="6"/>
  <c r="C1629" i="6"/>
  <c r="C1641" i="6"/>
  <c r="C1653" i="6"/>
  <c r="C1665" i="6"/>
  <c r="C1677" i="6"/>
  <c r="C1689" i="6"/>
  <c r="C1701" i="6"/>
  <c r="E1684" i="6"/>
  <c r="E1625" i="6"/>
  <c r="C1606" i="6"/>
  <c r="C1618" i="6"/>
  <c r="C1630" i="6"/>
  <c r="C1642" i="6"/>
  <c r="C1654" i="6"/>
  <c r="C1666" i="6"/>
  <c r="C1678" i="6"/>
  <c r="C1690" i="6"/>
  <c r="C1602" i="6"/>
  <c r="E1682" i="6"/>
  <c r="E1624" i="6"/>
  <c r="C1607" i="6"/>
  <c r="C1619" i="6"/>
  <c r="C1631" i="6"/>
  <c r="C1643" i="6"/>
  <c r="C1655" i="6"/>
  <c r="C1667" i="6"/>
  <c r="C1679" i="6"/>
  <c r="C1691" i="6"/>
  <c r="E1672" i="6"/>
  <c r="E1622" i="6"/>
  <c r="C1608" i="6"/>
  <c r="C1620" i="6"/>
  <c r="C1632" i="6"/>
  <c r="C1644" i="6"/>
  <c r="C1656" i="6"/>
  <c r="C1668" i="6"/>
  <c r="C1680" i="6"/>
  <c r="C1692" i="6"/>
  <c r="E1670" i="6"/>
  <c r="E1613" i="6"/>
  <c r="C1609" i="6"/>
  <c r="C1621" i="6"/>
  <c r="C1633" i="6"/>
  <c r="C1645" i="6"/>
  <c r="C1657" i="6"/>
  <c r="C1669" i="6"/>
  <c r="C1681" i="6"/>
  <c r="C1693" i="6"/>
  <c r="E1612" i="6"/>
  <c r="C1610" i="6"/>
  <c r="C1682" i="6"/>
  <c r="E1610" i="6"/>
  <c r="C1611" i="6"/>
  <c r="C1683" i="6"/>
  <c r="C1622" i="6"/>
  <c r="C1694" i="6"/>
  <c r="C1623" i="6"/>
  <c r="C1695" i="6"/>
  <c r="C1634" i="6"/>
  <c r="C1635" i="6"/>
  <c r="C1646" i="6"/>
  <c r="C1647" i="6"/>
  <c r="C1658" i="6"/>
  <c r="C1659" i="6"/>
  <c r="G1671" i="6"/>
  <c r="E1660" i="6"/>
  <c r="C1670" i="6"/>
  <c r="G1659" i="6"/>
  <c r="E1658" i="6"/>
  <c r="C1671" i="6"/>
  <c r="I29" i="8"/>
  <c r="E29" i="7"/>
  <c r="K30" i="7"/>
  <c r="K747" i="6"/>
  <c r="G606" i="6"/>
  <c r="C679" i="6"/>
  <c r="G634" i="6"/>
  <c r="I678" i="6"/>
  <c r="E669" i="6"/>
  <c r="G640" i="6"/>
  <c r="E676" i="6"/>
  <c r="E673" i="6"/>
  <c r="C660" i="6"/>
  <c r="G642" i="6"/>
  <c r="E670" i="6"/>
  <c r="I697" i="6"/>
  <c r="E611" i="6"/>
  <c r="G678" i="6"/>
  <c r="E650" i="6"/>
  <c r="I606" i="6"/>
  <c r="E675" i="6"/>
  <c r="I659" i="6"/>
  <c r="I613" i="6"/>
  <c r="G656" i="6"/>
  <c r="I619" i="6"/>
  <c r="G672" i="6"/>
  <c r="I623" i="6"/>
  <c r="K650" i="6"/>
  <c r="K630" i="6"/>
  <c r="K633" i="6"/>
  <c r="K665" i="6"/>
  <c r="K679" i="6"/>
  <c r="K657" i="6"/>
  <c r="K610" i="6"/>
  <c r="K663" i="6"/>
  <c r="G2318" i="6"/>
  <c r="C2392" i="6"/>
  <c r="C2401" i="6"/>
  <c r="C2329" i="6"/>
  <c r="C2327" i="6"/>
  <c r="E2326" i="6"/>
  <c r="E2397" i="6"/>
  <c r="E2375" i="6"/>
  <c r="I2306" i="6"/>
  <c r="G2395" i="6"/>
  <c r="K2352" i="6"/>
  <c r="G2400" i="6"/>
  <c r="E2314" i="6"/>
  <c r="I2384" i="6"/>
  <c r="E2346" i="6"/>
  <c r="C2394" i="6"/>
  <c r="E2367" i="6"/>
  <c r="C2369" i="6"/>
  <c r="E2401" i="6"/>
  <c r="E2347" i="6"/>
  <c r="I2329" i="6"/>
  <c r="G2324" i="6"/>
  <c r="G2357" i="6"/>
  <c r="E2352" i="6"/>
  <c r="I2346" i="6"/>
  <c r="K2391" i="6"/>
  <c r="G2319" i="6"/>
  <c r="K2331" i="6"/>
  <c r="I2354" i="6"/>
  <c r="K2354" i="6"/>
  <c r="I2334" i="6"/>
  <c r="I2315" i="6"/>
  <c r="I2304" i="6"/>
  <c r="K2399" i="6"/>
  <c r="K2379" i="6"/>
  <c r="K2332" i="6"/>
  <c r="K2308" i="6"/>
  <c r="K2392" i="6"/>
  <c r="K2326" i="6"/>
  <c r="G2303" i="6"/>
  <c r="E2339" i="6"/>
  <c r="E607" i="6"/>
  <c r="E606" i="6"/>
  <c r="E679" i="6"/>
  <c r="K656" i="6"/>
  <c r="C2380" i="6"/>
  <c r="C624" i="6"/>
  <c r="G671" i="6"/>
  <c r="E4" i="9"/>
  <c r="G2" i="8"/>
  <c r="I3" i="7"/>
  <c r="C1288" i="6"/>
  <c r="E1270" i="6"/>
  <c r="E5" i="10"/>
  <c r="K500" i="6"/>
  <c r="K488" i="6"/>
  <c r="K476" i="6"/>
  <c r="K464" i="6"/>
  <c r="K452" i="6"/>
  <c r="K440" i="6"/>
  <c r="K428" i="6"/>
  <c r="K416" i="6"/>
  <c r="K404" i="6"/>
  <c r="K499" i="6"/>
  <c r="K487" i="6"/>
  <c r="K475" i="6"/>
  <c r="K463" i="6"/>
  <c r="K451" i="6"/>
  <c r="K439" i="6"/>
  <c r="K427" i="6"/>
  <c r="K415" i="6"/>
  <c r="K403" i="6"/>
  <c r="K498" i="6"/>
  <c r="K486" i="6"/>
  <c r="K474" i="6"/>
  <c r="K462" i="6"/>
  <c r="K450" i="6"/>
  <c r="K438" i="6"/>
  <c r="K426" i="6"/>
  <c r="K414" i="6"/>
  <c r="K402" i="6"/>
  <c r="K497" i="6"/>
  <c r="K485" i="6"/>
  <c r="K473" i="6"/>
  <c r="K461" i="6"/>
  <c r="K449" i="6"/>
  <c r="K437" i="6"/>
  <c r="K425" i="6"/>
  <c r="K413" i="6"/>
  <c r="K401" i="6"/>
  <c r="K5" i="9" s="1"/>
  <c r="K496" i="6"/>
  <c r="K484" i="6"/>
  <c r="K472" i="6"/>
  <c r="K460" i="6"/>
  <c r="K448" i="6"/>
  <c r="K436" i="6"/>
  <c r="K424" i="6"/>
  <c r="K412" i="6"/>
  <c r="K495" i="6"/>
  <c r="K483" i="6"/>
  <c r="K471" i="6"/>
  <c r="K459" i="6"/>
  <c r="K447" i="6"/>
  <c r="K435" i="6"/>
  <c r="K423" i="6"/>
  <c r="K411" i="6"/>
  <c r="K494" i="6"/>
  <c r="K482" i="6"/>
  <c r="K470" i="6"/>
  <c r="K458" i="6"/>
  <c r="K446" i="6"/>
  <c r="K434" i="6"/>
  <c r="K422" i="6"/>
  <c r="K410" i="6"/>
  <c r="K493" i="6"/>
  <c r="K481" i="6"/>
  <c r="K469" i="6"/>
  <c r="K457" i="6"/>
  <c r="K445" i="6"/>
  <c r="K433" i="6"/>
  <c r="K421" i="6"/>
  <c r="K409" i="6"/>
  <c r="K492" i="6"/>
  <c r="K480" i="6"/>
  <c r="K468" i="6"/>
  <c r="K456" i="6"/>
  <c r="K444" i="6"/>
  <c r="K432" i="6"/>
  <c r="K420" i="6"/>
  <c r="K408" i="6"/>
  <c r="K490" i="6"/>
  <c r="K442" i="6"/>
  <c r="K489" i="6"/>
  <c r="K441" i="6"/>
  <c r="K479" i="6"/>
  <c r="K431" i="6"/>
  <c r="K478" i="6"/>
  <c r="K430" i="6"/>
  <c r="K477" i="6"/>
  <c r="K429" i="6"/>
  <c r="K467" i="6"/>
  <c r="K419" i="6"/>
  <c r="K466" i="6"/>
  <c r="K418" i="6"/>
  <c r="K465" i="6"/>
  <c r="K417" i="6"/>
  <c r="K455" i="6"/>
  <c r="K407" i="6"/>
  <c r="K453" i="6"/>
  <c r="K405" i="6"/>
  <c r="K454" i="6"/>
  <c r="I493" i="6"/>
  <c r="I481" i="6"/>
  <c r="I469" i="6"/>
  <c r="I457" i="6"/>
  <c r="I445" i="6"/>
  <c r="I433" i="6"/>
  <c r="I421" i="6"/>
  <c r="I409" i="6"/>
  <c r="K443" i="6"/>
  <c r="I492" i="6"/>
  <c r="I480" i="6"/>
  <c r="I468" i="6"/>
  <c r="I456" i="6"/>
  <c r="I444" i="6"/>
  <c r="I432" i="6"/>
  <c r="I420" i="6"/>
  <c r="I408" i="6"/>
  <c r="K406" i="6"/>
  <c r="K6" i="7" s="1"/>
  <c r="I491" i="6"/>
  <c r="I479" i="6"/>
  <c r="I467" i="6"/>
  <c r="I455" i="6"/>
  <c r="I443" i="6"/>
  <c r="I431" i="6"/>
  <c r="I419" i="6"/>
  <c r="I407" i="6"/>
  <c r="I490" i="6"/>
  <c r="I478" i="6"/>
  <c r="I466" i="6"/>
  <c r="I454" i="6"/>
  <c r="I442" i="6"/>
  <c r="I430" i="6"/>
  <c r="I418" i="6"/>
  <c r="I406" i="6"/>
  <c r="I489" i="6"/>
  <c r="I477" i="6"/>
  <c r="I465" i="6"/>
  <c r="I453" i="6"/>
  <c r="I441" i="6"/>
  <c r="I429" i="6"/>
  <c r="I417" i="6"/>
  <c r="I405" i="6"/>
  <c r="I500" i="6"/>
  <c r="I488" i="6"/>
  <c r="I476" i="6"/>
  <c r="I464" i="6"/>
  <c r="I452" i="6"/>
  <c r="I440" i="6"/>
  <c r="I428" i="6"/>
  <c r="I416" i="6"/>
  <c r="I404" i="6"/>
  <c r="I499" i="6"/>
  <c r="I487" i="6"/>
  <c r="I475" i="6"/>
  <c r="I463" i="6"/>
  <c r="I451" i="6"/>
  <c r="I439" i="6"/>
  <c r="I427" i="6"/>
  <c r="I415" i="6"/>
  <c r="I403" i="6"/>
  <c r="I498" i="6"/>
  <c r="I486" i="6"/>
  <c r="I474" i="6"/>
  <c r="I462" i="6"/>
  <c r="I450" i="6"/>
  <c r="I438" i="6"/>
  <c r="I426" i="6"/>
  <c r="I414" i="6"/>
  <c r="I402" i="6"/>
  <c r="I497" i="6"/>
  <c r="I485" i="6"/>
  <c r="I473" i="6"/>
  <c r="I461" i="6"/>
  <c r="I449" i="6"/>
  <c r="I437" i="6"/>
  <c r="I425" i="6"/>
  <c r="I413" i="6"/>
  <c r="I401" i="6"/>
  <c r="I495" i="6"/>
  <c r="I483" i="6"/>
  <c r="I471" i="6"/>
  <c r="I459" i="6"/>
  <c r="I447" i="6"/>
  <c r="I435" i="6"/>
  <c r="I423" i="6"/>
  <c r="I411" i="6"/>
  <c r="K491" i="6"/>
  <c r="I470" i="6"/>
  <c r="G496" i="6"/>
  <c r="G484" i="6"/>
  <c r="G472" i="6"/>
  <c r="G460" i="6"/>
  <c r="G448" i="6"/>
  <c r="G436" i="6"/>
  <c r="G424" i="6"/>
  <c r="G412" i="6"/>
  <c r="I460" i="6"/>
  <c r="G495" i="6"/>
  <c r="G483" i="6"/>
  <c r="G471" i="6"/>
  <c r="G459" i="6"/>
  <c r="G447" i="6"/>
  <c r="G435" i="6"/>
  <c r="G423" i="6"/>
  <c r="G411" i="6"/>
  <c r="I458" i="6"/>
  <c r="I448" i="6"/>
  <c r="G493" i="6"/>
  <c r="G481" i="6"/>
  <c r="G469" i="6"/>
  <c r="G457" i="6"/>
  <c r="G445" i="6"/>
  <c r="G433" i="6"/>
  <c r="G421" i="6"/>
  <c r="G409" i="6"/>
  <c r="I446" i="6"/>
  <c r="G492" i="6"/>
  <c r="G480" i="6"/>
  <c r="G468" i="6"/>
  <c r="G456" i="6"/>
  <c r="G444" i="6"/>
  <c r="G432" i="6"/>
  <c r="G420" i="6"/>
  <c r="G408" i="6"/>
  <c r="I436" i="6"/>
  <c r="G491" i="6"/>
  <c r="G479" i="6"/>
  <c r="G467" i="6"/>
  <c r="G455" i="6"/>
  <c r="G443" i="6"/>
  <c r="G431" i="6"/>
  <c r="G419" i="6"/>
  <c r="G407" i="6"/>
  <c r="I434" i="6"/>
  <c r="G490" i="6"/>
  <c r="G478" i="6"/>
  <c r="G466" i="6"/>
  <c r="G454" i="6"/>
  <c r="G442" i="6"/>
  <c r="G430" i="6"/>
  <c r="G418" i="6"/>
  <c r="G406" i="6"/>
  <c r="I496" i="6"/>
  <c r="I424" i="6"/>
  <c r="I494" i="6"/>
  <c r="I422" i="6"/>
  <c r="G500" i="6"/>
  <c r="G488" i="6"/>
  <c r="G476" i="6"/>
  <c r="G464" i="6"/>
  <c r="G452" i="6"/>
  <c r="G440" i="6"/>
  <c r="G428" i="6"/>
  <c r="I484" i="6"/>
  <c r="I412" i="6"/>
  <c r="G499" i="6"/>
  <c r="G487" i="6"/>
  <c r="G475" i="6"/>
  <c r="G463" i="6"/>
  <c r="G451" i="6"/>
  <c r="G439" i="6"/>
  <c r="G427" i="6"/>
  <c r="G415" i="6"/>
  <c r="G403" i="6"/>
  <c r="G473" i="6"/>
  <c r="G437" i="6"/>
  <c r="G404" i="6"/>
  <c r="G470" i="6"/>
  <c r="G434" i="6"/>
  <c r="G402" i="6"/>
  <c r="G465" i="6"/>
  <c r="G429" i="6"/>
  <c r="G401" i="6"/>
  <c r="G5" i="7" s="1"/>
  <c r="G498" i="6"/>
  <c r="G462" i="6"/>
  <c r="G426" i="6"/>
  <c r="I482" i="6"/>
  <c r="G497" i="6"/>
  <c r="G461" i="6"/>
  <c r="G425" i="6"/>
  <c r="I472" i="6"/>
  <c r="G494" i="6"/>
  <c r="G458" i="6"/>
  <c r="G422" i="6"/>
  <c r="I410" i="6"/>
  <c r="G489" i="6"/>
  <c r="G453" i="6"/>
  <c r="G417" i="6"/>
  <c r="G486" i="6"/>
  <c r="G450" i="6"/>
  <c r="G416" i="6"/>
  <c r="G485" i="6"/>
  <c r="G449" i="6"/>
  <c r="G414" i="6"/>
  <c r="G477" i="6"/>
  <c r="G441" i="6"/>
  <c r="G410" i="6"/>
  <c r="G446" i="6"/>
  <c r="E501" i="6"/>
  <c r="E489" i="6"/>
  <c r="E477" i="6"/>
  <c r="E465" i="6"/>
  <c r="E453" i="6"/>
  <c r="E441" i="6"/>
  <c r="E429" i="6"/>
  <c r="E417" i="6"/>
  <c r="E405" i="6"/>
  <c r="C410" i="6"/>
  <c r="C422" i="6"/>
  <c r="C434" i="6"/>
  <c r="C446" i="6"/>
  <c r="C458" i="6"/>
  <c r="C470" i="6"/>
  <c r="C482" i="6"/>
  <c r="C494" i="6"/>
  <c r="G438" i="6"/>
  <c r="E500" i="6"/>
  <c r="E488" i="6"/>
  <c r="E476" i="6"/>
  <c r="E464" i="6"/>
  <c r="E452" i="6"/>
  <c r="E440" i="6"/>
  <c r="E428" i="6"/>
  <c r="E416" i="6"/>
  <c r="E404" i="6"/>
  <c r="C411" i="6"/>
  <c r="C423" i="6"/>
  <c r="C435" i="6"/>
  <c r="C447" i="6"/>
  <c r="C459" i="6"/>
  <c r="C471" i="6"/>
  <c r="C483" i="6"/>
  <c r="C495" i="6"/>
  <c r="G413" i="6"/>
  <c r="G6" i="9" s="1"/>
  <c r="E499" i="6"/>
  <c r="E487" i="6"/>
  <c r="E475" i="6"/>
  <c r="E463" i="6"/>
  <c r="E451" i="6"/>
  <c r="E439" i="6"/>
  <c r="E427" i="6"/>
  <c r="E415" i="6"/>
  <c r="E403" i="6"/>
  <c r="C412" i="6"/>
  <c r="C424" i="6"/>
  <c r="C436" i="6"/>
  <c r="C448" i="6"/>
  <c r="C460" i="6"/>
  <c r="C472" i="6"/>
  <c r="C484" i="6"/>
  <c r="C496" i="6"/>
  <c r="G405" i="6"/>
  <c r="E498" i="6"/>
  <c r="E486" i="6"/>
  <c r="E474" i="6"/>
  <c r="E462" i="6"/>
  <c r="E450" i="6"/>
  <c r="E438" i="6"/>
  <c r="E426" i="6"/>
  <c r="E414" i="6"/>
  <c r="E402" i="6"/>
  <c r="C413" i="6"/>
  <c r="C425" i="6"/>
  <c r="C437" i="6"/>
  <c r="C449" i="6"/>
  <c r="C461" i="6"/>
  <c r="C473" i="6"/>
  <c r="C485" i="6"/>
  <c r="C497" i="6"/>
  <c r="E497" i="6"/>
  <c r="E485" i="6"/>
  <c r="E473" i="6"/>
  <c r="E461" i="6"/>
  <c r="E449" i="6"/>
  <c r="E437" i="6"/>
  <c r="E425" i="6"/>
  <c r="E413" i="6"/>
  <c r="C414" i="6"/>
  <c r="C426" i="6"/>
  <c r="C438" i="6"/>
  <c r="C450" i="6"/>
  <c r="C462" i="6"/>
  <c r="C474" i="6"/>
  <c r="C486" i="6"/>
  <c r="C498" i="6"/>
  <c r="E496" i="6"/>
  <c r="E484" i="6"/>
  <c r="E472" i="6"/>
  <c r="E460" i="6"/>
  <c r="E448" i="6"/>
  <c r="E436" i="6"/>
  <c r="E424" i="6"/>
  <c r="E412" i="6"/>
  <c r="C403" i="6"/>
  <c r="C415" i="6"/>
  <c r="C427" i="6"/>
  <c r="C439" i="6"/>
  <c r="C451" i="6"/>
  <c r="C463" i="6"/>
  <c r="C475" i="6"/>
  <c r="C487" i="6"/>
  <c r="C499" i="6"/>
  <c r="E495" i="6"/>
  <c r="E483" i="6"/>
  <c r="E471" i="6"/>
  <c r="E459" i="6"/>
  <c r="E447" i="6"/>
  <c r="E435" i="6"/>
  <c r="E423" i="6"/>
  <c r="E411" i="6"/>
  <c r="C404" i="6"/>
  <c r="C416" i="6"/>
  <c r="C428" i="6"/>
  <c r="C440" i="6"/>
  <c r="C452" i="6"/>
  <c r="C464" i="6"/>
  <c r="C476" i="6"/>
  <c r="C488" i="6"/>
  <c r="C500" i="6"/>
  <c r="E494" i="6"/>
  <c r="E482" i="6"/>
  <c r="E470" i="6"/>
  <c r="E458" i="6"/>
  <c r="E446" i="6"/>
  <c r="E434" i="6"/>
  <c r="E422" i="6"/>
  <c r="E410" i="6"/>
  <c r="C405" i="6"/>
  <c r="C417" i="6"/>
  <c r="C429" i="6"/>
  <c r="C441" i="6"/>
  <c r="C453" i="6"/>
  <c r="C465" i="6"/>
  <c r="C477" i="6"/>
  <c r="C489" i="6"/>
  <c r="C501" i="6"/>
  <c r="E493" i="6"/>
  <c r="E481" i="6"/>
  <c r="E469" i="6"/>
  <c r="E457" i="6"/>
  <c r="E445" i="6"/>
  <c r="E433" i="6"/>
  <c r="E421" i="6"/>
  <c r="E409" i="6"/>
  <c r="C406" i="6"/>
  <c r="C418" i="6"/>
  <c r="C430" i="6"/>
  <c r="C442" i="6"/>
  <c r="C454" i="6"/>
  <c r="C466" i="6"/>
  <c r="C478" i="6"/>
  <c r="C490" i="6"/>
  <c r="C402" i="6"/>
  <c r="E492" i="6"/>
  <c r="E480" i="6"/>
  <c r="E468" i="6"/>
  <c r="E456" i="6"/>
  <c r="E444" i="6"/>
  <c r="E432" i="6"/>
  <c r="E420" i="6"/>
  <c r="E408" i="6"/>
  <c r="C407" i="6"/>
  <c r="C419" i="6"/>
  <c r="C431" i="6"/>
  <c r="C443" i="6"/>
  <c r="C455" i="6"/>
  <c r="C467" i="6"/>
  <c r="C479" i="6"/>
  <c r="C491" i="6"/>
  <c r="G482" i="6"/>
  <c r="E467" i="6"/>
  <c r="C456" i="6"/>
  <c r="G474" i="6"/>
  <c r="E466" i="6"/>
  <c r="C457" i="6"/>
  <c r="E455" i="6"/>
  <c r="C468" i="6"/>
  <c r="E454" i="6"/>
  <c r="C469" i="6"/>
  <c r="E443" i="6"/>
  <c r="C408" i="6"/>
  <c r="C480" i="6"/>
  <c r="E442" i="6"/>
  <c r="C409" i="6"/>
  <c r="C481" i="6"/>
  <c r="E431" i="6"/>
  <c r="C420" i="6"/>
  <c r="C492" i="6"/>
  <c r="E430" i="6"/>
  <c r="C421" i="6"/>
  <c r="C493" i="6"/>
  <c r="E491" i="6"/>
  <c r="E419" i="6"/>
  <c r="C432" i="6"/>
  <c r="E490" i="6"/>
  <c r="E418" i="6"/>
  <c r="C433" i="6"/>
  <c r="E479" i="6"/>
  <c r="E407" i="6"/>
  <c r="C444" i="6"/>
  <c r="E478" i="6"/>
  <c r="E406" i="6"/>
  <c r="C445" i="6"/>
  <c r="I2" i="7"/>
  <c r="I4" i="10"/>
  <c r="K4" i="10"/>
  <c r="K3" i="7"/>
  <c r="E672" i="6"/>
  <c r="C628" i="6"/>
  <c r="C610" i="6"/>
  <c r="C666" i="6"/>
  <c r="G658" i="6"/>
  <c r="K673" i="6"/>
  <c r="E689" i="6"/>
  <c r="G688" i="6"/>
  <c r="E692" i="6"/>
  <c r="G616" i="6"/>
  <c r="C647" i="6"/>
  <c r="G670" i="6"/>
  <c r="E682" i="6"/>
  <c r="K602" i="6"/>
  <c r="E623" i="6"/>
  <c r="G695" i="6"/>
  <c r="E662" i="6"/>
  <c r="I627" i="6"/>
  <c r="I8" i="7" s="1"/>
  <c r="E687" i="6"/>
  <c r="I682" i="6"/>
  <c r="I631" i="6"/>
  <c r="G668" i="6"/>
  <c r="I636" i="6"/>
  <c r="G684" i="6"/>
  <c r="I638" i="6"/>
  <c r="K682" i="6"/>
  <c r="K653" i="6"/>
  <c r="K654" i="6"/>
  <c r="K686" i="6"/>
  <c r="K695" i="6"/>
  <c r="K670" i="6"/>
  <c r="K623" i="6"/>
  <c r="K675" i="6"/>
  <c r="G2386" i="6"/>
  <c r="G2335" i="6"/>
  <c r="C2320" i="6"/>
  <c r="E2313" i="6"/>
  <c r="E2325" i="6"/>
  <c r="E2350" i="6"/>
  <c r="G2315" i="6"/>
  <c r="G2317" i="6"/>
  <c r="C2390" i="6"/>
  <c r="I2311" i="6"/>
  <c r="C2389" i="6"/>
  <c r="I2317" i="6"/>
  <c r="E2330" i="6"/>
  <c r="K2322" i="6"/>
  <c r="E2363" i="6"/>
  <c r="C2382" i="6"/>
  <c r="E2382" i="6"/>
  <c r="C2357" i="6"/>
  <c r="G2306" i="6"/>
  <c r="E2359" i="6"/>
  <c r="I2365" i="6"/>
  <c r="G2338" i="6"/>
  <c r="G2372" i="6"/>
  <c r="E2364" i="6"/>
  <c r="I2381" i="6"/>
  <c r="I2319" i="6"/>
  <c r="G2331" i="6"/>
  <c r="K2382" i="6"/>
  <c r="I2372" i="6"/>
  <c r="K2393" i="6"/>
  <c r="I2349" i="6"/>
  <c r="I2327" i="6"/>
  <c r="I2316" i="6"/>
  <c r="I2308" i="6"/>
  <c r="K2304" i="6"/>
  <c r="K2347" i="6"/>
  <c r="K2323" i="6"/>
  <c r="K2301" i="6"/>
  <c r="K2338" i="6"/>
  <c r="C619" i="6"/>
  <c r="C620" i="6"/>
  <c r="G650" i="6"/>
  <c r="I663" i="6"/>
  <c r="I2325" i="6"/>
  <c r="G6" i="8"/>
  <c r="C662" i="6"/>
  <c r="E700" i="6"/>
  <c r="I625" i="6"/>
  <c r="C618" i="6"/>
  <c r="C2383" i="6"/>
  <c r="C3" i="9"/>
  <c r="C17" i="9"/>
  <c r="G4" i="10"/>
  <c r="I2192" i="6"/>
  <c r="I2190" i="6"/>
  <c r="G2122" i="6"/>
  <c r="G23" i="10" s="1"/>
  <c r="G2104" i="6"/>
  <c r="E2137" i="6"/>
  <c r="E2140" i="6"/>
  <c r="C2111" i="6"/>
  <c r="E2126" i="6"/>
  <c r="C2119" i="6"/>
  <c r="C2120" i="6"/>
  <c r="C2123" i="6"/>
  <c r="C2127" i="6"/>
  <c r="C2183" i="6"/>
  <c r="C2184" i="6"/>
  <c r="C2191" i="6"/>
  <c r="C23" i="10" s="1"/>
  <c r="C29" i="7"/>
  <c r="G17" i="9"/>
  <c r="K759" i="6"/>
  <c r="K771" i="6"/>
  <c r="E636" i="6"/>
  <c r="C685" i="6"/>
  <c r="G653" i="6"/>
  <c r="C630" i="6"/>
  <c r="C652" i="6"/>
  <c r="G682" i="6"/>
  <c r="C691" i="6"/>
  <c r="G611" i="6"/>
  <c r="I650" i="6"/>
  <c r="G617" i="6"/>
  <c r="G664" i="6"/>
  <c r="C634" i="6"/>
  <c r="G690" i="6"/>
  <c r="E694" i="6"/>
  <c r="K666" i="6"/>
  <c r="E635" i="6"/>
  <c r="I624" i="6"/>
  <c r="E674" i="6"/>
  <c r="I658" i="6"/>
  <c r="E699" i="6"/>
  <c r="K634" i="6"/>
  <c r="I648" i="6"/>
  <c r="G680" i="6"/>
  <c r="I654" i="6"/>
  <c r="G696" i="6"/>
  <c r="I655" i="6"/>
  <c r="I604" i="6"/>
  <c r="K674" i="6"/>
  <c r="K678" i="6"/>
  <c r="K607" i="6"/>
  <c r="K611" i="6"/>
  <c r="K8" i="10" s="1"/>
  <c r="K683" i="6"/>
  <c r="K636" i="6"/>
  <c r="K687" i="6"/>
  <c r="E697" i="6"/>
  <c r="G2363" i="6"/>
  <c r="C2311" i="6"/>
  <c r="I2348" i="6"/>
  <c r="C2388" i="6"/>
  <c r="E2366" i="6"/>
  <c r="C2356" i="6"/>
  <c r="E2373" i="6"/>
  <c r="E2374" i="6"/>
  <c r="G2381" i="6"/>
  <c r="G2353" i="6"/>
  <c r="C2372" i="6"/>
  <c r="I2383" i="6"/>
  <c r="C2371" i="6"/>
  <c r="I2389" i="6"/>
  <c r="E2345" i="6"/>
  <c r="C2397" i="6"/>
  <c r="E2379" i="6"/>
  <c r="C2370" i="6"/>
  <c r="E2399" i="6"/>
  <c r="C2345" i="6"/>
  <c r="G2330" i="6"/>
  <c r="E2371" i="6"/>
  <c r="K2360" i="6"/>
  <c r="G2352" i="6"/>
  <c r="G2387" i="6"/>
  <c r="E2376" i="6"/>
  <c r="K2316" i="6"/>
  <c r="I2343" i="6"/>
  <c r="G2343" i="6"/>
  <c r="G2308" i="6"/>
  <c r="I2391" i="6"/>
  <c r="I2314" i="6"/>
  <c r="I2366" i="6"/>
  <c r="I2339" i="6"/>
  <c r="I2328" i="6"/>
  <c r="I2320" i="6"/>
  <c r="K2324" i="6"/>
  <c r="K2365" i="6"/>
  <c r="K2340" i="6"/>
  <c r="K2313" i="6"/>
  <c r="K2350" i="6"/>
  <c r="C644" i="6"/>
  <c r="C650" i="6"/>
  <c r="E643" i="6"/>
  <c r="E8" i="7" s="1"/>
  <c r="I2324" i="6"/>
  <c r="I644" i="6"/>
  <c r="I696" i="6"/>
  <c r="G687" i="6"/>
  <c r="C2376" i="6"/>
  <c r="E17" i="8"/>
  <c r="I3" i="9"/>
  <c r="K17" i="7"/>
  <c r="I29" i="9"/>
  <c r="I2980" i="6"/>
  <c r="K2989" i="6"/>
  <c r="K2969" i="6"/>
  <c r="K31" i="8" s="1"/>
  <c r="K2942" i="6"/>
  <c r="I2927" i="6"/>
  <c r="I2921" i="6"/>
  <c r="I2919" i="6"/>
  <c r="I2915" i="6"/>
  <c r="I2911" i="6"/>
  <c r="I2975" i="6"/>
  <c r="G2999" i="6"/>
  <c r="G2921" i="6"/>
  <c r="G2990" i="6"/>
  <c r="G2915" i="6"/>
  <c r="G2986" i="6"/>
  <c r="G2901" i="6"/>
  <c r="G2985" i="6"/>
  <c r="G2972" i="6"/>
  <c r="G2969" i="6"/>
  <c r="I2999" i="6"/>
  <c r="G2987" i="6"/>
  <c r="G2964" i="6"/>
  <c r="G2942" i="6"/>
  <c r="I2968" i="6"/>
  <c r="G2933" i="6"/>
  <c r="G2927" i="6"/>
  <c r="G2924" i="6"/>
  <c r="G31" i="10" s="1"/>
  <c r="G2905" i="6"/>
  <c r="E2958" i="6"/>
  <c r="E2906" i="6"/>
  <c r="E2956" i="6"/>
  <c r="E2950" i="6"/>
  <c r="E2944" i="6"/>
  <c r="E2992" i="6"/>
  <c r="E2938" i="6"/>
  <c r="E2983" i="6"/>
  <c r="E2935" i="6"/>
  <c r="E2982" i="6"/>
  <c r="E2928" i="6"/>
  <c r="E31" i="10" s="1"/>
  <c r="E2980" i="6"/>
  <c r="E2927" i="6"/>
  <c r="E2976" i="6"/>
  <c r="E2922" i="6"/>
  <c r="E2966" i="6"/>
  <c r="E2920" i="6"/>
  <c r="E2970" i="6"/>
  <c r="C2904" i="6"/>
  <c r="C31" i="7" s="1"/>
  <c r="C2933" i="6"/>
  <c r="C2960" i="6"/>
  <c r="C2995" i="6"/>
  <c r="E2964" i="6"/>
  <c r="C2907" i="6"/>
  <c r="C2936" i="6"/>
  <c r="C2968" i="6"/>
  <c r="C2996" i="6"/>
  <c r="E2921" i="6"/>
  <c r="C2908" i="6"/>
  <c r="C2938" i="6"/>
  <c r="C2970" i="6"/>
  <c r="C3000" i="6"/>
  <c r="E2907" i="6"/>
  <c r="C2909" i="6"/>
  <c r="C2939" i="6"/>
  <c r="C2972" i="6"/>
  <c r="C2902" i="6"/>
  <c r="C31" i="9" s="1"/>
  <c r="C2910" i="6"/>
  <c r="C2943" i="6"/>
  <c r="C2975" i="6"/>
  <c r="C2914" i="6"/>
  <c r="C2944" i="6"/>
  <c r="C2976" i="6"/>
  <c r="C2915" i="6"/>
  <c r="C2951" i="6"/>
  <c r="C2979" i="6"/>
  <c r="C2922" i="6"/>
  <c r="C31" i="10" s="1"/>
  <c r="C2954" i="6"/>
  <c r="C2980" i="6"/>
  <c r="C2923" i="6"/>
  <c r="C2955" i="6"/>
  <c r="C2983" i="6"/>
  <c r="C2926" i="6"/>
  <c r="C2956" i="6"/>
  <c r="C2984" i="6"/>
  <c r="C2991" i="6"/>
  <c r="C2993" i="6"/>
  <c r="C2927" i="6"/>
  <c r="C2932" i="6"/>
  <c r="C2957" i="6"/>
  <c r="C2958" i="6"/>
  <c r="G958" i="6"/>
  <c r="I998" i="6"/>
  <c r="I986" i="6"/>
  <c r="I960" i="6"/>
  <c r="G911" i="6"/>
  <c r="E989" i="6"/>
  <c r="E979" i="6"/>
  <c r="E953" i="6"/>
  <c r="E952" i="6"/>
  <c r="E943" i="6"/>
  <c r="E11" i="9" s="1"/>
  <c r="C909" i="6"/>
  <c r="C913" i="6"/>
  <c r="C918" i="6"/>
  <c r="E941" i="6"/>
  <c r="C919" i="6"/>
  <c r="C958" i="6"/>
  <c r="C961" i="6"/>
  <c r="C962" i="6"/>
  <c r="C966" i="6"/>
  <c r="C983" i="6"/>
  <c r="C984" i="6"/>
  <c r="C908" i="6"/>
  <c r="C11" i="7" s="1"/>
  <c r="C999" i="6"/>
  <c r="E5" i="9"/>
  <c r="C2" i="8"/>
  <c r="K783" i="6"/>
  <c r="E666" i="6"/>
  <c r="G605" i="6"/>
  <c r="C649" i="6"/>
  <c r="C639" i="6"/>
  <c r="I601" i="6"/>
  <c r="C678" i="6"/>
  <c r="G638" i="6"/>
  <c r="I692" i="6"/>
  <c r="G641" i="6"/>
  <c r="I611" i="6"/>
  <c r="C621" i="6"/>
  <c r="I615" i="6"/>
  <c r="G614" i="6"/>
  <c r="C701" i="6"/>
  <c r="E647" i="6"/>
  <c r="I647" i="6"/>
  <c r="E686" i="6"/>
  <c r="I680" i="6"/>
  <c r="G604" i="6"/>
  <c r="K692" i="6"/>
  <c r="I666" i="6"/>
  <c r="G692" i="6"/>
  <c r="I672" i="6"/>
  <c r="I603" i="6"/>
  <c r="I671" i="6"/>
  <c r="I616" i="6"/>
  <c r="I605" i="6"/>
  <c r="I621" i="6"/>
  <c r="K624" i="6"/>
  <c r="K628" i="6"/>
  <c r="K696" i="6"/>
  <c r="K649" i="6"/>
  <c r="K699" i="6"/>
  <c r="E661" i="6"/>
  <c r="G2354" i="6"/>
  <c r="E2344" i="6"/>
  <c r="C2331" i="6"/>
  <c r="C2400" i="6"/>
  <c r="C2352" i="6"/>
  <c r="I2393" i="6"/>
  <c r="E2318" i="6"/>
  <c r="G2347" i="6"/>
  <c r="E2398" i="6"/>
  <c r="C2395" i="6"/>
  <c r="G2385" i="6"/>
  <c r="C2354" i="6"/>
  <c r="K2377" i="6"/>
  <c r="C2353" i="6"/>
  <c r="K2384" i="6"/>
  <c r="E2362" i="6"/>
  <c r="C2385" i="6"/>
  <c r="E2394" i="6"/>
  <c r="C2358" i="6"/>
  <c r="G2305" i="6"/>
  <c r="C2333" i="6"/>
  <c r="G2350" i="6"/>
  <c r="E2383" i="6"/>
  <c r="E2312" i="6"/>
  <c r="G2369" i="6"/>
  <c r="I2307" i="6"/>
  <c r="E2388" i="6"/>
  <c r="K2400" i="6"/>
  <c r="I2369" i="6"/>
  <c r="G2355" i="6"/>
  <c r="G2320" i="6"/>
  <c r="K2336" i="6"/>
  <c r="I2331" i="6"/>
  <c r="I2382" i="6"/>
  <c r="I2351" i="6"/>
  <c r="I2340" i="6"/>
  <c r="I2332" i="6"/>
  <c r="K2344" i="6"/>
  <c r="K2380" i="6"/>
  <c r="K2355" i="6"/>
  <c r="K2325" i="6"/>
  <c r="K2362" i="6"/>
  <c r="G676" i="6"/>
  <c r="C672" i="6"/>
  <c r="C675" i="6"/>
  <c r="E690" i="6"/>
  <c r="I2323" i="6"/>
  <c r="C616" i="6"/>
  <c r="E609" i="6"/>
  <c r="I626" i="6"/>
  <c r="C2368" i="6"/>
  <c r="C2" i="7"/>
  <c r="E5" i="8"/>
  <c r="C5" i="9"/>
  <c r="K29" i="7"/>
  <c r="K1733" i="6"/>
  <c r="I1772" i="6"/>
  <c r="I19" i="8" s="1"/>
  <c r="I1756" i="6"/>
  <c r="I1743" i="6"/>
  <c r="K1742" i="6"/>
  <c r="I1735" i="6"/>
  <c r="I1730" i="6"/>
  <c r="I1720" i="6"/>
  <c r="I1712" i="6"/>
  <c r="I1711" i="6"/>
  <c r="I1797" i="6"/>
  <c r="I1702" i="6"/>
  <c r="I19" i="7" s="1"/>
  <c r="I1783" i="6"/>
  <c r="I1789" i="6"/>
  <c r="I1782" i="6"/>
  <c r="G1738" i="6"/>
  <c r="G1730" i="6"/>
  <c r="G1794" i="6"/>
  <c r="G1729" i="6"/>
  <c r="G1789" i="6"/>
  <c r="G1728" i="6"/>
  <c r="G1787" i="6"/>
  <c r="G1710" i="6"/>
  <c r="G1778" i="6"/>
  <c r="G1708" i="6"/>
  <c r="G1777" i="6"/>
  <c r="G19" i="8" s="1"/>
  <c r="G1767" i="6"/>
  <c r="G1763" i="6"/>
  <c r="G1752" i="6"/>
  <c r="E1765" i="6"/>
  <c r="E1713" i="6"/>
  <c r="E1800" i="6"/>
  <c r="E1753" i="6"/>
  <c r="E1712" i="6"/>
  <c r="G1747" i="6"/>
  <c r="E1797" i="6"/>
  <c r="E1749" i="6"/>
  <c r="E1705" i="6"/>
  <c r="E19" i="10" s="1"/>
  <c r="G1742" i="6"/>
  <c r="E1796" i="6"/>
  <c r="E1747" i="6"/>
  <c r="E1704" i="6"/>
  <c r="E1793" i="6"/>
  <c r="E1745" i="6"/>
  <c r="E1789" i="6"/>
  <c r="E1741" i="6"/>
  <c r="E1780" i="6"/>
  <c r="E1736" i="6"/>
  <c r="E1777" i="6"/>
  <c r="E1735" i="6"/>
  <c r="E1772" i="6"/>
  <c r="E1732" i="6"/>
  <c r="E1769" i="6"/>
  <c r="E1720" i="6"/>
  <c r="E1771" i="6"/>
  <c r="C1719" i="6"/>
  <c r="C1748" i="6"/>
  <c r="C1773" i="6"/>
  <c r="C1795" i="6"/>
  <c r="E1768" i="6"/>
  <c r="C1723" i="6"/>
  <c r="C1749" i="6"/>
  <c r="C1774" i="6"/>
  <c r="C1799" i="6"/>
  <c r="E1730" i="6"/>
  <c r="C1726" i="6"/>
  <c r="C1750" i="6"/>
  <c r="C1775" i="6"/>
  <c r="C1702" i="6"/>
  <c r="C19" i="8" s="1"/>
  <c r="E1717" i="6"/>
  <c r="C1730" i="6"/>
  <c r="C1751" i="6"/>
  <c r="C1776" i="6"/>
  <c r="C1704" i="6"/>
  <c r="C19" i="9" s="1"/>
  <c r="C1731" i="6"/>
  <c r="C1755" i="6"/>
  <c r="C1780" i="6"/>
  <c r="C1706" i="6"/>
  <c r="C1732" i="6"/>
  <c r="C1756" i="6"/>
  <c r="C1784" i="6"/>
  <c r="C1708" i="6"/>
  <c r="C1734" i="6"/>
  <c r="C1759" i="6"/>
  <c r="C1787" i="6"/>
  <c r="C1712" i="6"/>
  <c r="C1735" i="6"/>
  <c r="C1762" i="6"/>
  <c r="C1788" i="6"/>
  <c r="C1713" i="6"/>
  <c r="C1736" i="6"/>
  <c r="C1763" i="6"/>
  <c r="C1790" i="6"/>
  <c r="C1715" i="6"/>
  <c r="C1737" i="6"/>
  <c r="C1766" i="6"/>
  <c r="C1791" i="6"/>
  <c r="C1716" i="6"/>
  <c r="C1718" i="6"/>
  <c r="C1744" i="6"/>
  <c r="C1746" i="6"/>
  <c r="C1770" i="6"/>
  <c r="C1771" i="6"/>
  <c r="C1792" i="6"/>
  <c r="C1794" i="6"/>
  <c r="G5" i="8"/>
  <c r="K2066" i="6"/>
  <c r="K2036" i="6"/>
  <c r="K2033" i="6"/>
  <c r="K2022" i="6"/>
  <c r="K22" i="9" s="1"/>
  <c r="K2008" i="6"/>
  <c r="K2100" i="6"/>
  <c r="K2096" i="6"/>
  <c r="I2037" i="6"/>
  <c r="I2026" i="6"/>
  <c r="I2022" i="6"/>
  <c r="I2100" i="6"/>
  <c r="I2003" i="6"/>
  <c r="I2096" i="6"/>
  <c r="K2094" i="6"/>
  <c r="I2090" i="6"/>
  <c r="K2075" i="6"/>
  <c r="I2082" i="6"/>
  <c r="K2072" i="6"/>
  <c r="I2059" i="6"/>
  <c r="I2049" i="6"/>
  <c r="I2047" i="6"/>
  <c r="G2046" i="6"/>
  <c r="G2091" i="6"/>
  <c r="G2025" i="6"/>
  <c r="I2048" i="6"/>
  <c r="I2043" i="6"/>
  <c r="G2053" i="6"/>
  <c r="G2052" i="6"/>
  <c r="G22" i="8" s="1"/>
  <c r="G2045" i="6"/>
  <c r="G2033" i="6"/>
  <c r="G2019" i="6"/>
  <c r="G2093" i="6"/>
  <c r="G2016" i="6"/>
  <c r="G2090" i="6"/>
  <c r="G2013" i="6"/>
  <c r="G2078" i="6"/>
  <c r="G2012" i="6"/>
  <c r="G2077" i="6"/>
  <c r="G2009" i="6"/>
  <c r="G2067" i="6"/>
  <c r="E2101" i="6"/>
  <c r="E2060" i="6"/>
  <c r="E2020" i="6"/>
  <c r="E2094" i="6"/>
  <c r="E2058" i="6"/>
  <c r="E2018" i="6"/>
  <c r="E2093" i="6"/>
  <c r="E2049" i="6"/>
  <c r="E2017" i="6"/>
  <c r="E2085" i="6"/>
  <c r="E2046" i="6"/>
  <c r="E2016" i="6"/>
  <c r="E22" i="9" s="1"/>
  <c r="E2084" i="6"/>
  <c r="E2045" i="6"/>
  <c r="E2010" i="6"/>
  <c r="E2080" i="6"/>
  <c r="E2044" i="6"/>
  <c r="E2009" i="6"/>
  <c r="G2064" i="6"/>
  <c r="E2079" i="6"/>
  <c r="E2043" i="6"/>
  <c r="G2057" i="6"/>
  <c r="E2076" i="6"/>
  <c r="E2042" i="6"/>
  <c r="E2073" i="6"/>
  <c r="E2037" i="6"/>
  <c r="E2066" i="6"/>
  <c r="E2028" i="6"/>
  <c r="C2012" i="6"/>
  <c r="C2034" i="6"/>
  <c r="C2052" i="6"/>
  <c r="C2075" i="6"/>
  <c r="C2097" i="6"/>
  <c r="C2014" i="6"/>
  <c r="C2035" i="6"/>
  <c r="C2055" i="6"/>
  <c r="C2079" i="6"/>
  <c r="C2098" i="6"/>
  <c r="E2068" i="6"/>
  <c r="C2015" i="6"/>
  <c r="C2036" i="6"/>
  <c r="C2059" i="6"/>
  <c r="C2080" i="6"/>
  <c r="C2099" i="6"/>
  <c r="E2065" i="6"/>
  <c r="C2016" i="6"/>
  <c r="C2037" i="6"/>
  <c r="C2060" i="6"/>
  <c r="C2082" i="6"/>
  <c r="C2100" i="6"/>
  <c r="E2030" i="6"/>
  <c r="C2019" i="6"/>
  <c r="C2038" i="6"/>
  <c r="C2062" i="6"/>
  <c r="C2083" i="6"/>
  <c r="E2021" i="6"/>
  <c r="C2020" i="6"/>
  <c r="C2043" i="6"/>
  <c r="C2063" i="6"/>
  <c r="C2084" i="6"/>
  <c r="C2022" i="6"/>
  <c r="C2044" i="6"/>
  <c r="C2064" i="6"/>
  <c r="C2085" i="6"/>
  <c r="C2023" i="6"/>
  <c r="C2047" i="6"/>
  <c r="C2067" i="6"/>
  <c r="C2086" i="6"/>
  <c r="C2003" i="6"/>
  <c r="C2026" i="6"/>
  <c r="C2048" i="6"/>
  <c r="C2068" i="6"/>
  <c r="C2091" i="6"/>
  <c r="C2004" i="6"/>
  <c r="C2027" i="6"/>
  <c r="C2049" i="6"/>
  <c r="C2070" i="6"/>
  <c r="C2092" i="6"/>
  <c r="C2007" i="6"/>
  <c r="C2011" i="6"/>
  <c r="C2031" i="6"/>
  <c r="C2032" i="6"/>
  <c r="C2050" i="6"/>
  <c r="C2051" i="6"/>
  <c r="C22" i="9" s="1"/>
  <c r="C2071" i="6"/>
  <c r="C2074" i="6"/>
  <c r="C2095" i="6"/>
  <c r="C2096" i="6"/>
  <c r="E2" i="10"/>
  <c r="K4" i="9"/>
  <c r="E3" i="8"/>
  <c r="K795" i="6"/>
  <c r="E630" i="6"/>
  <c r="C669" i="6"/>
  <c r="C626" i="6"/>
  <c r="I642" i="6"/>
  <c r="C664" i="6"/>
  <c r="G659" i="6"/>
  <c r="C700" i="6"/>
  <c r="G665" i="6"/>
  <c r="K614" i="6"/>
  <c r="C608" i="6"/>
  <c r="I660" i="6"/>
  <c r="G629" i="6"/>
  <c r="C689" i="6"/>
  <c r="E659" i="6"/>
  <c r="I675" i="6"/>
  <c r="E698" i="6"/>
  <c r="K622" i="6"/>
  <c r="G621" i="6"/>
  <c r="G607" i="6"/>
  <c r="I683" i="6"/>
  <c r="I614" i="6"/>
  <c r="I690" i="6"/>
  <c r="I620" i="6"/>
  <c r="I686" i="6"/>
  <c r="I628" i="6"/>
  <c r="I617" i="6"/>
  <c r="I633" i="6"/>
  <c r="K641" i="6"/>
  <c r="K646" i="6"/>
  <c r="K606" i="6"/>
  <c r="K662" i="6"/>
  <c r="E625" i="6"/>
  <c r="C2364" i="6"/>
  <c r="C2316" i="6"/>
  <c r="C2387" i="6"/>
  <c r="C2384" i="6"/>
  <c r="I2357" i="6"/>
  <c r="G2316" i="6"/>
  <c r="C2377" i="6"/>
  <c r="I2360" i="6"/>
  <c r="C2336" i="6"/>
  <c r="C2375" i="6"/>
  <c r="C2335" i="6"/>
  <c r="C2398" i="6"/>
  <c r="E2378" i="6"/>
  <c r="C2373" i="6"/>
  <c r="G2302" i="6"/>
  <c r="C2346" i="6"/>
  <c r="G2329" i="6"/>
  <c r="C2321" i="6"/>
  <c r="G2376" i="6"/>
  <c r="E2395" i="6"/>
  <c r="E2324" i="6"/>
  <c r="G2384" i="6"/>
  <c r="I2342" i="6"/>
  <c r="E2400" i="6"/>
  <c r="G2361" i="6"/>
  <c r="I2394" i="6"/>
  <c r="G2367" i="6"/>
  <c r="G2332" i="6"/>
  <c r="K2383" i="6"/>
  <c r="I2347" i="6"/>
  <c r="I2397" i="6"/>
  <c r="I2363" i="6"/>
  <c r="I2352" i="6"/>
  <c r="I2344" i="6"/>
  <c r="K2367" i="6"/>
  <c r="K2395" i="6"/>
  <c r="K2370" i="6"/>
  <c r="K2337" i="6"/>
  <c r="K2374" i="6"/>
  <c r="C697" i="6"/>
  <c r="G674" i="6"/>
  <c r="C698" i="6"/>
  <c r="G602" i="6"/>
  <c r="G2304" i="6"/>
  <c r="C602" i="6"/>
  <c r="C659" i="6"/>
  <c r="C682" i="6"/>
  <c r="G639" i="6"/>
  <c r="E2389" i="6"/>
  <c r="C633" i="6"/>
  <c r="K3" i="9"/>
  <c r="G3" i="7"/>
  <c r="F3" i="9"/>
  <c r="E17" i="7"/>
  <c r="K524" i="6"/>
  <c r="K600" i="6"/>
  <c r="K583" i="6"/>
  <c r="K581" i="6"/>
  <c r="K574" i="6"/>
  <c r="K551" i="6"/>
  <c r="K530" i="6"/>
  <c r="K529" i="6"/>
  <c r="I534" i="6"/>
  <c r="I587" i="6"/>
  <c r="K528" i="6"/>
  <c r="K7" i="10" s="1"/>
  <c r="K509" i="6"/>
  <c r="I543" i="6"/>
  <c r="I533" i="6"/>
  <c r="I513" i="6"/>
  <c r="I503" i="6"/>
  <c r="I501" i="6"/>
  <c r="I599" i="6"/>
  <c r="I582" i="6"/>
  <c r="I579" i="6"/>
  <c r="I569" i="6"/>
  <c r="K523" i="6"/>
  <c r="I550" i="6"/>
  <c r="G582" i="6"/>
  <c r="G534" i="6"/>
  <c r="G579" i="6"/>
  <c r="G530" i="6"/>
  <c r="G574" i="6"/>
  <c r="G522" i="6"/>
  <c r="G571" i="6"/>
  <c r="G521" i="6"/>
  <c r="I561" i="6"/>
  <c r="G563" i="6"/>
  <c r="G519" i="6"/>
  <c r="I549" i="6"/>
  <c r="I7" i="7" s="1"/>
  <c r="G558" i="6"/>
  <c r="G508" i="6"/>
  <c r="G555" i="6"/>
  <c r="G551" i="6"/>
  <c r="G535" i="6"/>
  <c r="G527" i="6"/>
  <c r="G507" i="6"/>
  <c r="G600" i="6"/>
  <c r="G593" i="6"/>
  <c r="G556" i="6"/>
  <c r="E601" i="6"/>
  <c r="E569" i="6"/>
  <c r="E537" i="6"/>
  <c r="C521" i="6"/>
  <c r="C540" i="6"/>
  <c r="C558" i="6"/>
  <c r="C578" i="6"/>
  <c r="C598" i="6"/>
  <c r="E598" i="6"/>
  <c r="E568" i="6"/>
  <c r="E531" i="6"/>
  <c r="C523" i="6"/>
  <c r="C541" i="6"/>
  <c r="C559" i="6"/>
  <c r="C581" i="6"/>
  <c r="C599" i="6"/>
  <c r="E596" i="6"/>
  <c r="E564" i="6"/>
  <c r="E530" i="6"/>
  <c r="C505" i="6"/>
  <c r="C525" i="6"/>
  <c r="C542" i="6"/>
  <c r="C563" i="6"/>
  <c r="C582" i="6"/>
  <c r="C600" i="6"/>
  <c r="E593" i="6"/>
  <c r="E562" i="6"/>
  <c r="E524" i="6"/>
  <c r="C506" i="6"/>
  <c r="C526" i="6"/>
  <c r="C543" i="6"/>
  <c r="C564" i="6"/>
  <c r="C583" i="6"/>
  <c r="C601" i="6"/>
  <c r="E591" i="6"/>
  <c r="E555" i="6"/>
  <c r="E520" i="6"/>
  <c r="C509" i="6"/>
  <c r="C7" i="9" s="1"/>
  <c r="C527" i="6"/>
  <c r="C545" i="6"/>
  <c r="C566" i="6"/>
  <c r="C585" i="6"/>
  <c r="C502" i="6"/>
  <c r="C7" i="7" s="1"/>
  <c r="E590" i="6"/>
  <c r="E554" i="6"/>
  <c r="E519" i="6"/>
  <c r="C510" i="6"/>
  <c r="C528" i="6"/>
  <c r="C549" i="6"/>
  <c r="C567" i="6"/>
  <c r="C586" i="6"/>
  <c r="E589" i="6"/>
  <c r="E552" i="6"/>
  <c r="E518" i="6"/>
  <c r="C511" i="6"/>
  <c r="C529" i="6"/>
  <c r="C550" i="6"/>
  <c r="C569" i="6"/>
  <c r="C587" i="6"/>
  <c r="E581" i="6"/>
  <c r="E550" i="6"/>
  <c r="E516" i="6"/>
  <c r="E7" i="10" s="1"/>
  <c r="C513" i="6"/>
  <c r="C530" i="6"/>
  <c r="C552" i="6"/>
  <c r="C570" i="6"/>
  <c r="C588" i="6"/>
  <c r="G575" i="6"/>
  <c r="E578" i="6"/>
  <c r="E543" i="6"/>
  <c r="E514" i="6"/>
  <c r="C514" i="6"/>
  <c r="C534" i="6"/>
  <c r="C553" i="6"/>
  <c r="C571" i="6"/>
  <c r="C591" i="6"/>
  <c r="G543" i="6"/>
  <c r="E574" i="6"/>
  <c r="E542" i="6"/>
  <c r="E512" i="6"/>
  <c r="C515" i="6"/>
  <c r="C535" i="6"/>
  <c r="C554" i="6"/>
  <c r="C573" i="6"/>
  <c r="C593" i="6"/>
  <c r="C574" i="6"/>
  <c r="C577" i="6"/>
  <c r="E573" i="6"/>
  <c r="C595" i="6"/>
  <c r="E572" i="6"/>
  <c r="C597" i="6"/>
  <c r="E540" i="6"/>
  <c r="E538" i="6"/>
  <c r="E506" i="6"/>
  <c r="C516" i="6"/>
  <c r="E504" i="6"/>
  <c r="C519" i="6"/>
  <c r="C538" i="6"/>
  <c r="C539" i="6"/>
  <c r="C555" i="6"/>
  <c r="C557" i="6"/>
  <c r="C5" i="7"/>
  <c r="K5" i="10"/>
  <c r="K852" i="6"/>
  <c r="K846" i="6"/>
  <c r="K842" i="6"/>
  <c r="K820" i="6"/>
  <c r="K809" i="6"/>
  <c r="K806" i="6"/>
  <c r="K878" i="6"/>
  <c r="K10" i="10" s="1"/>
  <c r="K875" i="6"/>
  <c r="I865" i="6"/>
  <c r="I862" i="6"/>
  <c r="I859" i="6"/>
  <c r="I856" i="6"/>
  <c r="K873" i="6"/>
  <c r="I836" i="6"/>
  <c r="K862" i="6"/>
  <c r="I823" i="6"/>
  <c r="K856" i="6"/>
  <c r="I811" i="6"/>
  <c r="I810" i="6"/>
  <c r="I10" i="7" s="1"/>
  <c r="I804" i="6"/>
  <c r="I900" i="6"/>
  <c r="I886" i="6"/>
  <c r="I882" i="6"/>
  <c r="I858" i="6"/>
  <c r="G855" i="6"/>
  <c r="G814" i="6"/>
  <c r="G854" i="6"/>
  <c r="G810" i="6"/>
  <c r="G845" i="6"/>
  <c r="G899" i="6"/>
  <c r="G843" i="6"/>
  <c r="G895" i="6"/>
  <c r="G842" i="6"/>
  <c r="I868" i="6"/>
  <c r="G894" i="6"/>
  <c r="G835" i="6"/>
  <c r="I822" i="6"/>
  <c r="G884" i="6"/>
  <c r="G834" i="6"/>
  <c r="G881" i="6"/>
  <c r="G825" i="6"/>
  <c r="G871" i="6"/>
  <c r="G820" i="6"/>
  <c r="G10" i="9" s="1"/>
  <c r="G866" i="6"/>
  <c r="G818" i="6"/>
  <c r="E891" i="6"/>
  <c r="E861" i="6"/>
  <c r="E835" i="6"/>
  <c r="E810" i="6"/>
  <c r="E885" i="6"/>
  <c r="E857" i="6"/>
  <c r="E834" i="6"/>
  <c r="E809" i="6"/>
  <c r="G859" i="6"/>
  <c r="E881" i="6"/>
  <c r="E856" i="6"/>
  <c r="G858" i="6"/>
  <c r="E880" i="6"/>
  <c r="E854" i="6"/>
  <c r="E832" i="6"/>
  <c r="E804" i="6"/>
  <c r="G817" i="6"/>
  <c r="E878" i="6"/>
  <c r="E852" i="6"/>
  <c r="E828" i="6"/>
  <c r="G815" i="6"/>
  <c r="E901" i="6"/>
  <c r="E875" i="6"/>
  <c r="E849" i="6"/>
  <c r="E822" i="6"/>
  <c r="E896" i="6"/>
  <c r="E871" i="6"/>
  <c r="E848" i="6"/>
  <c r="E863" i="6"/>
  <c r="E812" i="6"/>
  <c r="C804" i="6"/>
  <c r="C822" i="6"/>
  <c r="C843" i="6"/>
  <c r="C861" i="6"/>
  <c r="C880" i="6"/>
  <c r="C900" i="6"/>
  <c r="E851" i="6"/>
  <c r="E806" i="6"/>
  <c r="C805" i="6"/>
  <c r="C823" i="6"/>
  <c r="C844" i="6"/>
  <c r="C863" i="6"/>
  <c r="C881" i="6"/>
  <c r="C901" i="6"/>
  <c r="E843" i="6"/>
  <c r="C807" i="6"/>
  <c r="C10" i="9" s="1"/>
  <c r="C824" i="6"/>
  <c r="C846" i="6"/>
  <c r="C864" i="6"/>
  <c r="C882" i="6"/>
  <c r="E842" i="6"/>
  <c r="C808" i="6"/>
  <c r="C828" i="6"/>
  <c r="C847" i="6"/>
  <c r="C865" i="6"/>
  <c r="C885" i="6"/>
  <c r="E895" i="6"/>
  <c r="E837" i="6"/>
  <c r="E10" i="10" s="1"/>
  <c r="C809" i="6"/>
  <c r="C829" i="6"/>
  <c r="C848" i="6"/>
  <c r="C867" i="6"/>
  <c r="C887" i="6"/>
  <c r="E894" i="6"/>
  <c r="E836" i="6"/>
  <c r="C810" i="6"/>
  <c r="C832" i="6"/>
  <c r="C849" i="6"/>
  <c r="C868" i="6"/>
  <c r="C889" i="6"/>
  <c r="E893" i="6"/>
  <c r="E833" i="6"/>
  <c r="C813" i="6"/>
  <c r="C833" i="6"/>
  <c r="C851" i="6"/>
  <c r="C871" i="6"/>
  <c r="C891" i="6"/>
  <c r="E892" i="6"/>
  <c r="E823" i="6"/>
  <c r="C815" i="6"/>
  <c r="C834" i="6"/>
  <c r="C852" i="6"/>
  <c r="C872" i="6"/>
  <c r="C892" i="6"/>
  <c r="E876" i="6"/>
  <c r="E820" i="6"/>
  <c r="C817" i="6"/>
  <c r="C835" i="6"/>
  <c r="C853" i="6"/>
  <c r="C875" i="6"/>
  <c r="C893" i="6"/>
  <c r="E870" i="6"/>
  <c r="E819" i="6"/>
  <c r="C819" i="6"/>
  <c r="C836" i="6"/>
  <c r="C857" i="6"/>
  <c r="C876" i="6"/>
  <c r="C894" i="6"/>
  <c r="C820" i="6"/>
  <c r="C821" i="6"/>
  <c r="C837" i="6"/>
  <c r="C839" i="6"/>
  <c r="C858" i="6"/>
  <c r="C860" i="6"/>
  <c r="C877" i="6"/>
  <c r="C879" i="6"/>
  <c r="E868" i="6"/>
  <c r="C895" i="6"/>
  <c r="E867" i="6"/>
  <c r="C896" i="6"/>
  <c r="E818" i="6"/>
  <c r="E813" i="6"/>
  <c r="C803" i="6"/>
  <c r="E4" i="8"/>
  <c r="G4" i="8"/>
  <c r="D3" i="9"/>
  <c r="I687" i="6"/>
  <c r="C688" i="6"/>
  <c r="C613" i="6"/>
  <c r="I679" i="6"/>
  <c r="C651" i="6"/>
  <c r="G686" i="6"/>
  <c r="C674" i="6"/>
  <c r="G689" i="6"/>
  <c r="C687" i="6"/>
  <c r="E605" i="6"/>
  <c r="I695" i="6"/>
  <c r="G646" i="6"/>
  <c r="C677" i="6"/>
  <c r="E671" i="6"/>
  <c r="I698" i="6"/>
  <c r="G603" i="6"/>
  <c r="K691" i="6"/>
  <c r="G637" i="6"/>
  <c r="G619" i="6"/>
  <c r="I699" i="6"/>
  <c r="I632" i="6"/>
  <c r="K637" i="6"/>
  <c r="I637" i="6"/>
  <c r="K612" i="6"/>
  <c r="I640" i="6"/>
  <c r="I629" i="6"/>
  <c r="I645" i="6"/>
  <c r="K659" i="6"/>
  <c r="K664" i="6"/>
  <c r="K619" i="6"/>
  <c r="K676" i="6"/>
  <c r="I662" i="6"/>
  <c r="C2328" i="6"/>
  <c r="E2321" i="6"/>
  <c r="C2351" i="6"/>
  <c r="C2348" i="6"/>
  <c r="C2396" i="6"/>
  <c r="G2348" i="6"/>
  <c r="C2359" i="6"/>
  <c r="K2312" i="6"/>
  <c r="C2318" i="6"/>
  <c r="C2339" i="6"/>
  <c r="C2317" i="6"/>
  <c r="C2386" i="6"/>
  <c r="E2393" i="6"/>
  <c r="C2361" i="6"/>
  <c r="G2322" i="6"/>
  <c r="C2334" i="6"/>
  <c r="G2349" i="6"/>
  <c r="C2309" i="6"/>
  <c r="G2397" i="6"/>
  <c r="G2309" i="6"/>
  <c r="E2336" i="6"/>
  <c r="G2399" i="6"/>
  <c r="I2377" i="6"/>
  <c r="G2314" i="6"/>
  <c r="G2375" i="6"/>
  <c r="K2353" i="6"/>
  <c r="G2379" i="6"/>
  <c r="G2344" i="6"/>
  <c r="I2302" i="6"/>
  <c r="I2362" i="6"/>
  <c r="K2309" i="6"/>
  <c r="I2375" i="6"/>
  <c r="I2364" i="6"/>
  <c r="I2356" i="6"/>
  <c r="K2388" i="6"/>
  <c r="K2303" i="6"/>
  <c r="K2387" i="6"/>
  <c r="K2349" i="6"/>
  <c r="K2386" i="6"/>
  <c r="C2332" i="6"/>
  <c r="C2340" i="6"/>
  <c r="G675" i="6"/>
  <c r="C643" i="6"/>
  <c r="G693" i="6"/>
  <c r="E642" i="6"/>
  <c r="C671" i="6"/>
  <c r="C3" i="7"/>
  <c r="E29" i="9"/>
  <c r="I2" i="9"/>
  <c r="C3" i="8"/>
  <c r="E29" i="10"/>
  <c r="K1993" i="6"/>
  <c r="K1976" i="6"/>
  <c r="K1961" i="6"/>
  <c r="K1945" i="6"/>
  <c r="K1928" i="6"/>
  <c r="K1913" i="6"/>
  <c r="K1992" i="6"/>
  <c r="K1975" i="6"/>
  <c r="K1959" i="6"/>
  <c r="K1944" i="6"/>
  <c r="K1927" i="6"/>
  <c r="K1912" i="6"/>
  <c r="K1991" i="6"/>
  <c r="K1973" i="6"/>
  <c r="K1958" i="6"/>
  <c r="K1943" i="6"/>
  <c r="K1926" i="6"/>
  <c r="K1911" i="6"/>
  <c r="K1987" i="6"/>
  <c r="K1972" i="6"/>
  <c r="K1957" i="6"/>
  <c r="K1940" i="6"/>
  <c r="K1925" i="6"/>
  <c r="K1910" i="6"/>
  <c r="K1986" i="6"/>
  <c r="K1971" i="6"/>
  <c r="K1956" i="6"/>
  <c r="K1939" i="6"/>
  <c r="K1924" i="6"/>
  <c r="K1909" i="6"/>
  <c r="K2000" i="6"/>
  <c r="K1985" i="6"/>
  <c r="K1970" i="6"/>
  <c r="K1955" i="6"/>
  <c r="K1938" i="6"/>
  <c r="K1923" i="6"/>
  <c r="K1908" i="6"/>
  <c r="K1999" i="6"/>
  <c r="K1984" i="6"/>
  <c r="K1969" i="6"/>
  <c r="K1952" i="6"/>
  <c r="K1937" i="6"/>
  <c r="K1922" i="6"/>
  <c r="K1907" i="6"/>
  <c r="K1998" i="6"/>
  <c r="K1983" i="6"/>
  <c r="K1968" i="6"/>
  <c r="K1951" i="6"/>
  <c r="K1936" i="6"/>
  <c r="K1921" i="6"/>
  <c r="K21" i="9" s="1"/>
  <c r="K1904" i="6"/>
  <c r="K1997" i="6"/>
  <c r="K1982" i="6"/>
  <c r="K1967" i="6"/>
  <c r="K1950" i="6"/>
  <c r="K1935" i="6"/>
  <c r="K1920" i="6"/>
  <c r="K1903" i="6"/>
  <c r="K1980" i="6"/>
  <c r="K1915" i="6"/>
  <c r="I1992" i="6"/>
  <c r="I1980" i="6"/>
  <c r="I1968" i="6"/>
  <c r="I1956" i="6"/>
  <c r="I1944" i="6"/>
  <c r="I1932" i="6"/>
  <c r="I1920" i="6"/>
  <c r="I1908" i="6"/>
  <c r="K1979" i="6"/>
  <c r="K1914" i="6"/>
  <c r="I1991" i="6"/>
  <c r="I1979" i="6"/>
  <c r="I1967" i="6"/>
  <c r="I1955" i="6"/>
  <c r="I1943" i="6"/>
  <c r="I1931" i="6"/>
  <c r="I1919" i="6"/>
  <c r="I1907" i="6"/>
  <c r="K1964" i="6"/>
  <c r="K1901" i="6"/>
  <c r="I1990" i="6"/>
  <c r="I1978" i="6"/>
  <c r="I1966" i="6"/>
  <c r="I1954" i="6"/>
  <c r="I1942" i="6"/>
  <c r="I1930" i="6"/>
  <c r="I1918" i="6"/>
  <c r="I1906" i="6"/>
  <c r="K1963" i="6"/>
  <c r="I1989" i="6"/>
  <c r="I1977" i="6"/>
  <c r="I1965" i="6"/>
  <c r="I1953" i="6"/>
  <c r="I1941" i="6"/>
  <c r="I1929" i="6"/>
  <c r="I1917" i="6"/>
  <c r="I1905" i="6"/>
  <c r="K1962" i="6"/>
  <c r="I2000" i="6"/>
  <c r="I1988" i="6"/>
  <c r="I1976" i="6"/>
  <c r="I1964" i="6"/>
  <c r="I1952" i="6"/>
  <c r="I1940" i="6"/>
  <c r="I1928" i="6"/>
  <c r="I1916" i="6"/>
  <c r="I1904" i="6"/>
  <c r="K1949" i="6"/>
  <c r="I1999" i="6"/>
  <c r="I1987" i="6"/>
  <c r="I1975" i="6"/>
  <c r="I1963" i="6"/>
  <c r="I1951" i="6"/>
  <c r="I1939" i="6"/>
  <c r="I1927" i="6"/>
  <c r="I1915" i="6"/>
  <c r="I1903" i="6"/>
  <c r="K1948" i="6"/>
  <c r="I1998" i="6"/>
  <c r="I1986" i="6"/>
  <c r="I1974" i="6"/>
  <c r="I1962" i="6"/>
  <c r="I1950" i="6"/>
  <c r="I1938" i="6"/>
  <c r="I1926" i="6"/>
  <c r="I1914" i="6"/>
  <c r="I1902" i="6"/>
  <c r="I21" i="9" s="1"/>
  <c r="K1947" i="6"/>
  <c r="I1997" i="6"/>
  <c r="I1985" i="6"/>
  <c r="I1973" i="6"/>
  <c r="I1961" i="6"/>
  <c r="I1949" i="6"/>
  <c r="I1937" i="6"/>
  <c r="I1925" i="6"/>
  <c r="I1913" i="6"/>
  <c r="I1901" i="6"/>
  <c r="K1996" i="6"/>
  <c r="K1934" i="6"/>
  <c r="I1996" i="6"/>
  <c r="I1984" i="6"/>
  <c r="I1972" i="6"/>
  <c r="I1960" i="6"/>
  <c r="I1948" i="6"/>
  <c r="I1936" i="6"/>
  <c r="I1924" i="6"/>
  <c r="I21" i="7" s="1"/>
  <c r="I1912" i="6"/>
  <c r="K1994" i="6"/>
  <c r="K1931" i="6"/>
  <c r="I1994" i="6"/>
  <c r="I1982" i="6"/>
  <c r="I1970" i="6"/>
  <c r="I1958" i="6"/>
  <c r="I1946" i="6"/>
  <c r="I1934" i="6"/>
  <c r="I1922" i="6"/>
  <c r="I1910" i="6"/>
  <c r="I1995" i="6"/>
  <c r="I1923" i="6"/>
  <c r="G1997" i="6"/>
  <c r="I1993" i="6"/>
  <c r="I1921" i="6"/>
  <c r="I1983" i="6"/>
  <c r="I1911" i="6"/>
  <c r="I1981" i="6"/>
  <c r="I1909" i="6"/>
  <c r="I1971" i="6"/>
  <c r="I1969" i="6"/>
  <c r="K1995" i="6"/>
  <c r="I1959" i="6"/>
  <c r="K1981" i="6"/>
  <c r="I1957" i="6"/>
  <c r="K1933" i="6"/>
  <c r="I1947" i="6"/>
  <c r="I1935" i="6"/>
  <c r="G1996" i="6"/>
  <c r="G1984" i="6"/>
  <c r="G1972" i="6"/>
  <c r="G1960" i="6"/>
  <c r="G1948" i="6"/>
  <c r="G1936" i="6"/>
  <c r="G1924" i="6"/>
  <c r="G21" i="9" s="1"/>
  <c r="G1912" i="6"/>
  <c r="I1945" i="6"/>
  <c r="G1995" i="6"/>
  <c r="G1983" i="6"/>
  <c r="G1971" i="6"/>
  <c r="G1959" i="6"/>
  <c r="G1947" i="6"/>
  <c r="G1935" i="6"/>
  <c r="G1923" i="6"/>
  <c r="G1911" i="6"/>
  <c r="I1933" i="6"/>
  <c r="G1994" i="6"/>
  <c r="G1982" i="6"/>
  <c r="G1970" i="6"/>
  <c r="G1958" i="6"/>
  <c r="G1946" i="6"/>
  <c r="G1934" i="6"/>
  <c r="G1922" i="6"/>
  <c r="G1910" i="6"/>
  <c r="G1993" i="6"/>
  <c r="G1981" i="6"/>
  <c r="G1969" i="6"/>
  <c r="G1957" i="6"/>
  <c r="G1945" i="6"/>
  <c r="G1933" i="6"/>
  <c r="G1921" i="6"/>
  <c r="G1909" i="6"/>
  <c r="G1992" i="6"/>
  <c r="G1980" i="6"/>
  <c r="G1968" i="6"/>
  <c r="G1956" i="6"/>
  <c r="G1944" i="6"/>
  <c r="G1932" i="6"/>
  <c r="G1920" i="6"/>
  <c r="G1908" i="6"/>
  <c r="G1991" i="6"/>
  <c r="G1979" i="6"/>
  <c r="G1967" i="6"/>
  <c r="G1955" i="6"/>
  <c r="G1943" i="6"/>
  <c r="G1931" i="6"/>
  <c r="G1919" i="6"/>
  <c r="G1907" i="6"/>
  <c r="G1990" i="6"/>
  <c r="G1978" i="6"/>
  <c r="G1966" i="6"/>
  <c r="G1954" i="6"/>
  <c r="G1942" i="6"/>
  <c r="G1930" i="6"/>
  <c r="G1918" i="6"/>
  <c r="G1906" i="6"/>
  <c r="G1989" i="6"/>
  <c r="G1977" i="6"/>
  <c r="G1965" i="6"/>
  <c r="G1953" i="6"/>
  <c r="G1941" i="6"/>
  <c r="G1929" i="6"/>
  <c r="G1917" i="6"/>
  <c r="G1905" i="6"/>
  <c r="G1988" i="6"/>
  <c r="G1976" i="6"/>
  <c r="G1964" i="6"/>
  <c r="G1952" i="6"/>
  <c r="G1940" i="6"/>
  <c r="G1928" i="6"/>
  <c r="G1916" i="6"/>
  <c r="G1904" i="6"/>
  <c r="K1919" i="6"/>
  <c r="G2000" i="6"/>
  <c r="G1987" i="6"/>
  <c r="G1975" i="6"/>
  <c r="G1963" i="6"/>
  <c r="G1951" i="6"/>
  <c r="G1939" i="6"/>
  <c r="G1927" i="6"/>
  <c r="G1915" i="6"/>
  <c r="G1903" i="6"/>
  <c r="G21" i="7" s="1"/>
  <c r="G1974" i="6"/>
  <c r="G1902" i="6"/>
  <c r="G21" i="8" s="1"/>
  <c r="E1995" i="6"/>
  <c r="E1983" i="6"/>
  <c r="E1971" i="6"/>
  <c r="E1959" i="6"/>
  <c r="E1947" i="6"/>
  <c r="E1935" i="6"/>
  <c r="E1923" i="6"/>
  <c r="E1911" i="6"/>
  <c r="G1973" i="6"/>
  <c r="G1901" i="6"/>
  <c r="E1994" i="6"/>
  <c r="E1982" i="6"/>
  <c r="E1970" i="6"/>
  <c r="E1958" i="6"/>
  <c r="E1946" i="6"/>
  <c r="E1934" i="6"/>
  <c r="E1922" i="6"/>
  <c r="E1910" i="6"/>
  <c r="G1962" i="6"/>
  <c r="E1993" i="6"/>
  <c r="E1981" i="6"/>
  <c r="E1969" i="6"/>
  <c r="E1957" i="6"/>
  <c r="E1945" i="6"/>
  <c r="E1933" i="6"/>
  <c r="E1921" i="6"/>
  <c r="E1909" i="6"/>
  <c r="G1961" i="6"/>
  <c r="E1992" i="6"/>
  <c r="E1980" i="6"/>
  <c r="E1968" i="6"/>
  <c r="E1956" i="6"/>
  <c r="E1944" i="6"/>
  <c r="E1932" i="6"/>
  <c r="E1920" i="6"/>
  <c r="E1908" i="6"/>
  <c r="G1950" i="6"/>
  <c r="E1991" i="6"/>
  <c r="E1979" i="6"/>
  <c r="E1967" i="6"/>
  <c r="E1955" i="6"/>
  <c r="E1943" i="6"/>
  <c r="E1931" i="6"/>
  <c r="E1919" i="6"/>
  <c r="E1907" i="6"/>
  <c r="G1949" i="6"/>
  <c r="E1990" i="6"/>
  <c r="E1978" i="6"/>
  <c r="E1966" i="6"/>
  <c r="E1954" i="6"/>
  <c r="E1942" i="6"/>
  <c r="E1930" i="6"/>
  <c r="E1918" i="6"/>
  <c r="E1906" i="6"/>
  <c r="G1938" i="6"/>
  <c r="E2001" i="6"/>
  <c r="E1989" i="6"/>
  <c r="E1977" i="6"/>
  <c r="E1965" i="6"/>
  <c r="E1953" i="6"/>
  <c r="E1941" i="6"/>
  <c r="E1929" i="6"/>
  <c r="E1917" i="6"/>
  <c r="E1905" i="6"/>
  <c r="G1937" i="6"/>
  <c r="E2000" i="6"/>
  <c r="E1988" i="6"/>
  <c r="E1976" i="6"/>
  <c r="E1964" i="6"/>
  <c r="E1952" i="6"/>
  <c r="E1940" i="6"/>
  <c r="E1928" i="6"/>
  <c r="E1916" i="6"/>
  <c r="E1904" i="6"/>
  <c r="G1999" i="6"/>
  <c r="G1926" i="6"/>
  <c r="E1999" i="6"/>
  <c r="E1987" i="6"/>
  <c r="E1975" i="6"/>
  <c r="E1963" i="6"/>
  <c r="E1951" i="6"/>
  <c r="E1939" i="6"/>
  <c r="E1927" i="6"/>
  <c r="E1915" i="6"/>
  <c r="E1903" i="6"/>
  <c r="G1986" i="6"/>
  <c r="G1914" i="6"/>
  <c r="E1997" i="6"/>
  <c r="E1985" i="6"/>
  <c r="E1973" i="6"/>
  <c r="E1961" i="6"/>
  <c r="E1949" i="6"/>
  <c r="E1937" i="6"/>
  <c r="E1925" i="6"/>
  <c r="E1913" i="6"/>
  <c r="E1962" i="6"/>
  <c r="C1911" i="6"/>
  <c r="C1923" i="6"/>
  <c r="C1935" i="6"/>
  <c r="C1947" i="6"/>
  <c r="C1959" i="6"/>
  <c r="C1971" i="6"/>
  <c r="C1983" i="6"/>
  <c r="C1995" i="6"/>
  <c r="E1960" i="6"/>
  <c r="C1912" i="6"/>
  <c r="C1924" i="6"/>
  <c r="C1936" i="6"/>
  <c r="C1948" i="6"/>
  <c r="C1960" i="6"/>
  <c r="C1972" i="6"/>
  <c r="C1984" i="6"/>
  <c r="C1996" i="6"/>
  <c r="E1950" i="6"/>
  <c r="C1913" i="6"/>
  <c r="C1925" i="6"/>
  <c r="C1937" i="6"/>
  <c r="C1949" i="6"/>
  <c r="C1961" i="6"/>
  <c r="C1973" i="6"/>
  <c r="C1985" i="6"/>
  <c r="C1997" i="6"/>
  <c r="E1948" i="6"/>
  <c r="C1914" i="6"/>
  <c r="C1926" i="6"/>
  <c r="C1938" i="6"/>
  <c r="C1950" i="6"/>
  <c r="C1962" i="6"/>
  <c r="C1974" i="6"/>
  <c r="C1986" i="6"/>
  <c r="C1998" i="6"/>
  <c r="E1938" i="6"/>
  <c r="C1903" i="6"/>
  <c r="C1915" i="6"/>
  <c r="C1927" i="6"/>
  <c r="C1939" i="6"/>
  <c r="C1951" i="6"/>
  <c r="C1963" i="6"/>
  <c r="C1975" i="6"/>
  <c r="C1987" i="6"/>
  <c r="C1999" i="6"/>
  <c r="E1936" i="6"/>
  <c r="C1904" i="6"/>
  <c r="C1916" i="6"/>
  <c r="C1928" i="6"/>
  <c r="C1940" i="6"/>
  <c r="C1952" i="6"/>
  <c r="C1964" i="6"/>
  <c r="C1976" i="6"/>
  <c r="C1988" i="6"/>
  <c r="C2000" i="6"/>
  <c r="G1998" i="6"/>
  <c r="E1998" i="6"/>
  <c r="E1926" i="6"/>
  <c r="C1905" i="6"/>
  <c r="C1917" i="6"/>
  <c r="C1929" i="6"/>
  <c r="C1941" i="6"/>
  <c r="C1953" i="6"/>
  <c r="C1965" i="6"/>
  <c r="C1977" i="6"/>
  <c r="C1989" i="6"/>
  <c r="C2001" i="6"/>
  <c r="G1985" i="6"/>
  <c r="E1996" i="6"/>
  <c r="E1924" i="6"/>
  <c r="C1906" i="6"/>
  <c r="C1918" i="6"/>
  <c r="C1930" i="6"/>
  <c r="C1942" i="6"/>
  <c r="C1954" i="6"/>
  <c r="C1966" i="6"/>
  <c r="C1978" i="6"/>
  <c r="C1990" i="6"/>
  <c r="C1902" i="6"/>
  <c r="G1925" i="6"/>
  <c r="E1986" i="6"/>
  <c r="E1914" i="6"/>
  <c r="C1907" i="6"/>
  <c r="C1919" i="6"/>
  <c r="C1931" i="6"/>
  <c r="C1943" i="6"/>
  <c r="C1955" i="6"/>
  <c r="C1967" i="6"/>
  <c r="C1979" i="6"/>
  <c r="C1991" i="6"/>
  <c r="G1913" i="6"/>
  <c r="E1984" i="6"/>
  <c r="E1912" i="6"/>
  <c r="C1908" i="6"/>
  <c r="C1920" i="6"/>
  <c r="C1932" i="6"/>
  <c r="C1944" i="6"/>
  <c r="C1956" i="6"/>
  <c r="C1968" i="6"/>
  <c r="C1980" i="6"/>
  <c r="C1992" i="6"/>
  <c r="C1921" i="6"/>
  <c r="C1993" i="6"/>
  <c r="C1922" i="6"/>
  <c r="C1994" i="6"/>
  <c r="C1933" i="6"/>
  <c r="C1934" i="6"/>
  <c r="C1945" i="6"/>
  <c r="C1946" i="6"/>
  <c r="E1974" i="6"/>
  <c r="C1957" i="6"/>
  <c r="E1972" i="6"/>
  <c r="C1958" i="6"/>
  <c r="E1902" i="6"/>
  <c r="C1969" i="6"/>
  <c r="C1970" i="6"/>
  <c r="C1909" i="6"/>
  <c r="C1981" i="6"/>
  <c r="C1910" i="6"/>
  <c r="C1982" i="6"/>
  <c r="G1869" i="6"/>
  <c r="G1886" i="6"/>
  <c r="G1846" i="6"/>
  <c r="E1837" i="6"/>
  <c r="E1895" i="6"/>
  <c r="E20" i="7" s="1"/>
  <c r="C1844" i="6"/>
  <c r="C1864" i="6"/>
  <c r="C1881" i="6"/>
  <c r="C1899" i="6"/>
  <c r="C1823" i="6"/>
  <c r="C20" i="8" s="1"/>
  <c r="C1834" i="6"/>
  <c r="C1840" i="6"/>
  <c r="C1843" i="6"/>
  <c r="C20" i="7" s="1"/>
  <c r="E1872" i="6"/>
  <c r="C24" i="7"/>
  <c r="C24" i="10"/>
  <c r="C24" i="9"/>
  <c r="C24" i="8"/>
  <c r="I24" i="10"/>
  <c r="I24" i="9"/>
  <c r="I24" i="7"/>
  <c r="I24" i="8"/>
  <c r="G15" i="10"/>
  <c r="G15" i="9"/>
  <c r="G15" i="8"/>
  <c r="G15" i="7"/>
  <c r="I25" i="8"/>
  <c r="E26" i="10"/>
  <c r="E26" i="9"/>
  <c r="E26" i="8"/>
  <c r="E26" i="7"/>
  <c r="I22" i="7"/>
  <c r="I22" i="10"/>
  <c r="I22" i="9"/>
  <c r="I22" i="8"/>
  <c r="K31" i="7"/>
  <c r="E15" i="8"/>
  <c r="E15" i="7"/>
  <c r="E15" i="10"/>
  <c r="E15" i="9"/>
  <c r="G12" i="9"/>
  <c r="G12" i="8"/>
  <c r="G12" i="7"/>
  <c r="G12" i="10"/>
  <c r="K27" i="10"/>
  <c r="K27" i="9"/>
  <c r="K27" i="8"/>
  <c r="K27" i="7"/>
  <c r="E27" i="8"/>
  <c r="E27" i="7"/>
  <c r="E27" i="10"/>
  <c r="E27" i="9"/>
  <c r="G10" i="10"/>
  <c r="K11" i="7"/>
  <c r="K11" i="10"/>
  <c r="K11" i="9"/>
  <c r="K11" i="8"/>
  <c r="G16" i="8"/>
  <c r="G16" i="7"/>
  <c r="G16" i="10"/>
  <c r="G16" i="9"/>
  <c r="C26" i="8"/>
  <c r="C26" i="7"/>
  <c r="C26" i="10"/>
  <c r="C26" i="9"/>
  <c r="K23" i="7"/>
  <c r="K23" i="10"/>
  <c r="K23" i="9"/>
  <c r="K23" i="8"/>
  <c r="I20" i="10"/>
  <c r="I20" i="9"/>
  <c r="I20" i="8"/>
  <c r="I20" i="7"/>
  <c r="E12" i="10"/>
  <c r="E12" i="9"/>
  <c r="E12" i="7"/>
  <c r="E12" i="8"/>
  <c r="K13" i="10"/>
  <c r="K13" i="9"/>
  <c r="K13" i="7"/>
  <c r="K13" i="8"/>
  <c r="C16" i="9"/>
  <c r="C16" i="7"/>
  <c r="C16" i="8"/>
  <c r="C16" i="10"/>
  <c r="G26" i="7"/>
  <c r="G26" i="10"/>
  <c r="G26" i="9"/>
  <c r="G26" i="8"/>
  <c r="K19" i="10"/>
  <c r="K19" i="9"/>
  <c r="K19" i="8"/>
  <c r="K19" i="7"/>
  <c r="I18" i="9"/>
  <c r="K28" i="10"/>
  <c r="K28" i="9"/>
  <c r="K28" i="8"/>
  <c r="K28" i="7"/>
  <c r="G24" i="9"/>
  <c r="G24" i="8"/>
  <c r="G24" i="7"/>
  <c r="G24" i="10"/>
  <c r="K12" i="8"/>
  <c r="K12" i="10"/>
  <c r="K12" i="9"/>
  <c r="K12" i="7"/>
  <c r="E13" i="7"/>
  <c r="E13" i="10"/>
  <c r="E13" i="9"/>
  <c r="E13" i="8"/>
  <c r="G13" i="10"/>
  <c r="G13" i="7"/>
  <c r="G13" i="9"/>
  <c r="G13" i="8"/>
  <c r="I16" i="10"/>
  <c r="I16" i="9"/>
  <c r="I16" i="7"/>
  <c r="I16" i="8"/>
  <c r="I27" i="7"/>
  <c r="I27" i="10"/>
  <c r="I27" i="9"/>
  <c r="I27" i="8"/>
  <c r="K20" i="9"/>
  <c r="K20" i="8"/>
  <c r="K20" i="10"/>
  <c r="K20" i="7"/>
  <c r="K10" i="7"/>
  <c r="G6" i="7"/>
  <c r="I11" i="8"/>
  <c r="I11" i="7"/>
  <c r="I11" i="10"/>
  <c r="I11" i="9"/>
  <c r="I8" i="8"/>
  <c r="K24" i="8"/>
  <c r="K24" i="10"/>
  <c r="K24" i="9"/>
  <c r="K24" i="7"/>
  <c r="E28" i="10"/>
  <c r="E28" i="9"/>
  <c r="E28" i="7"/>
  <c r="E28" i="8"/>
  <c r="E25" i="7"/>
  <c r="I26" i="7"/>
  <c r="I26" i="10"/>
  <c r="I26" i="9"/>
  <c r="I26" i="8"/>
  <c r="C27" i="10"/>
  <c r="C27" i="9"/>
  <c r="C27" i="8"/>
  <c r="C27" i="7"/>
  <c r="C11" i="8"/>
  <c r="G28" i="8"/>
  <c r="G28" i="7"/>
  <c r="G28" i="10"/>
  <c r="G28" i="9"/>
  <c r="I31" i="7"/>
  <c r="I31" i="10"/>
  <c r="I31" i="9"/>
  <c r="I31" i="8"/>
  <c r="K8" i="8"/>
  <c r="G14" i="7"/>
  <c r="G14" i="10"/>
  <c r="G14" i="9"/>
  <c r="G14" i="8"/>
  <c r="C28" i="9"/>
  <c r="C28" i="7"/>
  <c r="C28" i="8"/>
  <c r="C28" i="10"/>
  <c r="K16" i="10"/>
  <c r="K16" i="9"/>
  <c r="K16" i="8"/>
  <c r="K16" i="7"/>
  <c r="G27" i="10"/>
  <c r="G27" i="9"/>
  <c r="G27" i="8"/>
  <c r="G27" i="7"/>
  <c r="E23" i="9"/>
  <c r="E23" i="8"/>
  <c r="E23" i="10"/>
  <c r="E23" i="7"/>
  <c r="G7" i="10"/>
  <c r="G7" i="9"/>
  <c r="G7" i="8"/>
  <c r="G7" i="7"/>
  <c r="C19" i="10"/>
  <c r="C14" i="8"/>
  <c r="C14" i="7"/>
  <c r="C14" i="10"/>
  <c r="C14" i="9"/>
  <c r="G31" i="7"/>
  <c r="I14" i="7"/>
  <c r="I14" i="10"/>
  <c r="I14" i="9"/>
  <c r="I14" i="8"/>
  <c r="E14" i="10"/>
  <c r="E14" i="9"/>
  <c r="E14" i="8"/>
  <c r="E14" i="7"/>
  <c r="I28" i="10"/>
  <c r="I28" i="9"/>
  <c r="I28" i="7"/>
  <c r="I28" i="8"/>
  <c r="C13" i="7"/>
  <c r="C13" i="10"/>
  <c r="C13" i="9"/>
  <c r="C13" i="8"/>
  <c r="K26" i="10"/>
  <c r="K26" i="9"/>
  <c r="K26" i="8"/>
  <c r="K26" i="7"/>
  <c r="C25" i="10"/>
  <c r="I23" i="8"/>
  <c r="I23" i="7"/>
  <c r="I23" i="10"/>
  <c r="I23" i="9"/>
  <c r="G20" i="10"/>
  <c r="G20" i="9"/>
  <c r="G20" i="7"/>
  <c r="G20" i="8"/>
  <c r="E24" i="10"/>
  <c r="E24" i="9"/>
  <c r="E24" i="7"/>
  <c r="E24" i="8"/>
  <c r="C15" i="10"/>
  <c r="C15" i="9"/>
  <c r="C15" i="7"/>
  <c r="C15" i="8"/>
  <c r="I15" i="7"/>
  <c r="I15" i="10"/>
  <c r="I15" i="9"/>
  <c r="I15" i="8"/>
  <c r="I12" i="10"/>
  <c r="I12" i="9"/>
  <c r="I12" i="8"/>
  <c r="I12" i="7"/>
  <c r="G11" i="10"/>
  <c r="G11" i="9"/>
  <c r="G11" i="8"/>
  <c r="G11" i="7"/>
  <c r="G19" i="9"/>
  <c r="E31" i="7"/>
  <c r="I13" i="9"/>
  <c r="I13" i="8"/>
  <c r="I13" i="7"/>
  <c r="I13" i="10"/>
  <c r="G23" i="8"/>
  <c r="K14" i="9"/>
  <c r="K14" i="8"/>
  <c r="K14" i="7"/>
  <c r="K14" i="10"/>
  <c r="K15" i="10"/>
  <c r="K15" i="9"/>
  <c r="K15" i="8"/>
  <c r="K15" i="7"/>
  <c r="C12" i="7"/>
  <c r="C12" i="10"/>
  <c r="C12" i="9"/>
  <c r="C12" i="8"/>
  <c r="E16" i="10"/>
  <c r="E16" i="9"/>
  <c r="E16" i="7"/>
  <c r="E16" i="8"/>
  <c r="G22" i="9"/>
  <c r="I5" i="7" l="1"/>
  <c r="I5" i="9"/>
  <c r="G22" i="10"/>
  <c r="G23" i="7"/>
  <c r="E31" i="8"/>
  <c r="G19" i="10"/>
  <c r="C25" i="7"/>
  <c r="G31" i="8"/>
  <c r="I18" i="7"/>
  <c r="K8" i="9"/>
  <c r="C11" i="9"/>
  <c r="E25" i="9"/>
  <c r="I8" i="9"/>
  <c r="C19" i="7"/>
  <c r="E10" i="8"/>
  <c r="E20" i="8"/>
  <c r="G10" i="7"/>
  <c r="K31" i="9"/>
  <c r="I25" i="9"/>
  <c r="C6" i="10"/>
  <c r="C6" i="7"/>
  <c r="C6" i="9"/>
  <c r="C6" i="8"/>
  <c r="C30" i="10"/>
  <c r="C30" i="8"/>
  <c r="C30" i="7"/>
  <c r="C30" i="9"/>
  <c r="K9" i="8"/>
  <c r="I17" i="7"/>
  <c r="G22" i="7"/>
  <c r="G23" i="9"/>
  <c r="E31" i="9"/>
  <c r="G18" i="10"/>
  <c r="G31" i="9"/>
  <c r="E22" i="8"/>
  <c r="K21" i="7"/>
  <c r="C11" i="10"/>
  <c r="E25" i="10"/>
  <c r="I8" i="10"/>
  <c r="E10" i="7"/>
  <c r="E20" i="9"/>
  <c r="G10" i="8"/>
  <c r="K31" i="10"/>
  <c r="I25" i="10"/>
  <c r="G9" i="7"/>
  <c r="G17" i="7"/>
  <c r="G17" i="8"/>
  <c r="G9" i="10"/>
  <c r="E22" i="7"/>
  <c r="K21" i="8"/>
  <c r="G18" i="8"/>
  <c r="E10" i="9"/>
  <c r="E20" i="10"/>
  <c r="E19" i="7"/>
  <c r="I9" i="8"/>
  <c r="K17" i="9"/>
  <c r="E19" i="8"/>
  <c r="E21" i="7"/>
  <c r="K18" i="10"/>
  <c r="G6" i="10"/>
  <c r="I6" i="8"/>
  <c r="K6" i="10"/>
  <c r="G29" i="7"/>
  <c r="G29" i="9"/>
  <c r="K6" i="8"/>
  <c r="C7" i="8"/>
  <c r="G5" i="9"/>
  <c r="I7" i="10"/>
  <c r="C8" i="10"/>
  <c r="I7" i="8"/>
  <c r="C22" i="10"/>
  <c r="E22" i="10"/>
  <c r="K21" i="10"/>
  <c r="I10" i="8"/>
  <c r="K7" i="7"/>
  <c r="K25" i="7"/>
  <c r="C20" i="9"/>
  <c r="E19" i="9"/>
  <c r="K18" i="7"/>
  <c r="K5" i="8"/>
  <c r="K22" i="8"/>
  <c r="C8" i="7"/>
  <c r="K22" i="10"/>
  <c r="I7" i="9"/>
  <c r="C23" i="7"/>
  <c r="C22" i="8"/>
  <c r="C10" i="10"/>
  <c r="K18" i="8"/>
  <c r="I30" i="8"/>
  <c r="I10" i="9"/>
  <c r="K7" i="8"/>
  <c r="K25" i="8"/>
  <c r="C20" i="10"/>
  <c r="K9" i="10"/>
  <c r="C21" i="8"/>
  <c r="I30" i="10"/>
  <c r="K29" i="10"/>
  <c r="I5" i="10"/>
  <c r="C22" i="7"/>
  <c r="K22" i="7"/>
  <c r="C10" i="7"/>
  <c r="G9" i="9"/>
  <c r="K30" i="8"/>
  <c r="I19" i="9"/>
  <c r="I10" i="10"/>
  <c r="K7" i="9"/>
  <c r="K25" i="9"/>
  <c r="K6" i="9"/>
  <c r="I21" i="10"/>
  <c r="I21" i="8"/>
  <c r="C18" i="10"/>
  <c r="C18" i="7"/>
  <c r="C18" i="9"/>
  <c r="C18" i="8"/>
  <c r="E30" i="10"/>
  <c r="E30" i="7"/>
  <c r="E30" i="8"/>
  <c r="E30" i="9"/>
  <c r="G30" i="10"/>
  <c r="G29" i="10"/>
  <c r="C9" i="8"/>
  <c r="I29" i="10"/>
  <c r="C8" i="9"/>
  <c r="C23" i="8"/>
  <c r="K30" i="9"/>
  <c r="C23" i="9"/>
  <c r="E7" i="7"/>
  <c r="E11" i="10"/>
  <c r="C31" i="8"/>
  <c r="C10" i="8"/>
  <c r="G21" i="10"/>
  <c r="I19" i="10"/>
  <c r="E8" i="8"/>
  <c r="I9" i="9"/>
  <c r="E18" i="10"/>
  <c r="E18" i="7"/>
  <c r="E18" i="8"/>
  <c r="E18" i="9"/>
  <c r="G30" i="7"/>
  <c r="G30" i="9"/>
  <c r="G30" i="8"/>
  <c r="K17" i="10"/>
  <c r="G29" i="8"/>
  <c r="G25" i="8"/>
  <c r="G8" i="7"/>
  <c r="G25" i="9"/>
  <c r="C7" i="10"/>
  <c r="E7" i="8"/>
  <c r="E11" i="7"/>
  <c r="K9" i="9"/>
  <c r="E8" i="9"/>
  <c r="K10" i="8"/>
  <c r="I9" i="7"/>
  <c r="E6" i="10"/>
  <c r="E6" i="8"/>
  <c r="E6" i="9"/>
  <c r="E6" i="7"/>
  <c r="I6" i="10"/>
  <c r="I6" i="9"/>
  <c r="I6" i="7"/>
  <c r="I17" i="10"/>
  <c r="I17" i="8"/>
  <c r="K5" i="7"/>
  <c r="G8" i="8"/>
  <c r="G25" i="7"/>
  <c r="G19" i="7"/>
  <c r="C25" i="8"/>
  <c r="E7" i="9"/>
  <c r="E11" i="8"/>
  <c r="K8" i="7"/>
  <c r="E8" i="10"/>
  <c r="K10" i="9"/>
  <c r="I30" i="9"/>
  <c r="C21" i="10"/>
  <c r="C21" i="7"/>
  <c r="C21" i="9"/>
  <c r="I5" i="8"/>
  <c r="G8" i="9"/>
  <c r="E21" i="8"/>
  <c r="E21" i="9"/>
  <c r="E21" i="10"/>
  <c r="G5" i="10"/>
  <c r="E9" i="7"/>
  <c r="E9" i="8"/>
  <c r="E9" i="9"/>
  <c r="E9" i="10"/>
  <c r="C9" i="10"/>
  <c r="C9" i="7"/>
  <c r="C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854F50-5FE6-440D-B096-DA84F816BB7F}" keepAlive="1" name="Query - evalfram" description="Connessione alla query 'evalfram' nella cartella di lavoro." type="5" refreshedVersion="8" background="1" saveData="1">
    <dbPr connection="Provider=Microsoft.Mashup.OleDb.1;Data Source=$Workbook$;Location=evalfram;Extended Properties=&quot;&quot;" command="SELECT * FROM [evalfram]"/>
  </connection>
  <connection id="2" xr16:uid="{084DDA06-FEA5-4FFB-87DC-5375A92F2E50}" keepAlive="1" name="Query - evalfram (2)" description="Connessione alla query 'evalfram (2)' nella cartella di lavoro." type="5" refreshedVersion="8" background="1" saveData="1">
    <dbPr connection="Provider=Microsoft.Mashup.OleDb.1;Data Source=$Workbook$;Location=&quot;evalfram (2)&quot;;Extended Properties=&quot;&quot;" command="SELECT * FROM [evalfram (2)]"/>
  </connection>
</connections>
</file>

<file path=xl/sharedStrings.xml><?xml version="1.0" encoding="utf-8"?>
<sst xmlns="http://schemas.openxmlformats.org/spreadsheetml/2006/main" count="6160" uniqueCount="3048">
  <si>
    <t>SeqId</t>
  </si>
  <si>
    <t>BubbleSortNComp</t>
  </si>
  <si>
    <t>BubbleSortTns</t>
  </si>
  <si>
    <t>InsertionSortNComp</t>
  </si>
  <si>
    <t>InsertionSortTns</t>
  </si>
  <si>
    <t>MergeSortNComp</t>
  </si>
  <si>
    <t>MergeSortTns</t>
  </si>
  <si>
    <t>QuickSortNComp</t>
  </si>
  <si>
    <t>QuickSortTns</t>
  </si>
  <si>
    <t>QuickSortRandomNComp</t>
  </si>
  <si>
    <t>QuickSortRandomTns</t>
  </si>
  <si>
    <t>seq_50_0</t>
  </si>
  <si>
    <t>seq_50_1</t>
  </si>
  <si>
    <t>seq_50_2</t>
  </si>
  <si>
    <t>seq_50_3</t>
  </si>
  <si>
    <t>seq_50_4</t>
  </si>
  <si>
    <t>seq_50_5</t>
  </si>
  <si>
    <t>seq_50_6</t>
  </si>
  <si>
    <t>seq_50_7</t>
  </si>
  <si>
    <t>seq_50_8</t>
  </si>
  <si>
    <t>seq_50_9</t>
  </si>
  <si>
    <t>seq_50_10</t>
  </si>
  <si>
    <t>seq_50_11</t>
  </si>
  <si>
    <t>seq_50_12</t>
  </si>
  <si>
    <t>seq_50_13</t>
  </si>
  <si>
    <t>seq_50_14</t>
  </si>
  <si>
    <t>seq_50_15</t>
  </si>
  <si>
    <t>seq_50_16</t>
  </si>
  <si>
    <t>seq_50_17</t>
  </si>
  <si>
    <t>seq_50_18</t>
  </si>
  <si>
    <t>seq_50_19</t>
  </si>
  <si>
    <t>seq_50_20</t>
  </si>
  <si>
    <t>seq_50_21</t>
  </si>
  <si>
    <t>seq_50_22</t>
  </si>
  <si>
    <t>seq_50_23</t>
  </si>
  <si>
    <t>seq_50_24</t>
  </si>
  <si>
    <t>seq_50_25</t>
  </si>
  <si>
    <t>seq_50_26</t>
  </si>
  <si>
    <t>seq_50_27</t>
  </si>
  <si>
    <t>seq_50_28</t>
  </si>
  <si>
    <t>seq_50_29</t>
  </si>
  <si>
    <t>seq_50_30</t>
  </si>
  <si>
    <t>seq_50_31</t>
  </si>
  <si>
    <t>seq_50_32</t>
  </si>
  <si>
    <t>seq_50_33</t>
  </si>
  <si>
    <t>seq_50_34</t>
  </si>
  <si>
    <t>seq_50_35</t>
  </si>
  <si>
    <t>seq_50_36</t>
  </si>
  <si>
    <t>seq_50_37</t>
  </si>
  <si>
    <t>seq_50_38</t>
  </si>
  <si>
    <t>seq_50_39</t>
  </si>
  <si>
    <t>seq_50_40</t>
  </si>
  <si>
    <t>seq_50_41</t>
  </si>
  <si>
    <t>seq_50_42</t>
  </si>
  <si>
    <t>seq_50_43</t>
  </si>
  <si>
    <t>seq_50_44</t>
  </si>
  <si>
    <t>seq_50_45</t>
  </si>
  <si>
    <t>seq_50_46</t>
  </si>
  <si>
    <t>seq_50_47</t>
  </si>
  <si>
    <t>seq_50_48</t>
  </si>
  <si>
    <t>seq_50_49</t>
  </si>
  <si>
    <t>seq_50_50</t>
  </si>
  <si>
    <t>seq_50_51</t>
  </si>
  <si>
    <t>seq_50_52</t>
  </si>
  <si>
    <t>seq_50_53</t>
  </si>
  <si>
    <t>seq_50_54</t>
  </si>
  <si>
    <t>seq_50_55</t>
  </si>
  <si>
    <t>seq_50_56</t>
  </si>
  <si>
    <t>seq_50_57</t>
  </si>
  <si>
    <t>seq_50_58</t>
  </si>
  <si>
    <t>seq_50_59</t>
  </si>
  <si>
    <t>seq_50_60</t>
  </si>
  <si>
    <t>seq_50_61</t>
  </si>
  <si>
    <t>seq_50_62</t>
  </si>
  <si>
    <t>seq_50_63</t>
  </si>
  <si>
    <t>seq_50_64</t>
  </si>
  <si>
    <t>seq_50_65</t>
  </si>
  <si>
    <t>seq_50_66</t>
  </si>
  <si>
    <t>seq_50_67</t>
  </si>
  <si>
    <t>seq_50_68</t>
  </si>
  <si>
    <t>seq_50_69</t>
  </si>
  <si>
    <t>seq_50_70</t>
  </si>
  <si>
    <t>seq_50_71</t>
  </si>
  <si>
    <t>seq_50_72</t>
  </si>
  <si>
    <t>seq_50_73</t>
  </si>
  <si>
    <t>seq_50_74</t>
  </si>
  <si>
    <t>seq_50_75</t>
  </si>
  <si>
    <t>seq_50_76</t>
  </si>
  <si>
    <t>seq_50_77</t>
  </si>
  <si>
    <t>seq_50_78</t>
  </si>
  <si>
    <t>seq_50_79</t>
  </si>
  <si>
    <t>seq_50_80</t>
  </si>
  <si>
    <t>seq_50_81</t>
  </si>
  <si>
    <t>seq_50_82</t>
  </si>
  <si>
    <t>seq_50_83</t>
  </si>
  <si>
    <t>seq_50_84</t>
  </si>
  <si>
    <t>seq_50_85</t>
  </si>
  <si>
    <t>seq_50_86</t>
  </si>
  <si>
    <t>seq_50_87</t>
  </si>
  <si>
    <t>seq_50_88</t>
  </si>
  <si>
    <t>seq_50_89</t>
  </si>
  <si>
    <t>seq_50_90</t>
  </si>
  <si>
    <t>seq_50_91</t>
  </si>
  <si>
    <t>seq_50_92</t>
  </si>
  <si>
    <t>seq_50_93</t>
  </si>
  <si>
    <t>seq_50_94</t>
  </si>
  <si>
    <t>seq_50_95</t>
  </si>
  <si>
    <t>seq_50_96</t>
  </si>
  <si>
    <t>seq_50_97</t>
  </si>
  <si>
    <t>seq_50_98</t>
  </si>
  <si>
    <t>seq_50_99</t>
  </si>
  <si>
    <t>seq_100_0</t>
  </si>
  <si>
    <t>seq_100_1</t>
  </si>
  <si>
    <t>seq_100_2</t>
  </si>
  <si>
    <t>seq_100_3</t>
  </si>
  <si>
    <t>seq_100_4</t>
  </si>
  <si>
    <t>seq_100_5</t>
  </si>
  <si>
    <t>seq_100_6</t>
  </si>
  <si>
    <t>seq_100_7</t>
  </si>
  <si>
    <t>seq_100_8</t>
  </si>
  <si>
    <t>seq_100_9</t>
  </si>
  <si>
    <t>seq_100_10</t>
  </si>
  <si>
    <t>seq_100_11</t>
  </si>
  <si>
    <t>seq_100_12</t>
  </si>
  <si>
    <t>seq_100_13</t>
  </si>
  <si>
    <t>seq_100_14</t>
  </si>
  <si>
    <t>seq_100_15</t>
  </si>
  <si>
    <t>seq_100_16</t>
  </si>
  <si>
    <t>seq_100_17</t>
  </si>
  <si>
    <t>seq_100_18</t>
  </si>
  <si>
    <t>seq_100_19</t>
  </si>
  <si>
    <t>seq_100_20</t>
  </si>
  <si>
    <t>seq_100_21</t>
  </si>
  <si>
    <t>seq_100_22</t>
  </si>
  <si>
    <t>seq_100_23</t>
  </si>
  <si>
    <t>seq_100_24</t>
  </si>
  <si>
    <t>seq_100_25</t>
  </si>
  <si>
    <t>seq_100_26</t>
  </si>
  <si>
    <t>seq_100_27</t>
  </si>
  <si>
    <t>seq_100_28</t>
  </si>
  <si>
    <t>seq_100_29</t>
  </si>
  <si>
    <t>seq_100_30</t>
  </si>
  <si>
    <t>seq_100_31</t>
  </si>
  <si>
    <t>seq_100_32</t>
  </si>
  <si>
    <t>seq_100_33</t>
  </si>
  <si>
    <t>seq_100_34</t>
  </si>
  <si>
    <t>seq_100_35</t>
  </si>
  <si>
    <t>seq_100_36</t>
  </si>
  <si>
    <t>seq_100_37</t>
  </si>
  <si>
    <t>seq_100_38</t>
  </si>
  <si>
    <t>seq_100_39</t>
  </si>
  <si>
    <t>seq_100_40</t>
  </si>
  <si>
    <t>seq_100_41</t>
  </si>
  <si>
    <t>seq_100_42</t>
  </si>
  <si>
    <t>seq_100_43</t>
  </si>
  <si>
    <t>seq_100_44</t>
  </si>
  <si>
    <t>seq_100_45</t>
  </si>
  <si>
    <t>seq_100_46</t>
  </si>
  <si>
    <t>seq_100_47</t>
  </si>
  <si>
    <t>seq_100_48</t>
  </si>
  <si>
    <t>seq_100_49</t>
  </si>
  <si>
    <t>seq_100_50</t>
  </si>
  <si>
    <t>seq_100_51</t>
  </si>
  <si>
    <t>seq_100_52</t>
  </si>
  <si>
    <t>seq_100_53</t>
  </si>
  <si>
    <t>seq_100_54</t>
  </si>
  <si>
    <t>seq_100_55</t>
  </si>
  <si>
    <t>seq_100_56</t>
  </si>
  <si>
    <t>seq_100_57</t>
  </si>
  <si>
    <t>seq_100_58</t>
  </si>
  <si>
    <t>seq_100_59</t>
  </si>
  <si>
    <t>seq_100_60</t>
  </si>
  <si>
    <t>seq_100_61</t>
  </si>
  <si>
    <t>seq_100_62</t>
  </si>
  <si>
    <t>seq_100_63</t>
  </si>
  <si>
    <t>seq_100_64</t>
  </si>
  <si>
    <t>seq_100_65</t>
  </si>
  <si>
    <t>seq_100_66</t>
  </si>
  <si>
    <t>seq_100_67</t>
  </si>
  <si>
    <t>seq_100_68</t>
  </si>
  <si>
    <t>seq_100_69</t>
  </si>
  <si>
    <t>seq_100_70</t>
  </si>
  <si>
    <t>seq_100_71</t>
  </si>
  <si>
    <t>seq_100_72</t>
  </si>
  <si>
    <t>seq_100_73</t>
  </si>
  <si>
    <t>seq_100_74</t>
  </si>
  <si>
    <t>seq_100_75</t>
  </si>
  <si>
    <t>seq_100_76</t>
  </si>
  <si>
    <t>seq_100_77</t>
  </si>
  <si>
    <t>seq_100_78</t>
  </si>
  <si>
    <t>seq_100_79</t>
  </si>
  <si>
    <t>seq_100_80</t>
  </si>
  <si>
    <t>seq_100_81</t>
  </si>
  <si>
    <t>seq_100_82</t>
  </si>
  <si>
    <t>seq_100_83</t>
  </si>
  <si>
    <t>seq_100_84</t>
  </si>
  <si>
    <t>seq_100_85</t>
  </si>
  <si>
    <t>seq_100_86</t>
  </si>
  <si>
    <t>seq_100_87</t>
  </si>
  <si>
    <t>seq_100_88</t>
  </si>
  <si>
    <t>seq_100_89</t>
  </si>
  <si>
    <t>seq_100_90</t>
  </si>
  <si>
    <t>seq_100_91</t>
  </si>
  <si>
    <t>seq_100_92</t>
  </si>
  <si>
    <t>seq_100_93</t>
  </si>
  <si>
    <t>seq_100_94</t>
  </si>
  <si>
    <t>seq_100_95</t>
  </si>
  <si>
    <t>seq_100_96</t>
  </si>
  <si>
    <t>seq_100_97</t>
  </si>
  <si>
    <t>seq_100_98</t>
  </si>
  <si>
    <t>seq_100_99</t>
  </si>
  <si>
    <t>seq_150_0</t>
  </si>
  <si>
    <t>seq_150_1</t>
  </si>
  <si>
    <t>seq_150_2</t>
  </si>
  <si>
    <t>seq_150_3</t>
  </si>
  <si>
    <t>seq_150_4</t>
  </si>
  <si>
    <t>seq_150_5</t>
  </si>
  <si>
    <t>seq_150_6</t>
  </si>
  <si>
    <t>seq_150_7</t>
  </si>
  <si>
    <t>seq_150_8</t>
  </si>
  <si>
    <t>seq_150_9</t>
  </si>
  <si>
    <t>seq_150_10</t>
  </si>
  <si>
    <t>seq_150_11</t>
  </si>
  <si>
    <t>seq_150_12</t>
  </si>
  <si>
    <t>seq_150_13</t>
  </si>
  <si>
    <t>seq_150_14</t>
  </si>
  <si>
    <t>seq_150_15</t>
  </si>
  <si>
    <t>seq_150_16</t>
  </si>
  <si>
    <t>seq_150_17</t>
  </si>
  <si>
    <t>seq_150_18</t>
  </si>
  <si>
    <t>seq_150_19</t>
  </si>
  <si>
    <t>seq_150_20</t>
  </si>
  <si>
    <t>seq_150_21</t>
  </si>
  <si>
    <t>seq_150_22</t>
  </si>
  <si>
    <t>seq_150_23</t>
  </si>
  <si>
    <t>seq_150_24</t>
  </si>
  <si>
    <t>seq_150_25</t>
  </si>
  <si>
    <t>seq_150_26</t>
  </si>
  <si>
    <t>seq_150_27</t>
  </si>
  <si>
    <t>seq_150_28</t>
  </si>
  <si>
    <t>seq_150_29</t>
  </si>
  <si>
    <t>seq_150_30</t>
  </si>
  <si>
    <t>seq_150_31</t>
  </si>
  <si>
    <t>seq_150_32</t>
  </si>
  <si>
    <t>seq_150_33</t>
  </si>
  <si>
    <t>seq_150_34</t>
  </si>
  <si>
    <t>seq_150_35</t>
  </si>
  <si>
    <t>seq_150_36</t>
  </si>
  <si>
    <t>seq_150_37</t>
  </si>
  <si>
    <t>seq_150_38</t>
  </si>
  <si>
    <t>seq_150_39</t>
  </si>
  <si>
    <t>seq_150_40</t>
  </si>
  <si>
    <t>seq_150_41</t>
  </si>
  <si>
    <t>seq_150_42</t>
  </si>
  <si>
    <t>seq_150_43</t>
  </si>
  <si>
    <t>seq_150_44</t>
  </si>
  <si>
    <t>seq_150_45</t>
  </si>
  <si>
    <t>seq_150_46</t>
  </si>
  <si>
    <t>seq_150_47</t>
  </si>
  <si>
    <t>seq_150_48</t>
  </si>
  <si>
    <t>seq_150_49</t>
  </si>
  <si>
    <t>seq_150_50</t>
  </si>
  <si>
    <t>seq_150_51</t>
  </si>
  <si>
    <t>seq_150_52</t>
  </si>
  <si>
    <t>seq_150_53</t>
  </si>
  <si>
    <t>seq_150_54</t>
  </si>
  <si>
    <t>seq_150_55</t>
  </si>
  <si>
    <t>seq_150_56</t>
  </si>
  <si>
    <t>seq_150_57</t>
  </si>
  <si>
    <t>seq_150_58</t>
  </si>
  <si>
    <t>seq_150_59</t>
  </si>
  <si>
    <t>seq_150_60</t>
  </si>
  <si>
    <t>seq_150_61</t>
  </si>
  <si>
    <t>seq_150_62</t>
  </si>
  <si>
    <t>seq_150_63</t>
  </si>
  <si>
    <t>seq_150_64</t>
  </si>
  <si>
    <t>seq_150_65</t>
  </si>
  <si>
    <t>seq_150_66</t>
  </si>
  <si>
    <t>seq_150_67</t>
  </si>
  <si>
    <t>seq_150_68</t>
  </si>
  <si>
    <t>seq_150_69</t>
  </si>
  <si>
    <t>seq_150_70</t>
  </si>
  <si>
    <t>seq_150_71</t>
  </si>
  <si>
    <t>seq_150_72</t>
  </si>
  <si>
    <t>seq_150_73</t>
  </si>
  <si>
    <t>seq_150_74</t>
  </si>
  <si>
    <t>seq_150_75</t>
  </si>
  <si>
    <t>seq_150_76</t>
  </si>
  <si>
    <t>seq_150_77</t>
  </si>
  <si>
    <t>seq_150_78</t>
  </si>
  <si>
    <t>seq_150_79</t>
  </si>
  <si>
    <t>seq_150_80</t>
  </si>
  <si>
    <t>seq_150_81</t>
  </si>
  <si>
    <t>seq_150_82</t>
  </si>
  <si>
    <t>seq_150_83</t>
  </si>
  <si>
    <t>seq_150_84</t>
  </si>
  <si>
    <t>seq_150_85</t>
  </si>
  <si>
    <t>seq_150_86</t>
  </si>
  <si>
    <t>seq_150_87</t>
  </si>
  <si>
    <t>seq_150_88</t>
  </si>
  <si>
    <t>seq_150_89</t>
  </si>
  <si>
    <t>seq_150_90</t>
  </si>
  <si>
    <t>seq_150_91</t>
  </si>
  <si>
    <t>seq_150_92</t>
  </si>
  <si>
    <t>seq_150_93</t>
  </si>
  <si>
    <t>seq_150_94</t>
  </si>
  <si>
    <t>seq_150_95</t>
  </si>
  <si>
    <t>seq_150_96</t>
  </si>
  <si>
    <t>seq_150_97</t>
  </si>
  <si>
    <t>seq_150_98</t>
  </si>
  <si>
    <t>seq_150_99</t>
  </si>
  <si>
    <t>seq_200_0</t>
  </si>
  <si>
    <t>seq_200_1</t>
  </si>
  <si>
    <t>seq_200_2</t>
  </si>
  <si>
    <t>seq_200_3</t>
  </si>
  <si>
    <t>seq_200_4</t>
  </si>
  <si>
    <t>seq_200_5</t>
  </si>
  <si>
    <t>seq_200_6</t>
  </si>
  <si>
    <t>seq_200_7</t>
  </si>
  <si>
    <t>seq_200_8</t>
  </si>
  <si>
    <t>seq_200_9</t>
  </si>
  <si>
    <t>seq_200_10</t>
  </si>
  <si>
    <t>seq_200_11</t>
  </si>
  <si>
    <t>seq_200_12</t>
  </si>
  <si>
    <t>seq_200_13</t>
  </si>
  <si>
    <t>seq_200_14</t>
  </si>
  <si>
    <t>seq_200_15</t>
  </si>
  <si>
    <t>seq_200_16</t>
  </si>
  <si>
    <t>seq_200_17</t>
  </si>
  <si>
    <t>seq_200_18</t>
  </si>
  <si>
    <t>seq_200_19</t>
  </si>
  <si>
    <t>seq_200_20</t>
  </si>
  <si>
    <t>seq_200_21</t>
  </si>
  <si>
    <t>seq_200_22</t>
  </si>
  <si>
    <t>seq_200_23</t>
  </si>
  <si>
    <t>seq_200_24</t>
  </si>
  <si>
    <t>seq_200_25</t>
  </si>
  <si>
    <t>seq_200_26</t>
  </si>
  <si>
    <t>seq_200_27</t>
  </si>
  <si>
    <t>seq_200_28</t>
  </si>
  <si>
    <t>seq_200_29</t>
  </si>
  <si>
    <t>seq_200_30</t>
  </si>
  <si>
    <t>seq_200_31</t>
  </si>
  <si>
    <t>seq_200_32</t>
  </si>
  <si>
    <t>seq_200_33</t>
  </si>
  <si>
    <t>seq_200_34</t>
  </si>
  <si>
    <t>seq_200_35</t>
  </si>
  <si>
    <t>seq_200_36</t>
  </si>
  <si>
    <t>seq_200_37</t>
  </si>
  <si>
    <t>seq_200_38</t>
  </si>
  <si>
    <t>seq_200_39</t>
  </si>
  <si>
    <t>seq_200_40</t>
  </si>
  <si>
    <t>seq_200_41</t>
  </si>
  <si>
    <t>seq_200_42</t>
  </si>
  <si>
    <t>seq_200_43</t>
  </si>
  <si>
    <t>seq_200_44</t>
  </si>
  <si>
    <t>seq_200_45</t>
  </si>
  <si>
    <t>seq_200_46</t>
  </si>
  <si>
    <t>seq_200_47</t>
  </si>
  <si>
    <t>seq_200_48</t>
  </si>
  <si>
    <t>seq_200_49</t>
  </si>
  <si>
    <t>seq_200_50</t>
  </si>
  <si>
    <t>seq_200_51</t>
  </si>
  <si>
    <t>seq_200_52</t>
  </si>
  <si>
    <t>seq_200_53</t>
  </si>
  <si>
    <t>seq_200_54</t>
  </si>
  <si>
    <t>seq_200_55</t>
  </si>
  <si>
    <t>seq_200_56</t>
  </si>
  <si>
    <t>seq_200_57</t>
  </si>
  <si>
    <t>seq_200_58</t>
  </si>
  <si>
    <t>seq_200_59</t>
  </si>
  <si>
    <t>seq_200_60</t>
  </si>
  <si>
    <t>seq_200_61</t>
  </si>
  <si>
    <t>seq_200_62</t>
  </si>
  <si>
    <t>seq_200_63</t>
  </si>
  <si>
    <t>seq_200_64</t>
  </si>
  <si>
    <t>seq_200_65</t>
  </si>
  <si>
    <t>seq_200_66</t>
  </si>
  <si>
    <t>seq_200_67</t>
  </si>
  <si>
    <t>seq_200_68</t>
  </si>
  <si>
    <t>seq_200_69</t>
  </si>
  <si>
    <t>seq_200_70</t>
  </si>
  <si>
    <t>seq_200_71</t>
  </si>
  <si>
    <t>seq_200_72</t>
  </si>
  <si>
    <t>seq_200_73</t>
  </si>
  <si>
    <t>seq_200_74</t>
  </si>
  <si>
    <t>seq_200_75</t>
  </si>
  <si>
    <t>seq_200_76</t>
  </si>
  <si>
    <t>seq_200_77</t>
  </si>
  <si>
    <t>seq_200_78</t>
  </si>
  <si>
    <t>seq_200_79</t>
  </si>
  <si>
    <t>seq_200_80</t>
  </si>
  <si>
    <t>seq_200_81</t>
  </si>
  <si>
    <t>seq_200_82</t>
  </si>
  <si>
    <t>seq_200_83</t>
  </si>
  <si>
    <t>seq_200_84</t>
  </si>
  <si>
    <t>seq_200_85</t>
  </si>
  <si>
    <t>seq_200_86</t>
  </si>
  <si>
    <t>seq_200_87</t>
  </si>
  <si>
    <t>seq_200_88</t>
  </si>
  <si>
    <t>seq_200_89</t>
  </si>
  <si>
    <t>seq_200_90</t>
  </si>
  <si>
    <t>seq_200_91</t>
  </si>
  <si>
    <t>seq_200_92</t>
  </si>
  <si>
    <t>seq_200_93</t>
  </si>
  <si>
    <t>seq_200_94</t>
  </si>
  <si>
    <t>seq_200_95</t>
  </si>
  <si>
    <t>seq_200_96</t>
  </si>
  <si>
    <t>seq_200_97</t>
  </si>
  <si>
    <t>seq_200_98</t>
  </si>
  <si>
    <t>seq_200_99</t>
  </si>
  <si>
    <t>seq_250_0</t>
  </si>
  <si>
    <t>seq_250_1</t>
  </si>
  <si>
    <t>seq_250_2</t>
  </si>
  <si>
    <t>seq_250_3</t>
  </si>
  <si>
    <t>seq_250_4</t>
  </si>
  <si>
    <t>seq_250_5</t>
  </si>
  <si>
    <t>seq_250_6</t>
  </si>
  <si>
    <t>seq_250_7</t>
  </si>
  <si>
    <t>seq_250_8</t>
  </si>
  <si>
    <t>seq_250_9</t>
  </si>
  <si>
    <t>seq_250_10</t>
  </si>
  <si>
    <t>seq_250_11</t>
  </si>
  <si>
    <t>seq_250_12</t>
  </si>
  <si>
    <t>seq_250_13</t>
  </si>
  <si>
    <t>seq_250_14</t>
  </si>
  <si>
    <t>seq_250_15</t>
  </si>
  <si>
    <t>seq_250_16</t>
  </si>
  <si>
    <t>seq_250_17</t>
  </si>
  <si>
    <t>seq_250_18</t>
  </si>
  <si>
    <t>seq_250_19</t>
  </si>
  <si>
    <t>seq_250_20</t>
  </si>
  <si>
    <t>seq_250_21</t>
  </si>
  <si>
    <t>seq_250_22</t>
  </si>
  <si>
    <t>seq_250_23</t>
  </si>
  <si>
    <t>seq_250_24</t>
  </si>
  <si>
    <t>seq_250_25</t>
  </si>
  <si>
    <t>seq_250_26</t>
  </si>
  <si>
    <t>seq_250_27</t>
  </si>
  <si>
    <t>seq_250_28</t>
  </si>
  <si>
    <t>seq_250_29</t>
  </si>
  <si>
    <t>seq_250_30</t>
  </si>
  <si>
    <t>seq_250_31</t>
  </si>
  <si>
    <t>seq_250_32</t>
  </si>
  <si>
    <t>seq_250_33</t>
  </si>
  <si>
    <t>seq_250_34</t>
  </si>
  <si>
    <t>seq_250_35</t>
  </si>
  <si>
    <t>seq_250_36</t>
  </si>
  <si>
    <t>seq_250_37</t>
  </si>
  <si>
    <t>seq_250_38</t>
  </si>
  <si>
    <t>seq_250_39</t>
  </si>
  <si>
    <t>seq_250_40</t>
  </si>
  <si>
    <t>seq_250_41</t>
  </si>
  <si>
    <t>seq_250_42</t>
  </si>
  <si>
    <t>seq_250_43</t>
  </si>
  <si>
    <t>seq_250_44</t>
  </si>
  <si>
    <t>seq_250_45</t>
  </si>
  <si>
    <t>seq_250_46</t>
  </si>
  <si>
    <t>seq_250_47</t>
  </si>
  <si>
    <t>seq_250_48</t>
  </si>
  <si>
    <t>seq_250_49</t>
  </si>
  <si>
    <t>seq_250_50</t>
  </si>
  <si>
    <t>seq_250_51</t>
  </si>
  <si>
    <t>seq_250_52</t>
  </si>
  <si>
    <t>seq_250_53</t>
  </si>
  <si>
    <t>seq_250_54</t>
  </si>
  <si>
    <t>seq_250_55</t>
  </si>
  <si>
    <t>seq_250_56</t>
  </si>
  <si>
    <t>seq_250_57</t>
  </si>
  <si>
    <t>seq_250_58</t>
  </si>
  <si>
    <t>seq_250_59</t>
  </si>
  <si>
    <t>seq_250_60</t>
  </si>
  <si>
    <t>seq_250_61</t>
  </si>
  <si>
    <t>seq_250_62</t>
  </si>
  <si>
    <t>seq_250_63</t>
  </si>
  <si>
    <t>seq_250_64</t>
  </si>
  <si>
    <t>seq_250_65</t>
  </si>
  <si>
    <t>seq_250_66</t>
  </si>
  <si>
    <t>seq_250_67</t>
  </si>
  <si>
    <t>seq_250_68</t>
  </si>
  <si>
    <t>seq_250_69</t>
  </si>
  <si>
    <t>seq_250_70</t>
  </si>
  <si>
    <t>seq_250_71</t>
  </si>
  <si>
    <t>seq_250_72</t>
  </si>
  <si>
    <t>seq_250_73</t>
  </si>
  <si>
    <t>seq_250_74</t>
  </si>
  <si>
    <t>seq_250_75</t>
  </si>
  <si>
    <t>seq_250_76</t>
  </si>
  <si>
    <t>seq_250_77</t>
  </si>
  <si>
    <t>seq_250_78</t>
  </si>
  <si>
    <t>seq_250_79</t>
  </si>
  <si>
    <t>seq_250_80</t>
  </si>
  <si>
    <t>seq_250_81</t>
  </si>
  <si>
    <t>seq_250_82</t>
  </si>
  <si>
    <t>seq_250_83</t>
  </si>
  <si>
    <t>seq_250_84</t>
  </si>
  <si>
    <t>seq_250_85</t>
  </si>
  <si>
    <t>seq_250_86</t>
  </si>
  <si>
    <t>seq_250_87</t>
  </si>
  <si>
    <t>seq_250_88</t>
  </si>
  <si>
    <t>seq_250_89</t>
  </si>
  <si>
    <t>seq_250_90</t>
  </si>
  <si>
    <t>seq_250_91</t>
  </si>
  <si>
    <t>seq_250_92</t>
  </si>
  <si>
    <t>seq_250_93</t>
  </si>
  <si>
    <t>seq_250_94</t>
  </si>
  <si>
    <t>seq_250_95</t>
  </si>
  <si>
    <t>seq_250_96</t>
  </si>
  <si>
    <t>seq_250_97</t>
  </si>
  <si>
    <t>seq_250_98</t>
  </si>
  <si>
    <t>seq_250_99</t>
  </si>
  <si>
    <t>seq_300_0</t>
  </si>
  <si>
    <t>seq_300_1</t>
  </si>
  <si>
    <t>seq_300_2</t>
  </si>
  <si>
    <t>seq_300_3</t>
  </si>
  <si>
    <t>seq_300_4</t>
  </si>
  <si>
    <t>seq_300_5</t>
  </si>
  <si>
    <t>seq_300_6</t>
  </si>
  <si>
    <t>seq_300_7</t>
  </si>
  <si>
    <t>seq_300_8</t>
  </si>
  <si>
    <t>seq_300_9</t>
  </si>
  <si>
    <t>seq_300_10</t>
  </si>
  <si>
    <t>seq_300_11</t>
  </si>
  <si>
    <t>seq_300_12</t>
  </si>
  <si>
    <t>seq_300_13</t>
  </si>
  <si>
    <t>seq_300_14</t>
  </si>
  <si>
    <t>seq_300_15</t>
  </si>
  <si>
    <t>seq_300_16</t>
  </si>
  <si>
    <t>seq_300_17</t>
  </si>
  <si>
    <t>seq_300_18</t>
  </si>
  <si>
    <t>seq_300_19</t>
  </si>
  <si>
    <t>seq_300_20</t>
  </si>
  <si>
    <t>seq_300_21</t>
  </si>
  <si>
    <t>seq_300_22</t>
  </si>
  <si>
    <t>seq_300_23</t>
  </si>
  <si>
    <t>seq_300_24</t>
  </si>
  <si>
    <t>seq_300_25</t>
  </si>
  <si>
    <t>seq_300_26</t>
  </si>
  <si>
    <t>seq_300_27</t>
  </si>
  <si>
    <t>seq_300_28</t>
  </si>
  <si>
    <t>seq_300_29</t>
  </si>
  <si>
    <t>seq_300_30</t>
  </si>
  <si>
    <t>seq_300_31</t>
  </si>
  <si>
    <t>seq_300_32</t>
  </si>
  <si>
    <t>seq_300_33</t>
  </si>
  <si>
    <t>seq_300_34</t>
  </si>
  <si>
    <t>seq_300_35</t>
  </si>
  <si>
    <t>seq_300_36</t>
  </si>
  <si>
    <t>seq_300_37</t>
  </si>
  <si>
    <t>seq_300_38</t>
  </si>
  <si>
    <t>seq_300_39</t>
  </si>
  <si>
    <t>seq_300_40</t>
  </si>
  <si>
    <t>seq_300_41</t>
  </si>
  <si>
    <t>seq_300_42</t>
  </si>
  <si>
    <t>seq_300_43</t>
  </si>
  <si>
    <t>seq_300_44</t>
  </si>
  <si>
    <t>seq_300_45</t>
  </si>
  <si>
    <t>seq_300_46</t>
  </si>
  <si>
    <t>seq_300_47</t>
  </si>
  <si>
    <t>seq_300_48</t>
  </si>
  <si>
    <t>seq_300_49</t>
  </si>
  <si>
    <t>seq_300_50</t>
  </si>
  <si>
    <t>seq_300_51</t>
  </si>
  <si>
    <t>seq_300_52</t>
  </si>
  <si>
    <t>seq_300_53</t>
  </si>
  <si>
    <t>seq_300_54</t>
  </si>
  <si>
    <t>seq_300_55</t>
  </si>
  <si>
    <t>seq_300_56</t>
  </si>
  <si>
    <t>seq_300_57</t>
  </si>
  <si>
    <t>seq_300_58</t>
  </si>
  <si>
    <t>seq_300_59</t>
  </si>
  <si>
    <t>seq_300_60</t>
  </si>
  <si>
    <t>seq_300_61</t>
  </si>
  <si>
    <t>seq_300_62</t>
  </si>
  <si>
    <t>seq_300_63</t>
  </si>
  <si>
    <t>seq_300_64</t>
  </si>
  <si>
    <t>seq_300_65</t>
  </si>
  <si>
    <t>seq_300_66</t>
  </si>
  <si>
    <t>seq_300_67</t>
  </si>
  <si>
    <t>seq_300_68</t>
  </si>
  <si>
    <t>seq_300_69</t>
  </si>
  <si>
    <t>seq_300_70</t>
  </si>
  <si>
    <t>seq_300_71</t>
  </si>
  <si>
    <t>seq_300_72</t>
  </si>
  <si>
    <t>seq_300_73</t>
  </si>
  <si>
    <t>seq_300_74</t>
  </si>
  <si>
    <t>seq_300_75</t>
  </si>
  <si>
    <t>seq_300_76</t>
  </si>
  <si>
    <t>seq_300_77</t>
  </si>
  <si>
    <t>seq_300_78</t>
  </si>
  <si>
    <t>seq_300_79</t>
  </si>
  <si>
    <t>seq_300_80</t>
  </si>
  <si>
    <t>seq_300_81</t>
  </si>
  <si>
    <t>seq_300_82</t>
  </si>
  <si>
    <t>seq_300_83</t>
  </si>
  <si>
    <t>seq_300_84</t>
  </si>
  <si>
    <t>seq_300_85</t>
  </si>
  <si>
    <t>seq_300_86</t>
  </si>
  <si>
    <t>seq_300_87</t>
  </si>
  <si>
    <t>seq_300_88</t>
  </si>
  <si>
    <t>seq_300_89</t>
  </si>
  <si>
    <t>seq_300_90</t>
  </si>
  <si>
    <t>seq_300_91</t>
  </si>
  <si>
    <t>seq_300_92</t>
  </si>
  <si>
    <t>seq_300_93</t>
  </si>
  <si>
    <t>seq_300_94</t>
  </si>
  <si>
    <t>seq_300_95</t>
  </si>
  <si>
    <t>seq_300_96</t>
  </si>
  <si>
    <t>seq_300_97</t>
  </si>
  <si>
    <t>seq_300_98</t>
  </si>
  <si>
    <t>seq_300_99</t>
  </si>
  <si>
    <t>seq_350_0</t>
  </si>
  <si>
    <t>seq_350_1</t>
  </si>
  <si>
    <t>seq_350_2</t>
  </si>
  <si>
    <t>seq_350_3</t>
  </si>
  <si>
    <t>seq_350_4</t>
  </si>
  <si>
    <t>seq_350_5</t>
  </si>
  <si>
    <t>seq_350_6</t>
  </si>
  <si>
    <t>seq_350_7</t>
  </si>
  <si>
    <t>seq_350_8</t>
  </si>
  <si>
    <t>seq_350_9</t>
  </si>
  <si>
    <t>seq_350_10</t>
  </si>
  <si>
    <t>seq_350_11</t>
  </si>
  <si>
    <t>seq_350_12</t>
  </si>
  <si>
    <t>seq_350_13</t>
  </si>
  <si>
    <t>seq_350_14</t>
  </si>
  <si>
    <t>seq_350_15</t>
  </si>
  <si>
    <t>seq_350_16</t>
  </si>
  <si>
    <t>seq_350_17</t>
  </si>
  <si>
    <t>seq_350_18</t>
  </si>
  <si>
    <t>seq_350_19</t>
  </si>
  <si>
    <t>seq_350_20</t>
  </si>
  <si>
    <t>seq_350_21</t>
  </si>
  <si>
    <t>seq_350_22</t>
  </si>
  <si>
    <t>seq_350_23</t>
  </si>
  <si>
    <t>seq_350_24</t>
  </si>
  <si>
    <t>seq_350_25</t>
  </si>
  <si>
    <t>seq_350_26</t>
  </si>
  <si>
    <t>seq_350_27</t>
  </si>
  <si>
    <t>seq_350_28</t>
  </si>
  <si>
    <t>seq_350_29</t>
  </si>
  <si>
    <t>seq_350_30</t>
  </si>
  <si>
    <t>seq_350_31</t>
  </si>
  <si>
    <t>seq_350_32</t>
  </si>
  <si>
    <t>seq_350_33</t>
  </si>
  <si>
    <t>seq_350_34</t>
  </si>
  <si>
    <t>seq_350_35</t>
  </si>
  <si>
    <t>seq_350_36</t>
  </si>
  <si>
    <t>seq_350_37</t>
  </si>
  <si>
    <t>seq_350_38</t>
  </si>
  <si>
    <t>seq_350_39</t>
  </si>
  <si>
    <t>seq_350_40</t>
  </si>
  <si>
    <t>seq_350_41</t>
  </si>
  <si>
    <t>seq_350_42</t>
  </si>
  <si>
    <t>seq_350_43</t>
  </si>
  <si>
    <t>seq_350_44</t>
  </si>
  <si>
    <t>seq_350_45</t>
  </si>
  <si>
    <t>seq_350_46</t>
  </si>
  <si>
    <t>seq_350_47</t>
  </si>
  <si>
    <t>seq_350_48</t>
  </si>
  <si>
    <t>seq_350_49</t>
  </si>
  <si>
    <t>seq_350_50</t>
  </si>
  <si>
    <t>seq_350_51</t>
  </si>
  <si>
    <t>seq_350_52</t>
  </si>
  <si>
    <t>seq_350_53</t>
  </si>
  <si>
    <t>seq_350_54</t>
  </si>
  <si>
    <t>seq_350_55</t>
  </si>
  <si>
    <t>seq_350_56</t>
  </si>
  <si>
    <t>seq_350_57</t>
  </si>
  <si>
    <t>seq_350_58</t>
  </si>
  <si>
    <t>seq_350_59</t>
  </si>
  <si>
    <t>seq_350_60</t>
  </si>
  <si>
    <t>seq_350_61</t>
  </si>
  <si>
    <t>seq_350_62</t>
  </si>
  <si>
    <t>seq_350_63</t>
  </si>
  <si>
    <t>seq_350_64</t>
  </si>
  <si>
    <t>seq_350_65</t>
  </si>
  <si>
    <t>seq_350_66</t>
  </si>
  <si>
    <t>seq_350_67</t>
  </si>
  <si>
    <t>seq_350_68</t>
  </si>
  <si>
    <t>seq_350_69</t>
  </si>
  <si>
    <t>seq_350_70</t>
  </si>
  <si>
    <t>seq_350_71</t>
  </si>
  <si>
    <t>seq_350_72</t>
  </si>
  <si>
    <t>seq_350_73</t>
  </si>
  <si>
    <t>seq_350_74</t>
  </si>
  <si>
    <t>seq_350_75</t>
  </si>
  <si>
    <t>seq_350_76</t>
  </si>
  <si>
    <t>seq_350_77</t>
  </si>
  <si>
    <t>seq_350_78</t>
  </si>
  <si>
    <t>seq_350_79</t>
  </si>
  <si>
    <t>seq_350_80</t>
  </si>
  <si>
    <t>seq_350_81</t>
  </si>
  <si>
    <t>seq_350_82</t>
  </si>
  <si>
    <t>seq_350_83</t>
  </si>
  <si>
    <t>seq_350_84</t>
  </si>
  <si>
    <t>seq_350_85</t>
  </si>
  <si>
    <t>seq_350_86</t>
  </si>
  <si>
    <t>seq_350_87</t>
  </si>
  <si>
    <t>seq_350_88</t>
  </si>
  <si>
    <t>seq_350_89</t>
  </si>
  <si>
    <t>seq_350_90</t>
  </si>
  <si>
    <t>seq_350_91</t>
  </si>
  <si>
    <t>seq_350_92</t>
  </si>
  <si>
    <t>seq_350_93</t>
  </si>
  <si>
    <t>seq_350_94</t>
  </si>
  <si>
    <t>seq_350_95</t>
  </si>
  <si>
    <t>seq_350_96</t>
  </si>
  <si>
    <t>seq_350_97</t>
  </si>
  <si>
    <t>seq_350_98</t>
  </si>
  <si>
    <t>seq_350_99</t>
  </si>
  <si>
    <t>seq_400_0</t>
  </si>
  <si>
    <t>seq_400_1</t>
  </si>
  <si>
    <t>seq_400_2</t>
  </si>
  <si>
    <t>seq_400_3</t>
  </si>
  <si>
    <t>seq_400_4</t>
  </si>
  <si>
    <t>seq_400_5</t>
  </si>
  <si>
    <t>seq_400_6</t>
  </si>
  <si>
    <t>seq_400_7</t>
  </si>
  <si>
    <t>seq_400_8</t>
  </si>
  <si>
    <t>seq_400_9</t>
  </si>
  <si>
    <t>seq_400_10</t>
  </si>
  <si>
    <t>seq_400_11</t>
  </si>
  <si>
    <t>seq_400_12</t>
  </si>
  <si>
    <t>seq_400_13</t>
  </si>
  <si>
    <t>seq_400_14</t>
  </si>
  <si>
    <t>seq_400_15</t>
  </si>
  <si>
    <t>seq_400_16</t>
  </si>
  <si>
    <t>seq_400_17</t>
  </si>
  <si>
    <t>seq_400_18</t>
  </si>
  <si>
    <t>seq_400_19</t>
  </si>
  <si>
    <t>seq_400_20</t>
  </si>
  <si>
    <t>seq_400_21</t>
  </si>
  <si>
    <t>seq_400_22</t>
  </si>
  <si>
    <t>seq_400_23</t>
  </si>
  <si>
    <t>seq_400_24</t>
  </si>
  <si>
    <t>seq_400_25</t>
  </si>
  <si>
    <t>seq_400_26</t>
  </si>
  <si>
    <t>seq_400_27</t>
  </si>
  <si>
    <t>seq_400_28</t>
  </si>
  <si>
    <t>seq_400_29</t>
  </si>
  <si>
    <t>seq_400_30</t>
  </si>
  <si>
    <t>seq_400_31</t>
  </si>
  <si>
    <t>seq_400_32</t>
  </si>
  <si>
    <t>seq_400_33</t>
  </si>
  <si>
    <t>seq_400_34</t>
  </si>
  <si>
    <t>seq_400_35</t>
  </si>
  <si>
    <t>seq_400_36</t>
  </si>
  <si>
    <t>seq_400_37</t>
  </si>
  <si>
    <t>seq_400_38</t>
  </si>
  <si>
    <t>seq_400_39</t>
  </si>
  <si>
    <t>seq_400_40</t>
  </si>
  <si>
    <t>seq_400_41</t>
  </si>
  <si>
    <t>seq_400_42</t>
  </si>
  <si>
    <t>seq_400_43</t>
  </si>
  <si>
    <t>seq_400_44</t>
  </si>
  <si>
    <t>seq_400_45</t>
  </si>
  <si>
    <t>seq_400_46</t>
  </si>
  <si>
    <t>seq_400_47</t>
  </si>
  <si>
    <t>seq_400_48</t>
  </si>
  <si>
    <t>seq_400_49</t>
  </si>
  <si>
    <t>seq_400_50</t>
  </si>
  <si>
    <t>seq_400_51</t>
  </si>
  <si>
    <t>seq_400_52</t>
  </si>
  <si>
    <t>seq_400_53</t>
  </si>
  <si>
    <t>seq_400_54</t>
  </si>
  <si>
    <t>seq_400_55</t>
  </si>
  <si>
    <t>seq_400_56</t>
  </si>
  <si>
    <t>seq_400_57</t>
  </si>
  <si>
    <t>seq_400_58</t>
  </si>
  <si>
    <t>seq_400_59</t>
  </si>
  <si>
    <t>seq_400_60</t>
  </si>
  <si>
    <t>seq_400_61</t>
  </si>
  <si>
    <t>seq_400_62</t>
  </si>
  <si>
    <t>seq_400_63</t>
  </si>
  <si>
    <t>seq_400_64</t>
  </si>
  <si>
    <t>seq_400_65</t>
  </si>
  <si>
    <t>seq_400_66</t>
  </si>
  <si>
    <t>seq_400_67</t>
  </si>
  <si>
    <t>seq_400_68</t>
  </si>
  <si>
    <t>seq_400_69</t>
  </si>
  <si>
    <t>seq_400_70</t>
  </si>
  <si>
    <t>seq_400_71</t>
  </si>
  <si>
    <t>seq_400_72</t>
  </si>
  <si>
    <t>seq_400_73</t>
  </si>
  <si>
    <t>seq_400_74</t>
  </si>
  <si>
    <t>seq_400_75</t>
  </si>
  <si>
    <t>seq_400_76</t>
  </si>
  <si>
    <t>seq_400_77</t>
  </si>
  <si>
    <t>seq_400_78</t>
  </si>
  <si>
    <t>seq_400_79</t>
  </si>
  <si>
    <t>seq_400_80</t>
  </si>
  <si>
    <t>seq_400_81</t>
  </si>
  <si>
    <t>seq_400_82</t>
  </si>
  <si>
    <t>seq_400_83</t>
  </si>
  <si>
    <t>seq_400_84</t>
  </si>
  <si>
    <t>seq_400_85</t>
  </si>
  <si>
    <t>seq_400_86</t>
  </si>
  <si>
    <t>seq_400_87</t>
  </si>
  <si>
    <t>seq_400_88</t>
  </si>
  <si>
    <t>seq_400_89</t>
  </si>
  <si>
    <t>seq_400_90</t>
  </si>
  <si>
    <t>seq_400_91</t>
  </si>
  <si>
    <t>seq_400_92</t>
  </si>
  <si>
    <t>seq_400_93</t>
  </si>
  <si>
    <t>seq_400_94</t>
  </si>
  <si>
    <t>seq_400_95</t>
  </si>
  <si>
    <t>seq_400_96</t>
  </si>
  <si>
    <t>seq_400_97</t>
  </si>
  <si>
    <t>seq_400_98</t>
  </si>
  <si>
    <t>seq_400_99</t>
  </si>
  <si>
    <t>seq_450_0</t>
  </si>
  <si>
    <t>seq_450_1</t>
  </si>
  <si>
    <t>seq_450_2</t>
  </si>
  <si>
    <t>seq_450_3</t>
  </si>
  <si>
    <t>seq_450_4</t>
  </si>
  <si>
    <t>seq_450_5</t>
  </si>
  <si>
    <t>seq_450_6</t>
  </si>
  <si>
    <t>seq_450_7</t>
  </si>
  <si>
    <t>seq_450_8</t>
  </si>
  <si>
    <t>seq_450_9</t>
  </si>
  <si>
    <t>seq_450_10</t>
  </si>
  <si>
    <t>seq_450_11</t>
  </si>
  <si>
    <t>seq_450_12</t>
  </si>
  <si>
    <t>seq_450_13</t>
  </si>
  <si>
    <t>seq_450_14</t>
  </si>
  <si>
    <t>seq_450_15</t>
  </si>
  <si>
    <t>seq_450_16</t>
  </si>
  <si>
    <t>seq_450_17</t>
  </si>
  <si>
    <t>seq_450_18</t>
  </si>
  <si>
    <t>seq_450_19</t>
  </si>
  <si>
    <t>seq_450_20</t>
  </si>
  <si>
    <t>seq_450_21</t>
  </si>
  <si>
    <t>seq_450_22</t>
  </si>
  <si>
    <t>seq_450_23</t>
  </si>
  <si>
    <t>seq_450_24</t>
  </si>
  <si>
    <t>seq_450_25</t>
  </si>
  <si>
    <t>seq_450_26</t>
  </si>
  <si>
    <t>seq_450_27</t>
  </si>
  <si>
    <t>seq_450_28</t>
  </si>
  <si>
    <t>seq_450_29</t>
  </si>
  <si>
    <t>seq_450_30</t>
  </si>
  <si>
    <t>seq_450_31</t>
  </si>
  <si>
    <t>seq_450_32</t>
  </si>
  <si>
    <t>seq_450_33</t>
  </si>
  <si>
    <t>seq_450_34</t>
  </si>
  <si>
    <t>seq_450_35</t>
  </si>
  <si>
    <t>seq_450_36</t>
  </si>
  <si>
    <t>seq_450_37</t>
  </si>
  <si>
    <t>seq_450_38</t>
  </si>
  <si>
    <t>seq_450_39</t>
  </si>
  <si>
    <t>seq_450_40</t>
  </si>
  <si>
    <t>seq_450_41</t>
  </si>
  <si>
    <t>seq_450_42</t>
  </si>
  <si>
    <t>seq_450_43</t>
  </si>
  <si>
    <t>seq_450_44</t>
  </si>
  <si>
    <t>seq_450_45</t>
  </si>
  <si>
    <t>seq_450_46</t>
  </si>
  <si>
    <t>seq_450_47</t>
  </si>
  <si>
    <t>seq_450_48</t>
  </si>
  <si>
    <t>seq_450_49</t>
  </si>
  <si>
    <t>seq_450_50</t>
  </si>
  <si>
    <t>seq_450_51</t>
  </si>
  <si>
    <t>seq_450_52</t>
  </si>
  <si>
    <t>seq_450_53</t>
  </si>
  <si>
    <t>seq_450_54</t>
  </si>
  <si>
    <t>seq_450_55</t>
  </si>
  <si>
    <t>seq_450_56</t>
  </si>
  <si>
    <t>seq_450_57</t>
  </si>
  <si>
    <t>seq_450_58</t>
  </si>
  <si>
    <t>seq_450_59</t>
  </si>
  <si>
    <t>seq_450_60</t>
  </si>
  <si>
    <t>seq_450_61</t>
  </si>
  <si>
    <t>seq_450_62</t>
  </si>
  <si>
    <t>seq_450_63</t>
  </si>
  <si>
    <t>seq_450_64</t>
  </si>
  <si>
    <t>seq_450_65</t>
  </si>
  <si>
    <t>seq_450_66</t>
  </si>
  <si>
    <t>seq_450_67</t>
  </si>
  <si>
    <t>seq_450_68</t>
  </si>
  <si>
    <t>seq_450_69</t>
  </si>
  <si>
    <t>seq_450_70</t>
  </si>
  <si>
    <t>seq_450_71</t>
  </si>
  <si>
    <t>seq_450_72</t>
  </si>
  <si>
    <t>seq_450_73</t>
  </si>
  <si>
    <t>seq_450_74</t>
  </si>
  <si>
    <t>seq_450_75</t>
  </si>
  <si>
    <t>seq_450_76</t>
  </si>
  <si>
    <t>seq_450_77</t>
  </si>
  <si>
    <t>seq_450_78</t>
  </si>
  <si>
    <t>seq_450_79</t>
  </si>
  <si>
    <t>seq_450_80</t>
  </si>
  <si>
    <t>seq_450_81</t>
  </si>
  <si>
    <t>seq_450_82</t>
  </si>
  <si>
    <t>seq_450_83</t>
  </si>
  <si>
    <t>seq_450_84</t>
  </si>
  <si>
    <t>seq_450_85</t>
  </si>
  <si>
    <t>seq_450_86</t>
  </si>
  <si>
    <t>seq_450_87</t>
  </si>
  <si>
    <t>seq_450_88</t>
  </si>
  <si>
    <t>seq_450_89</t>
  </si>
  <si>
    <t>seq_450_90</t>
  </si>
  <si>
    <t>seq_450_91</t>
  </si>
  <si>
    <t>seq_450_92</t>
  </si>
  <si>
    <t>seq_450_93</t>
  </si>
  <si>
    <t>seq_450_94</t>
  </si>
  <si>
    <t>seq_450_95</t>
  </si>
  <si>
    <t>seq_450_96</t>
  </si>
  <si>
    <t>seq_450_97</t>
  </si>
  <si>
    <t>seq_450_98</t>
  </si>
  <si>
    <t>seq_450_99</t>
  </si>
  <si>
    <t>seq_500_0</t>
  </si>
  <si>
    <t>seq_500_1</t>
  </si>
  <si>
    <t>seq_500_2</t>
  </si>
  <si>
    <t>seq_500_3</t>
  </si>
  <si>
    <t>seq_500_4</t>
  </si>
  <si>
    <t>seq_500_5</t>
  </si>
  <si>
    <t>seq_500_6</t>
  </si>
  <si>
    <t>seq_500_7</t>
  </si>
  <si>
    <t>seq_500_8</t>
  </si>
  <si>
    <t>seq_500_9</t>
  </si>
  <si>
    <t>seq_500_10</t>
  </si>
  <si>
    <t>seq_500_11</t>
  </si>
  <si>
    <t>seq_500_12</t>
  </si>
  <si>
    <t>seq_500_13</t>
  </si>
  <si>
    <t>seq_500_14</t>
  </si>
  <si>
    <t>seq_500_15</t>
  </si>
  <si>
    <t>seq_500_16</t>
  </si>
  <si>
    <t>seq_500_17</t>
  </si>
  <si>
    <t>seq_500_18</t>
  </si>
  <si>
    <t>seq_500_19</t>
  </si>
  <si>
    <t>seq_500_20</t>
  </si>
  <si>
    <t>seq_500_21</t>
  </si>
  <si>
    <t>seq_500_22</t>
  </si>
  <si>
    <t>seq_500_23</t>
  </si>
  <si>
    <t>seq_500_24</t>
  </si>
  <si>
    <t>seq_500_25</t>
  </si>
  <si>
    <t>seq_500_26</t>
  </si>
  <si>
    <t>seq_500_27</t>
  </si>
  <si>
    <t>seq_500_28</t>
  </si>
  <si>
    <t>seq_500_29</t>
  </si>
  <si>
    <t>seq_500_30</t>
  </si>
  <si>
    <t>seq_500_31</t>
  </si>
  <si>
    <t>seq_500_32</t>
  </si>
  <si>
    <t>seq_500_33</t>
  </si>
  <si>
    <t>seq_500_34</t>
  </si>
  <si>
    <t>seq_500_35</t>
  </si>
  <si>
    <t>seq_500_36</t>
  </si>
  <si>
    <t>seq_500_37</t>
  </si>
  <si>
    <t>seq_500_38</t>
  </si>
  <si>
    <t>seq_500_39</t>
  </si>
  <si>
    <t>seq_500_40</t>
  </si>
  <si>
    <t>seq_500_41</t>
  </si>
  <si>
    <t>seq_500_42</t>
  </si>
  <si>
    <t>seq_500_43</t>
  </si>
  <si>
    <t>seq_500_44</t>
  </si>
  <si>
    <t>seq_500_45</t>
  </si>
  <si>
    <t>seq_500_46</t>
  </si>
  <si>
    <t>seq_500_47</t>
  </si>
  <si>
    <t>seq_500_48</t>
  </si>
  <si>
    <t>seq_500_49</t>
  </si>
  <si>
    <t>seq_500_50</t>
  </si>
  <si>
    <t>seq_500_51</t>
  </si>
  <si>
    <t>seq_500_52</t>
  </si>
  <si>
    <t>seq_500_53</t>
  </si>
  <si>
    <t>seq_500_54</t>
  </si>
  <si>
    <t>seq_500_55</t>
  </si>
  <si>
    <t>seq_500_56</t>
  </si>
  <si>
    <t>seq_500_57</t>
  </si>
  <si>
    <t>seq_500_58</t>
  </si>
  <si>
    <t>seq_500_59</t>
  </si>
  <si>
    <t>seq_500_60</t>
  </si>
  <si>
    <t>seq_500_61</t>
  </si>
  <si>
    <t>seq_500_62</t>
  </si>
  <si>
    <t>seq_500_63</t>
  </si>
  <si>
    <t>seq_500_64</t>
  </si>
  <si>
    <t>seq_500_65</t>
  </si>
  <si>
    <t>seq_500_66</t>
  </si>
  <si>
    <t>seq_500_67</t>
  </si>
  <si>
    <t>seq_500_68</t>
  </si>
  <si>
    <t>seq_500_69</t>
  </si>
  <si>
    <t>seq_500_70</t>
  </si>
  <si>
    <t>seq_500_71</t>
  </si>
  <si>
    <t>seq_500_72</t>
  </si>
  <si>
    <t>seq_500_73</t>
  </si>
  <si>
    <t>seq_500_74</t>
  </si>
  <si>
    <t>seq_500_75</t>
  </si>
  <si>
    <t>seq_500_76</t>
  </si>
  <si>
    <t>seq_500_77</t>
  </si>
  <si>
    <t>seq_500_78</t>
  </si>
  <si>
    <t>seq_500_79</t>
  </si>
  <si>
    <t>seq_500_80</t>
  </si>
  <si>
    <t>seq_500_81</t>
  </si>
  <si>
    <t>seq_500_82</t>
  </si>
  <si>
    <t>seq_500_83</t>
  </si>
  <si>
    <t>seq_500_84</t>
  </si>
  <si>
    <t>seq_500_85</t>
  </si>
  <si>
    <t>seq_500_86</t>
  </si>
  <si>
    <t>seq_500_87</t>
  </si>
  <si>
    <t>seq_500_88</t>
  </si>
  <si>
    <t>seq_500_89</t>
  </si>
  <si>
    <t>seq_500_90</t>
  </si>
  <si>
    <t>seq_500_91</t>
  </si>
  <si>
    <t>seq_500_92</t>
  </si>
  <si>
    <t>seq_500_93</t>
  </si>
  <si>
    <t>seq_500_94</t>
  </si>
  <si>
    <t>seq_500_95</t>
  </si>
  <si>
    <t>seq_500_96</t>
  </si>
  <si>
    <t>seq_500_97</t>
  </si>
  <si>
    <t>seq_500_98</t>
  </si>
  <si>
    <t>seq_500_99</t>
  </si>
  <si>
    <t>seq_550_0</t>
  </si>
  <si>
    <t>seq_550_1</t>
  </si>
  <si>
    <t>seq_550_2</t>
  </si>
  <si>
    <t>seq_550_3</t>
  </si>
  <si>
    <t>seq_550_4</t>
  </si>
  <si>
    <t>seq_550_5</t>
  </si>
  <si>
    <t>seq_550_6</t>
  </si>
  <si>
    <t>seq_550_7</t>
  </si>
  <si>
    <t>seq_550_8</t>
  </si>
  <si>
    <t>seq_550_9</t>
  </si>
  <si>
    <t>seq_550_10</t>
  </si>
  <si>
    <t>seq_550_11</t>
  </si>
  <si>
    <t>seq_550_12</t>
  </si>
  <si>
    <t>seq_550_13</t>
  </si>
  <si>
    <t>seq_550_14</t>
  </si>
  <si>
    <t>seq_550_15</t>
  </si>
  <si>
    <t>seq_550_16</t>
  </si>
  <si>
    <t>seq_550_17</t>
  </si>
  <si>
    <t>seq_550_18</t>
  </si>
  <si>
    <t>seq_550_19</t>
  </si>
  <si>
    <t>seq_550_20</t>
  </si>
  <si>
    <t>seq_550_21</t>
  </si>
  <si>
    <t>seq_550_22</t>
  </si>
  <si>
    <t>seq_550_23</t>
  </si>
  <si>
    <t>seq_550_24</t>
  </si>
  <si>
    <t>seq_550_25</t>
  </si>
  <si>
    <t>seq_550_26</t>
  </si>
  <si>
    <t>seq_550_27</t>
  </si>
  <si>
    <t>seq_550_28</t>
  </si>
  <si>
    <t>seq_550_29</t>
  </si>
  <si>
    <t>seq_550_30</t>
  </si>
  <si>
    <t>seq_550_31</t>
  </si>
  <si>
    <t>seq_550_32</t>
  </si>
  <si>
    <t>seq_550_33</t>
  </si>
  <si>
    <t>seq_550_34</t>
  </si>
  <si>
    <t>seq_550_35</t>
  </si>
  <si>
    <t>seq_550_36</t>
  </si>
  <si>
    <t>seq_550_37</t>
  </si>
  <si>
    <t>seq_550_38</t>
  </si>
  <si>
    <t>seq_550_39</t>
  </si>
  <si>
    <t>seq_550_40</t>
  </si>
  <si>
    <t>seq_550_41</t>
  </si>
  <si>
    <t>seq_550_42</t>
  </si>
  <si>
    <t>seq_550_43</t>
  </si>
  <si>
    <t>seq_550_44</t>
  </si>
  <si>
    <t>seq_550_45</t>
  </si>
  <si>
    <t>seq_550_46</t>
  </si>
  <si>
    <t>seq_550_47</t>
  </si>
  <si>
    <t>seq_550_48</t>
  </si>
  <si>
    <t>seq_550_49</t>
  </si>
  <si>
    <t>seq_550_50</t>
  </si>
  <si>
    <t>seq_550_51</t>
  </si>
  <si>
    <t>seq_550_52</t>
  </si>
  <si>
    <t>seq_550_53</t>
  </si>
  <si>
    <t>seq_550_54</t>
  </si>
  <si>
    <t>seq_550_55</t>
  </si>
  <si>
    <t>seq_550_56</t>
  </si>
  <si>
    <t>seq_550_57</t>
  </si>
  <si>
    <t>seq_550_58</t>
  </si>
  <si>
    <t>seq_550_59</t>
  </si>
  <si>
    <t>seq_550_60</t>
  </si>
  <si>
    <t>seq_550_61</t>
  </si>
  <si>
    <t>seq_550_62</t>
  </si>
  <si>
    <t>seq_550_63</t>
  </si>
  <si>
    <t>seq_550_64</t>
  </si>
  <si>
    <t>seq_550_65</t>
  </si>
  <si>
    <t>seq_550_66</t>
  </si>
  <si>
    <t>seq_550_67</t>
  </si>
  <si>
    <t>seq_550_68</t>
  </si>
  <si>
    <t>seq_550_69</t>
  </si>
  <si>
    <t>seq_550_70</t>
  </si>
  <si>
    <t>seq_550_71</t>
  </si>
  <si>
    <t>seq_550_72</t>
  </si>
  <si>
    <t>seq_550_73</t>
  </si>
  <si>
    <t>seq_550_74</t>
  </si>
  <si>
    <t>seq_550_75</t>
  </si>
  <si>
    <t>seq_550_76</t>
  </si>
  <si>
    <t>seq_550_77</t>
  </si>
  <si>
    <t>seq_550_78</t>
  </si>
  <si>
    <t>seq_550_79</t>
  </si>
  <si>
    <t>seq_550_80</t>
  </si>
  <si>
    <t>seq_550_81</t>
  </si>
  <si>
    <t>seq_550_82</t>
  </si>
  <si>
    <t>seq_550_83</t>
  </si>
  <si>
    <t>seq_550_84</t>
  </si>
  <si>
    <t>seq_550_85</t>
  </si>
  <si>
    <t>seq_550_86</t>
  </si>
  <si>
    <t>seq_550_87</t>
  </si>
  <si>
    <t>seq_550_88</t>
  </si>
  <si>
    <t>seq_550_89</t>
  </si>
  <si>
    <t>seq_550_90</t>
  </si>
  <si>
    <t>seq_550_91</t>
  </si>
  <si>
    <t>seq_550_92</t>
  </si>
  <si>
    <t>seq_550_93</t>
  </si>
  <si>
    <t>seq_550_94</t>
  </si>
  <si>
    <t>seq_550_95</t>
  </si>
  <si>
    <t>seq_550_96</t>
  </si>
  <si>
    <t>seq_550_97</t>
  </si>
  <si>
    <t>seq_550_98</t>
  </si>
  <si>
    <t>seq_550_99</t>
  </si>
  <si>
    <t>seq_600_0</t>
  </si>
  <si>
    <t>seq_600_1</t>
  </si>
  <si>
    <t>seq_600_2</t>
  </si>
  <si>
    <t>seq_600_3</t>
  </si>
  <si>
    <t>seq_600_4</t>
  </si>
  <si>
    <t>seq_600_5</t>
  </si>
  <si>
    <t>seq_600_6</t>
  </si>
  <si>
    <t>seq_600_7</t>
  </si>
  <si>
    <t>seq_600_8</t>
  </si>
  <si>
    <t>seq_600_9</t>
  </si>
  <si>
    <t>seq_600_10</t>
  </si>
  <si>
    <t>seq_600_11</t>
  </si>
  <si>
    <t>seq_600_12</t>
  </si>
  <si>
    <t>seq_600_13</t>
  </si>
  <si>
    <t>seq_600_14</t>
  </si>
  <si>
    <t>seq_600_15</t>
  </si>
  <si>
    <t>seq_600_16</t>
  </si>
  <si>
    <t>seq_600_17</t>
  </si>
  <si>
    <t>seq_600_18</t>
  </si>
  <si>
    <t>seq_600_19</t>
  </si>
  <si>
    <t>seq_600_20</t>
  </si>
  <si>
    <t>seq_600_21</t>
  </si>
  <si>
    <t>seq_600_22</t>
  </si>
  <si>
    <t>seq_600_23</t>
  </si>
  <si>
    <t>seq_600_24</t>
  </si>
  <si>
    <t>seq_600_25</t>
  </si>
  <si>
    <t>seq_600_26</t>
  </si>
  <si>
    <t>seq_600_27</t>
  </si>
  <si>
    <t>seq_600_28</t>
  </si>
  <si>
    <t>seq_600_29</t>
  </si>
  <si>
    <t>seq_600_30</t>
  </si>
  <si>
    <t>seq_600_31</t>
  </si>
  <si>
    <t>seq_600_32</t>
  </si>
  <si>
    <t>seq_600_33</t>
  </si>
  <si>
    <t>seq_600_34</t>
  </si>
  <si>
    <t>seq_600_35</t>
  </si>
  <si>
    <t>seq_600_36</t>
  </si>
  <si>
    <t>seq_600_37</t>
  </si>
  <si>
    <t>seq_600_38</t>
  </si>
  <si>
    <t>seq_600_39</t>
  </si>
  <si>
    <t>seq_600_40</t>
  </si>
  <si>
    <t>seq_600_41</t>
  </si>
  <si>
    <t>seq_600_42</t>
  </si>
  <si>
    <t>seq_600_43</t>
  </si>
  <si>
    <t>seq_600_44</t>
  </si>
  <si>
    <t>seq_600_45</t>
  </si>
  <si>
    <t>seq_600_46</t>
  </si>
  <si>
    <t>seq_600_47</t>
  </si>
  <si>
    <t>seq_600_48</t>
  </si>
  <si>
    <t>seq_600_49</t>
  </si>
  <si>
    <t>seq_600_50</t>
  </si>
  <si>
    <t>seq_600_51</t>
  </si>
  <si>
    <t>seq_600_52</t>
  </si>
  <si>
    <t>seq_600_53</t>
  </si>
  <si>
    <t>seq_600_54</t>
  </si>
  <si>
    <t>seq_600_55</t>
  </si>
  <si>
    <t>seq_600_56</t>
  </si>
  <si>
    <t>seq_600_57</t>
  </si>
  <si>
    <t>seq_600_58</t>
  </si>
  <si>
    <t>seq_600_59</t>
  </si>
  <si>
    <t>seq_600_60</t>
  </si>
  <si>
    <t>seq_600_61</t>
  </si>
  <si>
    <t>seq_600_62</t>
  </si>
  <si>
    <t>seq_600_63</t>
  </si>
  <si>
    <t>seq_600_64</t>
  </si>
  <si>
    <t>seq_600_65</t>
  </si>
  <si>
    <t>seq_600_66</t>
  </si>
  <si>
    <t>seq_600_67</t>
  </si>
  <si>
    <t>seq_600_68</t>
  </si>
  <si>
    <t>seq_600_69</t>
  </si>
  <si>
    <t>seq_600_70</t>
  </si>
  <si>
    <t>seq_600_71</t>
  </si>
  <si>
    <t>seq_600_72</t>
  </si>
  <si>
    <t>seq_600_73</t>
  </si>
  <si>
    <t>seq_600_74</t>
  </si>
  <si>
    <t>seq_600_75</t>
  </si>
  <si>
    <t>seq_600_76</t>
  </si>
  <si>
    <t>seq_600_77</t>
  </si>
  <si>
    <t>seq_600_78</t>
  </si>
  <si>
    <t>seq_600_79</t>
  </si>
  <si>
    <t>seq_600_80</t>
  </si>
  <si>
    <t>seq_600_81</t>
  </si>
  <si>
    <t>seq_600_82</t>
  </si>
  <si>
    <t>seq_600_83</t>
  </si>
  <si>
    <t>seq_600_84</t>
  </si>
  <si>
    <t>seq_600_85</t>
  </si>
  <si>
    <t>seq_600_86</t>
  </si>
  <si>
    <t>seq_600_87</t>
  </si>
  <si>
    <t>seq_600_88</t>
  </si>
  <si>
    <t>seq_600_89</t>
  </si>
  <si>
    <t>seq_600_90</t>
  </si>
  <si>
    <t>seq_600_91</t>
  </si>
  <si>
    <t>seq_600_92</t>
  </si>
  <si>
    <t>seq_600_93</t>
  </si>
  <si>
    <t>seq_600_94</t>
  </si>
  <si>
    <t>seq_600_95</t>
  </si>
  <si>
    <t>seq_600_96</t>
  </si>
  <si>
    <t>seq_600_97</t>
  </si>
  <si>
    <t>seq_600_98</t>
  </si>
  <si>
    <t>seq_600_99</t>
  </si>
  <si>
    <t>seq_650_0</t>
  </si>
  <si>
    <t>seq_650_1</t>
  </si>
  <si>
    <t>seq_650_2</t>
  </si>
  <si>
    <t>seq_650_3</t>
  </si>
  <si>
    <t>seq_650_4</t>
  </si>
  <si>
    <t>seq_650_5</t>
  </si>
  <si>
    <t>seq_650_6</t>
  </si>
  <si>
    <t>seq_650_7</t>
  </si>
  <si>
    <t>seq_650_8</t>
  </si>
  <si>
    <t>seq_650_9</t>
  </si>
  <si>
    <t>seq_650_10</t>
  </si>
  <si>
    <t>seq_650_11</t>
  </si>
  <si>
    <t>seq_650_12</t>
  </si>
  <si>
    <t>seq_650_13</t>
  </si>
  <si>
    <t>seq_650_14</t>
  </si>
  <si>
    <t>seq_650_15</t>
  </si>
  <si>
    <t>seq_650_16</t>
  </si>
  <si>
    <t>seq_650_17</t>
  </si>
  <si>
    <t>seq_650_18</t>
  </si>
  <si>
    <t>seq_650_19</t>
  </si>
  <si>
    <t>seq_650_20</t>
  </si>
  <si>
    <t>seq_650_21</t>
  </si>
  <si>
    <t>seq_650_22</t>
  </si>
  <si>
    <t>seq_650_23</t>
  </si>
  <si>
    <t>seq_650_24</t>
  </si>
  <si>
    <t>seq_650_25</t>
  </si>
  <si>
    <t>seq_650_26</t>
  </si>
  <si>
    <t>seq_650_27</t>
  </si>
  <si>
    <t>seq_650_28</t>
  </si>
  <si>
    <t>seq_650_29</t>
  </si>
  <si>
    <t>seq_650_30</t>
  </si>
  <si>
    <t>seq_650_31</t>
  </si>
  <si>
    <t>seq_650_32</t>
  </si>
  <si>
    <t>seq_650_33</t>
  </si>
  <si>
    <t>seq_650_34</t>
  </si>
  <si>
    <t>seq_650_35</t>
  </si>
  <si>
    <t>seq_650_36</t>
  </si>
  <si>
    <t>seq_650_37</t>
  </si>
  <si>
    <t>seq_650_38</t>
  </si>
  <si>
    <t>seq_650_39</t>
  </si>
  <si>
    <t>seq_650_40</t>
  </si>
  <si>
    <t>seq_650_41</t>
  </si>
  <si>
    <t>seq_650_42</t>
  </si>
  <si>
    <t>seq_650_43</t>
  </si>
  <si>
    <t>seq_650_44</t>
  </si>
  <si>
    <t>seq_650_45</t>
  </si>
  <si>
    <t>seq_650_46</t>
  </si>
  <si>
    <t>seq_650_47</t>
  </si>
  <si>
    <t>seq_650_48</t>
  </si>
  <si>
    <t>seq_650_49</t>
  </si>
  <si>
    <t>seq_650_50</t>
  </si>
  <si>
    <t>seq_650_51</t>
  </si>
  <si>
    <t>seq_650_52</t>
  </si>
  <si>
    <t>seq_650_53</t>
  </si>
  <si>
    <t>seq_650_54</t>
  </si>
  <si>
    <t>seq_650_55</t>
  </si>
  <si>
    <t>seq_650_56</t>
  </si>
  <si>
    <t>seq_650_57</t>
  </si>
  <si>
    <t>seq_650_58</t>
  </si>
  <si>
    <t>seq_650_59</t>
  </si>
  <si>
    <t>seq_650_60</t>
  </si>
  <si>
    <t>seq_650_61</t>
  </si>
  <si>
    <t>seq_650_62</t>
  </si>
  <si>
    <t>seq_650_63</t>
  </si>
  <si>
    <t>seq_650_64</t>
  </si>
  <si>
    <t>seq_650_65</t>
  </si>
  <si>
    <t>seq_650_66</t>
  </si>
  <si>
    <t>seq_650_67</t>
  </si>
  <si>
    <t>seq_650_68</t>
  </si>
  <si>
    <t>seq_650_69</t>
  </si>
  <si>
    <t>seq_650_70</t>
  </si>
  <si>
    <t>seq_650_71</t>
  </si>
  <si>
    <t>seq_650_72</t>
  </si>
  <si>
    <t>seq_650_73</t>
  </si>
  <si>
    <t>seq_650_74</t>
  </si>
  <si>
    <t>seq_650_75</t>
  </si>
  <si>
    <t>seq_650_76</t>
  </si>
  <si>
    <t>seq_650_77</t>
  </si>
  <si>
    <t>seq_650_78</t>
  </si>
  <si>
    <t>seq_650_79</t>
  </si>
  <si>
    <t>seq_650_80</t>
  </si>
  <si>
    <t>seq_650_81</t>
  </si>
  <si>
    <t>seq_650_82</t>
  </si>
  <si>
    <t>seq_650_83</t>
  </si>
  <si>
    <t>seq_650_84</t>
  </si>
  <si>
    <t>seq_650_85</t>
  </si>
  <si>
    <t>seq_650_86</t>
  </si>
  <si>
    <t>seq_650_87</t>
  </si>
  <si>
    <t>seq_650_88</t>
  </si>
  <si>
    <t>seq_650_89</t>
  </si>
  <si>
    <t>seq_650_90</t>
  </si>
  <si>
    <t>seq_650_91</t>
  </si>
  <si>
    <t>seq_650_92</t>
  </si>
  <si>
    <t>seq_650_93</t>
  </si>
  <si>
    <t>seq_650_94</t>
  </si>
  <si>
    <t>seq_650_95</t>
  </si>
  <si>
    <t>seq_650_96</t>
  </si>
  <si>
    <t>seq_650_97</t>
  </si>
  <si>
    <t>seq_650_98</t>
  </si>
  <si>
    <t>seq_650_99</t>
  </si>
  <si>
    <t>seq_700_0</t>
  </si>
  <si>
    <t>seq_700_1</t>
  </si>
  <si>
    <t>seq_700_2</t>
  </si>
  <si>
    <t>seq_700_3</t>
  </si>
  <si>
    <t>seq_700_4</t>
  </si>
  <si>
    <t>seq_700_5</t>
  </si>
  <si>
    <t>seq_700_6</t>
  </si>
  <si>
    <t>seq_700_7</t>
  </si>
  <si>
    <t>seq_700_8</t>
  </si>
  <si>
    <t>seq_700_9</t>
  </si>
  <si>
    <t>seq_700_10</t>
  </si>
  <si>
    <t>seq_700_11</t>
  </si>
  <si>
    <t>seq_700_12</t>
  </si>
  <si>
    <t>seq_700_13</t>
  </si>
  <si>
    <t>seq_700_14</t>
  </si>
  <si>
    <t>seq_700_15</t>
  </si>
  <si>
    <t>seq_700_16</t>
  </si>
  <si>
    <t>seq_700_17</t>
  </si>
  <si>
    <t>seq_700_18</t>
  </si>
  <si>
    <t>seq_700_19</t>
  </si>
  <si>
    <t>seq_700_20</t>
  </si>
  <si>
    <t>seq_700_21</t>
  </si>
  <si>
    <t>seq_700_22</t>
  </si>
  <si>
    <t>seq_700_23</t>
  </si>
  <si>
    <t>seq_700_24</t>
  </si>
  <si>
    <t>seq_700_25</t>
  </si>
  <si>
    <t>seq_700_26</t>
  </si>
  <si>
    <t>seq_700_27</t>
  </si>
  <si>
    <t>seq_700_28</t>
  </si>
  <si>
    <t>seq_700_29</t>
  </si>
  <si>
    <t>seq_700_30</t>
  </si>
  <si>
    <t>seq_700_31</t>
  </si>
  <si>
    <t>seq_700_32</t>
  </si>
  <si>
    <t>seq_700_33</t>
  </si>
  <si>
    <t>seq_700_34</t>
  </si>
  <si>
    <t>seq_700_35</t>
  </si>
  <si>
    <t>seq_700_36</t>
  </si>
  <si>
    <t>seq_700_37</t>
  </si>
  <si>
    <t>seq_700_38</t>
  </si>
  <si>
    <t>seq_700_39</t>
  </si>
  <si>
    <t>seq_700_40</t>
  </si>
  <si>
    <t>seq_700_41</t>
  </si>
  <si>
    <t>seq_700_42</t>
  </si>
  <si>
    <t>seq_700_43</t>
  </si>
  <si>
    <t>seq_700_44</t>
  </si>
  <si>
    <t>seq_700_45</t>
  </si>
  <si>
    <t>seq_700_46</t>
  </si>
  <si>
    <t>seq_700_47</t>
  </si>
  <si>
    <t>seq_700_48</t>
  </si>
  <si>
    <t>seq_700_49</t>
  </si>
  <si>
    <t>seq_700_50</t>
  </si>
  <si>
    <t>seq_700_51</t>
  </si>
  <si>
    <t>seq_700_52</t>
  </si>
  <si>
    <t>seq_700_53</t>
  </si>
  <si>
    <t>seq_700_54</t>
  </si>
  <si>
    <t>seq_700_55</t>
  </si>
  <si>
    <t>seq_700_56</t>
  </si>
  <si>
    <t>seq_700_57</t>
  </si>
  <si>
    <t>seq_700_58</t>
  </si>
  <si>
    <t>seq_700_59</t>
  </si>
  <si>
    <t>seq_700_60</t>
  </si>
  <si>
    <t>seq_700_61</t>
  </si>
  <si>
    <t>seq_700_62</t>
  </si>
  <si>
    <t>seq_700_63</t>
  </si>
  <si>
    <t>seq_700_64</t>
  </si>
  <si>
    <t>seq_700_65</t>
  </si>
  <si>
    <t>seq_700_66</t>
  </si>
  <si>
    <t>seq_700_67</t>
  </si>
  <si>
    <t>seq_700_68</t>
  </si>
  <si>
    <t>seq_700_69</t>
  </si>
  <si>
    <t>seq_700_70</t>
  </si>
  <si>
    <t>seq_700_71</t>
  </si>
  <si>
    <t>seq_700_72</t>
  </si>
  <si>
    <t>seq_700_73</t>
  </si>
  <si>
    <t>seq_700_74</t>
  </si>
  <si>
    <t>seq_700_75</t>
  </si>
  <si>
    <t>seq_700_76</t>
  </si>
  <si>
    <t>seq_700_77</t>
  </si>
  <si>
    <t>seq_700_78</t>
  </si>
  <si>
    <t>seq_700_79</t>
  </si>
  <si>
    <t>seq_700_80</t>
  </si>
  <si>
    <t>seq_700_81</t>
  </si>
  <si>
    <t>seq_700_82</t>
  </si>
  <si>
    <t>seq_700_83</t>
  </si>
  <si>
    <t>seq_700_84</t>
  </si>
  <si>
    <t>seq_700_85</t>
  </si>
  <si>
    <t>seq_700_86</t>
  </si>
  <si>
    <t>seq_700_87</t>
  </si>
  <si>
    <t>seq_700_88</t>
  </si>
  <si>
    <t>seq_700_89</t>
  </si>
  <si>
    <t>seq_700_90</t>
  </si>
  <si>
    <t>seq_700_91</t>
  </si>
  <si>
    <t>seq_700_92</t>
  </si>
  <si>
    <t>seq_700_93</t>
  </si>
  <si>
    <t>seq_700_94</t>
  </si>
  <si>
    <t>seq_700_95</t>
  </si>
  <si>
    <t>seq_700_96</t>
  </si>
  <si>
    <t>seq_700_97</t>
  </si>
  <si>
    <t>seq_700_98</t>
  </si>
  <si>
    <t>seq_700_99</t>
  </si>
  <si>
    <t>seq_750_0</t>
  </si>
  <si>
    <t>seq_750_1</t>
  </si>
  <si>
    <t>seq_750_2</t>
  </si>
  <si>
    <t>seq_750_3</t>
  </si>
  <si>
    <t>seq_750_4</t>
  </si>
  <si>
    <t>seq_750_5</t>
  </si>
  <si>
    <t>seq_750_6</t>
  </si>
  <si>
    <t>seq_750_7</t>
  </si>
  <si>
    <t>seq_750_8</t>
  </si>
  <si>
    <t>seq_750_9</t>
  </si>
  <si>
    <t>seq_750_10</t>
  </si>
  <si>
    <t>seq_750_11</t>
  </si>
  <si>
    <t>seq_750_12</t>
  </si>
  <si>
    <t>seq_750_13</t>
  </si>
  <si>
    <t>seq_750_14</t>
  </si>
  <si>
    <t>seq_750_15</t>
  </si>
  <si>
    <t>seq_750_16</t>
  </si>
  <si>
    <t>seq_750_17</t>
  </si>
  <si>
    <t>seq_750_18</t>
  </si>
  <si>
    <t>seq_750_19</t>
  </si>
  <si>
    <t>seq_750_20</t>
  </si>
  <si>
    <t>seq_750_21</t>
  </si>
  <si>
    <t>seq_750_22</t>
  </si>
  <si>
    <t>seq_750_23</t>
  </si>
  <si>
    <t>seq_750_24</t>
  </si>
  <si>
    <t>seq_750_25</t>
  </si>
  <si>
    <t>seq_750_26</t>
  </si>
  <si>
    <t>seq_750_27</t>
  </si>
  <si>
    <t>seq_750_28</t>
  </si>
  <si>
    <t>seq_750_29</t>
  </si>
  <si>
    <t>seq_750_30</t>
  </si>
  <si>
    <t>seq_750_31</t>
  </si>
  <si>
    <t>seq_750_32</t>
  </si>
  <si>
    <t>seq_750_33</t>
  </si>
  <si>
    <t>seq_750_34</t>
  </si>
  <si>
    <t>seq_750_35</t>
  </si>
  <si>
    <t>seq_750_36</t>
  </si>
  <si>
    <t>seq_750_37</t>
  </si>
  <si>
    <t>seq_750_38</t>
  </si>
  <si>
    <t>seq_750_39</t>
  </si>
  <si>
    <t>seq_750_40</t>
  </si>
  <si>
    <t>seq_750_41</t>
  </si>
  <si>
    <t>seq_750_42</t>
  </si>
  <si>
    <t>seq_750_43</t>
  </si>
  <si>
    <t>seq_750_44</t>
  </si>
  <si>
    <t>seq_750_45</t>
  </si>
  <si>
    <t>seq_750_46</t>
  </si>
  <si>
    <t>seq_750_47</t>
  </si>
  <si>
    <t>seq_750_48</t>
  </si>
  <si>
    <t>seq_750_49</t>
  </si>
  <si>
    <t>seq_750_50</t>
  </si>
  <si>
    <t>seq_750_51</t>
  </si>
  <si>
    <t>seq_750_52</t>
  </si>
  <si>
    <t>seq_750_53</t>
  </si>
  <si>
    <t>seq_750_54</t>
  </si>
  <si>
    <t>seq_750_55</t>
  </si>
  <si>
    <t>seq_750_56</t>
  </si>
  <si>
    <t>seq_750_57</t>
  </si>
  <si>
    <t>seq_750_58</t>
  </si>
  <si>
    <t>seq_750_59</t>
  </si>
  <si>
    <t>seq_750_60</t>
  </si>
  <si>
    <t>seq_750_61</t>
  </si>
  <si>
    <t>seq_750_62</t>
  </si>
  <si>
    <t>seq_750_63</t>
  </si>
  <si>
    <t>seq_750_64</t>
  </si>
  <si>
    <t>seq_750_65</t>
  </si>
  <si>
    <t>seq_750_66</t>
  </si>
  <si>
    <t>seq_750_67</t>
  </si>
  <si>
    <t>seq_750_68</t>
  </si>
  <si>
    <t>seq_750_69</t>
  </si>
  <si>
    <t>seq_750_70</t>
  </si>
  <si>
    <t>seq_750_71</t>
  </si>
  <si>
    <t>seq_750_72</t>
  </si>
  <si>
    <t>seq_750_73</t>
  </si>
  <si>
    <t>seq_750_74</t>
  </si>
  <si>
    <t>seq_750_75</t>
  </si>
  <si>
    <t>seq_750_76</t>
  </si>
  <si>
    <t>seq_750_77</t>
  </si>
  <si>
    <t>seq_750_78</t>
  </si>
  <si>
    <t>seq_750_79</t>
  </si>
  <si>
    <t>seq_750_80</t>
  </si>
  <si>
    <t>seq_750_81</t>
  </si>
  <si>
    <t>seq_750_82</t>
  </si>
  <si>
    <t>seq_750_83</t>
  </si>
  <si>
    <t>seq_750_84</t>
  </si>
  <si>
    <t>seq_750_85</t>
  </si>
  <si>
    <t>seq_750_86</t>
  </si>
  <si>
    <t>seq_750_87</t>
  </si>
  <si>
    <t>seq_750_88</t>
  </si>
  <si>
    <t>seq_750_89</t>
  </si>
  <si>
    <t>seq_750_90</t>
  </si>
  <si>
    <t>seq_750_91</t>
  </si>
  <si>
    <t>seq_750_92</t>
  </si>
  <si>
    <t>seq_750_93</t>
  </si>
  <si>
    <t>seq_750_94</t>
  </si>
  <si>
    <t>seq_750_95</t>
  </si>
  <si>
    <t>seq_750_96</t>
  </si>
  <si>
    <t>seq_750_97</t>
  </si>
  <si>
    <t>seq_750_98</t>
  </si>
  <si>
    <t>seq_750_99</t>
  </si>
  <si>
    <t>seq_800_0</t>
  </si>
  <si>
    <t>seq_800_1</t>
  </si>
  <si>
    <t>seq_800_2</t>
  </si>
  <si>
    <t>seq_800_3</t>
  </si>
  <si>
    <t>seq_800_4</t>
  </si>
  <si>
    <t>seq_800_5</t>
  </si>
  <si>
    <t>seq_800_6</t>
  </si>
  <si>
    <t>seq_800_7</t>
  </si>
  <si>
    <t>seq_800_8</t>
  </si>
  <si>
    <t>seq_800_9</t>
  </si>
  <si>
    <t>seq_800_10</t>
  </si>
  <si>
    <t>seq_800_11</t>
  </si>
  <si>
    <t>seq_800_12</t>
  </si>
  <si>
    <t>seq_800_13</t>
  </si>
  <si>
    <t>seq_800_14</t>
  </si>
  <si>
    <t>seq_800_15</t>
  </si>
  <si>
    <t>seq_800_16</t>
  </si>
  <si>
    <t>seq_800_17</t>
  </si>
  <si>
    <t>seq_800_18</t>
  </si>
  <si>
    <t>seq_800_19</t>
  </si>
  <si>
    <t>seq_800_20</t>
  </si>
  <si>
    <t>seq_800_21</t>
  </si>
  <si>
    <t>seq_800_22</t>
  </si>
  <si>
    <t>seq_800_23</t>
  </si>
  <si>
    <t>seq_800_24</t>
  </si>
  <si>
    <t>seq_800_25</t>
  </si>
  <si>
    <t>seq_800_26</t>
  </si>
  <si>
    <t>seq_800_27</t>
  </si>
  <si>
    <t>seq_800_28</t>
  </si>
  <si>
    <t>seq_800_29</t>
  </si>
  <si>
    <t>seq_800_30</t>
  </si>
  <si>
    <t>seq_800_31</t>
  </si>
  <si>
    <t>seq_800_32</t>
  </si>
  <si>
    <t>seq_800_33</t>
  </si>
  <si>
    <t>seq_800_34</t>
  </si>
  <si>
    <t>seq_800_35</t>
  </si>
  <si>
    <t>seq_800_36</t>
  </si>
  <si>
    <t>seq_800_37</t>
  </si>
  <si>
    <t>seq_800_38</t>
  </si>
  <si>
    <t>seq_800_39</t>
  </si>
  <si>
    <t>seq_800_40</t>
  </si>
  <si>
    <t>seq_800_41</t>
  </si>
  <si>
    <t>seq_800_42</t>
  </si>
  <si>
    <t>seq_800_43</t>
  </si>
  <si>
    <t>seq_800_44</t>
  </si>
  <si>
    <t>seq_800_45</t>
  </si>
  <si>
    <t>seq_800_46</t>
  </si>
  <si>
    <t>seq_800_47</t>
  </si>
  <si>
    <t>seq_800_48</t>
  </si>
  <si>
    <t>seq_800_49</t>
  </si>
  <si>
    <t>seq_800_50</t>
  </si>
  <si>
    <t>seq_800_51</t>
  </si>
  <si>
    <t>seq_800_52</t>
  </si>
  <si>
    <t>seq_800_53</t>
  </si>
  <si>
    <t>seq_800_54</t>
  </si>
  <si>
    <t>seq_800_55</t>
  </si>
  <si>
    <t>seq_800_56</t>
  </si>
  <si>
    <t>seq_800_57</t>
  </si>
  <si>
    <t>seq_800_58</t>
  </si>
  <si>
    <t>seq_800_59</t>
  </si>
  <si>
    <t>seq_800_60</t>
  </si>
  <si>
    <t>seq_800_61</t>
  </si>
  <si>
    <t>seq_800_62</t>
  </si>
  <si>
    <t>seq_800_63</t>
  </si>
  <si>
    <t>seq_800_64</t>
  </si>
  <si>
    <t>seq_800_65</t>
  </si>
  <si>
    <t>seq_800_66</t>
  </si>
  <si>
    <t>seq_800_67</t>
  </si>
  <si>
    <t>seq_800_68</t>
  </si>
  <si>
    <t>seq_800_69</t>
  </si>
  <si>
    <t>seq_800_70</t>
  </si>
  <si>
    <t>seq_800_71</t>
  </si>
  <si>
    <t>seq_800_72</t>
  </si>
  <si>
    <t>seq_800_73</t>
  </si>
  <si>
    <t>seq_800_74</t>
  </si>
  <si>
    <t>seq_800_75</t>
  </si>
  <si>
    <t>seq_800_76</t>
  </si>
  <si>
    <t>seq_800_77</t>
  </si>
  <si>
    <t>seq_800_78</t>
  </si>
  <si>
    <t>seq_800_79</t>
  </si>
  <si>
    <t>seq_800_80</t>
  </si>
  <si>
    <t>seq_800_81</t>
  </si>
  <si>
    <t>seq_800_82</t>
  </si>
  <si>
    <t>seq_800_83</t>
  </si>
  <si>
    <t>seq_800_84</t>
  </si>
  <si>
    <t>seq_800_85</t>
  </si>
  <si>
    <t>seq_800_86</t>
  </si>
  <si>
    <t>seq_800_87</t>
  </si>
  <si>
    <t>seq_800_88</t>
  </si>
  <si>
    <t>seq_800_89</t>
  </si>
  <si>
    <t>seq_800_90</t>
  </si>
  <si>
    <t>seq_800_91</t>
  </si>
  <si>
    <t>seq_800_92</t>
  </si>
  <si>
    <t>seq_800_93</t>
  </si>
  <si>
    <t>seq_800_94</t>
  </si>
  <si>
    <t>seq_800_95</t>
  </si>
  <si>
    <t>seq_800_96</t>
  </si>
  <si>
    <t>seq_800_97</t>
  </si>
  <si>
    <t>seq_800_98</t>
  </si>
  <si>
    <t>seq_800_99</t>
  </si>
  <si>
    <t>seq_850_0</t>
  </si>
  <si>
    <t>seq_850_1</t>
  </si>
  <si>
    <t>seq_850_2</t>
  </si>
  <si>
    <t>seq_850_3</t>
  </si>
  <si>
    <t>seq_850_4</t>
  </si>
  <si>
    <t>seq_850_5</t>
  </si>
  <si>
    <t>seq_850_6</t>
  </si>
  <si>
    <t>seq_850_7</t>
  </si>
  <si>
    <t>seq_850_8</t>
  </si>
  <si>
    <t>seq_850_9</t>
  </si>
  <si>
    <t>seq_850_10</t>
  </si>
  <si>
    <t>seq_850_11</t>
  </si>
  <si>
    <t>seq_850_12</t>
  </si>
  <si>
    <t>seq_850_13</t>
  </si>
  <si>
    <t>seq_850_14</t>
  </si>
  <si>
    <t>seq_850_15</t>
  </si>
  <si>
    <t>seq_850_16</t>
  </si>
  <si>
    <t>seq_850_17</t>
  </si>
  <si>
    <t>seq_850_18</t>
  </si>
  <si>
    <t>seq_850_19</t>
  </si>
  <si>
    <t>seq_850_20</t>
  </si>
  <si>
    <t>seq_850_21</t>
  </si>
  <si>
    <t>seq_850_22</t>
  </si>
  <si>
    <t>seq_850_23</t>
  </si>
  <si>
    <t>seq_850_24</t>
  </si>
  <si>
    <t>seq_850_25</t>
  </si>
  <si>
    <t>seq_850_26</t>
  </si>
  <si>
    <t>seq_850_27</t>
  </si>
  <si>
    <t>seq_850_28</t>
  </si>
  <si>
    <t>seq_850_29</t>
  </si>
  <si>
    <t>seq_850_30</t>
  </si>
  <si>
    <t>seq_850_31</t>
  </si>
  <si>
    <t>seq_850_32</t>
  </si>
  <si>
    <t>seq_850_33</t>
  </si>
  <si>
    <t>seq_850_34</t>
  </si>
  <si>
    <t>seq_850_35</t>
  </si>
  <si>
    <t>seq_850_36</t>
  </si>
  <si>
    <t>seq_850_37</t>
  </si>
  <si>
    <t>seq_850_38</t>
  </si>
  <si>
    <t>seq_850_39</t>
  </si>
  <si>
    <t>seq_850_40</t>
  </si>
  <si>
    <t>seq_850_41</t>
  </si>
  <si>
    <t>seq_850_42</t>
  </si>
  <si>
    <t>seq_850_43</t>
  </si>
  <si>
    <t>seq_850_44</t>
  </si>
  <si>
    <t>seq_850_45</t>
  </si>
  <si>
    <t>seq_850_46</t>
  </si>
  <si>
    <t>seq_850_47</t>
  </si>
  <si>
    <t>seq_850_48</t>
  </si>
  <si>
    <t>seq_850_49</t>
  </si>
  <si>
    <t>seq_850_50</t>
  </si>
  <si>
    <t>seq_850_51</t>
  </si>
  <si>
    <t>seq_850_52</t>
  </si>
  <si>
    <t>seq_850_53</t>
  </si>
  <si>
    <t>seq_850_54</t>
  </si>
  <si>
    <t>seq_850_55</t>
  </si>
  <si>
    <t>seq_850_56</t>
  </si>
  <si>
    <t>seq_850_57</t>
  </si>
  <si>
    <t>seq_850_58</t>
  </si>
  <si>
    <t>seq_850_59</t>
  </si>
  <si>
    <t>seq_850_60</t>
  </si>
  <si>
    <t>seq_850_61</t>
  </si>
  <si>
    <t>seq_850_62</t>
  </si>
  <si>
    <t>seq_850_63</t>
  </si>
  <si>
    <t>seq_850_64</t>
  </si>
  <si>
    <t>seq_850_65</t>
  </si>
  <si>
    <t>seq_850_66</t>
  </si>
  <si>
    <t>seq_850_67</t>
  </si>
  <si>
    <t>seq_850_68</t>
  </si>
  <si>
    <t>seq_850_69</t>
  </si>
  <si>
    <t>seq_850_70</t>
  </si>
  <si>
    <t>seq_850_71</t>
  </si>
  <si>
    <t>seq_850_72</t>
  </si>
  <si>
    <t>seq_850_73</t>
  </si>
  <si>
    <t>seq_850_74</t>
  </si>
  <si>
    <t>seq_850_75</t>
  </si>
  <si>
    <t>seq_850_76</t>
  </si>
  <si>
    <t>seq_850_77</t>
  </si>
  <si>
    <t>seq_850_78</t>
  </si>
  <si>
    <t>seq_850_79</t>
  </si>
  <si>
    <t>seq_850_80</t>
  </si>
  <si>
    <t>seq_850_81</t>
  </si>
  <si>
    <t>seq_850_82</t>
  </si>
  <si>
    <t>seq_850_83</t>
  </si>
  <si>
    <t>seq_850_84</t>
  </si>
  <si>
    <t>seq_850_85</t>
  </si>
  <si>
    <t>seq_850_86</t>
  </si>
  <si>
    <t>seq_850_87</t>
  </si>
  <si>
    <t>seq_850_88</t>
  </si>
  <si>
    <t>seq_850_89</t>
  </si>
  <si>
    <t>seq_850_90</t>
  </si>
  <si>
    <t>seq_850_91</t>
  </si>
  <si>
    <t>seq_850_92</t>
  </si>
  <si>
    <t>seq_850_93</t>
  </si>
  <si>
    <t>seq_850_94</t>
  </si>
  <si>
    <t>seq_850_95</t>
  </si>
  <si>
    <t>seq_850_96</t>
  </si>
  <si>
    <t>seq_850_97</t>
  </si>
  <si>
    <t>seq_850_98</t>
  </si>
  <si>
    <t>seq_850_99</t>
  </si>
  <si>
    <t>seq_900_0</t>
  </si>
  <si>
    <t>seq_900_1</t>
  </si>
  <si>
    <t>seq_900_2</t>
  </si>
  <si>
    <t>seq_900_3</t>
  </si>
  <si>
    <t>seq_900_4</t>
  </si>
  <si>
    <t>seq_900_5</t>
  </si>
  <si>
    <t>seq_900_6</t>
  </si>
  <si>
    <t>seq_900_7</t>
  </si>
  <si>
    <t>seq_900_8</t>
  </si>
  <si>
    <t>seq_900_9</t>
  </si>
  <si>
    <t>seq_900_10</t>
  </si>
  <si>
    <t>seq_900_11</t>
  </si>
  <si>
    <t>seq_900_12</t>
  </si>
  <si>
    <t>seq_900_13</t>
  </si>
  <si>
    <t>seq_900_14</t>
  </si>
  <si>
    <t>seq_900_15</t>
  </si>
  <si>
    <t>seq_900_16</t>
  </si>
  <si>
    <t>seq_900_17</t>
  </si>
  <si>
    <t>seq_900_18</t>
  </si>
  <si>
    <t>seq_900_19</t>
  </si>
  <si>
    <t>seq_900_20</t>
  </si>
  <si>
    <t>seq_900_21</t>
  </si>
  <si>
    <t>seq_900_22</t>
  </si>
  <si>
    <t>seq_900_23</t>
  </si>
  <si>
    <t>seq_900_24</t>
  </si>
  <si>
    <t>seq_900_25</t>
  </si>
  <si>
    <t>seq_900_26</t>
  </si>
  <si>
    <t>seq_900_27</t>
  </si>
  <si>
    <t>seq_900_28</t>
  </si>
  <si>
    <t>seq_900_29</t>
  </si>
  <si>
    <t>seq_900_30</t>
  </si>
  <si>
    <t>seq_900_31</t>
  </si>
  <si>
    <t>seq_900_32</t>
  </si>
  <si>
    <t>seq_900_33</t>
  </si>
  <si>
    <t>seq_900_34</t>
  </si>
  <si>
    <t>seq_900_35</t>
  </si>
  <si>
    <t>seq_900_36</t>
  </si>
  <si>
    <t>seq_900_37</t>
  </si>
  <si>
    <t>seq_900_38</t>
  </si>
  <si>
    <t>seq_900_39</t>
  </si>
  <si>
    <t>seq_900_40</t>
  </si>
  <si>
    <t>seq_900_41</t>
  </si>
  <si>
    <t>seq_900_42</t>
  </si>
  <si>
    <t>seq_900_43</t>
  </si>
  <si>
    <t>seq_900_44</t>
  </si>
  <si>
    <t>seq_900_45</t>
  </si>
  <si>
    <t>seq_900_46</t>
  </si>
  <si>
    <t>seq_900_47</t>
  </si>
  <si>
    <t>seq_900_48</t>
  </si>
  <si>
    <t>seq_900_49</t>
  </si>
  <si>
    <t>seq_900_50</t>
  </si>
  <si>
    <t>seq_900_51</t>
  </si>
  <si>
    <t>seq_900_52</t>
  </si>
  <si>
    <t>seq_900_53</t>
  </si>
  <si>
    <t>seq_900_54</t>
  </si>
  <si>
    <t>seq_900_55</t>
  </si>
  <si>
    <t>seq_900_56</t>
  </si>
  <si>
    <t>seq_900_57</t>
  </si>
  <si>
    <t>seq_900_58</t>
  </si>
  <si>
    <t>seq_900_59</t>
  </si>
  <si>
    <t>seq_900_60</t>
  </si>
  <si>
    <t>seq_900_61</t>
  </si>
  <si>
    <t>seq_900_62</t>
  </si>
  <si>
    <t>seq_900_63</t>
  </si>
  <si>
    <t>seq_900_64</t>
  </si>
  <si>
    <t>seq_900_65</t>
  </si>
  <si>
    <t>seq_900_66</t>
  </si>
  <si>
    <t>seq_900_67</t>
  </si>
  <si>
    <t>seq_900_68</t>
  </si>
  <si>
    <t>seq_900_69</t>
  </si>
  <si>
    <t>seq_900_70</t>
  </si>
  <si>
    <t>seq_900_71</t>
  </si>
  <si>
    <t>seq_900_72</t>
  </si>
  <si>
    <t>seq_900_73</t>
  </si>
  <si>
    <t>seq_900_74</t>
  </si>
  <si>
    <t>seq_900_75</t>
  </si>
  <si>
    <t>seq_900_76</t>
  </si>
  <si>
    <t>seq_900_77</t>
  </si>
  <si>
    <t>seq_900_78</t>
  </si>
  <si>
    <t>seq_900_79</t>
  </si>
  <si>
    <t>seq_900_80</t>
  </si>
  <si>
    <t>seq_900_81</t>
  </si>
  <si>
    <t>seq_900_82</t>
  </si>
  <si>
    <t>seq_900_83</t>
  </si>
  <si>
    <t>seq_900_84</t>
  </si>
  <si>
    <t>seq_900_85</t>
  </si>
  <si>
    <t>seq_900_86</t>
  </si>
  <si>
    <t>seq_900_87</t>
  </si>
  <si>
    <t>seq_900_88</t>
  </si>
  <si>
    <t>seq_900_89</t>
  </si>
  <si>
    <t>seq_900_90</t>
  </si>
  <si>
    <t>seq_900_91</t>
  </si>
  <si>
    <t>seq_900_92</t>
  </si>
  <si>
    <t>seq_900_93</t>
  </si>
  <si>
    <t>seq_900_94</t>
  </si>
  <si>
    <t>seq_900_95</t>
  </si>
  <si>
    <t>seq_900_96</t>
  </si>
  <si>
    <t>seq_900_97</t>
  </si>
  <si>
    <t>seq_900_98</t>
  </si>
  <si>
    <t>seq_900_99</t>
  </si>
  <si>
    <t>seq_950_0</t>
  </si>
  <si>
    <t>seq_950_1</t>
  </si>
  <si>
    <t>seq_950_2</t>
  </si>
  <si>
    <t>seq_950_3</t>
  </si>
  <si>
    <t>seq_950_4</t>
  </si>
  <si>
    <t>seq_950_5</t>
  </si>
  <si>
    <t>seq_950_6</t>
  </si>
  <si>
    <t>seq_950_7</t>
  </si>
  <si>
    <t>seq_950_8</t>
  </si>
  <si>
    <t>seq_950_9</t>
  </si>
  <si>
    <t>seq_950_10</t>
  </si>
  <si>
    <t>seq_950_11</t>
  </si>
  <si>
    <t>seq_950_12</t>
  </si>
  <si>
    <t>seq_950_13</t>
  </si>
  <si>
    <t>seq_950_14</t>
  </si>
  <si>
    <t>seq_950_15</t>
  </si>
  <si>
    <t>seq_950_16</t>
  </si>
  <si>
    <t>seq_950_17</t>
  </si>
  <si>
    <t>seq_950_18</t>
  </si>
  <si>
    <t>seq_950_19</t>
  </si>
  <si>
    <t>seq_950_20</t>
  </si>
  <si>
    <t>seq_950_21</t>
  </si>
  <si>
    <t>seq_950_22</t>
  </si>
  <si>
    <t>seq_950_23</t>
  </si>
  <si>
    <t>seq_950_24</t>
  </si>
  <si>
    <t>seq_950_25</t>
  </si>
  <si>
    <t>seq_950_26</t>
  </si>
  <si>
    <t>seq_950_27</t>
  </si>
  <si>
    <t>seq_950_28</t>
  </si>
  <si>
    <t>seq_950_29</t>
  </si>
  <si>
    <t>seq_950_30</t>
  </si>
  <si>
    <t>seq_950_31</t>
  </si>
  <si>
    <t>seq_950_32</t>
  </si>
  <si>
    <t>seq_950_33</t>
  </si>
  <si>
    <t>seq_950_34</t>
  </si>
  <si>
    <t>seq_950_35</t>
  </si>
  <si>
    <t>seq_950_36</t>
  </si>
  <si>
    <t>seq_950_37</t>
  </si>
  <si>
    <t>seq_950_38</t>
  </si>
  <si>
    <t>seq_950_39</t>
  </si>
  <si>
    <t>seq_950_40</t>
  </si>
  <si>
    <t>seq_950_41</t>
  </si>
  <si>
    <t>seq_950_42</t>
  </si>
  <si>
    <t>seq_950_43</t>
  </si>
  <si>
    <t>seq_950_44</t>
  </si>
  <si>
    <t>seq_950_45</t>
  </si>
  <si>
    <t>seq_950_46</t>
  </si>
  <si>
    <t>seq_950_47</t>
  </si>
  <si>
    <t>seq_950_48</t>
  </si>
  <si>
    <t>seq_950_49</t>
  </si>
  <si>
    <t>seq_950_50</t>
  </si>
  <si>
    <t>seq_950_51</t>
  </si>
  <si>
    <t>seq_950_52</t>
  </si>
  <si>
    <t>seq_950_53</t>
  </si>
  <si>
    <t>seq_950_54</t>
  </si>
  <si>
    <t>seq_950_55</t>
  </si>
  <si>
    <t>seq_950_56</t>
  </si>
  <si>
    <t>seq_950_57</t>
  </si>
  <si>
    <t>seq_950_58</t>
  </si>
  <si>
    <t>seq_950_59</t>
  </si>
  <si>
    <t>seq_950_60</t>
  </si>
  <si>
    <t>seq_950_61</t>
  </si>
  <si>
    <t>seq_950_62</t>
  </si>
  <si>
    <t>seq_950_63</t>
  </si>
  <si>
    <t>seq_950_64</t>
  </si>
  <si>
    <t>seq_950_65</t>
  </si>
  <si>
    <t>seq_950_66</t>
  </si>
  <si>
    <t>seq_950_67</t>
  </si>
  <si>
    <t>seq_950_68</t>
  </si>
  <si>
    <t>seq_950_69</t>
  </si>
  <si>
    <t>seq_950_70</t>
  </si>
  <si>
    <t>seq_950_71</t>
  </si>
  <si>
    <t>seq_950_72</t>
  </si>
  <si>
    <t>seq_950_73</t>
  </si>
  <si>
    <t>seq_950_74</t>
  </si>
  <si>
    <t>seq_950_75</t>
  </si>
  <si>
    <t>seq_950_76</t>
  </si>
  <si>
    <t>seq_950_77</t>
  </si>
  <si>
    <t>seq_950_78</t>
  </si>
  <si>
    <t>seq_950_79</t>
  </si>
  <si>
    <t>seq_950_80</t>
  </si>
  <si>
    <t>seq_950_81</t>
  </si>
  <si>
    <t>seq_950_82</t>
  </si>
  <si>
    <t>seq_950_83</t>
  </si>
  <si>
    <t>seq_950_84</t>
  </si>
  <si>
    <t>seq_950_85</t>
  </si>
  <si>
    <t>seq_950_86</t>
  </si>
  <si>
    <t>seq_950_87</t>
  </si>
  <si>
    <t>seq_950_88</t>
  </si>
  <si>
    <t>seq_950_89</t>
  </si>
  <si>
    <t>seq_950_90</t>
  </si>
  <si>
    <t>seq_950_91</t>
  </si>
  <si>
    <t>seq_950_92</t>
  </si>
  <si>
    <t>seq_950_93</t>
  </si>
  <si>
    <t>seq_950_94</t>
  </si>
  <si>
    <t>seq_950_95</t>
  </si>
  <si>
    <t>seq_950_96</t>
  </si>
  <si>
    <t>seq_950_97</t>
  </si>
  <si>
    <t>seq_950_98</t>
  </si>
  <si>
    <t>seq_950_99</t>
  </si>
  <si>
    <t>seq_1000_0</t>
  </si>
  <si>
    <t>seq_1000_1</t>
  </si>
  <si>
    <t>seq_1000_2</t>
  </si>
  <si>
    <t>seq_1000_3</t>
  </si>
  <si>
    <t>seq_1000_4</t>
  </si>
  <si>
    <t>seq_1000_5</t>
  </si>
  <si>
    <t>seq_1000_6</t>
  </si>
  <si>
    <t>seq_1000_7</t>
  </si>
  <si>
    <t>seq_1000_8</t>
  </si>
  <si>
    <t>seq_1000_9</t>
  </si>
  <si>
    <t>seq_1000_10</t>
  </si>
  <si>
    <t>seq_1000_11</t>
  </si>
  <si>
    <t>seq_1000_12</t>
  </si>
  <si>
    <t>seq_1000_13</t>
  </si>
  <si>
    <t>seq_1000_14</t>
  </si>
  <si>
    <t>seq_1000_15</t>
  </si>
  <si>
    <t>seq_1000_16</t>
  </si>
  <si>
    <t>seq_1000_17</t>
  </si>
  <si>
    <t>seq_1000_18</t>
  </si>
  <si>
    <t>seq_1000_19</t>
  </si>
  <si>
    <t>seq_1000_20</t>
  </si>
  <si>
    <t>seq_1000_21</t>
  </si>
  <si>
    <t>seq_1000_22</t>
  </si>
  <si>
    <t>seq_1000_23</t>
  </si>
  <si>
    <t>seq_1000_24</t>
  </si>
  <si>
    <t>seq_1000_25</t>
  </si>
  <si>
    <t>seq_1000_26</t>
  </si>
  <si>
    <t>seq_1000_27</t>
  </si>
  <si>
    <t>seq_1000_28</t>
  </si>
  <si>
    <t>seq_1000_29</t>
  </si>
  <si>
    <t>seq_1000_30</t>
  </si>
  <si>
    <t>seq_1000_31</t>
  </si>
  <si>
    <t>seq_1000_32</t>
  </si>
  <si>
    <t>seq_1000_33</t>
  </si>
  <si>
    <t>seq_1000_34</t>
  </si>
  <si>
    <t>seq_1000_35</t>
  </si>
  <si>
    <t>seq_1000_36</t>
  </si>
  <si>
    <t>seq_1000_37</t>
  </si>
  <si>
    <t>seq_1000_38</t>
  </si>
  <si>
    <t>seq_1000_39</t>
  </si>
  <si>
    <t>seq_1000_40</t>
  </si>
  <si>
    <t>seq_1000_41</t>
  </si>
  <si>
    <t>seq_1000_42</t>
  </si>
  <si>
    <t>seq_1000_43</t>
  </si>
  <si>
    <t>seq_1000_44</t>
  </si>
  <si>
    <t>seq_1000_45</t>
  </si>
  <si>
    <t>seq_1000_46</t>
  </si>
  <si>
    <t>seq_1000_47</t>
  </si>
  <si>
    <t>seq_1000_48</t>
  </si>
  <si>
    <t>seq_1000_49</t>
  </si>
  <si>
    <t>seq_1000_50</t>
  </si>
  <si>
    <t>seq_1000_51</t>
  </si>
  <si>
    <t>seq_1000_52</t>
  </si>
  <si>
    <t>seq_1000_53</t>
  </si>
  <si>
    <t>seq_1000_54</t>
  </si>
  <si>
    <t>seq_1000_55</t>
  </si>
  <si>
    <t>seq_1000_56</t>
  </si>
  <si>
    <t>seq_1000_57</t>
  </si>
  <si>
    <t>seq_1000_58</t>
  </si>
  <si>
    <t>seq_1000_59</t>
  </si>
  <si>
    <t>seq_1000_60</t>
  </si>
  <si>
    <t>seq_1000_61</t>
  </si>
  <si>
    <t>seq_1000_62</t>
  </si>
  <si>
    <t>seq_1000_63</t>
  </si>
  <si>
    <t>seq_1000_64</t>
  </si>
  <si>
    <t>seq_1000_65</t>
  </si>
  <si>
    <t>seq_1000_66</t>
  </si>
  <si>
    <t>seq_1000_67</t>
  </si>
  <si>
    <t>seq_1000_68</t>
  </si>
  <si>
    <t>seq_1000_69</t>
  </si>
  <si>
    <t>seq_1000_70</t>
  </si>
  <si>
    <t>seq_1000_71</t>
  </si>
  <si>
    <t>seq_1000_72</t>
  </si>
  <si>
    <t>seq_1000_73</t>
  </si>
  <si>
    <t>seq_1000_74</t>
  </si>
  <si>
    <t>seq_1000_75</t>
  </si>
  <si>
    <t>seq_1000_76</t>
  </si>
  <si>
    <t>seq_1000_77</t>
  </si>
  <si>
    <t>seq_1000_78</t>
  </si>
  <si>
    <t>seq_1000_79</t>
  </si>
  <si>
    <t>seq_1000_80</t>
  </si>
  <si>
    <t>seq_1000_81</t>
  </si>
  <si>
    <t>seq_1000_82</t>
  </si>
  <si>
    <t>seq_1000_83</t>
  </si>
  <si>
    <t>seq_1000_84</t>
  </si>
  <si>
    <t>seq_1000_85</t>
  </si>
  <si>
    <t>seq_1000_86</t>
  </si>
  <si>
    <t>seq_1000_87</t>
  </si>
  <si>
    <t>seq_1000_88</t>
  </si>
  <si>
    <t>seq_1000_89</t>
  </si>
  <si>
    <t>seq_1000_90</t>
  </si>
  <si>
    <t>seq_1000_91</t>
  </si>
  <si>
    <t>seq_1000_92</t>
  </si>
  <si>
    <t>seq_1000_93</t>
  </si>
  <si>
    <t>seq_1000_94</t>
  </si>
  <si>
    <t>seq_1000_95</t>
  </si>
  <si>
    <t>seq_1000_96</t>
  </si>
  <si>
    <t>seq_1000_97</t>
  </si>
  <si>
    <t>seq_1000_98</t>
  </si>
  <si>
    <t>seq_1000_99</t>
  </si>
  <si>
    <t>seq_1050_0</t>
  </si>
  <si>
    <t>seq_1050_1</t>
  </si>
  <si>
    <t>seq_1050_2</t>
  </si>
  <si>
    <t>seq_1050_3</t>
  </si>
  <si>
    <t>seq_1050_4</t>
  </si>
  <si>
    <t>seq_1050_5</t>
  </si>
  <si>
    <t>seq_1050_6</t>
  </si>
  <si>
    <t>seq_1050_7</t>
  </si>
  <si>
    <t>seq_1050_8</t>
  </si>
  <si>
    <t>seq_1050_9</t>
  </si>
  <si>
    <t>seq_1050_10</t>
  </si>
  <si>
    <t>seq_1050_11</t>
  </si>
  <si>
    <t>seq_1050_12</t>
  </si>
  <si>
    <t>seq_1050_13</t>
  </si>
  <si>
    <t>seq_1050_14</t>
  </si>
  <si>
    <t>seq_1050_15</t>
  </si>
  <si>
    <t>seq_1050_16</t>
  </si>
  <si>
    <t>seq_1050_17</t>
  </si>
  <si>
    <t>seq_1050_18</t>
  </si>
  <si>
    <t>seq_1050_19</t>
  </si>
  <si>
    <t>seq_1050_20</t>
  </si>
  <si>
    <t>seq_1050_21</t>
  </si>
  <si>
    <t>seq_1050_22</t>
  </si>
  <si>
    <t>seq_1050_23</t>
  </si>
  <si>
    <t>seq_1050_24</t>
  </si>
  <si>
    <t>seq_1050_25</t>
  </si>
  <si>
    <t>seq_1050_26</t>
  </si>
  <si>
    <t>seq_1050_27</t>
  </si>
  <si>
    <t>seq_1050_28</t>
  </si>
  <si>
    <t>seq_1050_29</t>
  </si>
  <si>
    <t>seq_1050_30</t>
  </si>
  <si>
    <t>seq_1050_31</t>
  </si>
  <si>
    <t>seq_1050_32</t>
  </si>
  <si>
    <t>seq_1050_33</t>
  </si>
  <si>
    <t>seq_1050_34</t>
  </si>
  <si>
    <t>seq_1050_35</t>
  </si>
  <si>
    <t>seq_1050_36</t>
  </si>
  <si>
    <t>seq_1050_37</t>
  </si>
  <si>
    <t>seq_1050_38</t>
  </si>
  <si>
    <t>seq_1050_39</t>
  </si>
  <si>
    <t>seq_1050_40</t>
  </si>
  <si>
    <t>seq_1050_41</t>
  </si>
  <si>
    <t>seq_1050_42</t>
  </si>
  <si>
    <t>seq_1050_43</t>
  </si>
  <si>
    <t>seq_1050_44</t>
  </si>
  <si>
    <t>seq_1050_45</t>
  </si>
  <si>
    <t>seq_1050_46</t>
  </si>
  <si>
    <t>seq_1050_47</t>
  </si>
  <si>
    <t>seq_1050_48</t>
  </si>
  <si>
    <t>seq_1050_49</t>
  </si>
  <si>
    <t>seq_1050_50</t>
  </si>
  <si>
    <t>seq_1050_51</t>
  </si>
  <si>
    <t>seq_1050_52</t>
  </si>
  <si>
    <t>seq_1050_53</t>
  </si>
  <si>
    <t>seq_1050_54</t>
  </si>
  <si>
    <t>seq_1050_55</t>
  </si>
  <si>
    <t>seq_1050_56</t>
  </si>
  <si>
    <t>seq_1050_57</t>
  </si>
  <si>
    <t>seq_1050_58</t>
  </si>
  <si>
    <t>seq_1050_59</t>
  </si>
  <si>
    <t>seq_1050_60</t>
  </si>
  <si>
    <t>seq_1050_61</t>
  </si>
  <si>
    <t>seq_1050_62</t>
  </si>
  <si>
    <t>seq_1050_63</t>
  </si>
  <si>
    <t>seq_1050_64</t>
  </si>
  <si>
    <t>seq_1050_65</t>
  </si>
  <si>
    <t>seq_1050_66</t>
  </si>
  <si>
    <t>seq_1050_67</t>
  </si>
  <si>
    <t>seq_1050_68</t>
  </si>
  <si>
    <t>seq_1050_69</t>
  </si>
  <si>
    <t>seq_1050_70</t>
  </si>
  <si>
    <t>seq_1050_71</t>
  </si>
  <si>
    <t>seq_1050_72</t>
  </si>
  <si>
    <t>seq_1050_73</t>
  </si>
  <si>
    <t>seq_1050_74</t>
  </si>
  <si>
    <t>seq_1050_75</t>
  </si>
  <si>
    <t>seq_1050_76</t>
  </si>
  <si>
    <t>seq_1050_77</t>
  </si>
  <si>
    <t>seq_1050_78</t>
  </si>
  <si>
    <t>seq_1050_79</t>
  </si>
  <si>
    <t>seq_1050_80</t>
  </si>
  <si>
    <t>seq_1050_81</t>
  </si>
  <si>
    <t>seq_1050_82</t>
  </si>
  <si>
    <t>seq_1050_83</t>
  </si>
  <si>
    <t>seq_1050_84</t>
  </si>
  <si>
    <t>seq_1050_85</t>
  </si>
  <si>
    <t>seq_1050_86</t>
  </si>
  <si>
    <t>seq_1050_87</t>
  </si>
  <si>
    <t>seq_1050_88</t>
  </si>
  <si>
    <t>seq_1050_89</t>
  </si>
  <si>
    <t>seq_1050_90</t>
  </si>
  <si>
    <t>seq_1050_91</t>
  </si>
  <si>
    <t>seq_1050_92</t>
  </si>
  <si>
    <t>seq_1050_93</t>
  </si>
  <si>
    <t>seq_1050_94</t>
  </si>
  <si>
    <t>seq_1050_95</t>
  </si>
  <si>
    <t>seq_1050_96</t>
  </si>
  <si>
    <t>seq_1050_97</t>
  </si>
  <si>
    <t>seq_1050_98</t>
  </si>
  <si>
    <t>seq_1050_99</t>
  </si>
  <si>
    <t>seq_1100_0</t>
  </si>
  <si>
    <t>seq_1100_1</t>
  </si>
  <si>
    <t>seq_1100_2</t>
  </si>
  <si>
    <t>seq_1100_3</t>
  </si>
  <si>
    <t>seq_1100_4</t>
  </si>
  <si>
    <t>seq_1100_5</t>
  </si>
  <si>
    <t>seq_1100_6</t>
  </si>
  <si>
    <t>seq_1100_7</t>
  </si>
  <si>
    <t>seq_1100_8</t>
  </si>
  <si>
    <t>seq_1100_9</t>
  </si>
  <si>
    <t>seq_1100_10</t>
  </si>
  <si>
    <t>seq_1100_11</t>
  </si>
  <si>
    <t>seq_1100_12</t>
  </si>
  <si>
    <t>seq_1100_13</t>
  </si>
  <si>
    <t>seq_1100_14</t>
  </si>
  <si>
    <t>seq_1100_15</t>
  </si>
  <si>
    <t>seq_1100_16</t>
  </si>
  <si>
    <t>seq_1100_17</t>
  </si>
  <si>
    <t>seq_1100_18</t>
  </si>
  <si>
    <t>seq_1100_19</t>
  </si>
  <si>
    <t>seq_1100_20</t>
  </si>
  <si>
    <t>seq_1100_21</t>
  </si>
  <si>
    <t>seq_1100_22</t>
  </si>
  <si>
    <t>seq_1100_23</t>
  </si>
  <si>
    <t>seq_1100_24</t>
  </si>
  <si>
    <t>seq_1100_25</t>
  </si>
  <si>
    <t>seq_1100_26</t>
  </si>
  <si>
    <t>seq_1100_27</t>
  </si>
  <si>
    <t>seq_1100_28</t>
  </si>
  <si>
    <t>seq_1100_29</t>
  </si>
  <si>
    <t>seq_1100_30</t>
  </si>
  <si>
    <t>seq_1100_31</t>
  </si>
  <si>
    <t>seq_1100_32</t>
  </si>
  <si>
    <t>seq_1100_33</t>
  </si>
  <si>
    <t>seq_1100_34</t>
  </si>
  <si>
    <t>seq_1100_35</t>
  </si>
  <si>
    <t>seq_1100_36</t>
  </si>
  <si>
    <t>seq_1100_37</t>
  </si>
  <si>
    <t>seq_1100_38</t>
  </si>
  <si>
    <t>seq_1100_39</t>
  </si>
  <si>
    <t>seq_1100_40</t>
  </si>
  <si>
    <t>seq_1100_41</t>
  </si>
  <si>
    <t>seq_1100_42</t>
  </si>
  <si>
    <t>seq_1100_43</t>
  </si>
  <si>
    <t>seq_1100_44</t>
  </si>
  <si>
    <t>seq_1100_45</t>
  </si>
  <si>
    <t>seq_1100_46</t>
  </si>
  <si>
    <t>seq_1100_47</t>
  </si>
  <si>
    <t>seq_1100_48</t>
  </si>
  <si>
    <t>seq_1100_49</t>
  </si>
  <si>
    <t>seq_1100_50</t>
  </si>
  <si>
    <t>seq_1100_51</t>
  </si>
  <si>
    <t>seq_1100_52</t>
  </si>
  <si>
    <t>seq_1100_53</t>
  </si>
  <si>
    <t>seq_1100_54</t>
  </si>
  <si>
    <t>seq_1100_55</t>
  </si>
  <si>
    <t>seq_1100_56</t>
  </si>
  <si>
    <t>seq_1100_57</t>
  </si>
  <si>
    <t>seq_1100_58</t>
  </si>
  <si>
    <t>seq_1100_59</t>
  </si>
  <si>
    <t>seq_1100_60</t>
  </si>
  <si>
    <t>seq_1100_61</t>
  </si>
  <si>
    <t>seq_1100_62</t>
  </si>
  <si>
    <t>seq_1100_63</t>
  </si>
  <si>
    <t>seq_1100_64</t>
  </si>
  <si>
    <t>seq_1100_65</t>
  </si>
  <si>
    <t>seq_1100_66</t>
  </si>
  <si>
    <t>seq_1100_67</t>
  </si>
  <si>
    <t>seq_1100_68</t>
  </si>
  <si>
    <t>seq_1100_69</t>
  </si>
  <si>
    <t>seq_1100_70</t>
  </si>
  <si>
    <t>seq_1100_71</t>
  </si>
  <si>
    <t>seq_1100_72</t>
  </si>
  <si>
    <t>seq_1100_73</t>
  </si>
  <si>
    <t>seq_1100_74</t>
  </si>
  <si>
    <t>seq_1100_75</t>
  </si>
  <si>
    <t>seq_1100_76</t>
  </si>
  <si>
    <t>seq_1100_77</t>
  </si>
  <si>
    <t>seq_1100_78</t>
  </si>
  <si>
    <t>seq_1100_79</t>
  </si>
  <si>
    <t>seq_1100_80</t>
  </si>
  <si>
    <t>seq_1100_81</t>
  </si>
  <si>
    <t>seq_1100_82</t>
  </si>
  <si>
    <t>seq_1100_83</t>
  </si>
  <si>
    <t>seq_1100_84</t>
  </si>
  <si>
    <t>seq_1100_85</t>
  </si>
  <si>
    <t>seq_1100_86</t>
  </si>
  <si>
    <t>seq_1100_87</t>
  </si>
  <si>
    <t>seq_1100_88</t>
  </si>
  <si>
    <t>seq_1100_89</t>
  </si>
  <si>
    <t>seq_1100_90</t>
  </si>
  <si>
    <t>seq_1100_91</t>
  </si>
  <si>
    <t>seq_1100_92</t>
  </si>
  <si>
    <t>seq_1100_93</t>
  </si>
  <si>
    <t>seq_1100_94</t>
  </si>
  <si>
    <t>seq_1100_95</t>
  </si>
  <si>
    <t>seq_1100_96</t>
  </si>
  <si>
    <t>seq_1100_97</t>
  </si>
  <si>
    <t>seq_1100_98</t>
  </si>
  <si>
    <t>seq_1100_99</t>
  </si>
  <si>
    <t>seq_1150_0</t>
  </si>
  <si>
    <t>seq_1150_1</t>
  </si>
  <si>
    <t>seq_1150_2</t>
  </si>
  <si>
    <t>seq_1150_3</t>
  </si>
  <si>
    <t>seq_1150_4</t>
  </si>
  <si>
    <t>seq_1150_5</t>
  </si>
  <si>
    <t>seq_1150_6</t>
  </si>
  <si>
    <t>seq_1150_7</t>
  </si>
  <si>
    <t>seq_1150_8</t>
  </si>
  <si>
    <t>seq_1150_9</t>
  </si>
  <si>
    <t>seq_1150_10</t>
  </si>
  <si>
    <t>seq_1150_11</t>
  </si>
  <si>
    <t>seq_1150_12</t>
  </si>
  <si>
    <t>seq_1150_13</t>
  </si>
  <si>
    <t>seq_1150_14</t>
  </si>
  <si>
    <t>seq_1150_15</t>
  </si>
  <si>
    <t>seq_1150_16</t>
  </si>
  <si>
    <t>seq_1150_17</t>
  </si>
  <si>
    <t>seq_1150_18</t>
  </si>
  <si>
    <t>seq_1150_19</t>
  </si>
  <si>
    <t>seq_1150_20</t>
  </si>
  <si>
    <t>seq_1150_21</t>
  </si>
  <si>
    <t>seq_1150_22</t>
  </si>
  <si>
    <t>seq_1150_23</t>
  </si>
  <si>
    <t>seq_1150_24</t>
  </si>
  <si>
    <t>seq_1150_25</t>
  </si>
  <si>
    <t>seq_1150_26</t>
  </si>
  <si>
    <t>seq_1150_27</t>
  </si>
  <si>
    <t>seq_1150_28</t>
  </si>
  <si>
    <t>seq_1150_29</t>
  </si>
  <si>
    <t>seq_1150_30</t>
  </si>
  <si>
    <t>seq_1150_31</t>
  </si>
  <si>
    <t>seq_1150_32</t>
  </si>
  <si>
    <t>seq_1150_33</t>
  </si>
  <si>
    <t>seq_1150_34</t>
  </si>
  <si>
    <t>seq_1150_35</t>
  </si>
  <si>
    <t>seq_1150_36</t>
  </si>
  <si>
    <t>seq_1150_37</t>
  </si>
  <si>
    <t>seq_1150_38</t>
  </si>
  <si>
    <t>seq_1150_39</t>
  </si>
  <si>
    <t>seq_1150_40</t>
  </si>
  <si>
    <t>seq_1150_41</t>
  </si>
  <si>
    <t>seq_1150_42</t>
  </si>
  <si>
    <t>seq_1150_43</t>
  </si>
  <si>
    <t>seq_1150_44</t>
  </si>
  <si>
    <t>seq_1150_45</t>
  </si>
  <si>
    <t>seq_1150_46</t>
  </si>
  <si>
    <t>seq_1150_47</t>
  </si>
  <si>
    <t>seq_1150_48</t>
  </si>
  <si>
    <t>seq_1150_49</t>
  </si>
  <si>
    <t>seq_1150_50</t>
  </si>
  <si>
    <t>seq_1150_51</t>
  </si>
  <si>
    <t>seq_1150_52</t>
  </si>
  <si>
    <t>seq_1150_53</t>
  </si>
  <si>
    <t>seq_1150_54</t>
  </si>
  <si>
    <t>seq_1150_55</t>
  </si>
  <si>
    <t>seq_1150_56</t>
  </si>
  <si>
    <t>seq_1150_57</t>
  </si>
  <si>
    <t>seq_1150_58</t>
  </si>
  <si>
    <t>seq_1150_59</t>
  </si>
  <si>
    <t>seq_1150_60</t>
  </si>
  <si>
    <t>seq_1150_61</t>
  </si>
  <si>
    <t>seq_1150_62</t>
  </si>
  <si>
    <t>seq_1150_63</t>
  </si>
  <si>
    <t>seq_1150_64</t>
  </si>
  <si>
    <t>seq_1150_65</t>
  </si>
  <si>
    <t>seq_1150_66</t>
  </si>
  <si>
    <t>seq_1150_67</t>
  </si>
  <si>
    <t>seq_1150_68</t>
  </si>
  <si>
    <t>seq_1150_69</t>
  </si>
  <si>
    <t>seq_1150_70</t>
  </si>
  <si>
    <t>seq_1150_71</t>
  </si>
  <si>
    <t>seq_1150_72</t>
  </si>
  <si>
    <t>seq_1150_73</t>
  </si>
  <si>
    <t>seq_1150_74</t>
  </si>
  <si>
    <t>seq_1150_75</t>
  </si>
  <si>
    <t>seq_1150_76</t>
  </si>
  <si>
    <t>seq_1150_77</t>
  </si>
  <si>
    <t>seq_1150_78</t>
  </si>
  <si>
    <t>seq_1150_79</t>
  </si>
  <si>
    <t>seq_1150_80</t>
  </si>
  <si>
    <t>seq_1150_81</t>
  </si>
  <si>
    <t>seq_1150_82</t>
  </si>
  <si>
    <t>seq_1150_83</t>
  </si>
  <si>
    <t>seq_1150_84</t>
  </si>
  <si>
    <t>seq_1150_85</t>
  </si>
  <si>
    <t>seq_1150_86</t>
  </si>
  <si>
    <t>seq_1150_87</t>
  </si>
  <si>
    <t>seq_1150_88</t>
  </si>
  <si>
    <t>seq_1150_89</t>
  </si>
  <si>
    <t>seq_1150_90</t>
  </si>
  <si>
    <t>seq_1150_91</t>
  </si>
  <si>
    <t>seq_1150_92</t>
  </si>
  <si>
    <t>seq_1150_93</t>
  </si>
  <si>
    <t>seq_1150_94</t>
  </si>
  <si>
    <t>seq_1150_95</t>
  </si>
  <si>
    <t>seq_1150_96</t>
  </si>
  <si>
    <t>seq_1150_97</t>
  </si>
  <si>
    <t>seq_1150_98</t>
  </si>
  <si>
    <t>seq_1150_99</t>
  </si>
  <si>
    <t>seq_1200_0</t>
  </si>
  <si>
    <t>seq_1200_1</t>
  </si>
  <si>
    <t>seq_1200_2</t>
  </si>
  <si>
    <t>seq_1200_3</t>
  </si>
  <si>
    <t>seq_1200_4</t>
  </si>
  <si>
    <t>seq_1200_5</t>
  </si>
  <si>
    <t>seq_1200_6</t>
  </si>
  <si>
    <t>seq_1200_7</t>
  </si>
  <si>
    <t>seq_1200_8</t>
  </si>
  <si>
    <t>seq_1200_9</t>
  </si>
  <si>
    <t>seq_1200_10</t>
  </si>
  <si>
    <t>seq_1200_11</t>
  </si>
  <si>
    <t>seq_1200_12</t>
  </si>
  <si>
    <t>seq_1200_13</t>
  </si>
  <si>
    <t>seq_1200_14</t>
  </si>
  <si>
    <t>seq_1200_15</t>
  </si>
  <si>
    <t>seq_1200_16</t>
  </si>
  <si>
    <t>seq_1200_17</t>
  </si>
  <si>
    <t>seq_1200_18</t>
  </si>
  <si>
    <t>seq_1200_19</t>
  </si>
  <si>
    <t>seq_1200_20</t>
  </si>
  <si>
    <t>seq_1200_21</t>
  </si>
  <si>
    <t>seq_1200_22</t>
  </si>
  <si>
    <t>seq_1200_23</t>
  </si>
  <si>
    <t>seq_1200_24</t>
  </si>
  <si>
    <t>seq_1200_25</t>
  </si>
  <si>
    <t>seq_1200_26</t>
  </si>
  <si>
    <t>seq_1200_27</t>
  </si>
  <si>
    <t>seq_1200_28</t>
  </si>
  <si>
    <t>seq_1200_29</t>
  </si>
  <si>
    <t>seq_1200_30</t>
  </si>
  <si>
    <t>seq_1200_31</t>
  </si>
  <si>
    <t>seq_1200_32</t>
  </si>
  <si>
    <t>seq_1200_33</t>
  </si>
  <si>
    <t>seq_1200_34</t>
  </si>
  <si>
    <t>seq_1200_35</t>
  </si>
  <si>
    <t>seq_1200_36</t>
  </si>
  <si>
    <t>seq_1200_37</t>
  </si>
  <si>
    <t>seq_1200_38</t>
  </si>
  <si>
    <t>seq_1200_39</t>
  </si>
  <si>
    <t>seq_1200_40</t>
  </si>
  <si>
    <t>seq_1200_41</t>
  </si>
  <si>
    <t>seq_1200_42</t>
  </si>
  <si>
    <t>seq_1200_43</t>
  </si>
  <si>
    <t>seq_1200_44</t>
  </si>
  <si>
    <t>seq_1200_45</t>
  </si>
  <si>
    <t>seq_1200_46</t>
  </si>
  <si>
    <t>seq_1200_47</t>
  </si>
  <si>
    <t>seq_1200_48</t>
  </si>
  <si>
    <t>seq_1200_49</t>
  </si>
  <si>
    <t>seq_1200_50</t>
  </si>
  <si>
    <t>seq_1200_51</t>
  </si>
  <si>
    <t>seq_1200_52</t>
  </si>
  <si>
    <t>seq_1200_53</t>
  </si>
  <si>
    <t>seq_1200_54</t>
  </si>
  <si>
    <t>seq_1200_55</t>
  </si>
  <si>
    <t>seq_1200_56</t>
  </si>
  <si>
    <t>seq_1200_57</t>
  </si>
  <si>
    <t>seq_1200_58</t>
  </si>
  <si>
    <t>seq_1200_59</t>
  </si>
  <si>
    <t>seq_1200_60</t>
  </si>
  <si>
    <t>seq_1200_61</t>
  </si>
  <si>
    <t>seq_1200_62</t>
  </si>
  <si>
    <t>seq_1200_63</t>
  </si>
  <si>
    <t>seq_1200_64</t>
  </si>
  <si>
    <t>seq_1200_65</t>
  </si>
  <si>
    <t>seq_1200_66</t>
  </si>
  <si>
    <t>seq_1200_67</t>
  </si>
  <si>
    <t>seq_1200_68</t>
  </si>
  <si>
    <t>seq_1200_69</t>
  </si>
  <si>
    <t>seq_1200_70</t>
  </si>
  <si>
    <t>seq_1200_71</t>
  </si>
  <si>
    <t>seq_1200_72</t>
  </si>
  <si>
    <t>seq_1200_73</t>
  </si>
  <si>
    <t>seq_1200_74</t>
  </si>
  <si>
    <t>seq_1200_75</t>
  </si>
  <si>
    <t>seq_1200_76</t>
  </si>
  <si>
    <t>seq_1200_77</t>
  </si>
  <si>
    <t>seq_1200_78</t>
  </si>
  <si>
    <t>seq_1200_79</t>
  </si>
  <si>
    <t>seq_1200_80</t>
  </si>
  <si>
    <t>seq_1200_81</t>
  </si>
  <si>
    <t>seq_1200_82</t>
  </si>
  <si>
    <t>seq_1200_83</t>
  </si>
  <si>
    <t>seq_1200_84</t>
  </si>
  <si>
    <t>seq_1200_85</t>
  </si>
  <si>
    <t>seq_1200_86</t>
  </si>
  <si>
    <t>seq_1200_87</t>
  </si>
  <si>
    <t>seq_1200_88</t>
  </si>
  <si>
    <t>seq_1200_89</t>
  </si>
  <si>
    <t>seq_1200_90</t>
  </si>
  <si>
    <t>seq_1200_91</t>
  </si>
  <si>
    <t>seq_1200_92</t>
  </si>
  <si>
    <t>seq_1200_93</t>
  </si>
  <si>
    <t>seq_1200_94</t>
  </si>
  <si>
    <t>seq_1200_95</t>
  </si>
  <si>
    <t>seq_1200_96</t>
  </si>
  <si>
    <t>seq_1200_97</t>
  </si>
  <si>
    <t>seq_1200_98</t>
  </si>
  <si>
    <t>seq_1200_99</t>
  </si>
  <si>
    <t>seq_1250_0</t>
  </si>
  <si>
    <t>seq_1250_1</t>
  </si>
  <si>
    <t>seq_1250_2</t>
  </si>
  <si>
    <t>seq_1250_3</t>
  </si>
  <si>
    <t>seq_1250_4</t>
  </si>
  <si>
    <t>seq_1250_5</t>
  </si>
  <si>
    <t>seq_1250_6</t>
  </si>
  <si>
    <t>seq_1250_7</t>
  </si>
  <si>
    <t>seq_1250_8</t>
  </si>
  <si>
    <t>seq_1250_9</t>
  </si>
  <si>
    <t>seq_1250_10</t>
  </si>
  <si>
    <t>seq_1250_11</t>
  </si>
  <si>
    <t>seq_1250_12</t>
  </si>
  <si>
    <t>seq_1250_13</t>
  </si>
  <si>
    <t>seq_1250_14</t>
  </si>
  <si>
    <t>seq_1250_15</t>
  </si>
  <si>
    <t>seq_1250_16</t>
  </si>
  <si>
    <t>seq_1250_17</t>
  </si>
  <si>
    <t>seq_1250_18</t>
  </si>
  <si>
    <t>seq_1250_19</t>
  </si>
  <si>
    <t>seq_1250_20</t>
  </si>
  <si>
    <t>seq_1250_21</t>
  </si>
  <si>
    <t>seq_1250_22</t>
  </si>
  <si>
    <t>seq_1250_23</t>
  </si>
  <si>
    <t>seq_1250_24</t>
  </si>
  <si>
    <t>seq_1250_25</t>
  </si>
  <si>
    <t>seq_1250_26</t>
  </si>
  <si>
    <t>seq_1250_27</t>
  </si>
  <si>
    <t>seq_1250_28</t>
  </si>
  <si>
    <t>seq_1250_29</t>
  </si>
  <si>
    <t>seq_1250_30</t>
  </si>
  <si>
    <t>seq_1250_31</t>
  </si>
  <si>
    <t>seq_1250_32</t>
  </si>
  <si>
    <t>seq_1250_33</t>
  </si>
  <si>
    <t>seq_1250_34</t>
  </si>
  <si>
    <t>seq_1250_35</t>
  </si>
  <si>
    <t>seq_1250_36</t>
  </si>
  <si>
    <t>seq_1250_37</t>
  </si>
  <si>
    <t>seq_1250_38</t>
  </si>
  <si>
    <t>seq_1250_39</t>
  </si>
  <si>
    <t>seq_1250_40</t>
  </si>
  <si>
    <t>seq_1250_41</t>
  </si>
  <si>
    <t>seq_1250_42</t>
  </si>
  <si>
    <t>seq_1250_43</t>
  </si>
  <si>
    <t>seq_1250_44</t>
  </si>
  <si>
    <t>seq_1250_45</t>
  </si>
  <si>
    <t>seq_1250_46</t>
  </si>
  <si>
    <t>seq_1250_47</t>
  </si>
  <si>
    <t>seq_1250_48</t>
  </si>
  <si>
    <t>seq_1250_49</t>
  </si>
  <si>
    <t>seq_1250_50</t>
  </si>
  <si>
    <t>seq_1250_51</t>
  </si>
  <si>
    <t>seq_1250_52</t>
  </si>
  <si>
    <t>seq_1250_53</t>
  </si>
  <si>
    <t>seq_1250_54</t>
  </si>
  <si>
    <t>seq_1250_55</t>
  </si>
  <si>
    <t>seq_1250_56</t>
  </si>
  <si>
    <t>seq_1250_57</t>
  </si>
  <si>
    <t>seq_1250_58</t>
  </si>
  <si>
    <t>seq_1250_59</t>
  </si>
  <si>
    <t>seq_1250_60</t>
  </si>
  <si>
    <t>seq_1250_61</t>
  </si>
  <si>
    <t>seq_1250_62</t>
  </si>
  <si>
    <t>seq_1250_63</t>
  </si>
  <si>
    <t>seq_1250_64</t>
  </si>
  <si>
    <t>seq_1250_65</t>
  </si>
  <si>
    <t>seq_1250_66</t>
  </si>
  <si>
    <t>seq_1250_67</t>
  </si>
  <si>
    <t>seq_1250_68</t>
  </si>
  <si>
    <t>seq_1250_69</t>
  </si>
  <si>
    <t>seq_1250_70</t>
  </si>
  <si>
    <t>seq_1250_71</t>
  </si>
  <si>
    <t>seq_1250_72</t>
  </si>
  <si>
    <t>seq_1250_73</t>
  </si>
  <si>
    <t>seq_1250_74</t>
  </si>
  <si>
    <t>seq_1250_75</t>
  </si>
  <si>
    <t>seq_1250_76</t>
  </si>
  <si>
    <t>seq_1250_77</t>
  </si>
  <si>
    <t>seq_1250_78</t>
  </si>
  <si>
    <t>seq_1250_79</t>
  </si>
  <si>
    <t>seq_1250_80</t>
  </si>
  <si>
    <t>seq_1250_81</t>
  </si>
  <si>
    <t>seq_1250_82</t>
  </si>
  <si>
    <t>seq_1250_83</t>
  </si>
  <si>
    <t>seq_1250_84</t>
  </si>
  <si>
    <t>seq_1250_85</t>
  </si>
  <si>
    <t>seq_1250_86</t>
  </si>
  <si>
    <t>seq_1250_87</t>
  </si>
  <si>
    <t>seq_1250_88</t>
  </si>
  <si>
    <t>seq_1250_89</t>
  </si>
  <si>
    <t>seq_1250_90</t>
  </si>
  <si>
    <t>seq_1250_91</t>
  </si>
  <si>
    <t>seq_1250_92</t>
  </si>
  <si>
    <t>seq_1250_93</t>
  </si>
  <si>
    <t>seq_1250_94</t>
  </si>
  <si>
    <t>seq_1250_95</t>
  </si>
  <si>
    <t>seq_1250_96</t>
  </si>
  <si>
    <t>seq_1250_97</t>
  </si>
  <si>
    <t>seq_1250_98</t>
  </si>
  <si>
    <t>seq_1250_99</t>
  </si>
  <si>
    <t>seq_1300_0</t>
  </si>
  <si>
    <t>seq_1300_1</t>
  </si>
  <si>
    <t>seq_1300_2</t>
  </si>
  <si>
    <t>seq_1300_3</t>
  </si>
  <si>
    <t>seq_1300_4</t>
  </si>
  <si>
    <t>seq_1300_5</t>
  </si>
  <si>
    <t>seq_1300_6</t>
  </si>
  <si>
    <t>seq_1300_7</t>
  </si>
  <si>
    <t>seq_1300_8</t>
  </si>
  <si>
    <t>seq_1300_9</t>
  </si>
  <si>
    <t>seq_1300_10</t>
  </si>
  <si>
    <t>seq_1300_11</t>
  </si>
  <si>
    <t>seq_1300_12</t>
  </si>
  <si>
    <t>seq_1300_13</t>
  </si>
  <si>
    <t>seq_1300_14</t>
  </si>
  <si>
    <t>seq_1300_15</t>
  </si>
  <si>
    <t>seq_1300_16</t>
  </si>
  <si>
    <t>seq_1300_17</t>
  </si>
  <si>
    <t>seq_1300_18</t>
  </si>
  <si>
    <t>seq_1300_19</t>
  </si>
  <si>
    <t>seq_1300_20</t>
  </si>
  <si>
    <t>seq_1300_21</t>
  </si>
  <si>
    <t>seq_1300_22</t>
  </si>
  <si>
    <t>seq_1300_23</t>
  </si>
  <si>
    <t>seq_1300_24</t>
  </si>
  <si>
    <t>seq_1300_25</t>
  </si>
  <si>
    <t>seq_1300_26</t>
  </si>
  <si>
    <t>seq_1300_27</t>
  </si>
  <si>
    <t>seq_1300_28</t>
  </si>
  <si>
    <t>seq_1300_29</t>
  </si>
  <si>
    <t>seq_1300_30</t>
  </si>
  <si>
    <t>seq_1300_31</t>
  </si>
  <si>
    <t>seq_1300_32</t>
  </si>
  <si>
    <t>seq_1300_33</t>
  </si>
  <si>
    <t>seq_1300_34</t>
  </si>
  <si>
    <t>seq_1300_35</t>
  </si>
  <si>
    <t>seq_1300_36</t>
  </si>
  <si>
    <t>seq_1300_37</t>
  </si>
  <si>
    <t>seq_1300_38</t>
  </si>
  <si>
    <t>seq_1300_39</t>
  </si>
  <si>
    <t>seq_1300_40</t>
  </si>
  <si>
    <t>seq_1300_41</t>
  </si>
  <si>
    <t>seq_1300_42</t>
  </si>
  <si>
    <t>seq_1300_43</t>
  </si>
  <si>
    <t>seq_1300_44</t>
  </si>
  <si>
    <t>seq_1300_45</t>
  </si>
  <si>
    <t>seq_1300_46</t>
  </si>
  <si>
    <t>seq_1300_47</t>
  </si>
  <si>
    <t>seq_1300_48</t>
  </si>
  <si>
    <t>seq_1300_49</t>
  </si>
  <si>
    <t>seq_1300_50</t>
  </si>
  <si>
    <t>seq_1300_51</t>
  </si>
  <si>
    <t>seq_1300_52</t>
  </si>
  <si>
    <t>seq_1300_53</t>
  </si>
  <si>
    <t>seq_1300_54</t>
  </si>
  <si>
    <t>seq_1300_55</t>
  </si>
  <si>
    <t>seq_1300_56</t>
  </si>
  <si>
    <t>seq_1300_57</t>
  </si>
  <si>
    <t>seq_1300_58</t>
  </si>
  <si>
    <t>seq_1300_59</t>
  </si>
  <si>
    <t>seq_1300_60</t>
  </si>
  <si>
    <t>seq_1300_61</t>
  </si>
  <si>
    <t>seq_1300_62</t>
  </si>
  <si>
    <t>seq_1300_63</t>
  </si>
  <si>
    <t>seq_1300_64</t>
  </si>
  <si>
    <t>seq_1300_65</t>
  </si>
  <si>
    <t>seq_1300_66</t>
  </si>
  <si>
    <t>seq_1300_67</t>
  </si>
  <si>
    <t>seq_1300_68</t>
  </si>
  <si>
    <t>seq_1300_69</t>
  </si>
  <si>
    <t>seq_1300_70</t>
  </si>
  <si>
    <t>seq_1300_71</t>
  </si>
  <si>
    <t>seq_1300_72</t>
  </si>
  <si>
    <t>seq_1300_73</t>
  </si>
  <si>
    <t>seq_1300_74</t>
  </si>
  <si>
    <t>seq_1300_75</t>
  </si>
  <si>
    <t>seq_1300_76</t>
  </si>
  <si>
    <t>seq_1300_77</t>
  </si>
  <si>
    <t>seq_1300_78</t>
  </si>
  <si>
    <t>seq_1300_79</t>
  </si>
  <si>
    <t>seq_1300_80</t>
  </si>
  <si>
    <t>seq_1300_81</t>
  </si>
  <si>
    <t>seq_1300_82</t>
  </si>
  <si>
    <t>seq_1300_83</t>
  </si>
  <si>
    <t>seq_1300_84</t>
  </si>
  <si>
    <t>seq_1300_85</t>
  </si>
  <si>
    <t>seq_1300_86</t>
  </si>
  <si>
    <t>seq_1300_87</t>
  </si>
  <si>
    <t>seq_1300_88</t>
  </si>
  <si>
    <t>seq_1300_89</t>
  </si>
  <si>
    <t>seq_1300_90</t>
  </si>
  <si>
    <t>seq_1300_91</t>
  </si>
  <si>
    <t>seq_1300_92</t>
  </si>
  <si>
    <t>seq_1300_93</t>
  </si>
  <si>
    <t>seq_1300_94</t>
  </si>
  <si>
    <t>seq_1300_95</t>
  </si>
  <si>
    <t>seq_1300_96</t>
  </si>
  <si>
    <t>seq_1300_97</t>
  </si>
  <si>
    <t>seq_1300_98</t>
  </si>
  <si>
    <t>seq_1300_99</t>
  </si>
  <si>
    <t>seq_1350_0</t>
  </si>
  <si>
    <t>seq_1350_1</t>
  </si>
  <si>
    <t>seq_1350_2</t>
  </si>
  <si>
    <t>seq_1350_3</t>
  </si>
  <si>
    <t>seq_1350_4</t>
  </si>
  <si>
    <t>seq_1350_5</t>
  </si>
  <si>
    <t>seq_1350_6</t>
  </si>
  <si>
    <t>seq_1350_7</t>
  </si>
  <si>
    <t>seq_1350_8</t>
  </si>
  <si>
    <t>seq_1350_9</t>
  </si>
  <si>
    <t>seq_1350_10</t>
  </si>
  <si>
    <t>seq_1350_11</t>
  </si>
  <si>
    <t>seq_1350_12</t>
  </si>
  <si>
    <t>seq_1350_13</t>
  </si>
  <si>
    <t>seq_1350_14</t>
  </si>
  <si>
    <t>seq_1350_15</t>
  </si>
  <si>
    <t>seq_1350_16</t>
  </si>
  <si>
    <t>seq_1350_17</t>
  </si>
  <si>
    <t>seq_1350_18</t>
  </si>
  <si>
    <t>seq_1350_19</t>
  </si>
  <si>
    <t>seq_1350_20</t>
  </si>
  <si>
    <t>seq_1350_21</t>
  </si>
  <si>
    <t>seq_1350_22</t>
  </si>
  <si>
    <t>seq_1350_23</t>
  </si>
  <si>
    <t>seq_1350_24</t>
  </si>
  <si>
    <t>seq_1350_25</t>
  </si>
  <si>
    <t>seq_1350_26</t>
  </si>
  <si>
    <t>seq_1350_27</t>
  </si>
  <si>
    <t>seq_1350_28</t>
  </si>
  <si>
    <t>seq_1350_29</t>
  </si>
  <si>
    <t>seq_1350_30</t>
  </si>
  <si>
    <t>seq_1350_31</t>
  </si>
  <si>
    <t>seq_1350_32</t>
  </si>
  <si>
    <t>seq_1350_33</t>
  </si>
  <si>
    <t>seq_1350_34</t>
  </si>
  <si>
    <t>seq_1350_35</t>
  </si>
  <si>
    <t>seq_1350_36</t>
  </si>
  <si>
    <t>seq_1350_37</t>
  </si>
  <si>
    <t>seq_1350_38</t>
  </si>
  <si>
    <t>seq_1350_39</t>
  </si>
  <si>
    <t>seq_1350_40</t>
  </si>
  <si>
    <t>seq_1350_41</t>
  </si>
  <si>
    <t>seq_1350_42</t>
  </si>
  <si>
    <t>seq_1350_43</t>
  </si>
  <si>
    <t>seq_1350_44</t>
  </si>
  <si>
    <t>seq_1350_45</t>
  </si>
  <si>
    <t>seq_1350_46</t>
  </si>
  <si>
    <t>seq_1350_47</t>
  </si>
  <si>
    <t>seq_1350_48</t>
  </si>
  <si>
    <t>seq_1350_49</t>
  </si>
  <si>
    <t>seq_1350_50</t>
  </si>
  <si>
    <t>seq_1350_51</t>
  </si>
  <si>
    <t>seq_1350_52</t>
  </si>
  <si>
    <t>seq_1350_53</t>
  </si>
  <si>
    <t>seq_1350_54</t>
  </si>
  <si>
    <t>seq_1350_55</t>
  </si>
  <si>
    <t>seq_1350_56</t>
  </si>
  <si>
    <t>seq_1350_57</t>
  </si>
  <si>
    <t>seq_1350_58</t>
  </si>
  <si>
    <t>seq_1350_59</t>
  </si>
  <si>
    <t>seq_1350_60</t>
  </si>
  <si>
    <t>seq_1350_61</t>
  </si>
  <si>
    <t>seq_1350_62</t>
  </si>
  <si>
    <t>seq_1350_63</t>
  </si>
  <si>
    <t>seq_1350_64</t>
  </si>
  <si>
    <t>seq_1350_65</t>
  </si>
  <si>
    <t>seq_1350_66</t>
  </si>
  <si>
    <t>seq_1350_67</t>
  </si>
  <si>
    <t>seq_1350_68</t>
  </si>
  <si>
    <t>seq_1350_69</t>
  </si>
  <si>
    <t>seq_1350_70</t>
  </si>
  <si>
    <t>seq_1350_71</t>
  </si>
  <si>
    <t>seq_1350_72</t>
  </si>
  <si>
    <t>seq_1350_73</t>
  </si>
  <si>
    <t>seq_1350_74</t>
  </si>
  <si>
    <t>seq_1350_75</t>
  </si>
  <si>
    <t>seq_1350_76</t>
  </si>
  <si>
    <t>seq_1350_77</t>
  </si>
  <si>
    <t>seq_1350_78</t>
  </si>
  <si>
    <t>seq_1350_79</t>
  </si>
  <si>
    <t>seq_1350_80</t>
  </si>
  <si>
    <t>seq_1350_81</t>
  </si>
  <si>
    <t>seq_1350_82</t>
  </si>
  <si>
    <t>seq_1350_83</t>
  </si>
  <si>
    <t>seq_1350_84</t>
  </si>
  <si>
    <t>seq_1350_85</t>
  </si>
  <si>
    <t>seq_1350_86</t>
  </si>
  <si>
    <t>seq_1350_87</t>
  </si>
  <si>
    <t>seq_1350_88</t>
  </si>
  <si>
    <t>seq_1350_89</t>
  </si>
  <si>
    <t>seq_1350_90</t>
  </si>
  <si>
    <t>seq_1350_91</t>
  </si>
  <si>
    <t>seq_1350_92</t>
  </si>
  <si>
    <t>seq_1350_93</t>
  </si>
  <si>
    <t>seq_1350_94</t>
  </si>
  <si>
    <t>seq_1350_95</t>
  </si>
  <si>
    <t>seq_1350_96</t>
  </si>
  <si>
    <t>seq_1350_97</t>
  </si>
  <si>
    <t>seq_1350_98</t>
  </si>
  <si>
    <t>seq_1350_99</t>
  </si>
  <si>
    <t>seq_1400_0</t>
  </si>
  <si>
    <t>seq_1400_1</t>
  </si>
  <si>
    <t>seq_1400_2</t>
  </si>
  <si>
    <t>seq_1400_3</t>
  </si>
  <si>
    <t>seq_1400_4</t>
  </si>
  <si>
    <t>seq_1400_5</t>
  </si>
  <si>
    <t>seq_1400_6</t>
  </si>
  <si>
    <t>seq_1400_7</t>
  </si>
  <si>
    <t>seq_1400_8</t>
  </si>
  <si>
    <t>seq_1400_9</t>
  </si>
  <si>
    <t>seq_1400_10</t>
  </si>
  <si>
    <t>seq_1400_11</t>
  </si>
  <si>
    <t>seq_1400_12</t>
  </si>
  <si>
    <t>seq_1400_13</t>
  </si>
  <si>
    <t>seq_1400_14</t>
  </si>
  <si>
    <t>seq_1400_15</t>
  </si>
  <si>
    <t>seq_1400_16</t>
  </si>
  <si>
    <t>seq_1400_17</t>
  </si>
  <si>
    <t>seq_1400_18</t>
  </si>
  <si>
    <t>seq_1400_19</t>
  </si>
  <si>
    <t>seq_1400_20</t>
  </si>
  <si>
    <t>seq_1400_21</t>
  </si>
  <si>
    <t>seq_1400_22</t>
  </si>
  <si>
    <t>seq_1400_23</t>
  </si>
  <si>
    <t>seq_1400_24</t>
  </si>
  <si>
    <t>seq_1400_25</t>
  </si>
  <si>
    <t>seq_1400_26</t>
  </si>
  <si>
    <t>seq_1400_27</t>
  </si>
  <si>
    <t>seq_1400_28</t>
  </si>
  <si>
    <t>seq_1400_29</t>
  </si>
  <si>
    <t>seq_1400_30</t>
  </si>
  <si>
    <t>seq_1400_31</t>
  </si>
  <si>
    <t>seq_1400_32</t>
  </si>
  <si>
    <t>seq_1400_33</t>
  </si>
  <si>
    <t>seq_1400_34</t>
  </si>
  <si>
    <t>seq_1400_35</t>
  </si>
  <si>
    <t>seq_1400_36</t>
  </si>
  <si>
    <t>seq_1400_37</t>
  </si>
  <si>
    <t>seq_1400_38</t>
  </si>
  <si>
    <t>seq_1400_39</t>
  </si>
  <si>
    <t>seq_1400_40</t>
  </si>
  <si>
    <t>seq_1400_41</t>
  </si>
  <si>
    <t>seq_1400_42</t>
  </si>
  <si>
    <t>seq_1400_43</t>
  </si>
  <si>
    <t>seq_1400_44</t>
  </si>
  <si>
    <t>seq_1400_45</t>
  </si>
  <si>
    <t>seq_1400_46</t>
  </si>
  <si>
    <t>seq_1400_47</t>
  </si>
  <si>
    <t>seq_1400_48</t>
  </si>
  <si>
    <t>seq_1400_49</t>
  </si>
  <si>
    <t>seq_1400_50</t>
  </si>
  <si>
    <t>seq_1400_51</t>
  </si>
  <si>
    <t>seq_1400_52</t>
  </si>
  <si>
    <t>seq_1400_53</t>
  </si>
  <si>
    <t>seq_1400_54</t>
  </si>
  <si>
    <t>seq_1400_55</t>
  </si>
  <si>
    <t>seq_1400_56</t>
  </si>
  <si>
    <t>seq_1400_57</t>
  </si>
  <si>
    <t>seq_1400_58</t>
  </si>
  <si>
    <t>seq_1400_59</t>
  </si>
  <si>
    <t>seq_1400_60</t>
  </si>
  <si>
    <t>seq_1400_61</t>
  </si>
  <si>
    <t>seq_1400_62</t>
  </si>
  <si>
    <t>seq_1400_63</t>
  </si>
  <si>
    <t>seq_1400_64</t>
  </si>
  <si>
    <t>seq_1400_65</t>
  </si>
  <si>
    <t>seq_1400_66</t>
  </si>
  <si>
    <t>seq_1400_67</t>
  </si>
  <si>
    <t>seq_1400_68</t>
  </si>
  <si>
    <t>seq_1400_69</t>
  </si>
  <si>
    <t>seq_1400_70</t>
  </si>
  <si>
    <t>seq_1400_71</t>
  </si>
  <si>
    <t>seq_1400_72</t>
  </si>
  <si>
    <t>seq_1400_73</t>
  </si>
  <si>
    <t>seq_1400_74</t>
  </si>
  <si>
    <t>seq_1400_75</t>
  </si>
  <si>
    <t>seq_1400_76</t>
  </si>
  <si>
    <t>seq_1400_77</t>
  </si>
  <si>
    <t>seq_1400_78</t>
  </si>
  <si>
    <t>seq_1400_79</t>
  </si>
  <si>
    <t>seq_1400_80</t>
  </si>
  <si>
    <t>seq_1400_81</t>
  </si>
  <si>
    <t>seq_1400_82</t>
  </si>
  <si>
    <t>seq_1400_83</t>
  </si>
  <si>
    <t>seq_1400_84</t>
  </si>
  <si>
    <t>seq_1400_85</t>
  </si>
  <si>
    <t>seq_1400_86</t>
  </si>
  <si>
    <t>seq_1400_87</t>
  </si>
  <si>
    <t>seq_1400_88</t>
  </si>
  <si>
    <t>seq_1400_89</t>
  </si>
  <si>
    <t>seq_1400_90</t>
  </si>
  <si>
    <t>seq_1400_91</t>
  </si>
  <si>
    <t>seq_1400_92</t>
  </si>
  <si>
    <t>seq_1400_93</t>
  </si>
  <si>
    <t>seq_1400_94</t>
  </si>
  <si>
    <t>seq_1400_95</t>
  </si>
  <si>
    <t>seq_1400_96</t>
  </si>
  <si>
    <t>seq_1400_97</t>
  </si>
  <si>
    <t>seq_1400_98</t>
  </si>
  <si>
    <t>seq_1400_99</t>
  </si>
  <si>
    <t>seq_1450_0</t>
  </si>
  <si>
    <t>seq_1450_1</t>
  </si>
  <si>
    <t>seq_1450_2</t>
  </si>
  <si>
    <t>seq_1450_3</t>
  </si>
  <si>
    <t>seq_1450_4</t>
  </si>
  <si>
    <t>seq_1450_5</t>
  </si>
  <si>
    <t>seq_1450_6</t>
  </si>
  <si>
    <t>seq_1450_7</t>
  </si>
  <si>
    <t>seq_1450_8</t>
  </si>
  <si>
    <t>seq_1450_9</t>
  </si>
  <si>
    <t>seq_1450_10</t>
  </si>
  <si>
    <t>seq_1450_11</t>
  </si>
  <si>
    <t>seq_1450_12</t>
  </si>
  <si>
    <t>seq_1450_13</t>
  </si>
  <si>
    <t>seq_1450_14</t>
  </si>
  <si>
    <t>seq_1450_15</t>
  </si>
  <si>
    <t>seq_1450_16</t>
  </si>
  <si>
    <t>seq_1450_17</t>
  </si>
  <si>
    <t>seq_1450_18</t>
  </si>
  <si>
    <t>seq_1450_19</t>
  </si>
  <si>
    <t>seq_1450_20</t>
  </si>
  <si>
    <t>seq_1450_21</t>
  </si>
  <si>
    <t>seq_1450_22</t>
  </si>
  <si>
    <t>seq_1450_23</t>
  </si>
  <si>
    <t>seq_1450_24</t>
  </si>
  <si>
    <t>seq_1450_25</t>
  </si>
  <si>
    <t>seq_1450_26</t>
  </si>
  <si>
    <t>seq_1450_27</t>
  </si>
  <si>
    <t>seq_1450_28</t>
  </si>
  <si>
    <t>seq_1450_29</t>
  </si>
  <si>
    <t>seq_1450_30</t>
  </si>
  <si>
    <t>seq_1450_31</t>
  </si>
  <si>
    <t>seq_1450_32</t>
  </si>
  <si>
    <t>seq_1450_33</t>
  </si>
  <si>
    <t>seq_1450_34</t>
  </si>
  <si>
    <t>seq_1450_35</t>
  </si>
  <si>
    <t>seq_1450_36</t>
  </si>
  <si>
    <t>seq_1450_37</t>
  </si>
  <si>
    <t>seq_1450_38</t>
  </si>
  <si>
    <t>seq_1450_39</t>
  </si>
  <si>
    <t>seq_1450_40</t>
  </si>
  <si>
    <t>seq_1450_41</t>
  </si>
  <si>
    <t>seq_1450_42</t>
  </si>
  <si>
    <t>seq_1450_43</t>
  </si>
  <si>
    <t>seq_1450_44</t>
  </si>
  <si>
    <t>seq_1450_45</t>
  </si>
  <si>
    <t>seq_1450_46</t>
  </si>
  <si>
    <t>seq_1450_47</t>
  </si>
  <si>
    <t>seq_1450_48</t>
  </si>
  <si>
    <t>seq_1450_49</t>
  </si>
  <si>
    <t>seq_1450_50</t>
  </si>
  <si>
    <t>seq_1450_51</t>
  </si>
  <si>
    <t>seq_1450_52</t>
  </si>
  <si>
    <t>seq_1450_53</t>
  </si>
  <si>
    <t>seq_1450_54</t>
  </si>
  <si>
    <t>seq_1450_55</t>
  </si>
  <si>
    <t>seq_1450_56</t>
  </si>
  <si>
    <t>seq_1450_57</t>
  </si>
  <si>
    <t>seq_1450_58</t>
  </si>
  <si>
    <t>seq_1450_59</t>
  </si>
  <si>
    <t>seq_1450_60</t>
  </si>
  <si>
    <t>seq_1450_61</t>
  </si>
  <si>
    <t>seq_1450_62</t>
  </si>
  <si>
    <t>seq_1450_63</t>
  </si>
  <si>
    <t>seq_1450_64</t>
  </si>
  <si>
    <t>seq_1450_65</t>
  </si>
  <si>
    <t>seq_1450_66</t>
  </si>
  <si>
    <t>seq_1450_67</t>
  </si>
  <si>
    <t>seq_1450_68</t>
  </si>
  <si>
    <t>seq_1450_69</t>
  </si>
  <si>
    <t>seq_1450_70</t>
  </si>
  <si>
    <t>seq_1450_71</t>
  </si>
  <si>
    <t>seq_1450_72</t>
  </si>
  <si>
    <t>seq_1450_73</t>
  </si>
  <si>
    <t>seq_1450_74</t>
  </si>
  <si>
    <t>seq_1450_75</t>
  </si>
  <si>
    <t>seq_1450_76</t>
  </si>
  <si>
    <t>seq_1450_77</t>
  </si>
  <si>
    <t>seq_1450_78</t>
  </si>
  <si>
    <t>seq_1450_79</t>
  </si>
  <si>
    <t>seq_1450_80</t>
  </si>
  <si>
    <t>seq_1450_81</t>
  </si>
  <si>
    <t>seq_1450_82</t>
  </si>
  <si>
    <t>seq_1450_83</t>
  </si>
  <si>
    <t>seq_1450_84</t>
  </si>
  <si>
    <t>seq_1450_85</t>
  </si>
  <si>
    <t>seq_1450_86</t>
  </si>
  <si>
    <t>seq_1450_87</t>
  </si>
  <si>
    <t>seq_1450_88</t>
  </si>
  <si>
    <t>seq_1450_89</t>
  </si>
  <si>
    <t>seq_1450_90</t>
  </si>
  <si>
    <t>seq_1450_91</t>
  </si>
  <si>
    <t>seq_1450_92</t>
  </si>
  <si>
    <t>seq_1450_93</t>
  </si>
  <si>
    <t>seq_1450_94</t>
  </si>
  <si>
    <t>seq_1450_95</t>
  </si>
  <si>
    <t>seq_1450_96</t>
  </si>
  <si>
    <t>seq_1450_97</t>
  </si>
  <si>
    <t>seq_1450_98</t>
  </si>
  <si>
    <t>seq_1450_99</t>
  </si>
  <si>
    <t>seq_1500_0</t>
  </si>
  <si>
    <t>seq_1500_1</t>
  </si>
  <si>
    <t>seq_1500_2</t>
  </si>
  <si>
    <t>seq_1500_3</t>
  </si>
  <si>
    <t>seq_1500_4</t>
  </si>
  <si>
    <t>seq_1500_5</t>
  </si>
  <si>
    <t>seq_1500_6</t>
  </si>
  <si>
    <t>seq_1500_7</t>
  </si>
  <si>
    <t>seq_1500_8</t>
  </si>
  <si>
    <t>seq_1500_9</t>
  </si>
  <si>
    <t>seq_1500_10</t>
  </si>
  <si>
    <t>seq_1500_11</t>
  </si>
  <si>
    <t>seq_1500_12</t>
  </si>
  <si>
    <t>seq_1500_13</t>
  </si>
  <si>
    <t>seq_1500_14</t>
  </si>
  <si>
    <t>seq_1500_15</t>
  </si>
  <si>
    <t>seq_1500_16</t>
  </si>
  <si>
    <t>seq_1500_17</t>
  </si>
  <si>
    <t>seq_1500_18</t>
  </si>
  <si>
    <t>seq_1500_19</t>
  </si>
  <si>
    <t>seq_1500_20</t>
  </si>
  <si>
    <t>seq_1500_21</t>
  </si>
  <si>
    <t>seq_1500_22</t>
  </si>
  <si>
    <t>seq_1500_23</t>
  </si>
  <si>
    <t>seq_1500_24</t>
  </si>
  <si>
    <t>seq_1500_25</t>
  </si>
  <si>
    <t>seq_1500_26</t>
  </si>
  <si>
    <t>seq_1500_27</t>
  </si>
  <si>
    <t>seq_1500_28</t>
  </si>
  <si>
    <t>seq_1500_29</t>
  </si>
  <si>
    <t>seq_1500_30</t>
  </si>
  <si>
    <t>seq_1500_31</t>
  </si>
  <si>
    <t>seq_1500_32</t>
  </si>
  <si>
    <t>seq_1500_33</t>
  </si>
  <si>
    <t>seq_1500_34</t>
  </si>
  <si>
    <t>seq_1500_35</t>
  </si>
  <si>
    <t>seq_1500_36</t>
  </si>
  <si>
    <t>seq_1500_37</t>
  </si>
  <si>
    <t>seq_1500_38</t>
  </si>
  <si>
    <t>seq_1500_39</t>
  </si>
  <si>
    <t>seq_1500_40</t>
  </si>
  <si>
    <t>seq_1500_41</t>
  </si>
  <si>
    <t>seq_1500_42</t>
  </si>
  <si>
    <t>seq_1500_43</t>
  </si>
  <si>
    <t>seq_1500_44</t>
  </si>
  <si>
    <t>seq_1500_45</t>
  </si>
  <si>
    <t>seq_1500_46</t>
  </si>
  <si>
    <t>seq_1500_47</t>
  </si>
  <si>
    <t>seq_1500_48</t>
  </si>
  <si>
    <t>seq_1500_49</t>
  </si>
  <si>
    <t>seq_1500_50</t>
  </si>
  <si>
    <t>seq_1500_51</t>
  </si>
  <si>
    <t>seq_1500_52</t>
  </si>
  <si>
    <t>seq_1500_53</t>
  </si>
  <si>
    <t>seq_1500_54</t>
  </si>
  <si>
    <t>seq_1500_55</t>
  </si>
  <si>
    <t>seq_1500_56</t>
  </si>
  <si>
    <t>seq_1500_57</t>
  </si>
  <si>
    <t>seq_1500_58</t>
  </si>
  <si>
    <t>seq_1500_59</t>
  </si>
  <si>
    <t>seq_1500_60</t>
  </si>
  <si>
    <t>seq_1500_61</t>
  </si>
  <si>
    <t>seq_1500_62</t>
  </si>
  <si>
    <t>seq_1500_63</t>
  </si>
  <si>
    <t>seq_1500_64</t>
  </si>
  <si>
    <t>seq_1500_65</t>
  </si>
  <si>
    <t>seq_1500_66</t>
  </si>
  <si>
    <t>seq_1500_67</t>
  </si>
  <si>
    <t>seq_1500_68</t>
  </si>
  <si>
    <t>seq_1500_69</t>
  </si>
  <si>
    <t>seq_1500_70</t>
  </si>
  <si>
    <t>seq_1500_71</t>
  </si>
  <si>
    <t>seq_1500_72</t>
  </si>
  <si>
    <t>seq_1500_73</t>
  </si>
  <si>
    <t>seq_1500_74</t>
  </si>
  <si>
    <t>seq_1500_75</t>
  </si>
  <si>
    <t>seq_1500_76</t>
  </si>
  <si>
    <t>seq_1500_77</t>
  </si>
  <si>
    <t>seq_1500_78</t>
  </si>
  <si>
    <t>seq_1500_79</t>
  </si>
  <si>
    <t>seq_1500_80</t>
  </si>
  <si>
    <t>seq_1500_81</t>
  </si>
  <si>
    <t>seq_1500_82</t>
  </si>
  <si>
    <t>seq_1500_83</t>
  </si>
  <si>
    <t>seq_1500_84</t>
  </si>
  <si>
    <t>seq_1500_85</t>
  </si>
  <si>
    <t>seq_1500_86</t>
  </si>
  <si>
    <t>seq_1500_87</t>
  </si>
  <si>
    <t>seq_1500_88</t>
  </si>
  <si>
    <t>seq_1500_89</t>
  </si>
  <si>
    <t>seq_1500_90</t>
  </si>
  <si>
    <t>seq_1500_91</t>
  </si>
  <si>
    <t>seq_1500_92</t>
  </si>
  <si>
    <t>seq_1500_93</t>
  </si>
  <si>
    <t>seq_1500_94</t>
  </si>
  <si>
    <t>seq_1500_95</t>
  </si>
  <si>
    <t>seq_1500_96</t>
  </si>
  <si>
    <t>seq_1500_97</t>
  </si>
  <si>
    <t>seq_1500_98</t>
  </si>
  <si>
    <t>seq_1500_99</t>
  </si>
  <si>
    <t>n</t>
  </si>
  <si>
    <t>COSTANTE</t>
  </si>
  <si>
    <t>ConfrontiOttimoBS</t>
  </si>
  <si>
    <t>TnsOttimoBS</t>
  </si>
  <si>
    <t>ConfrontiOttimoIS</t>
  </si>
  <si>
    <t>TnsOttimoIS</t>
  </si>
  <si>
    <t>ConfrontiOttimoMS</t>
  </si>
  <si>
    <t>TnsOttimoMS</t>
  </si>
  <si>
    <t>ConfrontiOttimoQS</t>
  </si>
  <si>
    <t>TnsOttimoQS</t>
  </si>
  <si>
    <t>ConfrontiOttimoQSR</t>
  </si>
  <si>
    <t>TnsOttimoQSR</t>
  </si>
  <si>
    <t>ConfrontiPessimoBS</t>
  </si>
  <si>
    <t>TnsPessimoBS</t>
  </si>
  <si>
    <t>ConfrontiPessimoIS</t>
  </si>
  <si>
    <t>TnsPessimoIS</t>
  </si>
  <si>
    <t>ConfrontiPessimoMS</t>
  </si>
  <si>
    <t>TnsPessimoMS</t>
  </si>
  <si>
    <t>ConfrontiPessimoQS</t>
  </si>
  <si>
    <t>TnsPessimoQS</t>
  </si>
  <si>
    <t>ConfrontiPessimoQSR</t>
  </si>
  <si>
    <t>TnsPessimoQSR</t>
  </si>
  <si>
    <t>ConfrontiMedioBS</t>
  </si>
  <si>
    <t>TnsMedioBS</t>
  </si>
  <si>
    <t>ConfrontiMedioIS</t>
  </si>
  <si>
    <t>TnsMedioIS</t>
  </si>
  <si>
    <t>ConfrontiMedioMS</t>
  </si>
  <si>
    <t>TnsMedioMS</t>
  </si>
  <si>
    <t>ConfrontiMedioQS</t>
  </si>
  <si>
    <t>TnsMedioQS</t>
  </si>
  <si>
    <t>ConfrontiMedioQSR</t>
  </si>
  <si>
    <t>TnsMedioQSR</t>
  </si>
  <si>
    <t>c*n^2</t>
  </si>
  <si>
    <t>c*n*log(n)</t>
  </si>
  <si>
    <t>COSTANTE DI SCALA</t>
  </si>
  <si>
    <t>COSTANTE MS</t>
  </si>
  <si>
    <t>COSTANTE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</si>
</sst>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e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Numero Confronti BubbleSort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425561586817996"/>
          <c:y val="0.13844718178424786"/>
          <c:w val="0.82076709076215604"/>
          <c:h val="0.63216354674590647"/>
        </c:manualLayout>
      </c:layout>
      <c:lineChart>
        <c:grouping val="standard"/>
        <c:varyColors val="0"/>
        <c:ser>
          <c:idx val="1"/>
          <c:order val="0"/>
          <c:tx>
            <c:strRef>
              <c:f>ConfrontiBS!$B$1</c:f>
              <c:strCache>
                <c:ptCount val="1"/>
                <c:pt idx="0">
                  <c:v>c*n^2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ConfrontiBS!$B$2:$B$31</c:f>
              <c:numCache>
                <c:formatCode>General</c:formatCode>
                <c:ptCount val="30"/>
                <c:pt idx="0">
                  <c:v>1125</c:v>
                </c:pt>
                <c:pt idx="1">
                  <c:v>4500</c:v>
                </c:pt>
                <c:pt idx="2">
                  <c:v>10125</c:v>
                </c:pt>
                <c:pt idx="3">
                  <c:v>18000</c:v>
                </c:pt>
                <c:pt idx="4">
                  <c:v>28125</c:v>
                </c:pt>
                <c:pt idx="5">
                  <c:v>40500</c:v>
                </c:pt>
                <c:pt idx="6">
                  <c:v>55125</c:v>
                </c:pt>
                <c:pt idx="7">
                  <c:v>72000</c:v>
                </c:pt>
                <c:pt idx="8">
                  <c:v>91125</c:v>
                </c:pt>
                <c:pt idx="9">
                  <c:v>112500</c:v>
                </c:pt>
                <c:pt idx="10">
                  <c:v>136125</c:v>
                </c:pt>
                <c:pt idx="11">
                  <c:v>162000</c:v>
                </c:pt>
                <c:pt idx="12">
                  <c:v>190125</c:v>
                </c:pt>
                <c:pt idx="13">
                  <c:v>220500</c:v>
                </c:pt>
                <c:pt idx="14">
                  <c:v>253125</c:v>
                </c:pt>
                <c:pt idx="15">
                  <c:v>288000</c:v>
                </c:pt>
                <c:pt idx="16">
                  <c:v>325125</c:v>
                </c:pt>
                <c:pt idx="17">
                  <c:v>364500</c:v>
                </c:pt>
                <c:pt idx="18">
                  <c:v>406125</c:v>
                </c:pt>
                <c:pt idx="19">
                  <c:v>450000</c:v>
                </c:pt>
                <c:pt idx="20">
                  <c:v>496125</c:v>
                </c:pt>
                <c:pt idx="21">
                  <c:v>544500</c:v>
                </c:pt>
                <c:pt idx="22">
                  <c:v>595125</c:v>
                </c:pt>
                <c:pt idx="23">
                  <c:v>648000</c:v>
                </c:pt>
                <c:pt idx="24">
                  <c:v>703125</c:v>
                </c:pt>
                <c:pt idx="25">
                  <c:v>760500</c:v>
                </c:pt>
                <c:pt idx="26">
                  <c:v>820125</c:v>
                </c:pt>
                <c:pt idx="27">
                  <c:v>882000</c:v>
                </c:pt>
                <c:pt idx="28">
                  <c:v>946125</c:v>
                </c:pt>
                <c:pt idx="29">
                  <c:v>1012500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5E-4C7C-A157-78F9BA8694FA}"/>
            </c:ext>
          </c:extLst>
        </c:ser>
        <c:ser>
          <c:idx val="2"/>
          <c:order val="1"/>
          <c:tx>
            <c:strRef>
              <c:f>ConfrontiBS!$C$1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ConfrontiBS!$C$2:$C$31</c:f>
              <c:numCache>
                <c:formatCode>General</c:formatCode>
                <c:ptCount val="30"/>
                <c:pt idx="0">
                  <c:v>126.9867642699313</c:v>
                </c:pt>
                <c:pt idx="1">
                  <c:v>298.97352853986263</c:v>
                </c:pt>
                <c:pt idx="2">
                  <c:v>487.94526160847192</c:v>
                </c:pt>
                <c:pt idx="3">
                  <c:v>687.94705707972514</c:v>
                </c:pt>
                <c:pt idx="4">
                  <c:v>896.1507320244848</c:v>
                </c:pt>
                <c:pt idx="5">
                  <c:v>1110.8905232169441</c:v>
                </c:pt>
                <c:pt idx="6">
                  <c:v>1331.0657501135918</c:v>
                </c:pt>
                <c:pt idx="7">
                  <c:v>1555.8941141594505</c:v>
                </c:pt>
                <c:pt idx="8">
                  <c:v>1784.7906912214501</c:v>
                </c:pt>
                <c:pt idx="9">
                  <c:v>2017.3014640489696</c:v>
                </c:pt>
                <c:pt idx="10">
                  <c:v>2253.0637325819753</c:v>
                </c:pt>
                <c:pt idx="11">
                  <c:v>2491.7810464338882</c:v>
                </c:pt>
                <c:pt idx="12">
                  <c:v>2733.2065530653767</c:v>
                </c:pt>
                <c:pt idx="13">
                  <c:v>2977.1315002271836</c:v>
                </c:pt>
                <c:pt idx="14">
                  <c:v>3223.3770400668445</c:v>
                </c:pt>
                <c:pt idx="15">
                  <c:v>3471.788228318901</c:v>
                </c:pt>
                <c:pt idx="16">
                  <c:v>3722.2295293670873</c:v>
                </c:pt>
                <c:pt idx="17">
                  <c:v>3974.5813824429001</c:v>
                </c:pt>
                <c:pt idx="18">
                  <c:v>4228.7375331258281</c:v>
                </c:pt>
                <c:pt idx="19">
                  <c:v>4484.6029280979392</c:v>
                </c:pt>
                <c:pt idx="20">
                  <c:v>4742.0920319315219</c:v>
                </c:pt>
                <c:pt idx="21">
                  <c:v>5001.1274651639505</c:v>
                </c:pt>
                <c:pt idx="22">
                  <c:v>5261.6388904679252</c:v>
                </c:pt>
                <c:pt idx="23">
                  <c:v>5523.5620928677763</c:v>
                </c:pt>
                <c:pt idx="24">
                  <c:v>5786.838213496565</c:v>
                </c:pt>
                <c:pt idx="25">
                  <c:v>6051.4131061307535</c:v>
                </c:pt>
                <c:pt idx="26">
                  <c:v>6317.2367928524527</c:v>
                </c:pt>
                <c:pt idx="27">
                  <c:v>6584.2630004543671</c:v>
                </c:pt>
                <c:pt idx="28">
                  <c:v>6852.4487631487491</c:v>
                </c:pt>
                <c:pt idx="29">
                  <c:v>7121.7540801336891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5E-4C7C-A157-78F9BA8694FA}"/>
            </c:ext>
          </c:extLst>
        </c:ser>
        <c:ser>
          <c:idx val="0"/>
          <c:order val="2"/>
          <c:tx>
            <c:v>CasoOttimo</c:v>
          </c:tx>
          <c:spPr>
            <a:ln w="7937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Min!$B$2:$B$31</c:f>
              <c:numCache>
                <c:formatCode>General</c:formatCode>
                <c:ptCount val="30"/>
                <c:pt idx="0">
                  <c:v>1225</c:v>
                </c:pt>
                <c:pt idx="1">
                  <c:v>4950</c:v>
                </c:pt>
                <c:pt idx="2">
                  <c:v>11175</c:v>
                </c:pt>
                <c:pt idx="3">
                  <c:v>19900</c:v>
                </c:pt>
                <c:pt idx="4">
                  <c:v>31125</c:v>
                </c:pt>
                <c:pt idx="5">
                  <c:v>44850</c:v>
                </c:pt>
                <c:pt idx="6">
                  <c:v>61075</c:v>
                </c:pt>
                <c:pt idx="7">
                  <c:v>79800</c:v>
                </c:pt>
                <c:pt idx="8">
                  <c:v>101025</c:v>
                </c:pt>
                <c:pt idx="9">
                  <c:v>124750</c:v>
                </c:pt>
                <c:pt idx="10">
                  <c:v>150975</c:v>
                </c:pt>
                <c:pt idx="11">
                  <c:v>179700</c:v>
                </c:pt>
                <c:pt idx="12">
                  <c:v>210925</c:v>
                </c:pt>
                <c:pt idx="13">
                  <c:v>244650</c:v>
                </c:pt>
                <c:pt idx="14">
                  <c:v>280875</c:v>
                </c:pt>
                <c:pt idx="15">
                  <c:v>319600</c:v>
                </c:pt>
                <c:pt idx="16">
                  <c:v>360825</c:v>
                </c:pt>
                <c:pt idx="17">
                  <c:v>404550</c:v>
                </c:pt>
                <c:pt idx="18">
                  <c:v>450775</c:v>
                </c:pt>
                <c:pt idx="19">
                  <c:v>499500</c:v>
                </c:pt>
                <c:pt idx="20">
                  <c:v>550725</c:v>
                </c:pt>
                <c:pt idx="21">
                  <c:v>604450</c:v>
                </c:pt>
                <c:pt idx="22">
                  <c:v>660675</c:v>
                </c:pt>
                <c:pt idx="23">
                  <c:v>719400</c:v>
                </c:pt>
                <c:pt idx="24">
                  <c:v>780625</c:v>
                </c:pt>
                <c:pt idx="25">
                  <c:v>844350</c:v>
                </c:pt>
                <c:pt idx="26">
                  <c:v>910575</c:v>
                </c:pt>
                <c:pt idx="27">
                  <c:v>979300</c:v>
                </c:pt>
                <c:pt idx="28">
                  <c:v>1050525</c:v>
                </c:pt>
                <c:pt idx="29">
                  <c:v>1124250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5E-4C7C-A157-78F9BA8694FA}"/>
            </c:ext>
          </c:extLst>
        </c:ser>
        <c:ser>
          <c:idx val="3"/>
          <c:order val="3"/>
          <c:tx>
            <c:v>CasoMedio</c:v>
          </c:tx>
          <c:spPr>
            <a:ln w="85725" cap="rnd">
              <a:solidFill>
                <a:schemeClr val="accent4"/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Media!$B$2:$B$31</c:f>
              <c:numCache>
                <c:formatCode>General</c:formatCode>
                <c:ptCount val="30"/>
                <c:pt idx="0">
                  <c:v>1225</c:v>
                </c:pt>
                <c:pt idx="1">
                  <c:v>4950</c:v>
                </c:pt>
                <c:pt idx="2">
                  <c:v>11175</c:v>
                </c:pt>
                <c:pt idx="3">
                  <c:v>19900</c:v>
                </c:pt>
                <c:pt idx="4">
                  <c:v>31125</c:v>
                </c:pt>
                <c:pt idx="5">
                  <c:v>44850</c:v>
                </c:pt>
                <c:pt idx="6">
                  <c:v>61075</c:v>
                </c:pt>
                <c:pt idx="7">
                  <c:v>79800</c:v>
                </c:pt>
                <c:pt idx="8">
                  <c:v>101025</c:v>
                </c:pt>
                <c:pt idx="9">
                  <c:v>124750</c:v>
                </c:pt>
                <c:pt idx="10">
                  <c:v>150975</c:v>
                </c:pt>
                <c:pt idx="11">
                  <c:v>179700</c:v>
                </c:pt>
                <c:pt idx="12">
                  <c:v>210925</c:v>
                </c:pt>
                <c:pt idx="13">
                  <c:v>244650</c:v>
                </c:pt>
                <c:pt idx="14">
                  <c:v>280875</c:v>
                </c:pt>
                <c:pt idx="15">
                  <c:v>319600</c:v>
                </c:pt>
                <c:pt idx="16">
                  <c:v>360825</c:v>
                </c:pt>
                <c:pt idx="17">
                  <c:v>404550</c:v>
                </c:pt>
                <c:pt idx="18">
                  <c:v>450775</c:v>
                </c:pt>
                <c:pt idx="19">
                  <c:v>499500</c:v>
                </c:pt>
                <c:pt idx="20">
                  <c:v>550725</c:v>
                </c:pt>
                <c:pt idx="21">
                  <c:v>604450</c:v>
                </c:pt>
                <c:pt idx="22">
                  <c:v>660675</c:v>
                </c:pt>
                <c:pt idx="23">
                  <c:v>719400</c:v>
                </c:pt>
                <c:pt idx="24">
                  <c:v>780625</c:v>
                </c:pt>
                <c:pt idx="25">
                  <c:v>844350</c:v>
                </c:pt>
                <c:pt idx="26">
                  <c:v>910575</c:v>
                </c:pt>
                <c:pt idx="27">
                  <c:v>979300</c:v>
                </c:pt>
                <c:pt idx="28">
                  <c:v>1050525</c:v>
                </c:pt>
                <c:pt idx="29">
                  <c:v>1124250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5E-4C7C-A157-78F9BA8694FA}"/>
            </c:ext>
          </c:extLst>
        </c:ser>
        <c:ser>
          <c:idx val="4"/>
          <c:order val="4"/>
          <c:tx>
            <c:v>CasoPessimo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1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Max!$B$2:$B$31</c:f>
              <c:numCache>
                <c:formatCode>General</c:formatCode>
                <c:ptCount val="30"/>
                <c:pt idx="0">
                  <c:v>1225</c:v>
                </c:pt>
                <c:pt idx="1">
                  <c:v>4950</c:v>
                </c:pt>
                <c:pt idx="2">
                  <c:v>11175</c:v>
                </c:pt>
                <c:pt idx="3">
                  <c:v>19900</c:v>
                </c:pt>
                <c:pt idx="4">
                  <c:v>31125</c:v>
                </c:pt>
                <c:pt idx="5">
                  <c:v>44850</c:v>
                </c:pt>
                <c:pt idx="6">
                  <c:v>61075</c:v>
                </c:pt>
                <c:pt idx="7">
                  <c:v>79800</c:v>
                </c:pt>
                <c:pt idx="8">
                  <c:v>101025</c:v>
                </c:pt>
                <c:pt idx="9">
                  <c:v>124750</c:v>
                </c:pt>
                <c:pt idx="10">
                  <c:v>150975</c:v>
                </c:pt>
                <c:pt idx="11">
                  <c:v>179700</c:v>
                </c:pt>
                <c:pt idx="12">
                  <c:v>210925</c:v>
                </c:pt>
                <c:pt idx="13">
                  <c:v>244650</c:v>
                </c:pt>
                <c:pt idx="14">
                  <c:v>280875</c:v>
                </c:pt>
                <c:pt idx="15">
                  <c:v>319600</c:v>
                </c:pt>
                <c:pt idx="16">
                  <c:v>360825</c:v>
                </c:pt>
                <c:pt idx="17">
                  <c:v>404550</c:v>
                </c:pt>
                <c:pt idx="18">
                  <c:v>450775</c:v>
                </c:pt>
                <c:pt idx="19">
                  <c:v>499500</c:v>
                </c:pt>
                <c:pt idx="20">
                  <c:v>550725</c:v>
                </c:pt>
                <c:pt idx="21">
                  <c:v>604450</c:v>
                </c:pt>
                <c:pt idx="22">
                  <c:v>660675</c:v>
                </c:pt>
                <c:pt idx="23">
                  <c:v>719400</c:v>
                </c:pt>
                <c:pt idx="24">
                  <c:v>780625</c:v>
                </c:pt>
                <c:pt idx="25">
                  <c:v>844350</c:v>
                </c:pt>
                <c:pt idx="26">
                  <c:v>910575</c:v>
                </c:pt>
                <c:pt idx="27">
                  <c:v>979300</c:v>
                </c:pt>
                <c:pt idx="28">
                  <c:v>1050525</c:v>
                </c:pt>
                <c:pt idx="29">
                  <c:v>1124250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5E-4C7C-A157-78F9BA8694FA}"/>
            </c:ext>
          </c:extLst>
        </c:ser>
        <c:ser>
          <c:idx val="5"/>
          <c:order val="5"/>
          <c:tx>
            <c:v>Media+DevStd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8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val>
            <c:numRef>
              <c:f>'Media+DevStd'!$B$2:$B$31</c:f>
              <c:numCache>
                <c:formatCode>General</c:formatCode>
                <c:ptCount val="30"/>
                <c:pt idx="0">
                  <c:v>1225</c:v>
                </c:pt>
                <c:pt idx="1">
                  <c:v>4950</c:v>
                </c:pt>
                <c:pt idx="2">
                  <c:v>11175</c:v>
                </c:pt>
                <c:pt idx="3">
                  <c:v>19900</c:v>
                </c:pt>
                <c:pt idx="4">
                  <c:v>31125</c:v>
                </c:pt>
                <c:pt idx="5">
                  <c:v>44850</c:v>
                </c:pt>
                <c:pt idx="6">
                  <c:v>61075</c:v>
                </c:pt>
                <c:pt idx="7">
                  <c:v>79800</c:v>
                </c:pt>
                <c:pt idx="8">
                  <c:v>101025</c:v>
                </c:pt>
                <c:pt idx="9">
                  <c:v>124750</c:v>
                </c:pt>
                <c:pt idx="10">
                  <c:v>150975</c:v>
                </c:pt>
                <c:pt idx="11">
                  <c:v>179700</c:v>
                </c:pt>
                <c:pt idx="12">
                  <c:v>210925</c:v>
                </c:pt>
                <c:pt idx="13">
                  <c:v>244650</c:v>
                </c:pt>
                <c:pt idx="14">
                  <c:v>280875</c:v>
                </c:pt>
                <c:pt idx="15">
                  <c:v>319600</c:v>
                </c:pt>
                <c:pt idx="16">
                  <c:v>360825</c:v>
                </c:pt>
                <c:pt idx="17">
                  <c:v>404550</c:v>
                </c:pt>
                <c:pt idx="18">
                  <c:v>450775</c:v>
                </c:pt>
                <c:pt idx="19">
                  <c:v>499500</c:v>
                </c:pt>
                <c:pt idx="20">
                  <c:v>550725</c:v>
                </c:pt>
                <c:pt idx="21">
                  <c:v>604450</c:v>
                </c:pt>
                <c:pt idx="22">
                  <c:v>660675</c:v>
                </c:pt>
                <c:pt idx="23">
                  <c:v>719400</c:v>
                </c:pt>
                <c:pt idx="24">
                  <c:v>780625</c:v>
                </c:pt>
                <c:pt idx="25">
                  <c:v>844350</c:v>
                </c:pt>
                <c:pt idx="26">
                  <c:v>910575</c:v>
                </c:pt>
                <c:pt idx="27">
                  <c:v>979300</c:v>
                </c:pt>
                <c:pt idx="28">
                  <c:v>1050525</c:v>
                </c:pt>
                <c:pt idx="29">
                  <c:v>1124250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05E-4C7C-A157-78F9BA8694FA}"/>
            </c:ext>
          </c:extLst>
        </c:ser>
        <c:ser>
          <c:idx val="6"/>
          <c:order val="6"/>
          <c:tx>
            <c:v>Media-DevStd</c:v>
          </c:tx>
          <c:spPr>
            <a:ln w="34925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'Media-DevStd'!$B$2:$B$31</c:f>
              <c:numCache>
                <c:formatCode>General</c:formatCode>
                <c:ptCount val="30"/>
                <c:pt idx="0">
                  <c:v>1225</c:v>
                </c:pt>
                <c:pt idx="1">
                  <c:v>4950</c:v>
                </c:pt>
                <c:pt idx="2">
                  <c:v>11175</c:v>
                </c:pt>
                <c:pt idx="3">
                  <c:v>19900</c:v>
                </c:pt>
                <c:pt idx="4">
                  <c:v>31125</c:v>
                </c:pt>
                <c:pt idx="5">
                  <c:v>44850</c:v>
                </c:pt>
                <c:pt idx="6">
                  <c:v>61075</c:v>
                </c:pt>
                <c:pt idx="7">
                  <c:v>79800</c:v>
                </c:pt>
                <c:pt idx="8">
                  <c:v>101025</c:v>
                </c:pt>
                <c:pt idx="9">
                  <c:v>124750</c:v>
                </c:pt>
                <c:pt idx="10">
                  <c:v>150975</c:v>
                </c:pt>
                <c:pt idx="11">
                  <c:v>179700</c:v>
                </c:pt>
                <c:pt idx="12">
                  <c:v>210925</c:v>
                </c:pt>
                <c:pt idx="13">
                  <c:v>244650</c:v>
                </c:pt>
                <c:pt idx="14">
                  <c:v>280875</c:v>
                </c:pt>
                <c:pt idx="15">
                  <c:v>319600</c:v>
                </c:pt>
                <c:pt idx="16">
                  <c:v>360825</c:v>
                </c:pt>
                <c:pt idx="17">
                  <c:v>404550</c:v>
                </c:pt>
                <c:pt idx="18">
                  <c:v>450775</c:v>
                </c:pt>
                <c:pt idx="19">
                  <c:v>499500</c:v>
                </c:pt>
                <c:pt idx="20">
                  <c:v>550725</c:v>
                </c:pt>
                <c:pt idx="21">
                  <c:v>604450</c:v>
                </c:pt>
                <c:pt idx="22">
                  <c:v>660675</c:v>
                </c:pt>
                <c:pt idx="23">
                  <c:v>719400</c:v>
                </c:pt>
                <c:pt idx="24">
                  <c:v>780625</c:v>
                </c:pt>
                <c:pt idx="25">
                  <c:v>844350</c:v>
                </c:pt>
                <c:pt idx="26">
                  <c:v>910575</c:v>
                </c:pt>
                <c:pt idx="27">
                  <c:v>979300</c:v>
                </c:pt>
                <c:pt idx="28">
                  <c:v>1050525</c:v>
                </c:pt>
                <c:pt idx="29">
                  <c:v>1124250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5E-4C7C-A157-78F9BA869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159855"/>
        <c:axId val="641161295"/>
      </c:lineChart>
      <c:catAx>
        <c:axId val="6411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61295"/>
        <c:crosses val="autoZero"/>
        <c:auto val="1"/>
        <c:lblAlgn val="ctr"/>
        <c:lblOffset val="100"/>
        <c:noMultiLvlLbl val="0"/>
      </c:catAx>
      <c:valAx>
        <c:axId val="64116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Numero confronti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5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317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Tempo di Esecuzione</a:t>
            </a:r>
            <a:r>
              <a:rPr lang="it-IT" baseline="0"/>
              <a:t> </a:t>
            </a:r>
            <a:r>
              <a:rPr lang="it-IT"/>
              <a:t>BubbleSort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425561586817996"/>
          <c:y val="0.13844718178424786"/>
          <c:w val="0.82076709076215604"/>
          <c:h val="0.63216354674590647"/>
        </c:manualLayout>
      </c:layout>
      <c:lineChart>
        <c:grouping val="standard"/>
        <c:varyColors val="0"/>
        <c:ser>
          <c:idx val="1"/>
          <c:order val="0"/>
          <c:tx>
            <c:strRef>
              <c:f>TempoBs!$B$1</c:f>
              <c:strCache>
                <c:ptCount val="1"/>
                <c:pt idx="0">
                  <c:v>c*n^2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TempoBs!$B$2:$B$31</c:f>
              <c:numCache>
                <c:formatCode>General</c:formatCode>
                <c:ptCount val="30"/>
                <c:pt idx="0">
                  <c:v>11750</c:v>
                </c:pt>
                <c:pt idx="1">
                  <c:v>47000</c:v>
                </c:pt>
                <c:pt idx="2">
                  <c:v>105750</c:v>
                </c:pt>
                <c:pt idx="3">
                  <c:v>188000</c:v>
                </c:pt>
                <c:pt idx="4">
                  <c:v>293750</c:v>
                </c:pt>
                <c:pt idx="5">
                  <c:v>423000</c:v>
                </c:pt>
                <c:pt idx="6">
                  <c:v>575750</c:v>
                </c:pt>
                <c:pt idx="7">
                  <c:v>752000</c:v>
                </c:pt>
                <c:pt idx="8">
                  <c:v>951750</c:v>
                </c:pt>
                <c:pt idx="9">
                  <c:v>1175000</c:v>
                </c:pt>
                <c:pt idx="10">
                  <c:v>1421750</c:v>
                </c:pt>
                <c:pt idx="11">
                  <c:v>1692000</c:v>
                </c:pt>
                <c:pt idx="12">
                  <c:v>1985750</c:v>
                </c:pt>
                <c:pt idx="13">
                  <c:v>2303000</c:v>
                </c:pt>
                <c:pt idx="14">
                  <c:v>2643750</c:v>
                </c:pt>
                <c:pt idx="15">
                  <c:v>3008000</c:v>
                </c:pt>
                <c:pt idx="16">
                  <c:v>3395750</c:v>
                </c:pt>
                <c:pt idx="17">
                  <c:v>3807000</c:v>
                </c:pt>
                <c:pt idx="18">
                  <c:v>4241750</c:v>
                </c:pt>
                <c:pt idx="19">
                  <c:v>4700000</c:v>
                </c:pt>
                <c:pt idx="20">
                  <c:v>5181750</c:v>
                </c:pt>
                <c:pt idx="21">
                  <c:v>5687000</c:v>
                </c:pt>
                <c:pt idx="22">
                  <c:v>6215750</c:v>
                </c:pt>
                <c:pt idx="23">
                  <c:v>6768000</c:v>
                </c:pt>
                <c:pt idx="24">
                  <c:v>7343750</c:v>
                </c:pt>
                <c:pt idx="25">
                  <c:v>7943000</c:v>
                </c:pt>
                <c:pt idx="26">
                  <c:v>8565750</c:v>
                </c:pt>
                <c:pt idx="27">
                  <c:v>9212000</c:v>
                </c:pt>
                <c:pt idx="28">
                  <c:v>9881750</c:v>
                </c:pt>
                <c:pt idx="29">
                  <c:v>10575000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EB-47C0-B49A-C9D347691AC9}"/>
            </c:ext>
          </c:extLst>
        </c:ser>
        <c:ser>
          <c:idx val="2"/>
          <c:order val="1"/>
          <c:tx>
            <c:strRef>
              <c:f>TempoBs!$C$1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TempoBs!$C$2:$C$31</c:f>
              <c:numCache>
                <c:formatCode>General</c:formatCode>
                <c:ptCount val="30"/>
                <c:pt idx="0">
                  <c:v>1326.3062045970603</c:v>
                </c:pt>
                <c:pt idx="1">
                  <c:v>3122.612409194121</c:v>
                </c:pt>
                <c:pt idx="2">
                  <c:v>5096.3171767995955</c:v>
                </c:pt>
                <c:pt idx="3">
                  <c:v>7185.2248183882411</c:v>
                </c:pt>
                <c:pt idx="4">
                  <c:v>9359.7965344779514</c:v>
                </c:pt>
                <c:pt idx="5">
                  <c:v>11602.634353599193</c:v>
                </c:pt>
                <c:pt idx="6">
                  <c:v>13902.242278964181</c:v>
                </c:pt>
                <c:pt idx="7">
                  <c:v>16250.449636776484</c:v>
                </c:pt>
                <c:pt idx="8">
                  <c:v>18641.147219424034</c:v>
                </c:pt>
                <c:pt idx="9">
                  <c:v>21069.593068955903</c:v>
                </c:pt>
                <c:pt idx="10">
                  <c:v>23531.998984745074</c:v>
                </c:pt>
                <c:pt idx="11">
                  <c:v>26025.268707198386</c:v>
                </c:pt>
                <c:pt idx="12">
                  <c:v>28546.823998682823</c:v>
                </c:pt>
                <c:pt idx="13">
                  <c:v>31094.484557928361</c:v>
                </c:pt>
                <c:pt idx="14">
                  <c:v>33666.382418475929</c:v>
                </c:pt>
                <c:pt idx="15">
                  <c:v>36260.899273552968</c:v>
                </c:pt>
                <c:pt idx="16">
                  <c:v>38876.619528945135</c:v>
                </c:pt>
                <c:pt idx="17">
                  <c:v>41512.294438848068</c:v>
                </c:pt>
                <c:pt idx="18">
                  <c:v>44166.814234869758</c:v>
                </c:pt>
                <c:pt idx="19">
                  <c:v>46839.186137911805</c:v>
                </c:pt>
                <c:pt idx="20">
                  <c:v>49528.516777951452</c:v>
                </c:pt>
                <c:pt idx="21">
                  <c:v>52233.997969490149</c:v>
                </c:pt>
                <c:pt idx="22">
                  <c:v>54954.89507822055</c:v>
                </c:pt>
                <c:pt idx="23">
                  <c:v>57690.537414396771</c:v>
                </c:pt>
                <c:pt idx="24">
                  <c:v>60440.310229853014</c:v>
                </c:pt>
                <c:pt idx="25">
                  <c:v>63203.647997365646</c:v>
                </c:pt>
                <c:pt idx="26">
                  <c:v>65980.028725347831</c:v>
                </c:pt>
                <c:pt idx="27">
                  <c:v>68768.969115856729</c:v>
                </c:pt>
                <c:pt idx="28">
                  <c:v>71570.02041510916</c:v>
                </c:pt>
                <c:pt idx="29">
                  <c:v>74382.764836951857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EB-47C0-B49A-C9D347691AC9}"/>
            </c:ext>
          </c:extLst>
        </c:ser>
        <c:ser>
          <c:idx val="0"/>
          <c:order val="2"/>
          <c:tx>
            <c:v>CasoOttimo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Min!$C$2:$C$31</c:f>
              <c:numCache>
                <c:formatCode>General</c:formatCode>
                <c:ptCount val="30"/>
                <c:pt idx="0">
                  <c:v>43100</c:v>
                </c:pt>
                <c:pt idx="1">
                  <c:v>32300</c:v>
                </c:pt>
                <c:pt idx="2">
                  <c:v>63700</c:v>
                </c:pt>
                <c:pt idx="3">
                  <c:v>113700</c:v>
                </c:pt>
                <c:pt idx="4">
                  <c:v>181800</c:v>
                </c:pt>
                <c:pt idx="5">
                  <c:v>262800</c:v>
                </c:pt>
                <c:pt idx="6">
                  <c:v>370100</c:v>
                </c:pt>
                <c:pt idx="7">
                  <c:v>479900</c:v>
                </c:pt>
                <c:pt idx="8">
                  <c:v>608900</c:v>
                </c:pt>
                <c:pt idx="9">
                  <c:v>774500</c:v>
                </c:pt>
                <c:pt idx="10">
                  <c:v>963000</c:v>
                </c:pt>
                <c:pt idx="11">
                  <c:v>1194700</c:v>
                </c:pt>
                <c:pt idx="12">
                  <c:v>1458500</c:v>
                </c:pt>
                <c:pt idx="13">
                  <c:v>1740000</c:v>
                </c:pt>
                <c:pt idx="14">
                  <c:v>1968200</c:v>
                </c:pt>
                <c:pt idx="15">
                  <c:v>2324000</c:v>
                </c:pt>
                <c:pt idx="16">
                  <c:v>2638100</c:v>
                </c:pt>
                <c:pt idx="17">
                  <c:v>3095100</c:v>
                </c:pt>
                <c:pt idx="18">
                  <c:v>3423000</c:v>
                </c:pt>
                <c:pt idx="19">
                  <c:v>3939000</c:v>
                </c:pt>
                <c:pt idx="20">
                  <c:v>4445300</c:v>
                </c:pt>
                <c:pt idx="21">
                  <c:v>4883400</c:v>
                </c:pt>
                <c:pt idx="22">
                  <c:v>5424300</c:v>
                </c:pt>
                <c:pt idx="23">
                  <c:v>5975800</c:v>
                </c:pt>
                <c:pt idx="24">
                  <c:v>6563100</c:v>
                </c:pt>
                <c:pt idx="25">
                  <c:v>7234800</c:v>
                </c:pt>
                <c:pt idx="26">
                  <c:v>7921800</c:v>
                </c:pt>
                <c:pt idx="27">
                  <c:v>8507500</c:v>
                </c:pt>
                <c:pt idx="28">
                  <c:v>9228600</c:v>
                </c:pt>
                <c:pt idx="29">
                  <c:v>9857900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EB-47C0-B49A-C9D347691AC9}"/>
            </c:ext>
          </c:extLst>
        </c:ser>
        <c:ser>
          <c:idx val="3"/>
          <c:order val="3"/>
          <c:tx>
            <c:v>CasoMedio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Media!$C$2:$C$31</c:f>
              <c:numCache>
                <c:formatCode>General</c:formatCode>
                <c:ptCount val="30"/>
                <c:pt idx="0">
                  <c:v>211879.79797979799</c:v>
                </c:pt>
                <c:pt idx="1">
                  <c:v>43873.076923076922</c:v>
                </c:pt>
                <c:pt idx="2">
                  <c:v>84124.242424242431</c:v>
                </c:pt>
                <c:pt idx="3">
                  <c:v>149193.93939393939</c:v>
                </c:pt>
                <c:pt idx="4">
                  <c:v>243484</c:v>
                </c:pt>
                <c:pt idx="5">
                  <c:v>312043.87755102041</c:v>
                </c:pt>
                <c:pt idx="6">
                  <c:v>433754</c:v>
                </c:pt>
                <c:pt idx="7">
                  <c:v>572483</c:v>
                </c:pt>
                <c:pt idx="8">
                  <c:v>729812</c:v>
                </c:pt>
                <c:pt idx="9">
                  <c:v>945032</c:v>
                </c:pt>
                <c:pt idx="10">
                  <c:v>1151677</c:v>
                </c:pt>
                <c:pt idx="11">
                  <c:v>1404312</c:v>
                </c:pt>
                <c:pt idx="12">
                  <c:v>1672217</c:v>
                </c:pt>
                <c:pt idx="13">
                  <c:v>1950794</c:v>
                </c:pt>
                <c:pt idx="14">
                  <c:v>2296931</c:v>
                </c:pt>
                <c:pt idx="15">
                  <c:v>2593226.5306122447</c:v>
                </c:pt>
                <c:pt idx="16">
                  <c:v>2997264</c:v>
                </c:pt>
                <c:pt idx="17">
                  <c:v>3372372.7272727271</c:v>
                </c:pt>
                <c:pt idx="18">
                  <c:v>3820549</c:v>
                </c:pt>
                <c:pt idx="19">
                  <c:v>4247274.7474747477</c:v>
                </c:pt>
                <c:pt idx="20">
                  <c:v>4788101</c:v>
                </c:pt>
                <c:pt idx="21">
                  <c:v>5313613</c:v>
                </c:pt>
                <c:pt idx="22">
                  <c:v>5862552</c:v>
                </c:pt>
                <c:pt idx="23">
                  <c:v>6388845</c:v>
                </c:pt>
                <c:pt idx="24">
                  <c:v>7028060</c:v>
                </c:pt>
                <c:pt idx="25">
                  <c:v>7699497</c:v>
                </c:pt>
                <c:pt idx="26">
                  <c:v>8342898</c:v>
                </c:pt>
                <c:pt idx="27">
                  <c:v>9026435.7142857146</c:v>
                </c:pt>
                <c:pt idx="28">
                  <c:v>9834323</c:v>
                </c:pt>
                <c:pt idx="29">
                  <c:v>10567417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EB-47C0-B49A-C9D347691AC9}"/>
            </c:ext>
          </c:extLst>
        </c:ser>
        <c:ser>
          <c:idx val="4"/>
          <c:order val="4"/>
          <c:tx>
            <c:v>CasoPessimo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Max!$C$2:$C$31</c:f>
              <c:numCache>
                <c:formatCode>General</c:formatCode>
                <c:ptCount val="30"/>
                <c:pt idx="0">
                  <c:v>728600</c:v>
                </c:pt>
                <c:pt idx="1">
                  <c:v>52800</c:v>
                </c:pt>
                <c:pt idx="2">
                  <c:v>110300</c:v>
                </c:pt>
                <c:pt idx="3">
                  <c:v>216300</c:v>
                </c:pt>
                <c:pt idx="4">
                  <c:v>393100</c:v>
                </c:pt>
                <c:pt idx="5">
                  <c:v>428500</c:v>
                </c:pt>
                <c:pt idx="6">
                  <c:v>564800</c:v>
                </c:pt>
                <c:pt idx="7">
                  <c:v>736200</c:v>
                </c:pt>
                <c:pt idx="8">
                  <c:v>1023500</c:v>
                </c:pt>
                <c:pt idx="9">
                  <c:v>1381600</c:v>
                </c:pt>
                <c:pt idx="10">
                  <c:v>1513900</c:v>
                </c:pt>
                <c:pt idx="11">
                  <c:v>1810000</c:v>
                </c:pt>
                <c:pt idx="12">
                  <c:v>2035500</c:v>
                </c:pt>
                <c:pt idx="13">
                  <c:v>2369900</c:v>
                </c:pt>
                <c:pt idx="14">
                  <c:v>2770700</c:v>
                </c:pt>
                <c:pt idx="15">
                  <c:v>3034800</c:v>
                </c:pt>
                <c:pt idx="16">
                  <c:v>3792100</c:v>
                </c:pt>
                <c:pt idx="17">
                  <c:v>3966700</c:v>
                </c:pt>
                <c:pt idx="18">
                  <c:v>4313700</c:v>
                </c:pt>
                <c:pt idx="19">
                  <c:v>4970100</c:v>
                </c:pt>
                <c:pt idx="20">
                  <c:v>5542600</c:v>
                </c:pt>
                <c:pt idx="21">
                  <c:v>6130900</c:v>
                </c:pt>
                <c:pt idx="22">
                  <c:v>6897400</c:v>
                </c:pt>
                <c:pt idx="23">
                  <c:v>7330600</c:v>
                </c:pt>
                <c:pt idx="24">
                  <c:v>7939100</c:v>
                </c:pt>
                <c:pt idx="25">
                  <c:v>8620200</c:v>
                </c:pt>
                <c:pt idx="26">
                  <c:v>9160100</c:v>
                </c:pt>
                <c:pt idx="27">
                  <c:v>10059500</c:v>
                </c:pt>
                <c:pt idx="28">
                  <c:v>10804000</c:v>
                </c:pt>
                <c:pt idx="29">
                  <c:v>11588300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EB-47C0-B49A-C9D347691AC9}"/>
            </c:ext>
          </c:extLst>
        </c:ser>
        <c:ser>
          <c:idx val="5"/>
          <c:order val="5"/>
          <c:tx>
            <c:v>Media+DevStd</c:v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'Media+DevStd'!$C$2:$C$31</c:f>
              <c:numCache>
                <c:formatCode>General</c:formatCode>
                <c:ptCount val="30"/>
                <c:pt idx="0">
                  <c:v>382409.07907299575</c:v>
                </c:pt>
                <c:pt idx="1">
                  <c:v>47803.401025800202</c:v>
                </c:pt>
                <c:pt idx="2">
                  <c:v>94501.307902528206</c:v>
                </c:pt>
                <c:pt idx="3">
                  <c:v>170864.88212407031</c:v>
                </c:pt>
                <c:pt idx="4">
                  <c:v>279214.51413573616</c:v>
                </c:pt>
                <c:pt idx="5">
                  <c:v>352199.48227807152</c:v>
                </c:pt>
                <c:pt idx="6">
                  <c:v>479218.80139246804</c:v>
                </c:pt>
                <c:pt idx="7">
                  <c:v>632736.88382636942</c:v>
                </c:pt>
                <c:pt idx="8">
                  <c:v>807085.44765914953</c:v>
                </c:pt>
                <c:pt idx="9">
                  <c:v>1059847.2322277629</c:v>
                </c:pt>
                <c:pt idx="10">
                  <c:v>1265239.7445089456</c:v>
                </c:pt>
                <c:pt idx="11">
                  <c:v>1547131.2601390537</c:v>
                </c:pt>
                <c:pt idx="12">
                  <c:v>1812420.8170455478</c:v>
                </c:pt>
                <c:pt idx="13">
                  <c:v>2124817.3299232484</c:v>
                </c:pt>
                <c:pt idx="14">
                  <c:v>2481197.794223852</c:v>
                </c:pt>
                <c:pt idx="15">
                  <c:v>2765621.3026710288</c:v>
                </c:pt>
                <c:pt idx="16">
                  <c:v>3192516.1495995172</c:v>
                </c:pt>
                <c:pt idx="17">
                  <c:v>3555354.4375320445</c:v>
                </c:pt>
                <c:pt idx="18">
                  <c:v>4027016.9301020042</c:v>
                </c:pt>
                <c:pt idx="19">
                  <c:v>4442114.4410501011</c:v>
                </c:pt>
                <c:pt idx="20">
                  <c:v>5019764.0937134549</c:v>
                </c:pt>
                <c:pt idx="21">
                  <c:v>5549336.5427724002</c:v>
                </c:pt>
                <c:pt idx="22">
                  <c:v>6134717.8401442291</c:v>
                </c:pt>
                <c:pt idx="23">
                  <c:v>6622777.5843382049</c:v>
                </c:pt>
                <c:pt idx="24">
                  <c:v>7293640.9534365796</c:v>
                </c:pt>
                <c:pt idx="25">
                  <c:v>8005587.3080098676</c:v>
                </c:pt>
                <c:pt idx="26">
                  <c:v>8632176.2397553604</c:v>
                </c:pt>
                <c:pt idx="27">
                  <c:v>9314713.8500447441</c:v>
                </c:pt>
                <c:pt idx="28">
                  <c:v>10185783.016506899</c:v>
                </c:pt>
                <c:pt idx="29">
                  <c:v>10922126.230772121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9EB-47C0-B49A-C9D347691AC9}"/>
            </c:ext>
          </c:extLst>
        </c:ser>
        <c:ser>
          <c:idx val="6"/>
          <c:order val="6"/>
          <c:tx>
            <c:v>Media-DevStd</c:v>
          </c:tx>
          <c:spPr>
            <a:ln w="3492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'Media-DevStd'!$C$2:$C$31</c:f>
              <c:numCache>
                <c:formatCode>General</c:formatCode>
                <c:ptCount val="30"/>
                <c:pt idx="0">
                  <c:v>41350.516886600235</c:v>
                </c:pt>
                <c:pt idx="1">
                  <c:v>39942.752820353642</c:v>
                </c:pt>
                <c:pt idx="2">
                  <c:v>73747.176945956657</c:v>
                </c:pt>
                <c:pt idx="3">
                  <c:v>127522.99666380846</c:v>
                </c:pt>
                <c:pt idx="4">
                  <c:v>207753.48586426384</c:v>
                </c:pt>
                <c:pt idx="5">
                  <c:v>271888.27282396931</c:v>
                </c:pt>
                <c:pt idx="6">
                  <c:v>388289.19860753196</c:v>
                </c:pt>
                <c:pt idx="7">
                  <c:v>512229.11617363064</c:v>
                </c:pt>
                <c:pt idx="8">
                  <c:v>652538.55234085047</c:v>
                </c:pt>
                <c:pt idx="9">
                  <c:v>830216.76777223696</c:v>
                </c:pt>
                <c:pt idx="10">
                  <c:v>1038114.2554910545</c:v>
                </c:pt>
                <c:pt idx="11">
                  <c:v>1261492.7398609463</c:v>
                </c:pt>
                <c:pt idx="12">
                  <c:v>1532013.1829544522</c:v>
                </c:pt>
                <c:pt idx="13">
                  <c:v>1776770.6700767516</c:v>
                </c:pt>
                <c:pt idx="14">
                  <c:v>2112664.205776148</c:v>
                </c:pt>
                <c:pt idx="15">
                  <c:v>2420831.7585534607</c:v>
                </c:pt>
                <c:pt idx="16">
                  <c:v>2802011.8504004828</c:v>
                </c:pt>
                <c:pt idx="17">
                  <c:v>3189391.0170134096</c:v>
                </c:pt>
                <c:pt idx="18">
                  <c:v>3614081.0698979958</c:v>
                </c:pt>
                <c:pt idx="19">
                  <c:v>4052435.0538993943</c:v>
                </c:pt>
                <c:pt idx="20">
                  <c:v>4556437.9062865451</c:v>
                </c:pt>
                <c:pt idx="21">
                  <c:v>5077889.4572275998</c:v>
                </c:pt>
                <c:pt idx="22">
                  <c:v>5590386.1598557709</c:v>
                </c:pt>
                <c:pt idx="23">
                  <c:v>6154912.4156617951</c:v>
                </c:pt>
                <c:pt idx="24">
                  <c:v>6762479.0465634204</c:v>
                </c:pt>
                <c:pt idx="25">
                  <c:v>7393406.6919901324</c:v>
                </c:pt>
                <c:pt idx="26">
                  <c:v>8053619.7602446396</c:v>
                </c:pt>
                <c:pt idx="27">
                  <c:v>8738157.578526685</c:v>
                </c:pt>
                <c:pt idx="28">
                  <c:v>9482862.9834931009</c:v>
                </c:pt>
                <c:pt idx="29">
                  <c:v>10212707.769227879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9EB-47C0-B49A-C9D347691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159855"/>
        <c:axId val="641161295"/>
      </c:lineChart>
      <c:catAx>
        <c:axId val="6411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61295"/>
        <c:crosses val="autoZero"/>
        <c:auto val="1"/>
        <c:lblAlgn val="ctr"/>
        <c:lblOffset val="100"/>
        <c:noMultiLvlLbl val="0"/>
      </c:catAx>
      <c:valAx>
        <c:axId val="64116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</a:t>
                </a:r>
                <a:r>
                  <a:rPr lang="it-IT" baseline="0"/>
                  <a:t> in nanosecondi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5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317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Numero</a:t>
            </a:r>
            <a:r>
              <a:rPr lang="it-IT" baseline="0"/>
              <a:t> Confronti Insertion Sort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425561586817996"/>
          <c:y val="0.13844718178424786"/>
          <c:w val="0.82076709076215604"/>
          <c:h val="0.63216354674590647"/>
        </c:manualLayout>
      </c:layout>
      <c:lineChart>
        <c:grouping val="standard"/>
        <c:varyColors val="0"/>
        <c:ser>
          <c:idx val="1"/>
          <c:order val="0"/>
          <c:tx>
            <c:strRef>
              <c:f>ConfrontiIs!$B$1</c:f>
              <c:strCache>
                <c:ptCount val="1"/>
                <c:pt idx="0">
                  <c:v>c*n^2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222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ConfrontiIs!$B$2:$B$31</c:f>
              <c:numCache>
                <c:formatCode>General</c:formatCode>
                <c:ptCount val="30"/>
                <c:pt idx="0">
                  <c:v>625</c:v>
                </c:pt>
                <c:pt idx="1">
                  <c:v>2500</c:v>
                </c:pt>
                <c:pt idx="2">
                  <c:v>5625</c:v>
                </c:pt>
                <c:pt idx="3">
                  <c:v>10000</c:v>
                </c:pt>
                <c:pt idx="4">
                  <c:v>15625</c:v>
                </c:pt>
                <c:pt idx="5">
                  <c:v>22500</c:v>
                </c:pt>
                <c:pt idx="6">
                  <c:v>30625</c:v>
                </c:pt>
                <c:pt idx="7">
                  <c:v>40000</c:v>
                </c:pt>
                <c:pt idx="8">
                  <c:v>50625</c:v>
                </c:pt>
                <c:pt idx="9">
                  <c:v>62500</c:v>
                </c:pt>
                <c:pt idx="10">
                  <c:v>75625</c:v>
                </c:pt>
                <c:pt idx="11">
                  <c:v>90000</c:v>
                </c:pt>
                <c:pt idx="12">
                  <c:v>105625</c:v>
                </c:pt>
                <c:pt idx="13">
                  <c:v>122500</c:v>
                </c:pt>
                <c:pt idx="14">
                  <c:v>140625</c:v>
                </c:pt>
                <c:pt idx="15">
                  <c:v>160000</c:v>
                </c:pt>
                <c:pt idx="16">
                  <c:v>180625</c:v>
                </c:pt>
                <c:pt idx="17">
                  <c:v>202500</c:v>
                </c:pt>
                <c:pt idx="18">
                  <c:v>225625</c:v>
                </c:pt>
                <c:pt idx="19">
                  <c:v>250000</c:v>
                </c:pt>
                <c:pt idx="20">
                  <c:v>275625</c:v>
                </c:pt>
                <c:pt idx="21">
                  <c:v>302500</c:v>
                </c:pt>
                <c:pt idx="22">
                  <c:v>330625</c:v>
                </c:pt>
                <c:pt idx="23">
                  <c:v>360000</c:v>
                </c:pt>
                <c:pt idx="24">
                  <c:v>390625</c:v>
                </c:pt>
                <c:pt idx="25">
                  <c:v>422500</c:v>
                </c:pt>
                <c:pt idx="26">
                  <c:v>455625</c:v>
                </c:pt>
                <c:pt idx="27">
                  <c:v>490000</c:v>
                </c:pt>
                <c:pt idx="28">
                  <c:v>525625</c:v>
                </c:pt>
                <c:pt idx="29">
                  <c:v>562500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93-4434-AC58-AE470D82F31D}"/>
            </c:ext>
          </c:extLst>
        </c:ser>
        <c:ser>
          <c:idx val="2"/>
          <c:order val="1"/>
          <c:tx>
            <c:strRef>
              <c:f>ConfrontiIs!$C$1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ConfrontiIs!$C$2:$C$31</c:f>
              <c:numCache>
                <c:formatCode>General</c:formatCode>
                <c:ptCount val="30"/>
                <c:pt idx="0">
                  <c:v>70.548202372184051</c:v>
                </c:pt>
                <c:pt idx="1">
                  <c:v>166.09640474436813</c:v>
                </c:pt>
                <c:pt idx="2">
                  <c:v>271.08070089359552</c:v>
                </c:pt>
                <c:pt idx="3">
                  <c:v>382.1928094887362</c:v>
                </c:pt>
                <c:pt idx="4">
                  <c:v>497.86151779138044</c:v>
                </c:pt>
                <c:pt idx="5">
                  <c:v>617.16140178719115</c:v>
                </c:pt>
                <c:pt idx="6">
                  <c:v>739.48097228532879</c:v>
                </c:pt>
                <c:pt idx="7">
                  <c:v>864.38561897747252</c:v>
                </c:pt>
                <c:pt idx="8">
                  <c:v>991.55038401191666</c:v>
                </c:pt>
                <c:pt idx="9">
                  <c:v>1120.723035582761</c:v>
                </c:pt>
                <c:pt idx="10">
                  <c:v>1251.7020736566531</c:v>
                </c:pt>
                <c:pt idx="11">
                  <c:v>1384.3228035743823</c:v>
                </c:pt>
                <c:pt idx="12">
                  <c:v>1518.4480850363204</c:v>
                </c:pt>
                <c:pt idx="13">
                  <c:v>1653.9619445706576</c:v>
                </c:pt>
                <c:pt idx="14">
                  <c:v>1790.7650222593581</c:v>
                </c:pt>
                <c:pt idx="15">
                  <c:v>1928.771237954945</c:v>
                </c:pt>
                <c:pt idx="16">
                  <c:v>2067.9052940928264</c:v>
                </c:pt>
                <c:pt idx="17">
                  <c:v>2208.1007680238336</c:v>
                </c:pt>
                <c:pt idx="18">
                  <c:v>2349.2986295143487</c:v>
                </c:pt>
                <c:pt idx="19">
                  <c:v>2491.446071165522</c:v>
                </c:pt>
                <c:pt idx="20">
                  <c:v>2634.4955732952899</c:v>
                </c:pt>
                <c:pt idx="21">
                  <c:v>2778.4041473133061</c:v>
                </c:pt>
                <c:pt idx="22">
                  <c:v>2923.1327169266251</c:v>
                </c:pt>
                <c:pt idx="23">
                  <c:v>3068.6456071487646</c:v>
                </c:pt>
                <c:pt idx="24">
                  <c:v>3214.9101186092025</c:v>
                </c:pt>
                <c:pt idx="25">
                  <c:v>3361.8961700726409</c:v>
                </c:pt>
                <c:pt idx="26">
                  <c:v>3509.5759960291402</c:v>
                </c:pt>
                <c:pt idx="27">
                  <c:v>3657.9238891413152</c:v>
                </c:pt>
                <c:pt idx="28">
                  <c:v>3806.915979527083</c:v>
                </c:pt>
                <c:pt idx="29">
                  <c:v>3956.5300445187163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93-4434-AC58-AE470D82F31D}"/>
            </c:ext>
          </c:extLst>
        </c:ser>
        <c:ser>
          <c:idx val="0"/>
          <c:order val="2"/>
          <c:tx>
            <c:v>CasoOttimo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Min!$D$2:$D$31</c:f>
              <c:numCache>
                <c:formatCode>General</c:formatCode>
                <c:ptCount val="30"/>
                <c:pt idx="0">
                  <c:v>544</c:v>
                </c:pt>
                <c:pt idx="1">
                  <c:v>2125</c:v>
                </c:pt>
                <c:pt idx="2">
                  <c:v>5076</c:v>
                </c:pt>
                <c:pt idx="3">
                  <c:v>9108</c:v>
                </c:pt>
                <c:pt idx="4">
                  <c:v>14401</c:v>
                </c:pt>
                <c:pt idx="5">
                  <c:v>20801</c:v>
                </c:pt>
                <c:pt idx="6">
                  <c:v>27982</c:v>
                </c:pt>
                <c:pt idx="7">
                  <c:v>37671</c:v>
                </c:pt>
                <c:pt idx="8">
                  <c:v>47713</c:v>
                </c:pt>
                <c:pt idx="9">
                  <c:v>59041</c:v>
                </c:pt>
                <c:pt idx="10">
                  <c:v>70914</c:v>
                </c:pt>
                <c:pt idx="11">
                  <c:v>84650</c:v>
                </c:pt>
                <c:pt idx="12">
                  <c:v>97200</c:v>
                </c:pt>
                <c:pt idx="13">
                  <c:v>115188</c:v>
                </c:pt>
                <c:pt idx="14">
                  <c:v>129878</c:v>
                </c:pt>
                <c:pt idx="15">
                  <c:v>150497</c:v>
                </c:pt>
                <c:pt idx="16">
                  <c:v>172049</c:v>
                </c:pt>
                <c:pt idx="17">
                  <c:v>193118</c:v>
                </c:pt>
                <c:pt idx="18">
                  <c:v>215136</c:v>
                </c:pt>
                <c:pt idx="19">
                  <c:v>239293</c:v>
                </c:pt>
                <c:pt idx="20">
                  <c:v>263572</c:v>
                </c:pt>
                <c:pt idx="21">
                  <c:v>287156</c:v>
                </c:pt>
                <c:pt idx="22">
                  <c:v>317411</c:v>
                </c:pt>
                <c:pt idx="23">
                  <c:v>343809</c:v>
                </c:pt>
                <c:pt idx="24">
                  <c:v>371171</c:v>
                </c:pt>
                <c:pt idx="25">
                  <c:v>401048</c:v>
                </c:pt>
                <c:pt idx="26">
                  <c:v>439978</c:v>
                </c:pt>
                <c:pt idx="27">
                  <c:v>472727</c:v>
                </c:pt>
                <c:pt idx="28">
                  <c:v>505538</c:v>
                </c:pt>
                <c:pt idx="29">
                  <c:v>540543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93-4434-AC58-AE470D82F31D}"/>
            </c:ext>
          </c:extLst>
        </c:ser>
        <c:ser>
          <c:idx val="3"/>
          <c:order val="3"/>
          <c:tx>
            <c:v>CasoMedio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Media!$D$2:$D$31</c:f>
              <c:numCache>
                <c:formatCode>General</c:formatCode>
                <c:ptCount val="30"/>
                <c:pt idx="0">
                  <c:v>659.92</c:v>
                </c:pt>
                <c:pt idx="1">
                  <c:v>2568.64</c:v>
                </c:pt>
                <c:pt idx="2">
                  <c:v>5665.26</c:v>
                </c:pt>
                <c:pt idx="3">
                  <c:v>10172.129999999999</c:v>
                </c:pt>
                <c:pt idx="4">
                  <c:v>15841.53</c:v>
                </c:pt>
                <c:pt idx="5">
                  <c:v>22716.98</c:v>
                </c:pt>
                <c:pt idx="6">
                  <c:v>30953.58</c:v>
                </c:pt>
                <c:pt idx="7">
                  <c:v>40189.269999999997</c:v>
                </c:pt>
                <c:pt idx="8">
                  <c:v>51095.58</c:v>
                </c:pt>
                <c:pt idx="9">
                  <c:v>62922.73</c:v>
                </c:pt>
                <c:pt idx="10">
                  <c:v>75598.2</c:v>
                </c:pt>
                <c:pt idx="11">
                  <c:v>90169.67</c:v>
                </c:pt>
                <c:pt idx="12">
                  <c:v>106494.31</c:v>
                </c:pt>
                <c:pt idx="13">
                  <c:v>122642.32</c:v>
                </c:pt>
                <c:pt idx="14">
                  <c:v>140637.54999999999</c:v>
                </c:pt>
                <c:pt idx="15">
                  <c:v>159958.14000000001</c:v>
                </c:pt>
                <c:pt idx="16">
                  <c:v>180729.91</c:v>
                </c:pt>
                <c:pt idx="17">
                  <c:v>202761.58</c:v>
                </c:pt>
                <c:pt idx="18">
                  <c:v>226795.1</c:v>
                </c:pt>
                <c:pt idx="19">
                  <c:v>250426.33</c:v>
                </c:pt>
                <c:pt idx="20">
                  <c:v>276162.5</c:v>
                </c:pt>
                <c:pt idx="21">
                  <c:v>301902.84999999998</c:v>
                </c:pt>
                <c:pt idx="22">
                  <c:v>331812.3</c:v>
                </c:pt>
                <c:pt idx="23">
                  <c:v>360423.51</c:v>
                </c:pt>
                <c:pt idx="24">
                  <c:v>390971.31</c:v>
                </c:pt>
                <c:pt idx="25">
                  <c:v>422841.37</c:v>
                </c:pt>
                <c:pt idx="26">
                  <c:v>456524.34</c:v>
                </c:pt>
                <c:pt idx="27">
                  <c:v>491516.14</c:v>
                </c:pt>
                <c:pt idx="28">
                  <c:v>524945.27</c:v>
                </c:pt>
                <c:pt idx="29">
                  <c:v>566039.31999999995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93-4434-AC58-AE470D82F31D}"/>
            </c:ext>
          </c:extLst>
        </c:ser>
        <c:ser>
          <c:idx val="4"/>
          <c:order val="4"/>
          <c:tx>
            <c:v>CasoPessimo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Max!$D$2:$D$31</c:f>
              <c:numCache>
                <c:formatCode>General</c:formatCode>
                <c:ptCount val="30"/>
                <c:pt idx="0">
                  <c:v>822</c:v>
                </c:pt>
                <c:pt idx="1">
                  <c:v>3000</c:v>
                </c:pt>
                <c:pt idx="2">
                  <c:v>6310</c:v>
                </c:pt>
                <c:pt idx="3">
                  <c:v>11203</c:v>
                </c:pt>
                <c:pt idx="4">
                  <c:v>17461</c:v>
                </c:pt>
                <c:pt idx="5">
                  <c:v>24642</c:v>
                </c:pt>
                <c:pt idx="6">
                  <c:v>33354</c:v>
                </c:pt>
                <c:pt idx="7">
                  <c:v>42854</c:v>
                </c:pt>
                <c:pt idx="8">
                  <c:v>54507</c:v>
                </c:pt>
                <c:pt idx="9">
                  <c:v>66990</c:v>
                </c:pt>
                <c:pt idx="10">
                  <c:v>81666</c:v>
                </c:pt>
                <c:pt idx="11">
                  <c:v>95497</c:v>
                </c:pt>
                <c:pt idx="12">
                  <c:v>113534</c:v>
                </c:pt>
                <c:pt idx="13">
                  <c:v>131557</c:v>
                </c:pt>
                <c:pt idx="14">
                  <c:v>149803</c:v>
                </c:pt>
                <c:pt idx="15">
                  <c:v>168546</c:v>
                </c:pt>
                <c:pt idx="16">
                  <c:v>188371</c:v>
                </c:pt>
                <c:pt idx="17">
                  <c:v>211797</c:v>
                </c:pt>
                <c:pt idx="18">
                  <c:v>239952</c:v>
                </c:pt>
                <c:pt idx="19">
                  <c:v>265896</c:v>
                </c:pt>
                <c:pt idx="20">
                  <c:v>287656</c:v>
                </c:pt>
                <c:pt idx="21">
                  <c:v>319722</c:v>
                </c:pt>
                <c:pt idx="22">
                  <c:v>353638</c:v>
                </c:pt>
                <c:pt idx="23">
                  <c:v>379285</c:v>
                </c:pt>
                <c:pt idx="24">
                  <c:v>411658</c:v>
                </c:pt>
                <c:pt idx="25">
                  <c:v>440258</c:v>
                </c:pt>
                <c:pt idx="26">
                  <c:v>476931</c:v>
                </c:pt>
                <c:pt idx="27">
                  <c:v>513802</c:v>
                </c:pt>
                <c:pt idx="28">
                  <c:v>548653</c:v>
                </c:pt>
                <c:pt idx="29">
                  <c:v>596481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93-4434-AC58-AE470D82F31D}"/>
            </c:ext>
          </c:extLst>
        </c:ser>
        <c:ser>
          <c:idx val="5"/>
          <c:order val="5"/>
          <c:tx>
            <c:v>Media+DevStd</c:v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'Media+DevStd'!$D$2:$D$31</c:f>
              <c:numCache>
                <c:formatCode>General</c:formatCode>
                <c:ptCount val="30"/>
                <c:pt idx="0">
                  <c:v>718.61725098100646</c:v>
                </c:pt>
                <c:pt idx="1">
                  <c:v>2756.9013979003498</c:v>
                </c:pt>
                <c:pt idx="2">
                  <c:v>5942.3857097237624</c:v>
                </c:pt>
                <c:pt idx="3">
                  <c:v>10615.08163917347</c:v>
                </c:pt>
                <c:pt idx="4">
                  <c:v>16470.42822617725</c:v>
                </c:pt>
                <c:pt idx="5">
                  <c:v>23616.55822866883</c:v>
                </c:pt>
                <c:pt idx="6">
                  <c:v>32076.646474731871</c:v>
                </c:pt>
                <c:pt idx="7">
                  <c:v>41342.774382612857</c:v>
                </c:pt>
                <c:pt idx="8">
                  <c:v>52530.456429269339</c:v>
                </c:pt>
                <c:pt idx="9">
                  <c:v>64745.502618093858</c:v>
                </c:pt>
                <c:pt idx="10">
                  <c:v>77610.820027162947</c:v>
                </c:pt>
                <c:pt idx="11">
                  <c:v>92603.760791426874</c:v>
                </c:pt>
                <c:pt idx="12">
                  <c:v>109401.04192759306</c:v>
                </c:pt>
                <c:pt idx="13">
                  <c:v>125785.25940743183</c:v>
                </c:pt>
                <c:pt idx="14">
                  <c:v>144515.17293730829</c:v>
                </c:pt>
                <c:pt idx="15">
                  <c:v>163894.28751668829</c:v>
                </c:pt>
                <c:pt idx="16">
                  <c:v>184254.91279273477</c:v>
                </c:pt>
                <c:pt idx="17">
                  <c:v>206951.77027359005</c:v>
                </c:pt>
                <c:pt idx="18">
                  <c:v>231654.06444572797</c:v>
                </c:pt>
                <c:pt idx="19">
                  <c:v>255635.67237509007</c:v>
                </c:pt>
                <c:pt idx="20">
                  <c:v>281362.52079735545</c:v>
                </c:pt>
                <c:pt idx="21">
                  <c:v>308245.56638805429</c:v>
                </c:pt>
                <c:pt idx="22">
                  <c:v>339150.78069418937</c:v>
                </c:pt>
                <c:pt idx="23">
                  <c:v>367368.48759883962</c:v>
                </c:pt>
                <c:pt idx="24">
                  <c:v>399479.30073087569</c:v>
                </c:pt>
                <c:pt idx="25">
                  <c:v>430760.50074208289</c:v>
                </c:pt>
                <c:pt idx="26">
                  <c:v>464605.1846343464</c:v>
                </c:pt>
                <c:pt idx="27">
                  <c:v>499819.33525209082</c:v>
                </c:pt>
                <c:pt idx="28">
                  <c:v>534234.018503687</c:v>
                </c:pt>
                <c:pt idx="29">
                  <c:v>576835.80204196274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93-4434-AC58-AE470D82F31D}"/>
            </c:ext>
          </c:extLst>
        </c:ser>
        <c:ser>
          <c:idx val="6"/>
          <c:order val="6"/>
          <c:tx>
            <c:v>Media-DevStd</c:v>
          </c:tx>
          <c:spPr>
            <a:ln w="3492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'Media-DevStd'!$D$2:$D$31</c:f>
              <c:numCache>
                <c:formatCode>General</c:formatCode>
                <c:ptCount val="30"/>
                <c:pt idx="0">
                  <c:v>601.22274901899345</c:v>
                </c:pt>
                <c:pt idx="1">
                  <c:v>2380.3786020996499</c:v>
                </c:pt>
                <c:pt idx="2">
                  <c:v>5388.1342902762381</c:v>
                </c:pt>
                <c:pt idx="3">
                  <c:v>9729.1783608265287</c:v>
                </c:pt>
                <c:pt idx="4">
                  <c:v>15212.631773822754</c:v>
                </c:pt>
                <c:pt idx="5">
                  <c:v>21817.40177133117</c:v>
                </c:pt>
                <c:pt idx="6">
                  <c:v>29830.513525268132</c:v>
                </c:pt>
                <c:pt idx="7">
                  <c:v>39035.765617387136</c:v>
                </c:pt>
                <c:pt idx="8">
                  <c:v>49660.703570730664</c:v>
                </c:pt>
                <c:pt idx="9">
                  <c:v>61099.957381906148</c:v>
                </c:pt>
                <c:pt idx="10">
                  <c:v>73585.579972837048</c:v>
                </c:pt>
                <c:pt idx="11">
                  <c:v>87735.579208573123</c:v>
                </c:pt>
                <c:pt idx="12">
                  <c:v>103587.57807240693</c:v>
                </c:pt>
                <c:pt idx="13">
                  <c:v>119499.38059256818</c:v>
                </c:pt>
                <c:pt idx="14">
                  <c:v>136759.92706269168</c:v>
                </c:pt>
                <c:pt idx="15">
                  <c:v>156021.99248331174</c:v>
                </c:pt>
                <c:pt idx="16">
                  <c:v>177204.90720726523</c:v>
                </c:pt>
                <c:pt idx="17">
                  <c:v>198571.38972640992</c:v>
                </c:pt>
                <c:pt idx="18">
                  <c:v>221936.13555427204</c:v>
                </c:pt>
                <c:pt idx="19">
                  <c:v>245216.9876249099</c:v>
                </c:pt>
                <c:pt idx="20">
                  <c:v>270962.47920264455</c:v>
                </c:pt>
                <c:pt idx="21">
                  <c:v>295560.13361194567</c:v>
                </c:pt>
                <c:pt idx="22">
                  <c:v>324473.81930581061</c:v>
                </c:pt>
                <c:pt idx="23">
                  <c:v>353478.5324011604</c:v>
                </c:pt>
                <c:pt idx="24">
                  <c:v>382463.3192691243</c:v>
                </c:pt>
                <c:pt idx="25">
                  <c:v>414922.2392579171</c:v>
                </c:pt>
                <c:pt idx="26">
                  <c:v>448443.49536565365</c:v>
                </c:pt>
                <c:pt idx="27">
                  <c:v>483212.94474790921</c:v>
                </c:pt>
                <c:pt idx="28">
                  <c:v>515656.52149631304</c:v>
                </c:pt>
                <c:pt idx="29">
                  <c:v>555242.83795803715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93-4434-AC58-AE470D82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1159855"/>
        <c:axId val="641161295"/>
      </c:lineChart>
      <c:catAx>
        <c:axId val="6411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61295"/>
        <c:crosses val="autoZero"/>
        <c:auto val="1"/>
        <c:lblAlgn val="ctr"/>
        <c:lblOffset val="100"/>
        <c:noMultiLvlLbl val="0"/>
      </c:catAx>
      <c:valAx>
        <c:axId val="64116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aseline="0"/>
                  <a:t>Numero confronti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5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317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Tempo di Esecuzione</a:t>
            </a:r>
            <a:r>
              <a:rPr lang="it-IT" baseline="0"/>
              <a:t> Ins</a:t>
            </a:r>
            <a:r>
              <a:rPr lang="it-IT"/>
              <a:t>ertionSort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425561586817996"/>
          <c:y val="0.13844718178424786"/>
          <c:w val="0.82076709076215604"/>
          <c:h val="0.63216354674590647"/>
        </c:manualLayout>
      </c:layout>
      <c:lineChart>
        <c:grouping val="standard"/>
        <c:varyColors val="0"/>
        <c:ser>
          <c:idx val="1"/>
          <c:order val="0"/>
          <c:tx>
            <c:strRef>
              <c:f>TempoIS!$B$1</c:f>
              <c:strCache>
                <c:ptCount val="1"/>
                <c:pt idx="0">
                  <c:v>c*n^2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76200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00D-4BAB-9B90-2AA9C2114119}"/>
              </c:ext>
            </c:extLst>
          </c:dPt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TempoIS!$B$2:$B$31</c:f>
              <c:numCache>
                <c:formatCode>General</c:formatCode>
                <c:ptCount val="30"/>
                <c:pt idx="0">
                  <c:v>2250</c:v>
                </c:pt>
                <c:pt idx="1">
                  <c:v>9000</c:v>
                </c:pt>
                <c:pt idx="2">
                  <c:v>20250</c:v>
                </c:pt>
                <c:pt idx="3">
                  <c:v>36000</c:v>
                </c:pt>
                <c:pt idx="4">
                  <c:v>56250</c:v>
                </c:pt>
                <c:pt idx="5">
                  <c:v>81000</c:v>
                </c:pt>
                <c:pt idx="6">
                  <c:v>110250</c:v>
                </c:pt>
                <c:pt idx="7">
                  <c:v>144000</c:v>
                </c:pt>
                <c:pt idx="8">
                  <c:v>182250</c:v>
                </c:pt>
                <c:pt idx="9">
                  <c:v>225000</c:v>
                </c:pt>
                <c:pt idx="10">
                  <c:v>272250</c:v>
                </c:pt>
                <c:pt idx="11">
                  <c:v>324000</c:v>
                </c:pt>
                <c:pt idx="12">
                  <c:v>380250</c:v>
                </c:pt>
                <c:pt idx="13">
                  <c:v>441000</c:v>
                </c:pt>
                <c:pt idx="14">
                  <c:v>506250</c:v>
                </c:pt>
                <c:pt idx="15">
                  <c:v>576000</c:v>
                </c:pt>
                <c:pt idx="16">
                  <c:v>650250</c:v>
                </c:pt>
                <c:pt idx="17">
                  <c:v>729000</c:v>
                </c:pt>
                <c:pt idx="18">
                  <c:v>812250</c:v>
                </c:pt>
                <c:pt idx="19">
                  <c:v>900000</c:v>
                </c:pt>
                <c:pt idx="20">
                  <c:v>992250</c:v>
                </c:pt>
                <c:pt idx="21">
                  <c:v>1089000</c:v>
                </c:pt>
                <c:pt idx="22">
                  <c:v>1190250</c:v>
                </c:pt>
                <c:pt idx="23">
                  <c:v>1296000</c:v>
                </c:pt>
                <c:pt idx="24">
                  <c:v>1406250</c:v>
                </c:pt>
                <c:pt idx="25">
                  <c:v>1521000</c:v>
                </c:pt>
                <c:pt idx="26">
                  <c:v>1640250</c:v>
                </c:pt>
                <c:pt idx="27">
                  <c:v>1764000</c:v>
                </c:pt>
                <c:pt idx="28">
                  <c:v>1892250</c:v>
                </c:pt>
                <c:pt idx="29">
                  <c:v>2025000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D-4BAB-9B90-2AA9C2114119}"/>
            </c:ext>
          </c:extLst>
        </c:ser>
        <c:ser>
          <c:idx val="2"/>
          <c:order val="1"/>
          <c:tx>
            <c:strRef>
              <c:f>TempoIS!$C$1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TempoIS!$C$2:$C$31</c:f>
              <c:numCache>
                <c:formatCode>General</c:formatCode>
                <c:ptCount val="30"/>
                <c:pt idx="0">
                  <c:v>253.9735285398626</c:v>
                </c:pt>
                <c:pt idx="1">
                  <c:v>597.94705707972525</c:v>
                </c:pt>
                <c:pt idx="2">
                  <c:v>975.89052321694385</c:v>
                </c:pt>
                <c:pt idx="3">
                  <c:v>1375.8941141594503</c:v>
                </c:pt>
                <c:pt idx="4">
                  <c:v>1792.3014640489696</c:v>
                </c:pt>
                <c:pt idx="5">
                  <c:v>2221.7810464338882</c:v>
                </c:pt>
                <c:pt idx="6">
                  <c:v>2662.1315002271836</c:v>
                </c:pt>
                <c:pt idx="7">
                  <c:v>3111.788228318901</c:v>
                </c:pt>
                <c:pt idx="8">
                  <c:v>3569.5813824429001</c:v>
                </c:pt>
                <c:pt idx="9">
                  <c:v>4034.6029280979392</c:v>
                </c:pt>
                <c:pt idx="10">
                  <c:v>4506.1274651639505</c:v>
                </c:pt>
                <c:pt idx="11">
                  <c:v>4983.5620928677763</c:v>
                </c:pt>
                <c:pt idx="12">
                  <c:v>5466.4131061307535</c:v>
                </c:pt>
                <c:pt idx="13">
                  <c:v>5954.2630004543671</c:v>
                </c:pt>
                <c:pt idx="14">
                  <c:v>6446.7540801336891</c:v>
                </c:pt>
                <c:pt idx="15">
                  <c:v>6943.576456637802</c:v>
                </c:pt>
                <c:pt idx="16">
                  <c:v>7444.4590587341745</c:v>
                </c:pt>
                <c:pt idx="17">
                  <c:v>7949.1627648858002</c:v>
                </c:pt>
                <c:pt idx="18">
                  <c:v>8457.4750662516562</c:v>
                </c:pt>
                <c:pt idx="19">
                  <c:v>8969.2058561958784</c:v>
                </c:pt>
                <c:pt idx="20">
                  <c:v>9484.1840638630438</c:v>
                </c:pt>
                <c:pt idx="21">
                  <c:v>10002.254930327901</c:v>
                </c:pt>
                <c:pt idx="22">
                  <c:v>10523.27778093585</c:v>
                </c:pt>
                <c:pt idx="23">
                  <c:v>11047.124185735553</c:v>
                </c:pt>
                <c:pt idx="24">
                  <c:v>11573.67642699313</c:v>
                </c:pt>
                <c:pt idx="25">
                  <c:v>12102.826212261507</c:v>
                </c:pt>
                <c:pt idx="26">
                  <c:v>12634.473585704905</c:v>
                </c:pt>
                <c:pt idx="27">
                  <c:v>13168.526000908734</c:v>
                </c:pt>
                <c:pt idx="28">
                  <c:v>13704.897526297498</c:v>
                </c:pt>
                <c:pt idx="29">
                  <c:v>14243.508160267378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0D-4BAB-9B90-2AA9C2114119}"/>
            </c:ext>
          </c:extLst>
        </c:ser>
        <c:ser>
          <c:idx val="0"/>
          <c:order val="2"/>
          <c:tx>
            <c:v>CasoOttimo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Min!$E$2:$E$31</c:f>
              <c:numCache>
                <c:formatCode>General</c:formatCode>
                <c:ptCount val="30"/>
                <c:pt idx="0">
                  <c:v>17100</c:v>
                </c:pt>
                <c:pt idx="1">
                  <c:v>10800</c:v>
                </c:pt>
                <c:pt idx="2">
                  <c:v>20900</c:v>
                </c:pt>
                <c:pt idx="3">
                  <c:v>34800</c:v>
                </c:pt>
                <c:pt idx="4">
                  <c:v>53900</c:v>
                </c:pt>
                <c:pt idx="5">
                  <c:v>77700</c:v>
                </c:pt>
                <c:pt idx="6">
                  <c:v>102500</c:v>
                </c:pt>
                <c:pt idx="7">
                  <c:v>134000</c:v>
                </c:pt>
                <c:pt idx="8">
                  <c:v>170500</c:v>
                </c:pt>
                <c:pt idx="9">
                  <c:v>211600</c:v>
                </c:pt>
                <c:pt idx="10">
                  <c:v>255400</c:v>
                </c:pt>
                <c:pt idx="11">
                  <c:v>296000</c:v>
                </c:pt>
                <c:pt idx="12">
                  <c:v>339400</c:v>
                </c:pt>
                <c:pt idx="13">
                  <c:v>401200</c:v>
                </c:pt>
                <c:pt idx="14">
                  <c:v>455100</c:v>
                </c:pt>
                <c:pt idx="15">
                  <c:v>524500</c:v>
                </c:pt>
                <c:pt idx="16">
                  <c:v>606300</c:v>
                </c:pt>
                <c:pt idx="17">
                  <c:v>668500</c:v>
                </c:pt>
                <c:pt idx="18">
                  <c:v>743300</c:v>
                </c:pt>
                <c:pt idx="19">
                  <c:v>830500</c:v>
                </c:pt>
                <c:pt idx="20">
                  <c:v>921500</c:v>
                </c:pt>
                <c:pt idx="21">
                  <c:v>997700</c:v>
                </c:pt>
                <c:pt idx="22">
                  <c:v>1101800</c:v>
                </c:pt>
                <c:pt idx="23">
                  <c:v>1197900</c:v>
                </c:pt>
                <c:pt idx="24">
                  <c:v>1280600</c:v>
                </c:pt>
                <c:pt idx="25">
                  <c:v>1405000</c:v>
                </c:pt>
                <c:pt idx="26">
                  <c:v>1528000</c:v>
                </c:pt>
                <c:pt idx="27">
                  <c:v>1644000</c:v>
                </c:pt>
                <c:pt idx="28">
                  <c:v>1744700</c:v>
                </c:pt>
                <c:pt idx="29">
                  <c:v>1866700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0D-4BAB-9B90-2AA9C2114119}"/>
            </c:ext>
          </c:extLst>
        </c:ser>
        <c:ser>
          <c:idx val="3"/>
          <c:order val="3"/>
          <c:tx>
            <c:v>CasoMedio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Media!$E$2:$E$31</c:f>
              <c:numCache>
                <c:formatCode>General</c:formatCode>
                <c:ptCount val="30"/>
                <c:pt idx="0">
                  <c:v>147266</c:v>
                </c:pt>
                <c:pt idx="1">
                  <c:v>24691.525423728814</c:v>
                </c:pt>
                <c:pt idx="2">
                  <c:v>27757</c:v>
                </c:pt>
                <c:pt idx="3">
                  <c:v>48183</c:v>
                </c:pt>
                <c:pt idx="4">
                  <c:v>73569</c:v>
                </c:pt>
                <c:pt idx="5">
                  <c:v>91962</c:v>
                </c:pt>
                <c:pt idx="6">
                  <c:v>124207</c:v>
                </c:pt>
                <c:pt idx="7">
                  <c:v>153363</c:v>
                </c:pt>
                <c:pt idx="8">
                  <c:v>202694</c:v>
                </c:pt>
                <c:pt idx="9">
                  <c:v>253716</c:v>
                </c:pt>
                <c:pt idx="10">
                  <c:v>291778</c:v>
                </c:pt>
                <c:pt idx="11">
                  <c:v>343394</c:v>
                </c:pt>
                <c:pt idx="12">
                  <c:v>395248</c:v>
                </c:pt>
                <c:pt idx="13">
                  <c:v>454308</c:v>
                </c:pt>
                <c:pt idx="14">
                  <c:v>505188</c:v>
                </c:pt>
                <c:pt idx="15">
                  <c:v>574585</c:v>
                </c:pt>
                <c:pt idx="16">
                  <c:v>660950</c:v>
                </c:pt>
                <c:pt idx="17">
                  <c:v>725875</c:v>
                </c:pt>
                <c:pt idx="18">
                  <c:v>805692</c:v>
                </c:pt>
                <c:pt idx="19">
                  <c:v>907777</c:v>
                </c:pt>
                <c:pt idx="20">
                  <c:v>1007971</c:v>
                </c:pt>
                <c:pt idx="21">
                  <c:v>1099647</c:v>
                </c:pt>
                <c:pt idx="22">
                  <c:v>1204537</c:v>
                </c:pt>
                <c:pt idx="23">
                  <c:v>1296986</c:v>
                </c:pt>
                <c:pt idx="24">
                  <c:v>1420444</c:v>
                </c:pt>
                <c:pt idx="25">
                  <c:v>1529565</c:v>
                </c:pt>
                <c:pt idx="26">
                  <c:v>1644411</c:v>
                </c:pt>
                <c:pt idx="27">
                  <c:v>1798037</c:v>
                </c:pt>
                <c:pt idx="28">
                  <c:v>1875506</c:v>
                </c:pt>
                <c:pt idx="29">
                  <c:v>2039986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0D-4BAB-9B90-2AA9C2114119}"/>
            </c:ext>
          </c:extLst>
        </c:ser>
        <c:ser>
          <c:idx val="4"/>
          <c:order val="4"/>
          <c:tx>
            <c:v>CasoPessimo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Max!$E$2:$E$31</c:f>
              <c:numCache>
                <c:formatCode>General</c:formatCode>
                <c:ptCount val="30"/>
                <c:pt idx="0">
                  <c:v>275300</c:v>
                </c:pt>
                <c:pt idx="1">
                  <c:v>132400</c:v>
                </c:pt>
                <c:pt idx="2">
                  <c:v>47600</c:v>
                </c:pt>
                <c:pt idx="3">
                  <c:v>79700</c:v>
                </c:pt>
                <c:pt idx="4">
                  <c:v>128100</c:v>
                </c:pt>
                <c:pt idx="5">
                  <c:v>205000</c:v>
                </c:pt>
                <c:pt idx="6">
                  <c:v>230800</c:v>
                </c:pt>
                <c:pt idx="7">
                  <c:v>266000</c:v>
                </c:pt>
                <c:pt idx="8">
                  <c:v>354600</c:v>
                </c:pt>
                <c:pt idx="9">
                  <c:v>383600</c:v>
                </c:pt>
                <c:pt idx="10">
                  <c:v>456900</c:v>
                </c:pt>
                <c:pt idx="11">
                  <c:v>587800</c:v>
                </c:pt>
                <c:pt idx="12">
                  <c:v>625100</c:v>
                </c:pt>
                <c:pt idx="13">
                  <c:v>705800</c:v>
                </c:pt>
                <c:pt idx="14">
                  <c:v>788700</c:v>
                </c:pt>
                <c:pt idx="15">
                  <c:v>732700</c:v>
                </c:pt>
                <c:pt idx="16">
                  <c:v>1148600</c:v>
                </c:pt>
                <c:pt idx="17">
                  <c:v>1075100</c:v>
                </c:pt>
                <c:pt idx="18">
                  <c:v>1070900</c:v>
                </c:pt>
                <c:pt idx="19">
                  <c:v>1181600</c:v>
                </c:pt>
                <c:pt idx="20">
                  <c:v>1330800</c:v>
                </c:pt>
                <c:pt idx="21">
                  <c:v>2312800</c:v>
                </c:pt>
                <c:pt idx="22">
                  <c:v>2006300</c:v>
                </c:pt>
                <c:pt idx="23">
                  <c:v>1913800</c:v>
                </c:pt>
                <c:pt idx="24">
                  <c:v>2291300</c:v>
                </c:pt>
                <c:pt idx="25">
                  <c:v>1956800</c:v>
                </c:pt>
                <c:pt idx="26">
                  <c:v>2216000</c:v>
                </c:pt>
                <c:pt idx="27">
                  <c:v>3864200</c:v>
                </c:pt>
                <c:pt idx="28">
                  <c:v>2445100</c:v>
                </c:pt>
                <c:pt idx="29">
                  <c:v>2863300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0D-4BAB-9B90-2AA9C2114119}"/>
            </c:ext>
          </c:extLst>
        </c:ser>
        <c:ser>
          <c:idx val="5"/>
          <c:order val="5"/>
          <c:tx>
            <c:v>Media+DevStd</c:v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'Media+DevStd'!$E$2:$E$31</c:f>
              <c:numCache>
                <c:formatCode>General</c:formatCode>
                <c:ptCount val="30"/>
                <c:pt idx="0">
                  <c:v>193420.11210982685</c:v>
                </c:pt>
                <c:pt idx="1">
                  <c:v>47049.716764862744</c:v>
                </c:pt>
                <c:pt idx="2">
                  <c:v>33533.655475692532</c:v>
                </c:pt>
                <c:pt idx="3">
                  <c:v>59847.519759172312</c:v>
                </c:pt>
                <c:pt idx="4">
                  <c:v>88253.855766703637</c:v>
                </c:pt>
                <c:pt idx="5">
                  <c:v>112890.02856931297</c:v>
                </c:pt>
                <c:pt idx="6">
                  <c:v>147379.20668443691</c:v>
                </c:pt>
                <c:pt idx="7">
                  <c:v>173229.4005219106</c:v>
                </c:pt>
                <c:pt idx="8">
                  <c:v>239070.72366008826</c:v>
                </c:pt>
                <c:pt idx="9">
                  <c:v>294527.72271677724</c:v>
                </c:pt>
                <c:pt idx="10">
                  <c:v>332923.89852775808</c:v>
                </c:pt>
                <c:pt idx="11">
                  <c:v>399539.72997067001</c:v>
                </c:pt>
                <c:pt idx="12">
                  <c:v>448363.60192332161</c:v>
                </c:pt>
                <c:pt idx="13">
                  <c:v>513877.21054071846</c:v>
                </c:pt>
                <c:pt idx="14">
                  <c:v>548797.08597755723</c:v>
                </c:pt>
                <c:pt idx="15">
                  <c:v>614296.58234982926</c:v>
                </c:pt>
                <c:pt idx="16">
                  <c:v>749449.41219915508</c:v>
                </c:pt>
                <c:pt idx="17">
                  <c:v>787200.42500892479</c:v>
                </c:pt>
                <c:pt idx="18">
                  <c:v>854468.96235484187</c:v>
                </c:pt>
                <c:pt idx="19">
                  <c:v>983412.40784713218</c:v>
                </c:pt>
                <c:pt idx="20">
                  <c:v>1098545.7810855035</c:v>
                </c:pt>
                <c:pt idx="21">
                  <c:v>1245849.9221163297</c:v>
                </c:pt>
                <c:pt idx="22">
                  <c:v>1346477.4681405539</c:v>
                </c:pt>
                <c:pt idx="23">
                  <c:v>1407632.7835551992</c:v>
                </c:pt>
                <c:pt idx="24">
                  <c:v>1555176.0598203498</c:v>
                </c:pt>
                <c:pt idx="25">
                  <c:v>1646774.6475973672</c:v>
                </c:pt>
                <c:pt idx="26">
                  <c:v>1775646.8012675787</c:v>
                </c:pt>
                <c:pt idx="27">
                  <c:v>2056145.9925816518</c:v>
                </c:pt>
                <c:pt idx="28">
                  <c:v>1978827.7547960808</c:v>
                </c:pt>
                <c:pt idx="29">
                  <c:v>2204810.558102048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0D-4BAB-9B90-2AA9C2114119}"/>
            </c:ext>
          </c:extLst>
        </c:ser>
        <c:ser>
          <c:idx val="6"/>
          <c:order val="6"/>
          <c:tx>
            <c:v>Media-DevStd</c:v>
          </c:tx>
          <c:spPr>
            <a:ln w="3492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'Media-DevStd'!$E$2:$E$31</c:f>
              <c:numCache>
                <c:formatCode>General</c:formatCode>
                <c:ptCount val="30"/>
                <c:pt idx="0">
                  <c:v>101111.88789017315</c:v>
                </c:pt>
                <c:pt idx="1">
                  <c:v>2333.3340825948835</c:v>
                </c:pt>
                <c:pt idx="2">
                  <c:v>21980.344524307471</c:v>
                </c:pt>
                <c:pt idx="3">
                  <c:v>36518.480240827688</c:v>
                </c:pt>
                <c:pt idx="4">
                  <c:v>58884.144233296371</c:v>
                </c:pt>
                <c:pt idx="5">
                  <c:v>71033.97143068703</c:v>
                </c:pt>
                <c:pt idx="6">
                  <c:v>101034.79331556309</c:v>
                </c:pt>
                <c:pt idx="7">
                  <c:v>133496.5994780894</c:v>
                </c:pt>
                <c:pt idx="8">
                  <c:v>166317.27633991174</c:v>
                </c:pt>
                <c:pt idx="9">
                  <c:v>212904.27728322276</c:v>
                </c:pt>
                <c:pt idx="10">
                  <c:v>250632.10147224192</c:v>
                </c:pt>
                <c:pt idx="11">
                  <c:v>287248.27002932999</c:v>
                </c:pt>
                <c:pt idx="12">
                  <c:v>342132.39807667839</c:v>
                </c:pt>
                <c:pt idx="13">
                  <c:v>394738.78945928154</c:v>
                </c:pt>
                <c:pt idx="14">
                  <c:v>461578.91402244277</c:v>
                </c:pt>
                <c:pt idx="15">
                  <c:v>534873.41765017074</c:v>
                </c:pt>
                <c:pt idx="16">
                  <c:v>572450.58780084492</c:v>
                </c:pt>
                <c:pt idx="17">
                  <c:v>664549.57499107521</c:v>
                </c:pt>
                <c:pt idx="18">
                  <c:v>756915.03764515813</c:v>
                </c:pt>
                <c:pt idx="19">
                  <c:v>832141.59215286782</c:v>
                </c:pt>
                <c:pt idx="20">
                  <c:v>917396.2189144966</c:v>
                </c:pt>
                <c:pt idx="21">
                  <c:v>953444.07788367046</c:v>
                </c:pt>
                <c:pt idx="22">
                  <c:v>1062596.5318594461</c:v>
                </c:pt>
                <c:pt idx="23">
                  <c:v>1186339.2164448008</c:v>
                </c:pt>
                <c:pt idx="24">
                  <c:v>1285711.9401796502</c:v>
                </c:pt>
                <c:pt idx="25">
                  <c:v>1412355.3524026328</c:v>
                </c:pt>
                <c:pt idx="26">
                  <c:v>1513175.1987324213</c:v>
                </c:pt>
                <c:pt idx="27">
                  <c:v>1539928.0074183482</c:v>
                </c:pt>
                <c:pt idx="28">
                  <c:v>1772184.2452039192</c:v>
                </c:pt>
                <c:pt idx="29">
                  <c:v>1875161.441897952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0D-4BAB-9B90-2AA9C2114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159855"/>
        <c:axId val="641161295"/>
      </c:lineChart>
      <c:catAx>
        <c:axId val="6411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61295"/>
        <c:crosses val="autoZero"/>
        <c:auto val="1"/>
        <c:lblAlgn val="ctr"/>
        <c:lblOffset val="100"/>
        <c:noMultiLvlLbl val="0"/>
      </c:catAx>
      <c:valAx>
        <c:axId val="641161295"/>
        <c:scaling>
          <c:orientation val="minMax"/>
          <c:max val="35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</a:t>
                </a:r>
                <a:r>
                  <a:rPr lang="it-IT" baseline="0"/>
                  <a:t> in nanosecondi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5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317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Numero</a:t>
            </a:r>
            <a:r>
              <a:rPr lang="it-IT" baseline="0"/>
              <a:t> Confronti MergeSort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425561586817996"/>
          <c:y val="0.13844718178424786"/>
          <c:w val="0.82076709076215604"/>
          <c:h val="0.63216354674590647"/>
        </c:manualLayout>
      </c:layout>
      <c:lineChart>
        <c:grouping val="standard"/>
        <c:varyColors val="0"/>
        <c:ser>
          <c:idx val="1"/>
          <c:order val="0"/>
          <c:tx>
            <c:strRef>
              <c:f>ConfrontiMS!$B$1</c:f>
              <c:strCache>
                <c:ptCount val="1"/>
                <c:pt idx="0">
                  <c:v>c*n^2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ConfrontiMS!$B$2:$B$31</c:f>
              <c:numCache>
                <c:formatCode>General</c:formatCode>
                <c:ptCount val="30"/>
                <c:pt idx="0">
                  <c:v>3052500</c:v>
                </c:pt>
                <c:pt idx="1">
                  <c:v>12210000</c:v>
                </c:pt>
                <c:pt idx="2">
                  <c:v>27472500</c:v>
                </c:pt>
                <c:pt idx="3">
                  <c:v>48840000</c:v>
                </c:pt>
                <c:pt idx="4">
                  <c:v>76312500</c:v>
                </c:pt>
                <c:pt idx="5">
                  <c:v>109890000</c:v>
                </c:pt>
                <c:pt idx="6">
                  <c:v>149572500</c:v>
                </c:pt>
                <c:pt idx="7">
                  <c:v>195360000</c:v>
                </c:pt>
                <c:pt idx="8">
                  <c:v>247252500</c:v>
                </c:pt>
                <c:pt idx="9">
                  <c:v>305250000</c:v>
                </c:pt>
                <c:pt idx="10">
                  <c:v>369352500</c:v>
                </c:pt>
                <c:pt idx="11">
                  <c:v>439560000</c:v>
                </c:pt>
                <c:pt idx="12">
                  <c:v>515872500</c:v>
                </c:pt>
                <c:pt idx="13">
                  <c:v>598290000</c:v>
                </c:pt>
                <c:pt idx="14">
                  <c:v>686812500</c:v>
                </c:pt>
                <c:pt idx="15">
                  <c:v>781440000</c:v>
                </c:pt>
                <c:pt idx="16">
                  <c:v>882172500</c:v>
                </c:pt>
                <c:pt idx="17">
                  <c:v>989010000</c:v>
                </c:pt>
                <c:pt idx="18">
                  <c:v>1101952500</c:v>
                </c:pt>
                <c:pt idx="19">
                  <c:v>1221000000</c:v>
                </c:pt>
                <c:pt idx="20">
                  <c:v>1346152500</c:v>
                </c:pt>
                <c:pt idx="21">
                  <c:v>1477410000</c:v>
                </c:pt>
                <c:pt idx="22">
                  <c:v>1614772500</c:v>
                </c:pt>
                <c:pt idx="23">
                  <c:v>1758240000</c:v>
                </c:pt>
                <c:pt idx="24">
                  <c:v>1907812500</c:v>
                </c:pt>
                <c:pt idx="25">
                  <c:v>2063490000</c:v>
                </c:pt>
                <c:pt idx="26">
                  <c:v>2225272500</c:v>
                </c:pt>
                <c:pt idx="27">
                  <c:v>2393160000</c:v>
                </c:pt>
                <c:pt idx="28">
                  <c:v>2567152500</c:v>
                </c:pt>
                <c:pt idx="29">
                  <c:v>2747250000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C-488D-99FD-B51F1FE92DDE}"/>
            </c:ext>
          </c:extLst>
        </c:ser>
        <c:ser>
          <c:idx val="2"/>
          <c:order val="1"/>
          <c:tx>
            <c:strRef>
              <c:f>ConfrontiMS!$C$1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ConfrontiMS!$C$2:$C$31</c:f>
              <c:numCache>
                <c:formatCode>General</c:formatCode>
                <c:ptCount val="30"/>
                <c:pt idx="0">
                  <c:v>344557.42038574693</c:v>
                </c:pt>
                <c:pt idx="1">
                  <c:v>811214.84077149397</c:v>
                </c:pt>
                <c:pt idx="2">
                  <c:v>1323958.1431643206</c:v>
                </c:pt>
                <c:pt idx="3">
                  <c:v>1866629.6815429877</c:v>
                </c:pt>
                <c:pt idx="4">
                  <c:v>2431555.6528931023</c:v>
                </c:pt>
                <c:pt idx="5">
                  <c:v>3014216.2863286412</c:v>
                </c:pt>
                <c:pt idx="6">
                  <c:v>3611625.0686415457</c:v>
                </c:pt>
                <c:pt idx="7">
                  <c:v>4221659.3630859759</c:v>
                </c:pt>
                <c:pt idx="8">
                  <c:v>4842732.0755142011</c:v>
                </c:pt>
                <c:pt idx="9">
                  <c:v>5473611.3057862045</c:v>
                </c:pt>
                <c:pt idx="10">
                  <c:v>6113312.9277390931</c:v>
                </c:pt>
                <c:pt idx="11">
                  <c:v>6761032.5726572825</c:v>
                </c:pt>
                <c:pt idx="12">
                  <c:v>7416100.4473173888</c:v>
                </c:pt>
                <c:pt idx="13">
                  <c:v>8077950.1372830914</c:v>
                </c:pt>
                <c:pt idx="14">
                  <c:v>8746096.3687147051</c:v>
                </c:pt>
                <c:pt idx="15">
                  <c:v>9420118.7261719517</c:v>
                </c:pt>
                <c:pt idx="16">
                  <c:v>10099649.456349364</c:v>
                </c:pt>
                <c:pt idx="17">
                  <c:v>10784364.151028402</c:v>
                </c:pt>
                <c:pt idx="18">
                  <c:v>11473974.506548079</c:v>
                </c:pt>
                <c:pt idx="19">
                  <c:v>12168222.611572409</c:v>
                </c:pt>
                <c:pt idx="20">
                  <c:v>12866876.379974196</c:v>
                </c:pt>
                <c:pt idx="21">
                  <c:v>13569725.855478186</c:v>
                </c:pt>
                <c:pt idx="22">
                  <c:v>14276580.189469637</c:v>
                </c:pt>
                <c:pt idx="23">
                  <c:v>14987265.145314565</c:v>
                </c:pt>
                <c:pt idx="24">
                  <c:v>15701621.019287346</c:v>
                </c:pt>
                <c:pt idx="25">
                  <c:v>16419500.894634778</c:v>
                </c:pt>
                <c:pt idx="26">
                  <c:v>17140769.164606322</c:v>
                </c:pt>
                <c:pt idx="27">
                  <c:v>17865300.274566185</c:v>
                </c:pt>
                <c:pt idx="28">
                  <c:v>18592977.644010272</c:v>
                </c:pt>
                <c:pt idx="29">
                  <c:v>19323692.73742941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C-488D-99FD-B51F1FE92DDE}"/>
            </c:ext>
          </c:extLst>
        </c:ser>
        <c:ser>
          <c:idx val="0"/>
          <c:order val="2"/>
          <c:tx>
            <c:v>CasoOttimo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Min!$F$2:$F$31</c:f>
              <c:numCache>
                <c:formatCode>General</c:formatCode>
                <c:ptCount val="30"/>
                <c:pt idx="0">
                  <c:v>226</c:v>
                </c:pt>
                <c:pt idx="1">
                  <c:v>22744</c:v>
                </c:pt>
                <c:pt idx="2">
                  <c:v>77203</c:v>
                </c:pt>
                <c:pt idx="3">
                  <c:v>167451</c:v>
                </c:pt>
                <c:pt idx="4">
                  <c:v>295965</c:v>
                </c:pt>
                <c:pt idx="5">
                  <c:v>464143</c:v>
                </c:pt>
                <c:pt idx="6">
                  <c:v>674352</c:v>
                </c:pt>
                <c:pt idx="7">
                  <c:v>927307</c:v>
                </c:pt>
                <c:pt idx="8">
                  <c:v>1223897</c:v>
                </c:pt>
                <c:pt idx="9">
                  <c:v>1564994</c:v>
                </c:pt>
                <c:pt idx="10">
                  <c:v>1950689</c:v>
                </c:pt>
                <c:pt idx="11">
                  <c:v>2383056</c:v>
                </c:pt>
                <c:pt idx="12">
                  <c:v>2862911</c:v>
                </c:pt>
                <c:pt idx="13">
                  <c:v>3390210</c:v>
                </c:pt>
                <c:pt idx="14">
                  <c:v>3965709</c:v>
                </c:pt>
                <c:pt idx="15">
                  <c:v>4589564</c:v>
                </c:pt>
                <c:pt idx="16">
                  <c:v>5262512</c:v>
                </c:pt>
                <c:pt idx="17">
                  <c:v>5984400</c:v>
                </c:pt>
                <c:pt idx="18">
                  <c:v>6755660</c:v>
                </c:pt>
                <c:pt idx="19">
                  <c:v>7576926</c:v>
                </c:pt>
                <c:pt idx="20">
                  <c:v>8448068</c:v>
                </c:pt>
                <c:pt idx="21">
                  <c:v>9370368</c:v>
                </c:pt>
                <c:pt idx="22">
                  <c:v>10344905</c:v>
                </c:pt>
                <c:pt idx="23">
                  <c:v>11371145</c:v>
                </c:pt>
                <c:pt idx="24">
                  <c:v>12450264</c:v>
                </c:pt>
                <c:pt idx="25">
                  <c:v>13581334</c:v>
                </c:pt>
                <c:pt idx="26">
                  <c:v>14765009</c:v>
                </c:pt>
                <c:pt idx="27">
                  <c:v>16002072</c:v>
                </c:pt>
                <c:pt idx="28">
                  <c:v>17292420</c:v>
                </c:pt>
                <c:pt idx="29">
                  <c:v>18636078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7C-488D-99FD-B51F1FE92DDE}"/>
            </c:ext>
          </c:extLst>
        </c:ser>
        <c:ser>
          <c:idx val="3"/>
          <c:order val="3"/>
          <c:tx>
            <c:v>CasoMedio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Media!$F$2:$F$31</c:f>
              <c:numCache>
                <c:formatCode>General</c:formatCode>
                <c:ptCount val="30"/>
                <c:pt idx="0">
                  <c:v>11206.87</c:v>
                </c:pt>
                <c:pt idx="1">
                  <c:v>49516.27</c:v>
                </c:pt>
                <c:pt idx="2">
                  <c:v>121662.38</c:v>
                </c:pt>
                <c:pt idx="3">
                  <c:v>230873.03</c:v>
                </c:pt>
                <c:pt idx="4">
                  <c:v>378986.08</c:v>
                </c:pt>
                <c:pt idx="5">
                  <c:v>567982.92000000004</c:v>
                </c:pt>
                <c:pt idx="6">
                  <c:v>799354.16</c:v>
                </c:pt>
                <c:pt idx="7">
                  <c:v>1073922.3</c:v>
                </c:pt>
                <c:pt idx="8">
                  <c:v>1392501.22</c:v>
                </c:pt>
                <c:pt idx="9">
                  <c:v>1755656.9</c:v>
                </c:pt>
                <c:pt idx="10">
                  <c:v>2164436.06</c:v>
                </c:pt>
                <c:pt idx="11">
                  <c:v>2620313.69</c:v>
                </c:pt>
                <c:pt idx="12">
                  <c:v>3123649.18</c:v>
                </c:pt>
                <c:pt idx="13">
                  <c:v>3674861.16</c:v>
                </c:pt>
                <c:pt idx="14">
                  <c:v>4274339.1100000003</c:v>
                </c:pt>
                <c:pt idx="15">
                  <c:v>4922525.38</c:v>
                </c:pt>
                <c:pt idx="16">
                  <c:v>5619629.29</c:v>
                </c:pt>
                <c:pt idx="17">
                  <c:v>6365981.71</c:v>
                </c:pt>
                <c:pt idx="18">
                  <c:v>7161911.46</c:v>
                </c:pt>
                <c:pt idx="19">
                  <c:v>8007900.29</c:v>
                </c:pt>
                <c:pt idx="20">
                  <c:v>8904448.6899999995</c:v>
                </c:pt>
                <c:pt idx="21">
                  <c:v>9852530.6799999997</c:v>
                </c:pt>
                <c:pt idx="22">
                  <c:v>10852718.109999999</c:v>
                </c:pt>
                <c:pt idx="23">
                  <c:v>11905138.33</c:v>
                </c:pt>
                <c:pt idx="24">
                  <c:v>13009914.52</c:v>
                </c:pt>
                <c:pt idx="25">
                  <c:v>14167064.74</c:v>
                </c:pt>
                <c:pt idx="26">
                  <c:v>15377089.369999999</c:v>
                </c:pt>
                <c:pt idx="27">
                  <c:v>16640603.41</c:v>
                </c:pt>
                <c:pt idx="28">
                  <c:v>17957173.850000001</c:v>
                </c:pt>
                <c:pt idx="29">
                  <c:v>19327114.48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7C-488D-99FD-B51F1FE92DDE}"/>
            </c:ext>
          </c:extLst>
        </c:ser>
        <c:ser>
          <c:idx val="4"/>
          <c:order val="4"/>
          <c:tx>
            <c:v>CasoPessimo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Max!$F$2:$F$31</c:f>
              <c:numCache>
                <c:formatCode>General</c:formatCode>
                <c:ptCount val="30"/>
                <c:pt idx="0">
                  <c:v>22200</c:v>
                </c:pt>
                <c:pt idx="1">
                  <c:v>76305</c:v>
                </c:pt>
                <c:pt idx="2">
                  <c:v>166170</c:v>
                </c:pt>
                <c:pt idx="3">
                  <c:v>294277</c:v>
                </c:pt>
                <c:pt idx="4">
                  <c:v>462029</c:v>
                </c:pt>
                <c:pt idx="5">
                  <c:v>671818</c:v>
                </c:pt>
                <c:pt idx="6">
                  <c:v>924351</c:v>
                </c:pt>
                <c:pt idx="7">
                  <c:v>1220477</c:v>
                </c:pt>
                <c:pt idx="8">
                  <c:v>1561118</c:v>
                </c:pt>
                <c:pt idx="9">
                  <c:v>1946372</c:v>
                </c:pt>
                <c:pt idx="10">
                  <c:v>2378256</c:v>
                </c:pt>
                <c:pt idx="11">
                  <c:v>2857621</c:v>
                </c:pt>
                <c:pt idx="12">
                  <c:v>3384454</c:v>
                </c:pt>
                <c:pt idx="13">
                  <c:v>3959457</c:v>
                </c:pt>
                <c:pt idx="14">
                  <c:v>4582833</c:v>
                </c:pt>
                <c:pt idx="15">
                  <c:v>5255341</c:v>
                </c:pt>
                <c:pt idx="16">
                  <c:v>5976689</c:v>
                </c:pt>
                <c:pt idx="17">
                  <c:v>6747479</c:v>
                </c:pt>
                <c:pt idx="18">
                  <c:v>7568190</c:v>
                </c:pt>
                <c:pt idx="19">
                  <c:v>8438867</c:v>
                </c:pt>
                <c:pt idx="20">
                  <c:v>9360643</c:v>
                </c:pt>
                <c:pt idx="21">
                  <c:v>10334641</c:v>
                </c:pt>
                <c:pt idx="22">
                  <c:v>11360344</c:v>
                </c:pt>
                <c:pt idx="23">
                  <c:v>12438960</c:v>
                </c:pt>
                <c:pt idx="24">
                  <c:v>13569480</c:v>
                </c:pt>
                <c:pt idx="25">
                  <c:v>14752673</c:v>
                </c:pt>
                <c:pt idx="26">
                  <c:v>15989189</c:v>
                </c:pt>
                <c:pt idx="27">
                  <c:v>17278977</c:v>
                </c:pt>
                <c:pt idx="28">
                  <c:v>18622140</c:v>
                </c:pt>
                <c:pt idx="29">
                  <c:v>20017984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7C-488D-99FD-B51F1FE92DDE}"/>
            </c:ext>
          </c:extLst>
        </c:ser>
        <c:ser>
          <c:idx val="5"/>
          <c:order val="5"/>
          <c:tx>
            <c:v>Media+DevStd</c:v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'Media+DevStd'!$F$2:$F$32</c:f>
              <c:numCache>
                <c:formatCode>General</c:formatCode>
                <c:ptCount val="31"/>
                <c:pt idx="0">
                  <c:v>17647.010420790135</c:v>
                </c:pt>
                <c:pt idx="1">
                  <c:v>65218.929647883619</c:v>
                </c:pt>
                <c:pt idx="2">
                  <c:v>147728.49724980161</c:v>
                </c:pt>
                <c:pt idx="3">
                  <c:v>268037.52183294605</c:v>
                </c:pt>
                <c:pt idx="4">
                  <c:v>427658.35518028977</c:v>
                </c:pt>
                <c:pt idx="5">
                  <c:v>628834.66638475331</c:v>
                </c:pt>
                <c:pt idx="6">
                  <c:v>872636.52530380012</c:v>
                </c:pt>
                <c:pt idx="7">
                  <c:v>1159811.2231830594</c:v>
                </c:pt>
                <c:pt idx="8">
                  <c:v>1491325.062829182</c:v>
                </c:pt>
                <c:pt idx="9">
                  <c:v>1867429.3288411072</c:v>
                </c:pt>
                <c:pt idx="10">
                  <c:v>2289741.2079801192</c:v>
                </c:pt>
                <c:pt idx="11">
                  <c:v>2759366.2994211912</c:v>
                </c:pt>
                <c:pt idx="12">
                  <c:v>3276494.7006190908</c:v>
                </c:pt>
                <c:pt idx="13">
                  <c:v>3841674.1811627648</c:v>
                </c:pt>
                <c:pt idx="14">
                  <c:v>4455153.7262587696</c:v>
                </c:pt>
                <c:pt idx="15">
                  <c:v>5117627.9610952688</c:v>
                </c:pt>
                <c:pt idx="16">
                  <c:v>5828944.0482852338</c:v>
                </c:pt>
                <c:pt idx="17">
                  <c:v>6589566.3037335034</c:v>
                </c:pt>
                <c:pt idx="18">
                  <c:v>7400004.0826893626</c:v>
                </c:pt>
                <c:pt idx="19">
                  <c:v>8260512.045709732</c:v>
                </c:pt>
                <c:pt idx="20">
                  <c:v>9171872.3577497732</c:v>
                </c:pt>
                <c:pt idx="21">
                  <c:v>10135140.368683662</c:v>
                </c:pt>
                <c:pt idx="22">
                  <c:v>11150313.69400207</c:v>
                </c:pt>
                <c:pt idx="23">
                  <c:v>12218102.896175301</c:v>
                </c:pt>
                <c:pt idx="24">
                  <c:v>13337880.484846577</c:v>
                </c:pt>
                <c:pt idx="25">
                  <c:v>14510288.276512539</c:v>
                </c:pt>
                <c:pt idx="26">
                  <c:v>15735797.025677191</c:v>
                </c:pt>
                <c:pt idx="27">
                  <c:v>17014771.193519238</c:v>
                </c:pt>
                <c:pt idx="28">
                  <c:v>18346824.372479793</c:v>
                </c:pt>
                <c:pt idx="29">
                  <c:v>19732077.271217961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7C-488D-99FD-B51F1FE92DDE}"/>
            </c:ext>
          </c:extLst>
        </c:ser>
        <c:ser>
          <c:idx val="6"/>
          <c:order val="6"/>
          <c:tx>
            <c:v>Media-DevStd</c:v>
          </c:tx>
          <c:spPr>
            <a:ln w="3492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'Media-DevStd'!$F$2:$F$31</c:f>
              <c:numCache>
                <c:formatCode>General</c:formatCode>
                <c:ptCount val="30"/>
                <c:pt idx="0">
                  <c:v>4766.7295792098657</c:v>
                </c:pt>
                <c:pt idx="1">
                  <c:v>33813.610352116375</c:v>
                </c:pt>
                <c:pt idx="2">
                  <c:v>95596.262750198395</c:v>
                </c:pt>
                <c:pt idx="3">
                  <c:v>193708.53816705395</c:v>
                </c:pt>
                <c:pt idx="4">
                  <c:v>330313.80481971026</c:v>
                </c:pt>
                <c:pt idx="5">
                  <c:v>507131.17361524672</c:v>
                </c:pt>
                <c:pt idx="6">
                  <c:v>726071.79469619994</c:v>
                </c:pt>
                <c:pt idx="7">
                  <c:v>988033.37681694073</c:v>
                </c:pt>
                <c:pt idx="8">
                  <c:v>1293677.3771708179</c:v>
                </c:pt>
                <c:pt idx="9">
                  <c:v>1643884.4711588926</c:v>
                </c:pt>
                <c:pt idx="10">
                  <c:v>2039130.9120198807</c:v>
                </c:pt>
                <c:pt idx="11">
                  <c:v>2481261.0805788087</c:v>
                </c:pt>
                <c:pt idx="12">
                  <c:v>2970803.6593809095</c:v>
                </c:pt>
                <c:pt idx="13">
                  <c:v>3508048.1388372355</c:v>
                </c:pt>
                <c:pt idx="14">
                  <c:v>4093524.493741231</c:v>
                </c:pt>
                <c:pt idx="15">
                  <c:v>4727422.7989047309</c:v>
                </c:pt>
                <c:pt idx="16">
                  <c:v>5410314.5317147663</c:v>
                </c:pt>
                <c:pt idx="17">
                  <c:v>6142397.1162664965</c:v>
                </c:pt>
                <c:pt idx="18">
                  <c:v>6923818.8373106373</c:v>
                </c:pt>
                <c:pt idx="19">
                  <c:v>7755288.5342902681</c:v>
                </c:pt>
                <c:pt idx="20">
                  <c:v>8637025.0222502258</c:v>
                </c:pt>
                <c:pt idx="21">
                  <c:v>9569920.9913163371</c:v>
                </c:pt>
                <c:pt idx="22">
                  <c:v>10555122.525997929</c:v>
                </c:pt>
                <c:pt idx="23">
                  <c:v>11592173.763824699</c:v>
                </c:pt>
                <c:pt idx="24">
                  <c:v>12681948.555153422</c:v>
                </c:pt>
                <c:pt idx="25">
                  <c:v>13823841.203487461</c:v>
                </c:pt>
                <c:pt idx="26">
                  <c:v>15018381.714322807</c:v>
                </c:pt>
                <c:pt idx="27">
                  <c:v>16266435.626480762</c:v>
                </c:pt>
                <c:pt idx="28">
                  <c:v>17567523.32752021</c:v>
                </c:pt>
                <c:pt idx="29">
                  <c:v>18922151.68878204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7C-488D-99FD-B51F1FE92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159855"/>
        <c:axId val="641161295"/>
      </c:lineChart>
      <c:catAx>
        <c:axId val="6411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61295"/>
        <c:crosses val="autoZero"/>
        <c:auto val="1"/>
        <c:lblAlgn val="ctr"/>
        <c:lblOffset val="100"/>
        <c:noMultiLvlLbl val="0"/>
      </c:catAx>
      <c:valAx>
        <c:axId val="641161295"/>
        <c:scaling>
          <c:orientation val="minMax"/>
          <c:max val="300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aseline="0"/>
                  <a:t>Numero confronti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5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317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Tempo di Esecuzione</a:t>
            </a:r>
            <a:r>
              <a:rPr lang="it-IT" baseline="0"/>
              <a:t> Merge</a:t>
            </a:r>
            <a:r>
              <a:rPr lang="it-IT"/>
              <a:t>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425561586817996"/>
          <c:y val="0.13844718178424786"/>
          <c:w val="0.82076709076215604"/>
          <c:h val="0.63216354674590647"/>
        </c:manualLayout>
      </c:layout>
      <c:lineChart>
        <c:grouping val="standard"/>
        <c:varyColors val="0"/>
        <c:ser>
          <c:idx val="1"/>
          <c:order val="0"/>
          <c:tx>
            <c:strRef>
              <c:f>TempoIS!$B$1</c:f>
              <c:strCache>
                <c:ptCount val="1"/>
                <c:pt idx="0">
                  <c:v>c*n^2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76200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DB4-4BBA-9CCD-67EAD1939DDA}"/>
              </c:ext>
            </c:extLst>
          </c:dPt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TempoMS!$B$2:$B$31</c:f>
              <c:numCache>
                <c:formatCode>General</c:formatCode>
                <c:ptCount val="30"/>
                <c:pt idx="0">
                  <c:v>96250</c:v>
                </c:pt>
                <c:pt idx="1">
                  <c:v>385000</c:v>
                </c:pt>
                <c:pt idx="2">
                  <c:v>866250</c:v>
                </c:pt>
                <c:pt idx="3">
                  <c:v>1540000</c:v>
                </c:pt>
                <c:pt idx="4">
                  <c:v>2406250</c:v>
                </c:pt>
                <c:pt idx="5">
                  <c:v>3465000</c:v>
                </c:pt>
                <c:pt idx="6">
                  <c:v>4716250</c:v>
                </c:pt>
                <c:pt idx="7">
                  <c:v>6160000</c:v>
                </c:pt>
                <c:pt idx="8">
                  <c:v>7796250</c:v>
                </c:pt>
                <c:pt idx="9">
                  <c:v>9625000</c:v>
                </c:pt>
                <c:pt idx="10">
                  <c:v>11646250</c:v>
                </c:pt>
                <c:pt idx="11">
                  <c:v>13860000</c:v>
                </c:pt>
                <c:pt idx="12">
                  <c:v>16266250</c:v>
                </c:pt>
                <c:pt idx="13">
                  <c:v>18865000</c:v>
                </c:pt>
                <c:pt idx="14">
                  <c:v>21656250</c:v>
                </c:pt>
                <c:pt idx="15">
                  <c:v>24640000</c:v>
                </c:pt>
                <c:pt idx="16">
                  <c:v>27816250</c:v>
                </c:pt>
                <c:pt idx="17">
                  <c:v>31185000</c:v>
                </c:pt>
                <c:pt idx="18">
                  <c:v>34746250</c:v>
                </c:pt>
                <c:pt idx="19">
                  <c:v>38500000</c:v>
                </c:pt>
                <c:pt idx="20">
                  <c:v>42446250</c:v>
                </c:pt>
                <c:pt idx="21">
                  <c:v>46585000</c:v>
                </c:pt>
                <c:pt idx="22">
                  <c:v>50916250</c:v>
                </c:pt>
                <c:pt idx="23">
                  <c:v>55440000</c:v>
                </c:pt>
                <c:pt idx="24">
                  <c:v>60156250</c:v>
                </c:pt>
                <c:pt idx="25">
                  <c:v>65065000</c:v>
                </c:pt>
                <c:pt idx="26">
                  <c:v>70166250</c:v>
                </c:pt>
                <c:pt idx="27">
                  <c:v>75460000</c:v>
                </c:pt>
                <c:pt idx="28">
                  <c:v>80946250</c:v>
                </c:pt>
                <c:pt idx="29">
                  <c:v>86625000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B4-4BBA-9CCD-67EAD1939DDA}"/>
            </c:ext>
          </c:extLst>
        </c:ser>
        <c:ser>
          <c:idx val="2"/>
          <c:order val="1"/>
          <c:tx>
            <c:strRef>
              <c:f>TempoIS!$C$1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TempoMS!$C$2:$C$31</c:f>
              <c:numCache>
                <c:formatCode>General</c:formatCode>
                <c:ptCount val="30"/>
                <c:pt idx="0">
                  <c:v>10864.423165316344</c:v>
                </c:pt>
                <c:pt idx="1">
                  <c:v>25578.846330632692</c:v>
                </c:pt>
                <c:pt idx="2">
                  <c:v>41746.427937613713</c:v>
                </c:pt>
                <c:pt idx="3">
                  <c:v>58857.692661265377</c:v>
                </c:pt>
                <c:pt idx="4">
                  <c:v>76670.673739872582</c:v>
                </c:pt>
                <c:pt idx="5">
                  <c:v>95042.855875227426</c:v>
                </c:pt>
                <c:pt idx="6">
                  <c:v>113880.06973194063</c:v>
                </c:pt>
                <c:pt idx="7">
                  <c:v>133115.38532253078</c:v>
                </c:pt>
                <c:pt idx="8">
                  <c:v>152698.75913783518</c:v>
                </c:pt>
                <c:pt idx="9">
                  <c:v>172591.34747974516</c:v>
                </c:pt>
                <c:pt idx="10">
                  <c:v>192762.11934312456</c:v>
                </c:pt>
                <c:pt idx="11">
                  <c:v>213185.71175045485</c:v>
                </c:pt>
                <c:pt idx="12">
                  <c:v>233841.00509559334</c:v>
                </c:pt>
                <c:pt idx="13">
                  <c:v>254710.13946388126</c:v>
                </c:pt>
                <c:pt idx="14">
                  <c:v>275777.81342794112</c:v>
                </c:pt>
                <c:pt idx="15">
                  <c:v>297030.77064506157</c:v>
                </c:pt>
                <c:pt idx="16">
                  <c:v>318457.4152902952</c:v>
                </c:pt>
                <c:pt idx="17">
                  <c:v>340047.51827567036</c:v>
                </c:pt>
                <c:pt idx="18">
                  <c:v>361791.98894520971</c:v>
                </c:pt>
                <c:pt idx="19">
                  <c:v>383682.69495949033</c:v>
                </c:pt>
                <c:pt idx="20">
                  <c:v>405712.31828747463</c:v>
                </c:pt>
                <c:pt idx="21">
                  <c:v>427874.23868624913</c:v>
                </c:pt>
                <c:pt idx="22">
                  <c:v>450162.43840670027</c:v>
                </c:pt>
                <c:pt idx="23">
                  <c:v>472571.4235009097</c:v>
                </c:pt>
                <c:pt idx="24">
                  <c:v>495096.15826581721</c:v>
                </c:pt>
                <c:pt idx="25">
                  <c:v>517732.01019118668</c:v>
                </c:pt>
                <c:pt idx="26">
                  <c:v>540474.70338848757</c:v>
                </c:pt>
                <c:pt idx="27">
                  <c:v>563320.27892776253</c:v>
                </c:pt>
                <c:pt idx="28">
                  <c:v>586265.06084717077</c:v>
                </c:pt>
                <c:pt idx="29">
                  <c:v>609305.62685588223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B4-4BBA-9CCD-67EAD1939DDA}"/>
            </c:ext>
          </c:extLst>
        </c:ser>
        <c:ser>
          <c:idx val="0"/>
          <c:order val="2"/>
          <c:tx>
            <c:v>CasoOttimo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Min!$G$2:$G$31</c:f>
              <c:numCache>
                <c:formatCode>General</c:formatCode>
                <c:ptCount val="30"/>
                <c:pt idx="0">
                  <c:v>29100</c:v>
                </c:pt>
                <c:pt idx="1">
                  <c:v>30600</c:v>
                </c:pt>
                <c:pt idx="2">
                  <c:v>43900</c:v>
                </c:pt>
                <c:pt idx="3">
                  <c:v>61100</c:v>
                </c:pt>
                <c:pt idx="4">
                  <c:v>78600</c:v>
                </c:pt>
                <c:pt idx="5">
                  <c:v>97600</c:v>
                </c:pt>
                <c:pt idx="6">
                  <c:v>113800</c:v>
                </c:pt>
                <c:pt idx="7">
                  <c:v>131700</c:v>
                </c:pt>
                <c:pt idx="8">
                  <c:v>148400</c:v>
                </c:pt>
                <c:pt idx="9">
                  <c:v>168600</c:v>
                </c:pt>
                <c:pt idx="10">
                  <c:v>187700</c:v>
                </c:pt>
                <c:pt idx="11">
                  <c:v>206500</c:v>
                </c:pt>
                <c:pt idx="12">
                  <c:v>224200</c:v>
                </c:pt>
                <c:pt idx="13">
                  <c:v>244400</c:v>
                </c:pt>
                <c:pt idx="14">
                  <c:v>266300</c:v>
                </c:pt>
                <c:pt idx="15">
                  <c:v>286800</c:v>
                </c:pt>
                <c:pt idx="16">
                  <c:v>306500</c:v>
                </c:pt>
                <c:pt idx="17">
                  <c:v>322400</c:v>
                </c:pt>
                <c:pt idx="18">
                  <c:v>345100</c:v>
                </c:pt>
                <c:pt idx="19">
                  <c:v>365600</c:v>
                </c:pt>
                <c:pt idx="20">
                  <c:v>384900</c:v>
                </c:pt>
                <c:pt idx="21">
                  <c:v>408800</c:v>
                </c:pt>
                <c:pt idx="22">
                  <c:v>429800</c:v>
                </c:pt>
                <c:pt idx="23">
                  <c:v>450300</c:v>
                </c:pt>
                <c:pt idx="24">
                  <c:v>467100</c:v>
                </c:pt>
                <c:pt idx="25">
                  <c:v>486400</c:v>
                </c:pt>
                <c:pt idx="26">
                  <c:v>513300</c:v>
                </c:pt>
                <c:pt idx="27">
                  <c:v>534400</c:v>
                </c:pt>
                <c:pt idx="28">
                  <c:v>556800</c:v>
                </c:pt>
                <c:pt idx="29">
                  <c:v>574300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B4-4BBA-9CCD-67EAD1939DDA}"/>
            </c:ext>
          </c:extLst>
        </c:ser>
        <c:ser>
          <c:idx val="3"/>
          <c:order val="3"/>
          <c:tx>
            <c:v>CasoMedio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Media!$G$2:$G$31</c:f>
              <c:numCache>
                <c:formatCode>General</c:formatCode>
                <c:ptCount val="30"/>
                <c:pt idx="0">
                  <c:v>88194.897959183669</c:v>
                </c:pt>
                <c:pt idx="1">
                  <c:v>50101.123595505618</c:v>
                </c:pt>
                <c:pt idx="2">
                  <c:v>65543.434343434346</c:v>
                </c:pt>
                <c:pt idx="3">
                  <c:v>83616</c:v>
                </c:pt>
                <c:pt idx="4">
                  <c:v>108513</c:v>
                </c:pt>
                <c:pt idx="5">
                  <c:v>119244</c:v>
                </c:pt>
                <c:pt idx="6">
                  <c:v>140256</c:v>
                </c:pt>
                <c:pt idx="7">
                  <c:v>155261</c:v>
                </c:pt>
                <c:pt idx="8">
                  <c:v>169668</c:v>
                </c:pt>
                <c:pt idx="9">
                  <c:v>187120</c:v>
                </c:pt>
                <c:pt idx="10">
                  <c:v>220339</c:v>
                </c:pt>
                <c:pt idx="11">
                  <c:v>223402</c:v>
                </c:pt>
                <c:pt idx="12">
                  <c:v>235160</c:v>
                </c:pt>
                <c:pt idx="13">
                  <c:v>256620</c:v>
                </c:pt>
                <c:pt idx="14">
                  <c:v>276260</c:v>
                </c:pt>
                <c:pt idx="15">
                  <c:v>311422</c:v>
                </c:pt>
                <c:pt idx="16">
                  <c:v>321508</c:v>
                </c:pt>
                <c:pt idx="17">
                  <c:v>337536</c:v>
                </c:pt>
                <c:pt idx="18">
                  <c:v>357146</c:v>
                </c:pt>
                <c:pt idx="19">
                  <c:v>385280</c:v>
                </c:pt>
                <c:pt idx="20">
                  <c:v>408288</c:v>
                </c:pt>
                <c:pt idx="21">
                  <c:v>430790</c:v>
                </c:pt>
                <c:pt idx="22">
                  <c:v>444997</c:v>
                </c:pt>
                <c:pt idx="23">
                  <c:v>469499</c:v>
                </c:pt>
                <c:pt idx="24">
                  <c:v>506950</c:v>
                </c:pt>
                <c:pt idx="25">
                  <c:v>525633</c:v>
                </c:pt>
                <c:pt idx="26">
                  <c:v>546437</c:v>
                </c:pt>
                <c:pt idx="27">
                  <c:v>598522</c:v>
                </c:pt>
                <c:pt idx="28">
                  <c:v>586686</c:v>
                </c:pt>
                <c:pt idx="29">
                  <c:v>609364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B4-4BBA-9CCD-67EAD1939DDA}"/>
            </c:ext>
          </c:extLst>
        </c:ser>
        <c:ser>
          <c:idx val="4"/>
          <c:order val="4"/>
          <c:tx>
            <c:v>CasoPessimo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Max!$G$2:$G$31</c:f>
              <c:numCache>
                <c:formatCode>General</c:formatCode>
                <c:ptCount val="30"/>
                <c:pt idx="0">
                  <c:v>462800</c:v>
                </c:pt>
                <c:pt idx="1">
                  <c:v>73300</c:v>
                </c:pt>
                <c:pt idx="2">
                  <c:v>107800</c:v>
                </c:pt>
                <c:pt idx="3">
                  <c:v>149900</c:v>
                </c:pt>
                <c:pt idx="4">
                  <c:v>160300</c:v>
                </c:pt>
                <c:pt idx="5">
                  <c:v>220300</c:v>
                </c:pt>
                <c:pt idx="6">
                  <c:v>350700</c:v>
                </c:pt>
                <c:pt idx="7">
                  <c:v>271400</c:v>
                </c:pt>
                <c:pt idx="8">
                  <c:v>271300</c:v>
                </c:pt>
                <c:pt idx="9">
                  <c:v>303900</c:v>
                </c:pt>
                <c:pt idx="10">
                  <c:v>1689100</c:v>
                </c:pt>
                <c:pt idx="11">
                  <c:v>327100</c:v>
                </c:pt>
                <c:pt idx="12">
                  <c:v>337700</c:v>
                </c:pt>
                <c:pt idx="13">
                  <c:v>352300</c:v>
                </c:pt>
                <c:pt idx="14">
                  <c:v>414800</c:v>
                </c:pt>
                <c:pt idx="15">
                  <c:v>1582400</c:v>
                </c:pt>
                <c:pt idx="16">
                  <c:v>835300</c:v>
                </c:pt>
                <c:pt idx="17">
                  <c:v>520500</c:v>
                </c:pt>
                <c:pt idx="18">
                  <c:v>470600</c:v>
                </c:pt>
                <c:pt idx="19">
                  <c:v>612100</c:v>
                </c:pt>
                <c:pt idx="20">
                  <c:v>822400</c:v>
                </c:pt>
                <c:pt idx="21">
                  <c:v>611000</c:v>
                </c:pt>
                <c:pt idx="22">
                  <c:v>674300</c:v>
                </c:pt>
                <c:pt idx="23">
                  <c:v>730300</c:v>
                </c:pt>
                <c:pt idx="24">
                  <c:v>2094700</c:v>
                </c:pt>
                <c:pt idx="25">
                  <c:v>1609100</c:v>
                </c:pt>
                <c:pt idx="26">
                  <c:v>1711600</c:v>
                </c:pt>
                <c:pt idx="27">
                  <c:v>2656600</c:v>
                </c:pt>
                <c:pt idx="28">
                  <c:v>730900</c:v>
                </c:pt>
                <c:pt idx="29">
                  <c:v>1773300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DB4-4BBA-9CCD-67EAD1939DDA}"/>
            </c:ext>
          </c:extLst>
        </c:ser>
        <c:ser>
          <c:idx val="5"/>
          <c:order val="5"/>
          <c:tx>
            <c:v>Media+DevStd</c:v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'Media+DevStd'!$G$2:$G$31</c:f>
              <c:numCache>
                <c:formatCode>General</c:formatCode>
                <c:ptCount val="30"/>
                <c:pt idx="0">
                  <c:v>164732.71877306583</c:v>
                </c:pt>
                <c:pt idx="1">
                  <c:v>60448.559535938817</c:v>
                </c:pt>
                <c:pt idx="2">
                  <c:v>79880.151595103875</c:v>
                </c:pt>
                <c:pt idx="3">
                  <c:v>101521.36130985252</c:v>
                </c:pt>
                <c:pt idx="4">
                  <c:v>128659.41685563992</c:v>
                </c:pt>
                <c:pt idx="5">
                  <c:v>139884.87501081583</c:v>
                </c:pt>
                <c:pt idx="6">
                  <c:v>170286.1677274266</c:v>
                </c:pt>
                <c:pt idx="7">
                  <c:v>182667.9330423504</c:v>
                </c:pt>
                <c:pt idx="8">
                  <c:v>191081.69277784284</c:v>
                </c:pt>
                <c:pt idx="9">
                  <c:v>214458.11488110555</c:v>
                </c:pt>
                <c:pt idx="10">
                  <c:v>370793.47507368121</c:v>
                </c:pt>
                <c:pt idx="11">
                  <c:v>248481.17152627744</c:v>
                </c:pt>
                <c:pt idx="12">
                  <c:v>254629.75380253466</c:v>
                </c:pt>
                <c:pt idx="13">
                  <c:v>277602.15692179691</c:v>
                </c:pt>
                <c:pt idx="14">
                  <c:v>293857.7730455196</c:v>
                </c:pt>
                <c:pt idx="15">
                  <c:v>442992.58832859003</c:v>
                </c:pt>
                <c:pt idx="16">
                  <c:v>375450.66443609033</c:v>
                </c:pt>
                <c:pt idx="17">
                  <c:v>367753.11509135913</c:v>
                </c:pt>
                <c:pt idx="18">
                  <c:v>377368.27704510273</c:v>
                </c:pt>
                <c:pt idx="19">
                  <c:v>421715.13954878441</c:v>
                </c:pt>
                <c:pt idx="20">
                  <c:v>457371.67269523058</c:v>
                </c:pt>
                <c:pt idx="21">
                  <c:v>469609.51113093062</c:v>
                </c:pt>
                <c:pt idx="22">
                  <c:v>475063.46326276695</c:v>
                </c:pt>
                <c:pt idx="23">
                  <c:v>510675.3943726907</c:v>
                </c:pt>
                <c:pt idx="24">
                  <c:v>670844.69796244788</c:v>
                </c:pt>
                <c:pt idx="25">
                  <c:v>643890.68649500771</c:v>
                </c:pt>
                <c:pt idx="26">
                  <c:v>669871.01185993419</c:v>
                </c:pt>
                <c:pt idx="27">
                  <c:v>848037.70003031101</c:v>
                </c:pt>
                <c:pt idx="28">
                  <c:v>633854.87139081059</c:v>
                </c:pt>
                <c:pt idx="29">
                  <c:v>734489.47522185463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B4-4BBA-9CCD-67EAD1939DDA}"/>
            </c:ext>
          </c:extLst>
        </c:ser>
        <c:ser>
          <c:idx val="6"/>
          <c:order val="6"/>
          <c:tx>
            <c:v>Media-DevStd</c:v>
          </c:tx>
          <c:spPr>
            <a:ln w="3492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'Media-DevStd'!$G$2:$G$31</c:f>
              <c:numCache>
                <c:formatCode>General</c:formatCode>
                <c:ptCount val="30"/>
                <c:pt idx="0">
                  <c:v>11657.077145301504</c:v>
                </c:pt>
                <c:pt idx="1">
                  <c:v>39753.687655072419</c:v>
                </c:pt>
                <c:pt idx="2">
                  <c:v>51206.717091764818</c:v>
                </c:pt>
                <c:pt idx="3">
                  <c:v>65710.638690147476</c:v>
                </c:pt>
                <c:pt idx="4">
                  <c:v>88366.583144360076</c:v>
                </c:pt>
                <c:pt idx="5">
                  <c:v>98603.124989184173</c:v>
                </c:pt>
                <c:pt idx="6">
                  <c:v>110225.8322725734</c:v>
                </c:pt>
                <c:pt idx="7">
                  <c:v>127854.06695764959</c:v>
                </c:pt>
                <c:pt idx="8">
                  <c:v>148254.30722215716</c:v>
                </c:pt>
                <c:pt idx="9">
                  <c:v>159781.88511889445</c:v>
                </c:pt>
                <c:pt idx="10">
                  <c:v>69884.524926318758</c:v>
                </c:pt>
                <c:pt idx="11">
                  <c:v>198322.82847372256</c:v>
                </c:pt>
                <c:pt idx="12">
                  <c:v>215690.24619746534</c:v>
                </c:pt>
                <c:pt idx="13">
                  <c:v>235637.84307820312</c:v>
                </c:pt>
                <c:pt idx="14">
                  <c:v>258662.2269544804</c:v>
                </c:pt>
                <c:pt idx="15">
                  <c:v>179851.41167140997</c:v>
                </c:pt>
                <c:pt idx="16">
                  <c:v>267565.33556390967</c:v>
                </c:pt>
                <c:pt idx="17">
                  <c:v>307318.88490864087</c:v>
                </c:pt>
                <c:pt idx="18">
                  <c:v>336923.72295489727</c:v>
                </c:pt>
                <c:pt idx="19">
                  <c:v>348844.86045121559</c:v>
                </c:pt>
                <c:pt idx="20">
                  <c:v>359204.32730476942</c:v>
                </c:pt>
                <c:pt idx="21">
                  <c:v>391970.48886906938</c:v>
                </c:pt>
                <c:pt idx="22">
                  <c:v>414930.53673723305</c:v>
                </c:pt>
                <c:pt idx="23">
                  <c:v>428322.6056273093</c:v>
                </c:pt>
                <c:pt idx="24">
                  <c:v>343055.30203755212</c:v>
                </c:pt>
                <c:pt idx="25">
                  <c:v>407375.31350499234</c:v>
                </c:pt>
                <c:pt idx="26">
                  <c:v>423002.98814006575</c:v>
                </c:pt>
                <c:pt idx="27">
                  <c:v>349006.29996968899</c:v>
                </c:pt>
                <c:pt idx="28">
                  <c:v>539517.12860918941</c:v>
                </c:pt>
                <c:pt idx="29">
                  <c:v>484238.52477814537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DB4-4BBA-9CCD-67EAD1939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159855"/>
        <c:axId val="641161295"/>
      </c:lineChart>
      <c:catAx>
        <c:axId val="6411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61295"/>
        <c:crosses val="autoZero"/>
        <c:auto val="1"/>
        <c:lblAlgn val="ctr"/>
        <c:lblOffset val="100"/>
        <c:noMultiLvlLbl val="0"/>
      </c:catAx>
      <c:valAx>
        <c:axId val="641161295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</a:t>
                </a:r>
                <a:r>
                  <a:rPr lang="it-IT" baseline="0"/>
                  <a:t> in nanosecondi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59855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317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Numero</a:t>
            </a:r>
            <a:r>
              <a:rPr lang="it-IT" baseline="0"/>
              <a:t> Confronti Quick Sort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425561586817996"/>
          <c:y val="0.13844718178424786"/>
          <c:w val="0.82076709076215604"/>
          <c:h val="0.63216354674590647"/>
        </c:manualLayout>
      </c:layout>
      <c:lineChart>
        <c:grouping val="standard"/>
        <c:varyColors val="0"/>
        <c:ser>
          <c:idx val="1"/>
          <c:order val="0"/>
          <c:tx>
            <c:strRef>
              <c:f>ConfrontiIs!$B$1</c:f>
              <c:strCache>
                <c:ptCount val="1"/>
                <c:pt idx="0">
                  <c:v>c*n^2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ConfrontiQS!$B$2:$B$31</c:f>
              <c:numCache>
                <c:formatCode>General</c:formatCode>
                <c:ptCount val="30"/>
                <c:pt idx="0">
                  <c:v>3777500</c:v>
                </c:pt>
                <c:pt idx="1">
                  <c:v>15110000</c:v>
                </c:pt>
                <c:pt idx="2">
                  <c:v>33997500</c:v>
                </c:pt>
                <c:pt idx="3">
                  <c:v>60440000</c:v>
                </c:pt>
                <c:pt idx="4">
                  <c:v>94437500</c:v>
                </c:pt>
                <c:pt idx="5">
                  <c:v>135990000</c:v>
                </c:pt>
                <c:pt idx="6">
                  <c:v>185097500</c:v>
                </c:pt>
                <c:pt idx="7">
                  <c:v>241760000</c:v>
                </c:pt>
                <c:pt idx="8">
                  <c:v>305977500</c:v>
                </c:pt>
                <c:pt idx="9">
                  <c:v>377750000</c:v>
                </c:pt>
                <c:pt idx="10">
                  <c:v>457077500</c:v>
                </c:pt>
                <c:pt idx="11">
                  <c:v>543960000</c:v>
                </c:pt>
                <c:pt idx="12">
                  <c:v>638397500</c:v>
                </c:pt>
                <c:pt idx="13">
                  <c:v>740390000</c:v>
                </c:pt>
                <c:pt idx="14">
                  <c:v>849937500</c:v>
                </c:pt>
                <c:pt idx="15">
                  <c:v>967040000</c:v>
                </c:pt>
                <c:pt idx="16">
                  <c:v>1091697500</c:v>
                </c:pt>
                <c:pt idx="17">
                  <c:v>1223910000</c:v>
                </c:pt>
                <c:pt idx="18">
                  <c:v>1363677500</c:v>
                </c:pt>
                <c:pt idx="19">
                  <c:v>1511000000</c:v>
                </c:pt>
                <c:pt idx="20">
                  <c:v>1665877500</c:v>
                </c:pt>
                <c:pt idx="21">
                  <c:v>1828310000</c:v>
                </c:pt>
                <c:pt idx="22">
                  <c:v>1998297500</c:v>
                </c:pt>
                <c:pt idx="23">
                  <c:v>2175840000</c:v>
                </c:pt>
                <c:pt idx="24">
                  <c:v>2360937500</c:v>
                </c:pt>
                <c:pt idx="25">
                  <c:v>2553590000</c:v>
                </c:pt>
                <c:pt idx="26">
                  <c:v>2753797500</c:v>
                </c:pt>
                <c:pt idx="27">
                  <c:v>2961560000</c:v>
                </c:pt>
                <c:pt idx="28">
                  <c:v>3176877500</c:v>
                </c:pt>
                <c:pt idx="29">
                  <c:v>3399750000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67-4D66-8551-102559DD2D3E}"/>
            </c:ext>
          </c:extLst>
        </c:ser>
        <c:ser>
          <c:idx val="2"/>
          <c:order val="1"/>
          <c:tx>
            <c:strRef>
              <c:f>ConfrontiIs!$C$1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ConfrontiQS!$C$2:$C$31</c:f>
              <c:numCache>
                <c:formatCode>General</c:formatCode>
                <c:ptCount val="30"/>
                <c:pt idx="0">
                  <c:v>426393.3351374804</c:v>
                </c:pt>
                <c:pt idx="1">
                  <c:v>1003886.670274961</c:v>
                </c:pt>
                <c:pt idx="2">
                  <c:v>1638411.7562008912</c:v>
                </c:pt>
                <c:pt idx="3">
                  <c:v>2309973.3405499216</c:v>
                </c:pt>
                <c:pt idx="4">
                  <c:v>3009075.0135311033</c:v>
                </c:pt>
                <c:pt idx="5">
                  <c:v>3730123.5124017829</c:v>
                </c:pt>
                <c:pt idx="6">
                  <c:v>4469422.9964925274</c:v>
                </c:pt>
                <c:pt idx="7">
                  <c:v>5224346.6810998442</c:v>
                </c:pt>
                <c:pt idx="8">
                  <c:v>5992930.5209680246</c:v>
                </c:pt>
                <c:pt idx="9">
                  <c:v>6773650.0270622065</c:v>
                </c:pt>
                <c:pt idx="10">
                  <c:v>7565287.3331808103</c:v>
                </c:pt>
                <c:pt idx="11">
                  <c:v>8366847.0248035658</c:v>
                </c:pt>
                <c:pt idx="12">
                  <c:v>9177500.2259595208</c:v>
                </c:pt>
                <c:pt idx="13">
                  <c:v>9996545.9929850549</c:v>
                </c:pt>
                <c:pt idx="14">
                  <c:v>10823383.794535561</c:v>
                </c:pt>
                <c:pt idx="15">
                  <c:v>11657493.362199688</c:v>
                </c:pt>
                <c:pt idx="16">
                  <c:v>12498419.597497042</c:v>
                </c:pt>
                <c:pt idx="17">
                  <c:v>13345761.041936049</c:v>
                </c:pt>
                <c:pt idx="18">
                  <c:v>14199160.916784724</c:v>
                </c:pt>
                <c:pt idx="19">
                  <c:v>15058300.054124413</c:v>
                </c:pt>
                <c:pt idx="20">
                  <c:v>15922891.244996732</c:v>
                </c:pt>
                <c:pt idx="21">
                  <c:v>16792674.666361623</c:v>
                </c:pt>
                <c:pt idx="22">
                  <c:v>17667414.141104523</c:v>
                </c:pt>
                <c:pt idx="23">
                  <c:v>18546894.049607132</c:v>
                </c:pt>
                <c:pt idx="24">
                  <c:v>19430916.756874021</c:v>
                </c:pt>
                <c:pt idx="25">
                  <c:v>20319300.451919042</c:v>
                </c:pt>
                <c:pt idx="26">
                  <c:v>21211877.320000123</c:v>
                </c:pt>
                <c:pt idx="27">
                  <c:v>22108491.98597011</c:v>
                </c:pt>
                <c:pt idx="28">
                  <c:v>23009000.18026169</c:v>
                </c:pt>
                <c:pt idx="29">
                  <c:v>23913267.589071121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67-4D66-8551-102559DD2D3E}"/>
            </c:ext>
          </c:extLst>
        </c:ser>
        <c:ser>
          <c:idx val="0"/>
          <c:order val="2"/>
          <c:tx>
            <c:v>CasoOttimo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Min!$H$2:$H$31</c:f>
              <c:numCache>
                <c:formatCode>General</c:formatCode>
                <c:ptCount val="30"/>
                <c:pt idx="0">
                  <c:v>216</c:v>
                </c:pt>
                <c:pt idx="1">
                  <c:v>26734</c:v>
                </c:pt>
                <c:pt idx="2">
                  <c:v>92464</c:v>
                </c:pt>
                <c:pt idx="3">
                  <c:v>201247</c:v>
                </c:pt>
                <c:pt idx="4">
                  <c:v>358596</c:v>
                </c:pt>
                <c:pt idx="5">
                  <c:v>567304</c:v>
                </c:pt>
                <c:pt idx="6">
                  <c:v>825560</c:v>
                </c:pt>
                <c:pt idx="7">
                  <c:v>1138986</c:v>
                </c:pt>
                <c:pt idx="8">
                  <c:v>1511744</c:v>
                </c:pt>
                <c:pt idx="9">
                  <c:v>1935733</c:v>
                </c:pt>
                <c:pt idx="10">
                  <c:v>2413055</c:v>
                </c:pt>
                <c:pt idx="11">
                  <c:v>2954344</c:v>
                </c:pt>
                <c:pt idx="12">
                  <c:v>3557288</c:v>
                </c:pt>
                <c:pt idx="13">
                  <c:v>4219278</c:v>
                </c:pt>
                <c:pt idx="14">
                  <c:v>4935740</c:v>
                </c:pt>
                <c:pt idx="15">
                  <c:v>5722286</c:v>
                </c:pt>
                <c:pt idx="16">
                  <c:v>6560817</c:v>
                </c:pt>
                <c:pt idx="17">
                  <c:v>7467881</c:v>
                </c:pt>
                <c:pt idx="18">
                  <c:v>8432250</c:v>
                </c:pt>
                <c:pt idx="19">
                  <c:v>9456648</c:v>
                </c:pt>
                <c:pt idx="20">
                  <c:v>10566990</c:v>
                </c:pt>
                <c:pt idx="21">
                  <c:v>11738585</c:v>
                </c:pt>
                <c:pt idx="22">
                  <c:v>12963002</c:v>
                </c:pt>
                <c:pt idx="23">
                  <c:v>14247432</c:v>
                </c:pt>
                <c:pt idx="24">
                  <c:v>15616980</c:v>
                </c:pt>
                <c:pt idx="25">
                  <c:v>17062751</c:v>
                </c:pt>
                <c:pt idx="26">
                  <c:v>18570027</c:v>
                </c:pt>
                <c:pt idx="27">
                  <c:v>20135198</c:v>
                </c:pt>
                <c:pt idx="28">
                  <c:v>21759591</c:v>
                </c:pt>
                <c:pt idx="29">
                  <c:v>23486253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67-4D66-8551-102559DD2D3E}"/>
            </c:ext>
          </c:extLst>
        </c:ser>
        <c:ser>
          <c:idx val="3"/>
          <c:order val="3"/>
          <c:tx>
            <c:v>CasoMedio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Media!$H$2:$H$31</c:f>
              <c:numCache>
                <c:formatCode>General</c:formatCode>
                <c:ptCount val="30"/>
                <c:pt idx="0">
                  <c:v>13135.11</c:v>
                </c:pt>
                <c:pt idx="1">
                  <c:v>59101.599999999999</c:v>
                </c:pt>
                <c:pt idx="2">
                  <c:v>146018.41</c:v>
                </c:pt>
                <c:pt idx="3">
                  <c:v>278592.7</c:v>
                </c:pt>
                <c:pt idx="4">
                  <c:v>461698.29</c:v>
                </c:pt>
                <c:pt idx="5">
                  <c:v>695123.35</c:v>
                </c:pt>
                <c:pt idx="6">
                  <c:v>980861.77</c:v>
                </c:pt>
                <c:pt idx="7">
                  <c:v>1323109.49</c:v>
                </c:pt>
                <c:pt idx="8">
                  <c:v>1722925.35</c:v>
                </c:pt>
                <c:pt idx="9">
                  <c:v>2172092.94</c:v>
                </c:pt>
                <c:pt idx="10">
                  <c:v>2681796.56</c:v>
                </c:pt>
                <c:pt idx="11">
                  <c:v>3251542.89</c:v>
                </c:pt>
                <c:pt idx="12">
                  <c:v>3885015.22</c:v>
                </c:pt>
                <c:pt idx="13">
                  <c:v>4573796.83</c:v>
                </c:pt>
                <c:pt idx="14">
                  <c:v>5321200.33</c:v>
                </c:pt>
                <c:pt idx="15">
                  <c:v>6138058.9699999997</c:v>
                </c:pt>
                <c:pt idx="16">
                  <c:v>7009252.4100000001</c:v>
                </c:pt>
                <c:pt idx="17">
                  <c:v>7946618.3099999996</c:v>
                </c:pt>
                <c:pt idx="18">
                  <c:v>8940805.1899999995</c:v>
                </c:pt>
                <c:pt idx="19">
                  <c:v>10008176.439999999</c:v>
                </c:pt>
                <c:pt idx="20">
                  <c:v>11148629.140000001</c:v>
                </c:pt>
                <c:pt idx="21">
                  <c:v>12346527.17</c:v>
                </c:pt>
                <c:pt idx="22">
                  <c:v>13597024.48</c:v>
                </c:pt>
                <c:pt idx="23">
                  <c:v>14926541.779999999</c:v>
                </c:pt>
                <c:pt idx="24">
                  <c:v>16331564.529999999</c:v>
                </c:pt>
                <c:pt idx="25">
                  <c:v>17807968.600000001</c:v>
                </c:pt>
                <c:pt idx="26">
                  <c:v>19342466.530000001</c:v>
                </c:pt>
                <c:pt idx="27">
                  <c:v>20937555.890000001</c:v>
                </c:pt>
                <c:pt idx="28">
                  <c:v>22614937.68</c:v>
                </c:pt>
                <c:pt idx="29">
                  <c:v>24365577.829999998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67-4D66-8551-102559DD2D3E}"/>
            </c:ext>
          </c:extLst>
        </c:ser>
        <c:ser>
          <c:idx val="4"/>
          <c:order val="4"/>
          <c:tx>
            <c:v>CasoPessimo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Max!$H$2:$H$31</c:f>
              <c:numCache>
                <c:formatCode>General</c:formatCode>
                <c:ptCount val="30"/>
                <c:pt idx="0">
                  <c:v>26083</c:v>
                </c:pt>
                <c:pt idx="1">
                  <c:v>91469</c:v>
                </c:pt>
                <c:pt idx="2">
                  <c:v>199706</c:v>
                </c:pt>
                <c:pt idx="3">
                  <c:v>356749</c:v>
                </c:pt>
                <c:pt idx="4">
                  <c:v>564793</c:v>
                </c:pt>
                <c:pt idx="5">
                  <c:v>822349</c:v>
                </c:pt>
                <c:pt idx="6">
                  <c:v>1135369</c:v>
                </c:pt>
                <c:pt idx="7">
                  <c:v>1507050</c:v>
                </c:pt>
                <c:pt idx="8">
                  <c:v>1930954</c:v>
                </c:pt>
                <c:pt idx="9">
                  <c:v>2407597</c:v>
                </c:pt>
                <c:pt idx="10">
                  <c:v>2948144</c:v>
                </c:pt>
                <c:pt idx="11">
                  <c:v>3550603</c:v>
                </c:pt>
                <c:pt idx="12">
                  <c:v>4211662</c:v>
                </c:pt>
                <c:pt idx="13">
                  <c:v>4928632</c:v>
                </c:pt>
                <c:pt idx="14">
                  <c:v>5714166</c:v>
                </c:pt>
                <c:pt idx="15">
                  <c:v>6552435</c:v>
                </c:pt>
                <c:pt idx="16">
                  <c:v>7458544</c:v>
                </c:pt>
                <c:pt idx="17">
                  <c:v>8422494</c:v>
                </c:pt>
                <c:pt idx="18">
                  <c:v>9445917</c:v>
                </c:pt>
                <c:pt idx="19">
                  <c:v>10556080</c:v>
                </c:pt>
                <c:pt idx="20">
                  <c:v>11726264</c:v>
                </c:pt>
                <c:pt idx="21">
                  <c:v>12950743</c:v>
                </c:pt>
                <c:pt idx="22">
                  <c:v>14232452</c:v>
                </c:pt>
                <c:pt idx="23">
                  <c:v>15601505</c:v>
                </c:pt>
                <c:pt idx="24">
                  <c:v>17046747</c:v>
                </c:pt>
                <c:pt idx="25">
                  <c:v>18555424</c:v>
                </c:pt>
                <c:pt idx="26">
                  <c:v>20117060</c:v>
                </c:pt>
                <c:pt idx="27">
                  <c:v>21743122</c:v>
                </c:pt>
                <c:pt idx="28">
                  <c:v>23468891</c:v>
                </c:pt>
                <c:pt idx="29">
                  <c:v>25242795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67-4D66-8551-102559DD2D3E}"/>
            </c:ext>
          </c:extLst>
        </c:ser>
        <c:ser>
          <c:idx val="5"/>
          <c:order val="5"/>
          <c:tx>
            <c:v>Media+DevStd</c:v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'Media+DevStd'!$H$2:$H$31</c:f>
              <c:numCache>
                <c:formatCode>General</c:formatCode>
                <c:ptCount val="30"/>
                <c:pt idx="0">
                  <c:v>20719.23705922073</c:v>
                </c:pt>
                <c:pt idx="1">
                  <c:v>78067.742731752602</c:v>
                </c:pt>
                <c:pt idx="2">
                  <c:v>177199.10520126583</c:v>
                </c:pt>
                <c:pt idx="3">
                  <c:v>323744.65002590051</c:v>
                </c:pt>
                <c:pt idx="4">
                  <c:v>522027.15388121258</c:v>
                </c:pt>
                <c:pt idx="5">
                  <c:v>770122.52653209551</c:v>
                </c:pt>
                <c:pt idx="6">
                  <c:v>1071405.2804500777</c:v>
                </c:pt>
                <c:pt idx="7">
                  <c:v>1430861.1388378842</c:v>
                </c:pt>
                <c:pt idx="8">
                  <c:v>1845707.0381917646</c:v>
                </c:pt>
                <c:pt idx="9">
                  <c:v>2310034.9644825333</c:v>
                </c:pt>
                <c:pt idx="10">
                  <c:v>2839703.2082653288</c:v>
                </c:pt>
                <c:pt idx="11">
                  <c:v>3426288.1372030601</c:v>
                </c:pt>
                <c:pt idx="12">
                  <c:v>4075597.9294062788</c:v>
                </c:pt>
                <c:pt idx="13">
                  <c:v>4782912.4828406004</c:v>
                </c:pt>
                <c:pt idx="14">
                  <c:v>5550304.1268792003</c:v>
                </c:pt>
                <c:pt idx="15">
                  <c:v>6382243.57541613</c:v>
                </c:pt>
                <c:pt idx="16">
                  <c:v>7271842.789282023</c:v>
                </c:pt>
                <c:pt idx="17">
                  <c:v>8226158.9214245109</c:v>
                </c:pt>
                <c:pt idx="18">
                  <c:v>9237970.4633430056</c:v>
                </c:pt>
                <c:pt idx="19">
                  <c:v>10331366.464901956</c:v>
                </c:pt>
                <c:pt idx="20">
                  <c:v>11488180.206980381</c:v>
                </c:pt>
                <c:pt idx="21">
                  <c:v>12701108.811676014</c:v>
                </c:pt>
                <c:pt idx="22">
                  <c:v>13970547.857331866</c:v>
                </c:pt>
                <c:pt idx="23">
                  <c:v>15323946.881103219</c:v>
                </c:pt>
                <c:pt idx="24">
                  <c:v>16750557.529979194</c:v>
                </c:pt>
                <c:pt idx="25">
                  <c:v>18245741.440620601</c:v>
                </c:pt>
                <c:pt idx="26">
                  <c:v>19795751.355790995</c:v>
                </c:pt>
                <c:pt idx="27">
                  <c:v>21409732.786482833</c:v>
                </c:pt>
                <c:pt idx="28">
                  <c:v>23115072.912124652</c:v>
                </c:pt>
                <c:pt idx="29">
                  <c:v>24881001.231313676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A67-4D66-8551-102559DD2D3E}"/>
            </c:ext>
          </c:extLst>
        </c:ser>
        <c:ser>
          <c:idx val="6"/>
          <c:order val="6"/>
          <c:tx>
            <c:v>Media-DevStd</c:v>
          </c:tx>
          <c:spPr>
            <a:ln w="3492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'Media-DevStd'!$H$2:$H$31</c:f>
              <c:numCache>
                <c:formatCode>General</c:formatCode>
                <c:ptCount val="30"/>
                <c:pt idx="0">
                  <c:v>5550.9829407792722</c:v>
                </c:pt>
                <c:pt idx="1">
                  <c:v>40135.457268247395</c:v>
                </c:pt>
                <c:pt idx="2">
                  <c:v>114837.71479873417</c:v>
                </c:pt>
                <c:pt idx="3">
                  <c:v>233440.74997409954</c:v>
                </c:pt>
                <c:pt idx="4">
                  <c:v>401369.42611878738</c:v>
                </c:pt>
                <c:pt idx="5">
                  <c:v>620124.17346790445</c:v>
                </c:pt>
                <c:pt idx="6">
                  <c:v>890318.25954992231</c:v>
                </c:pt>
                <c:pt idx="7">
                  <c:v>1215357.8411621158</c:v>
                </c:pt>
                <c:pt idx="8">
                  <c:v>1600143.6618082356</c:v>
                </c:pt>
                <c:pt idx="9">
                  <c:v>2034150.9155174666</c:v>
                </c:pt>
                <c:pt idx="10">
                  <c:v>2523889.9117346713</c:v>
                </c:pt>
                <c:pt idx="11">
                  <c:v>3076797.6427969402</c:v>
                </c:pt>
                <c:pt idx="12">
                  <c:v>3694432.5105937216</c:v>
                </c:pt>
                <c:pt idx="13">
                  <c:v>4364681.1771593997</c:v>
                </c:pt>
                <c:pt idx="14">
                  <c:v>5092096.5331207998</c:v>
                </c:pt>
                <c:pt idx="15">
                  <c:v>5893874.3645838695</c:v>
                </c:pt>
                <c:pt idx="16">
                  <c:v>6746662.0307179773</c:v>
                </c:pt>
                <c:pt idx="17">
                  <c:v>7667077.6985754883</c:v>
                </c:pt>
                <c:pt idx="18">
                  <c:v>8643639.9166569933</c:v>
                </c:pt>
                <c:pt idx="19">
                  <c:v>9684986.4150980432</c:v>
                </c:pt>
                <c:pt idx="20">
                  <c:v>10809078.07301962</c:v>
                </c:pt>
                <c:pt idx="21">
                  <c:v>11991945.528323986</c:v>
                </c:pt>
                <c:pt idx="22">
                  <c:v>13223501.102668134</c:v>
                </c:pt>
                <c:pt idx="23">
                  <c:v>14529136.678896779</c:v>
                </c:pt>
                <c:pt idx="24">
                  <c:v>15912571.530020805</c:v>
                </c:pt>
                <c:pt idx="25">
                  <c:v>17370195.759379402</c:v>
                </c:pt>
                <c:pt idx="26">
                  <c:v>18889181.704209007</c:v>
                </c:pt>
                <c:pt idx="27">
                  <c:v>20465378.993517168</c:v>
                </c:pt>
                <c:pt idx="28">
                  <c:v>22114802.447875347</c:v>
                </c:pt>
                <c:pt idx="29">
                  <c:v>23850154.428686321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67-4D66-8551-102559DD2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159855"/>
        <c:axId val="641161295"/>
      </c:lineChart>
      <c:catAx>
        <c:axId val="6411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61295"/>
        <c:crosses val="autoZero"/>
        <c:auto val="1"/>
        <c:lblAlgn val="ctr"/>
        <c:lblOffset val="100"/>
        <c:noMultiLvlLbl val="0"/>
      </c:catAx>
      <c:valAx>
        <c:axId val="641161295"/>
        <c:scaling>
          <c:orientation val="minMax"/>
          <c:max val="300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aseline="0"/>
                  <a:t>Numero confronti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5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317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Tempo di Esecuzione</a:t>
            </a:r>
            <a:r>
              <a:rPr lang="it-IT" baseline="0"/>
              <a:t> Quick</a:t>
            </a:r>
            <a:r>
              <a:rPr lang="it-IT"/>
              <a:t>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425561586817996"/>
          <c:y val="0.13844718178424786"/>
          <c:w val="0.82076709076215604"/>
          <c:h val="0.63216354674590647"/>
        </c:manualLayout>
      </c:layout>
      <c:lineChart>
        <c:grouping val="standard"/>
        <c:varyColors val="0"/>
        <c:ser>
          <c:idx val="1"/>
          <c:order val="0"/>
          <c:tx>
            <c:strRef>
              <c:f>TempoQS!$B$1</c:f>
              <c:strCache>
                <c:ptCount val="1"/>
                <c:pt idx="0">
                  <c:v>c*n^2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76200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63-48C7-BA0E-7B5AECE819D5}"/>
              </c:ext>
            </c:extLst>
          </c:dPt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TempoQS!$B$2:$B$31</c:f>
              <c:numCache>
                <c:formatCode>General</c:formatCode>
                <c:ptCount val="30"/>
                <c:pt idx="0">
                  <c:v>32750</c:v>
                </c:pt>
                <c:pt idx="1">
                  <c:v>131000</c:v>
                </c:pt>
                <c:pt idx="2">
                  <c:v>294750</c:v>
                </c:pt>
                <c:pt idx="3">
                  <c:v>524000</c:v>
                </c:pt>
                <c:pt idx="4">
                  <c:v>818750</c:v>
                </c:pt>
                <c:pt idx="5">
                  <c:v>1179000</c:v>
                </c:pt>
                <c:pt idx="6">
                  <c:v>1604750</c:v>
                </c:pt>
                <c:pt idx="7">
                  <c:v>2096000</c:v>
                </c:pt>
                <c:pt idx="8">
                  <c:v>2652750</c:v>
                </c:pt>
                <c:pt idx="9">
                  <c:v>3275000</c:v>
                </c:pt>
                <c:pt idx="10">
                  <c:v>3962750</c:v>
                </c:pt>
                <c:pt idx="11">
                  <c:v>4716000</c:v>
                </c:pt>
                <c:pt idx="12">
                  <c:v>5534750</c:v>
                </c:pt>
                <c:pt idx="13">
                  <c:v>6419000</c:v>
                </c:pt>
                <c:pt idx="14">
                  <c:v>7368750</c:v>
                </c:pt>
                <c:pt idx="15">
                  <c:v>8384000</c:v>
                </c:pt>
                <c:pt idx="16">
                  <c:v>9464750</c:v>
                </c:pt>
                <c:pt idx="17">
                  <c:v>10611000</c:v>
                </c:pt>
                <c:pt idx="18">
                  <c:v>11822750</c:v>
                </c:pt>
                <c:pt idx="19">
                  <c:v>13100000</c:v>
                </c:pt>
                <c:pt idx="20">
                  <c:v>14442750</c:v>
                </c:pt>
                <c:pt idx="21">
                  <c:v>15851000</c:v>
                </c:pt>
                <c:pt idx="22">
                  <c:v>17324750</c:v>
                </c:pt>
                <c:pt idx="23">
                  <c:v>18864000</c:v>
                </c:pt>
                <c:pt idx="24">
                  <c:v>20468750</c:v>
                </c:pt>
                <c:pt idx="25">
                  <c:v>22139000</c:v>
                </c:pt>
                <c:pt idx="26">
                  <c:v>23874750</c:v>
                </c:pt>
                <c:pt idx="27">
                  <c:v>25676000</c:v>
                </c:pt>
                <c:pt idx="28">
                  <c:v>27542750</c:v>
                </c:pt>
                <c:pt idx="29">
                  <c:v>29475000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63-48C7-BA0E-7B5AECE819D5}"/>
            </c:ext>
          </c:extLst>
        </c:ser>
        <c:ser>
          <c:idx val="2"/>
          <c:order val="1"/>
          <c:tx>
            <c:strRef>
              <c:f>TempoQS!$C$1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6350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TempoQS!$C$2:$C$31</c:f>
              <c:numCache>
                <c:formatCode>General</c:formatCode>
                <c:ptCount val="30"/>
                <c:pt idx="0">
                  <c:v>3696.7258043024444</c:v>
                </c:pt>
                <c:pt idx="1">
                  <c:v>8703.4516086048898</c:v>
                </c:pt>
                <c:pt idx="2">
                  <c:v>14204.628726824405</c:v>
                </c:pt>
                <c:pt idx="3">
                  <c:v>20026.90321720978</c:v>
                </c:pt>
                <c:pt idx="4">
                  <c:v>26087.943532268335</c:v>
                </c:pt>
                <c:pt idx="5">
                  <c:v>32339.257453648814</c:v>
                </c:pt>
                <c:pt idx="6">
                  <c:v>38748.802947751232</c:v>
                </c:pt>
                <c:pt idx="7">
                  <c:v>45293.806434419559</c:v>
                </c:pt>
                <c:pt idx="8">
                  <c:v>51957.240122224437</c:v>
                </c:pt>
                <c:pt idx="9">
                  <c:v>58725.88706453667</c:v>
                </c:pt>
                <c:pt idx="10">
                  <c:v>65589.188659608611</c:v>
                </c:pt>
                <c:pt idx="11">
                  <c:v>72538.51490729762</c:v>
                </c:pt>
                <c:pt idx="12">
                  <c:v>79566.679655903194</c:v>
                </c:pt>
                <c:pt idx="13">
                  <c:v>86667.605895502464</c:v>
                </c:pt>
                <c:pt idx="14">
                  <c:v>93836.087166390367</c:v>
                </c:pt>
                <c:pt idx="15">
                  <c:v>101067.61286883912</c:v>
                </c:pt>
                <c:pt idx="16">
                  <c:v>108358.23741046409</c:v>
                </c:pt>
                <c:pt idx="17">
                  <c:v>115704.48024444887</c:v>
                </c:pt>
                <c:pt idx="18">
                  <c:v>123103.24818655188</c:v>
                </c:pt>
                <c:pt idx="19">
                  <c:v>130551.77412907334</c:v>
                </c:pt>
                <c:pt idx="20">
                  <c:v>138047.56804067318</c:v>
                </c:pt>
                <c:pt idx="21">
                  <c:v>145588.37731921722</c:v>
                </c:pt>
                <c:pt idx="22">
                  <c:v>153172.15436695516</c:v>
                </c:pt>
                <c:pt idx="23">
                  <c:v>160797.02981459524</c:v>
                </c:pt>
                <c:pt idx="24">
                  <c:v>168461.29021512222</c:v>
                </c:pt>
                <c:pt idx="25">
                  <c:v>176163.35931180639</c:v>
                </c:pt>
                <c:pt idx="26">
                  <c:v>183901.78219192696</c:v>
                </c:pt>
                <c:pt idx="27">
                  <c:v>191675.21179100493</c:v>
                </c:pt>
                <c:pt idx="28">
                  <c:v>199482.39732721917</c:v>
                </c:pt>
                <c:pt idx="29">
                  <c:v>207322.17433278073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B63-48C7-BA0E-7B5AECE819D5}"/>
            </c:ext>
          </c:extLst>
        </c:ser>
        <c:ser>
          <c:idx val="0"/>
          <c:order val="2"/>
          <c:tx>
            <c:v>CasoOttimo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Min!$I$2:$I$31</c:f>
              <c:numCache>
                <c:formatCode>General</c:formatCode>
                <c:ptCount val="30"/>
                <c:pt idx="0">
                  <c:v>10800</c:v>
                </c:pt>
                <c:pt idx="1">
                  <c:v>9000</c:v>
                </c:pt>
                <c:pt idx="2">
                  <c:v>13500</c:v>
                </c:pt>
                <c:pt idx="3">
                  <c:v>19000</c:v>
                </c:pt>
                <c:pt idx="4">
                  <c:v>24000</c:v>
                </c:pt>
                <c:pt idx="5">
                  <c:v>30600</c:v>
                </c:pt>
                <c:pt idx="6">
                  <c:v>36000</c:v>
                </c:pt>
                <c:pt idx="7">
                  <c:v>42400</c:v>
                </c:pt>
                <c:pt idx="8">
                  <c:v>47200</c:v>
                </c:pt>
                <c:pt idx="9">
                  <c:v>54300</c:v>
                </c:pt>
                <c:pt idx="10">
                  <c:v>59800</c:v>
                </c:pt>
                <c:pt idx="11">
                  <c:v>67100</c:v>
                </c:pt>
                <c:pt idx="12">
                  <c:v>73700</c:v>
                </c:pt>
                <c:pt idx="13">
                  <c:v>79800</c:v>
                </c:pt>
                <c:pt idx="14">
                  <c:v>87300</c:v>
                </c:pt>
                <c:pt idx="15">
                  <c:v>94700</c:v>
                </c:pt>
                <c:pt idx="16">
                  <c:v>101600</c:v>
                </c:pt>
                <c:pt idx="17">
                  <c:v>107400</c:v>
                </c:pt>
                <c:pt idx="18">
                  <c:v>114700</c:v>
                </c:pt>
                <c:pt idx="19">
                  <c:v>122400</c:v>
                </c:pt>
                <c:pt idx="20">
                  <c:v>128600</c:v>
                </c:pt>
                <c:pt idx="21">
                  <c:v>135800</c:v>
                </c:pt>
                <c:pt idx="22">
                  <c:v>139800</c:v>
                </c:pt>
                <c:pt idx="23">
                  <c:v>149800</c:v>
                </c:pt>
                <c:pt idx="24">
                  <c:v>157500</c:v>
                </c:pt>
                <c:pt idx="25">
                  <c:v>167300</c:v>
                </c:pt>
                <c:pt idx="26">
                  <c:v>174000</c:v>
                </c:pt>
                <c:pt idx="27">
                  <c:v>179600</c:v>
                </c:pt>
                <c:pt idx="28">
                  <c:v>189300</c:v>
                </c:pt>
                <c:pt idx="29">
                  <c:v>193000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B63-48C7-BA0E-7B5AECE819D5}"/>
            </c:ext>
          </c:extLst>
        </c:ser>
        <c:ser>
          <c:idx val="3"/>
          <c:order val="3"/>
          <c:tx>
            <c:v>CasoMedio</c:v>
          </c:tx>
          <c:spPr>
            <a:ln w="25400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Media!$I$2:$I$31</c:f>
              <c:numCache>
                <c:formatCode>General</c:formatCode>
                <c:ptCount val="30"/>
                <c:pt idx="0">
                  <c:v>43264.646464646466</c:v>
                </c:pt>
                <c:pt idx="1">
                  <c:v>14030.927835051547</c:v>
                </c:pt>
                <c:pt idx="2">
                  <c:v>17897</c:v>
                </c:pt>
                <c:pt idx="3">
                  <c:v>23260</c:v>
                </c:pt>
                <c:pt idx="4">
                  <c:v>30478</c:v>
                </c:pt>
                <c:pt idx="5">
                  <c:v>34011</c:v>
                </c:pt>
                <c:pt idx="6">
                  <c:v>40453</c:v>
                </c:pt>
                <c:pt idx="7">
                  <c:v>48893</c:v>
                </c:pt>
                <c:pt idx="8">
                  <c:v>53454</c:v>
                </c:pt>
                <c:pt idx="9">
                  <c:v>61132</c:v>
                </c:pt>
                <c:pt idx="10">
                  <c:v>67322</c:v>
                </c:pt>
                <c:pt idx="11">
                  <c:v>72378</c:v>
                </c:pt>
                <c:pt idx="12">
                  <c:v>78740</c:v>
                </c:pt>
                <c:pt idx="13">
                  <c:v>85323</c:v>
                </c:pt>
                <c:pt idx="14">
                  <c:v>93654</c:v>
                </c:pt>
                <c:pt idx="15">
                  <c:v>100486</c:v>
                </c:pt>
                <c:pt idx="16">
                  <c:v>107114</c:v>
                </c:pt>
                <c:pt idx="17">
                  <c:v>115183</c:v>
                </c:pt>
                <c:pt idx="18">
                  <c:v>122667</c:v>
                </c:pt>
                <c:pt idx="19">
                  <c:v>132290</c:v>
                </c:pt>
                <c:pt idx="20">
                  <c:v>143326</c:v>
                </c:pt>
                <c:pt idx="21">
                  <c:v>146161</c:v>
                </c:pt>
                <c:pt idx="22">
                  <c:v>153975</c:v>
                </c:pt>
                <c:pt idx="23">
                  <c:v>161754</c:v>
                </c:pt>
                <c:pt idx="24">
                  <c:v>170590</c:v>
                </c:pt>
                <c:pt idx="25">
                  <c:v>180633</c:v>
                </c:pt>
                <c:pt idx="26">
                  <c:v>183289</c:v>
                </c:pt>
                <c:pt idx="27">
                  <c:v>192565</c:v>
                </c:pt>
                <c:pt idx="28">
                  <c:v>203407</c:v>
                </c:pt>
                <c:pt idx="29">
                  <c:v>207847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B63-48C7-BA0E-7B5AECE819D5}"/>
            </c:ext>
          </c:extLst>
        </c:ser>
        <c:ser>
          <c:idx val="4"/>
          <c:order val="4"/>
          <c:tx>
            <c:v>CasoPessimo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Max!$I$2:$I$31</c:f>
              <c:numCache>
                <c:formatCode>General</c:formatCode>
                <c:ptCount val="30"/>
                <c:pt idx="0">
                  <c:v>201200</c:v>
                </c:pt>
                <c:pt idx="1">
                  <c:v>74700</c:v>
                </c:pt>
                <c:pt idx="2">
                  <c:v>46700</c:v>
                </c:pt>
                <c:pt idx="3">
                  <c:v>33800</c:v>
                </c:pt>
                <c:pt idx="4">
                  <c:v>56600</c:v>
                </c:pt>
                <c:pt idx="5">
                  <c:v>51800</c:v>
                </c:pt>
                <c:pt idx="6">
                  <c:v>63600</c:v>
                </c:pt>
                <c:pt idx="7">
                  <c:v>71800</c:v>
                </c:pt>
                <c:pt idx="8">
                  <c:v>69900</c:v>
                </c:pt>
                <c:pt idx="9">
                  <c:v>104200</c:v>
                </c:pt>
                <c:pt idx="10">
                  <c:v>174500</c:v>
                </c:pt>
                <c:pt idx="11">
                  <c:v>107000</c:v>
                </c:pt>
                <c:pt idx="12">
                  <c:v>106400</c:v>
                </c:pt>
                <c:pt idx="13">
                  <c:v>119000</c:v>
                </c:pt>
                <c:pt idx="14">
                  <c:v>129300</c:v>
                </c:pt>
                <c:pt idx="15">
                  <c:v>133100</c:v>
                </c:pt>
                <c:pt idx="16">
                  <c:v>151800</c:v>
                </c:pt>
                <c:pt idx="17">
                  <c:v>176400</c:v>
                </c:pt>
                <c:pt idx="18">
                  <c:v>207900</c:v>
                </c:pt>
                <c:pt idx="19">
                  <c:v>203800</c:v>
                </c:pt>
                <c:pt idx="20">
                  <c:v>691300</c:v>
                </c:pt>
                <c:pt idx="21">
                  <c:v>231000</c:v>
                </c:pt>
                <c:pt idx="22">
                  <c:v>235900</c:v>
                </c:pt>
                <c:pt idx="23">
                  <c:v>232200</c:v>
                </c:pt>
                <c:pt idx="24">
                  <c:v>240700</c:v>
                </c:pt>
                <c:pt idx="25">
                  <c:v>347600</c:v>
                </c:pt>
                <c:pt idx="26">
                  <c:v>228100</c:v>
                </c:pt>
                <c:pt idx="27">
                  <c:v>404600</c:v>
                </c:pt>
                <c:pt idx="28">
                  <c:v>272400</c:v>
                </c:pt>
                <c:pt idx="29">
                  <c:v>359800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B63-48C7-BA0E-7B5AECE819D5}"/>
            </c:ext>
          </c:extLst>
        </c:ser>
        <c:ser>
          <c:idx val="5"/>
          <c:order val="5"/>
          <c:tx>
            <c:v>Media+DevStd</c:v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'Media+DevStd'!$I$2:$I$31</c:f>
              <c:numCache>
                <c:formatCode>General</c:formatCode>
                <c:ptCount val="30"/>
                <c:pt idx="0">
                  <c:v>84417.991638597887</c:v>
                </c:pt>
                <c:pt idx="1">
                  <c:v>21134.83463613558</c:v>
                </c:pt>
                <c:pt idx="2">
                  <c:v>22000.27425307639</c:v>
                </c:pt>
                <c:pt idx="3">
                  <c:v>26728.327108173755</c:v>
                </c:pt>
                <c:pt idx="4">
                  <c:v>35349.408648658231</c:v>
                </c:pt>
                <c:pt idx="5">
                  <c:v>38040.083536167265</c:v>
                </c:pt>
                <c:pt idx="6">
                  <c:v>45753.818595064142</c:v>
                </c:pt>
                <c:pt idx="7">
                  <c:v>54579.440632830621</c:v>
                </c:pt>
                <c:pt idx="8">
                  <c:v>59348.072009102441</c:v>
                </c:pt>
                <c:pt idx="9">
                  <c:v>69014.506907800023</c:v>
                </c:pt>
                <c:pt idx="10">
                  <c:v>80344.611105304502</c:v>
                </c:pt>
                <c:pt idx="11">
                  <c:v>78937.495853995628</c:v>
                </c:pt>
                <c:pt idx="12">
                  <c:v>83394.985380094004</c:v>
                </c:pt>
                <c:pt idx="13">
                  <c:v>90247.600276041485</c:v>
                </c:pt>
                <c:pt idx="14">
                  <c:v>100023.09235085639</c:v>
                </c:pt>
                <c:pt idx="15">
                  <c:v>107158.51289116988</c:v>
                </c:pt>
                <c:pt idx="16">
                  <c:v>114367.36592015853</c:v>
                </c:pt>
                <c:pt idx="17">
                  <c:v>123918.63530846064</c:v>
                </c:pt>
                <c:pt idx="18">
                  <c:v>133534.36431112472</c:v>
                </c:pt>
                <c:pt idx="19">
                  <c:v>144756.38713023177</c:v>
                </c:pt>
                <c:pt idx="20">
                  <c:v>199679.40438570315</c:v>
                </c:pt>
                <c:pt idx="21">
                  <c:v>161158.58832464591</c:v>
                </c:pt>
                <c:pt idx="22">
                  <c:v>168995.41287815693</c:v>
                </c:pt>
                <c:pt idx="23">
                  <c:v>175698.90182355855</c:v>
                </c:pt>
                <c:pt idx="24">
                  <c:v>182988.41550645515</c:v>
                </c:pt>
                <c:pt idx="25">
                  <c:v>202695.18509375514</c:v>
                </c:pt>
                <c:pt idx="26">
                  <c:v>193852.39108966111</c:v>
                </c:pt>
                <c:pt idx="27">
                  <c:v>216423.49858112313</c:v>
                </c:pt>
                <c:pt idx="28">
                  <c:v>223075.66582032232</c:v>
                </c:pt>
                <c:pt idx="29">
                  <c:v>227255.94542797888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B63-48C7-BA0E-7B5AECE819D5}"/>
            </c:ext>
          </c:extLst>
        </c:ser>
        <c:ser>
          <c:idx val="6"/>
          <c:order val="6"/>
          <c:tx>
            <c:v>Media-DevStd</c:v>
          </c:tx>
          <c:spPr>
            <a:ln w="3492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'Media-DevStd'!$I$2:$I$31</c:f>
              <c:numCache>
                <c:formatCode>General</c:formatCode>
                <c:ptCount val="30"/>
                <c:pt idx="0">
                  <c:v>2111.3012906950535</c:v>
                </c:pt>
                <c:pt idx="1">
                  <c:v>6927.0210339675141</c:v>
                </c:pt>
                <c:pt idx="2">
                  <c:v>13793.72574692361</c:v>
                </c:pt>
                <c:pt idx="3">
                  <c:v>19791.672891826245</c:v>
                </c:pt>
                <c:pt idx="4">
                  <c:v>25606.591351341769</c:v>
                </c:pt>
                <c:pt idx="5">
                  <c:v>29981.916463832731</c:v>
                </c:pt>
                <c:pt idx="6">
                  <c:v>35152.181404935858</c:v>
                </c:pt>
                <c:pt idx="7">
                  <c:v>43206.559367169379</c:v>
                </c:pt>
                <c:pt idx="8">
                  <c:v>47559.927990897559</c:v>
                </c:pt>
                <c:pt idx="9">
                  <c:v>53249.493092199977</c:v>
                </c:pt>
                <c:pt idx="10">
                  <c:v>54299.388894695505</c:v>
                </c:pt>
                <c:pt idx="11">
                  <c:v>65818.504146004372</c:v>
                </c:pt>
                <c:pt idx="12">
                  <c:v>74085.014619905996</c:v>
                </c:pt>
                <c:pt idx="13">
                  <c:v>80398.399723958515</c:v>
                </c:pt>
                <c:pt idx="14">
                  <c:v>87284.907649143614</c:v>
                </c:pt>
                <c:pt idx="15">
                  <c:v>93813.487108830115</c:v>
                </c:pt>
                <c:pt idx="16">
                  <c:v>99860.634079841475</c:v>
                </c:pt>
                <c:pt idx="17">
                  <c:v>106447.36469153936</c:v>
                </c:pt>
                <c:pt idx="18">
                  <c:v>111799.63568887529</c:v>
                </c:pt>
                <c:pt idx="19">
                  <c:v>119823.61286976824</c:v>
                </c:pt>
                <c:pt idx="20">
                  <c:v>86972.59561429685</c:v>
                </c:pt>
                <c:pt idx="21">
                  <c:v>131163.41167535409</c:v>
                </c:pt>
                <c:pt idx="22">
                  <c:v>138954.58712184307</c:v>
                </c:pt>
                <c:pt idx="23">
                  <c:v>147809.09817644145</c:v>
                </c:pt>
                <c:pt idx="24">
                  <c:v>158191.58449354485</c:v>
                </c:pt>
                <c:pt idx="25">
                  <c:v>158570.81490624486</c:v>
                </c:pt>
                <c:pt idx="26">
                  <c:v>172725.60891033889</c:v>
                </c:pt>
                <c:pt idx="27">
                  <c:v>168706.50141887687</c:v>
                </c:pt>
                <c:pt idx="28">
                  <c:v>183738.33417967768</c:v>
                </c:pt>
                <c:pt idx="29">
                  <c:v>188438.05457202112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B63-48C7-BA0E-7B5AECE81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159855"/>
        <c:axId val="641161295"/>
      </c:lineChart>
      <c:catAx>
        <c:axId val="6411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61295"/>
        <c:crosses val="autoZero"/>
        <c:auto val="1"/>
        <c:lblAlgn val="ctr"/>
        <c:lblOffset val="100"/>
        <c:noMultiLvlLbl val="0"/>
      </c:catAx>
      <c:valAx>
        <c:axId val="641161295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</a:t>
                </a:r>
                <a:r>
                  <a:rPr lang="it-IT" baseline="0"/>
                  <a:t> in nanosecondi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59855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317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Numero</a:t>
            </a:r>
            <a:r>
              <a:rPr lang="it-IT" baseline="0"/>
              <a:t> Confronti QuickSort Random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425561586817996"/>
          <c:y val="0.13844718178424786"/>
          <c:w val="0.82076709076215604"/>
          <c:h val="0.63216354674590647"/>
        </c:manualLayout>
      </c:layout>
      <c:lineChart>
        <c:grouping val="standard"/>
        <c:varyColors val="0"/>
        <c:ser>
          <c:idx val="1"/>
          <c:order val="0"/>
          <c:tx>
            <c:strRef>
              <c:f>ConfrontiQSR!$B$1</c:f>
              <c:strCache>
                <c:ptCount val="1"/>
                <c:pt idx="0">
                  <c:v>c*n^2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ConfrontiQSR!$B$2:$B$31</c:f>
              <c:numCache>
                <c:formatCode>General</c:formatCode>
                <c:ptCount val="30"/>
                <c:pt idx="0">
                  <c:v>3840000</c:v>
                </c:pt>
                <c:pt idx="1">
                  <c:v>15360000</c:v>
                </c:pt>
                <c:pt idx="2">
                  <c:v>34560000</c:v>
                </c:pt>
                <c:pt idx="3">
                  <c:v>61440000</c:v>
                </c:pt>
                <c:pt idx="4">
                  <c:v>96000000</c:v>
                </c:pt>
                <c:pt idx="5">
                  <c:v>138240000</c:v>
                </c:pt>
                <c:pt idx="6">
                  <c:v>188160000</c:v>
                </c:pt>
                <c:pt idx="7">
                  <c:v>245760000</c:v>
                </c:pt>
                <c:pt idx="8">
                  <c:v>311040000</c:v>
                </c:pt>
                <c:pt idx="9">
                  <c:v>384000000</c:v>
                </c:pt>
                <c:pt idx="10">
                  <c:v>464640000</c:v>
                </c:pt>
                <c:pt idx="11">
                  <c:v>552960000</c:v>
                </c:pt>
                <c:pt idx="12">
                  <c:v>648960000</c:v>
                </c:pt>
                <c:pt idx="13">
                  <c:v>752640000</c:v>
                </c:pt>
                <c:pt idx="14">
                  <c:v>864000000</c:v>
                </c:pt>
                <c:pt idx="15">
                  <c:v>983040000</c:v>
                </c:pt>
                <c:pt idx="16">
                  <c:v>1109760000</c:v>
                </c:pt>
                <c:pt idx="17">
                  <c:v>1244160000</c:v>
                </c:pt>
                <c:pt idx="18">
                  <c:v>1386240000</c:v>
                </c:pt>
                <c:pt idx="19">
                  <c:v>1536000000</c:v>
                </c:pt>
                <c:pt idx="20">
                  <c:v>1693440000</c:v>
                </c:pt>
                <c:pt idx="21">
                  <c:v>1858560000</c:v>
                </c:pt>
                <c:pt idx="22">
                  <c:v>2031360000</c:v>
                </c:pt>
                <c:pt idx="23">
                  <c:v>2211840000</c:v>
                </c:pt>
                <c:pt idx="24">
                  <c:v>2400000000</c:v>
                </c:pt>
                <c:pt idx="25">
                  <c:v>2595840000</c:v>
                </c:pt>
                <c:pt idx="26">
                  <c:v>2799360000</c:v>
                </c:pt>
                <c:pt idx="27">
                  <c:v>3010560000</c:v>
                </c:pt>
                <c:pt idx="28">
                  <c:v>3229440000</c:v>
                </c:pt>
                <c:pt idx="29">
                  <c:v>3456000000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8A-4E03-920B-9926CBF52CF5}"/>
            </c:ext>
          </c:extLst>
        </c:ser>
        <c:ser>
          <c:idx val="2"/>
          <c:order val="1"/>
          <c:tx>
            <c:strRef>
              <c:f>ConfrontiIs!$C$1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ConfrontiQSR!$C$2:$C$31</c:f>
              <c:numCache>
                <c:formatCode>General</c:formatCode>
                <c:ptCount val="30"/>
                <c:pt idx="0">
                  <c:v>433448.15537469881</c:v>
                </c:pt>
                <c:pt idx="1">
                  <c:v>1020496.3107493978</c:v>
                </c:pt>
                <c:pt idx="2">
                  <c:v>1665519.8262902508</c:v>
                </c:pt>
                <c:pt idx="3">
                  <c:v>2348192.6214987952</c:v>
                </c:pt>
                <c:pt idx="4">
                  <c:v>3058861.1653102413</c:v>
                </c:pt>
                <c:pt idx="5">
                  <c:v>3791839.652580502</c:v>
                </c:pt>
                <c:pt idx="6">
                  <c:v>4543371.0937210601</c:v>
                </c:pt>
                <c:pt idx="7">
                  <c:v>5310785.2429975914</c:v>
                </c:pt>
                <c:pt idx="8">
                  <c:v>6092085.5593692167</c:v>
                </c:pt>
                <c:pt idx="9">
                  <c:v>6885722.3306204826</c:v>
                </c:pt>
                <c:pt idx="10">
                  <c:v>7690457.5405464759</c:v>
                </c:pt>
                <c:pt idx="11">
                  <c:v>8505279.3051610049</c:v>
                </c:pt>
                <c:pt idx="12">
                  <c:v>9329345.0344631523</c:v>
                </c:pt>
                <c:pt idx="13">
                  <c:v>10161942.18744212</c:v>
                </c:pt>
                <c:pt idx="14">
                  <c:v>11002460.296761496</c:v>
                </c:pt>
                <c:pt idx="15">
                  <c:v>11850370.485995183</c:v>
                </c:pt>
                <c:pt idx="16">
                  <c:v>12705210.126906324</c:v>
                </c:pt>
                <c:pt idx="17">
                  <c:v>13566571.118738433</c:v>
                </c:pt>
                <c:pt idx="18">
                  <c:v>14434090.779736159</c:v>
                </c:pt>
                <c:pt idx="19">
                  <c:v>15307444.661240965</c:v>
                </c:pt>
                <c:pt idx="20">
                  <c:v>16186340.80232626</c:v>
                </c:pt>
                <c:pt idx="21">
                  <c:v>17070515.081092954</c:v>
                </c:pt>
                <c:pt idx="22">
                  <c:v>17959727.412797183</c:v>
                </c:pt>
                <c:pt idx="23">
                  <c:v>18853758.61032201</c:v>
                </c:pt>
                <c:pt idx="24">
                  <c:v>19752407.768734943</c:v>
                </c:pt>
                <c:pt idx="25">
                  <c:v>20655490.068926305</c:v>
                </c:pt>
                <c:pt idx="26">
                  <c:v>21562834.919603039</c:v>
                </c:pt>
                <c:pt idx="27">
                  <c:v>22474284.37488424</c:v>
                </c:pt>
                <c:pt idx="28">
                  <c:v>23389691.778214399</c:v>
                </c:pt>
                <c:pt idx="29">
                  <c:v>24308920.593522992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8A-4E03-920B-9926CBF52CF5}"/>
            </c:ext>
          </c:extLst>
        </c:ser>
        <c:ser>
          <c:idx val="0"/>
          <c:order val="2"/>
          <c:tx>
            <c:v>CasoOttimo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Min!$J$2:$J$31</c:f>
              <c:numCache>
                <c:formatCode>General</c:formatCode>
                <c:ptCount val="30"/>
                <c:pt idx="0">
                  <c:v>258</c:v>
                </c:pt>
                <c:pt idx="1">
                  <c:v>26491</c:v>
                </c:pt>
                <c:pt idx="2">
                  <c:v>92400</c:v>
                </c:pt>
                <c:pt idx="3">
                  <c:v>201425</c:v>
                </c:pt>
                <c:pt idx="4">
                  <c:v>359095</c:v>
                </c:pt>
                <c:pt idx="5">
                  <c:v>564055</c:v>
                </c:pt>
                <c:pt idx="6">
                  <c:v>822255</c:v>
                </c:pt>
                <c:pt idx="7">
                  <c:v>1135740</c:v>
                </c:pt>
                <c:pt idx="8">
                  <c:v>1502989</c:v>
                </c:pt>
                <c:pt idx="9">
                  <c:v>1924631</c:v>
                </c:pt>
                <c:pt idx="10">
                  <c:v>2404407</c:v>
                </c:pt>
                <c:pt idx="11">
                  <c:v>2944498</c:v>
                </c:pt>
                <c:pt idx="12">
                  <c:v>3544061</c:v>
                </c:pt>
                <c:pt idx="13">
                  <c:v>4204439</c:v>
                </c:pt>
                <c:pt idx="14">
                  <c:v>4930842</c:v>
                </c:pt>
                <c:pt idx="15">
                  <c:v>5715515</c:v>
                </c:pt>
                <c:pt idx="16">
                  <c:v>6554187</c:v>
                </c:pt>
                <c:pt idx="17">
                  <c:v>7457163</c:v>
                </c:pt>
                <c:pt idx="18">
                  <c:v>8428667</c:v>
                </c:pt>
                <c:pt idx="19">
                  <c:v>9455526</c:v>
                </c:pt>
                <c:pt idx="20">
                  <c:v>10551390</c:v>
                </c:pt>
                <c:pt idx="21">
                  <c:v>11714130</c:v>
                </c:pt>
                <c:pt idx="22">
                  <c:v>12953802</c:v>
                </c:pt>
                <c:pt idx="23">
                  <c:v>14260124</c:v>
                </c:pt>
                <c:pt idx="24">
                  <c:v>15619682</c:v>
                </c:pt>
                <c:pt idx="25">
                  <c:v>17041333</c:v>
                </c:pt>
                <c:pt idx="26">
                  <c:v>18541962</c:v>
                </c:pt>
                <c:pt idx="27">
                  <c:v>20100613</c:v>
                </c:pt>
                <c:pt idx="28">
                  <c:v>21731791</c:v>
                </c:pt>
                <c:pt idx="29">
                  <c:v>23436244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8A-4E03-920B-9926CBF52CF5}"/>
            </c:ext>
          </c:extLst>
        </c:ser>
        <c:ser>
          <c:idx val="3"/>
          <c:order val="3"/>
          <c:tx>
            <c:v>CasoMedio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Media!$J$2:$J$31</c:f>
              <c:numCache>
                <c:formatCode>General</c:formatCode>
                <c:ptCount val="30"/>
                <c:pt idx="0">
                  <c:v>13039.16</c:v>
                </c:pt>
                <c:pt idx="1">
                  <c:v>59150.52</c:v>
                </c:pt>
                <c:pt idx="2">
                  <c:v>145875.01999999999</c:v>
                </c:pt>
                <c:pt idx="3">
                  <c:v>278662.78000000003</c:v>
                </c:pt>
                <c:pt idx="4">
                  <c:v>459937.78</c:v>
                </c:pt>
                <c:pt idx="5">
                  <c:v>692209.86</c:v>
                </c:pt>
                <c:pt idx="6">
                  <c:v>975800.54</c:v>
                </c:pt>
                <c:pt idx="7">
                  <c:v>1317150.19</c:v>
                </c:pt>
                <c:pt idx="8">
                  <c:v>1710953.78</c:v>
                </c:pt>
                <c:pt idx="9">
                  <c:v>2161494.12</c:v>
                </c:pt>
                <c:pt idx="10">
                  <c:v>2672009.9900000002</c:v>
                </c:pt>
                <c:pt idx="11">
                  <c:v>3239995.07</c:v>
                </c:pt>
                <c:pt idx="12">
                  <c:v>3869178.11</c:v>
                </c:pt>
                <c:pt idx="13">
                  <c:v>4564976.62</c:v>
                </c:pt>
                <c:pt idx="14">
                  <c:v>5318937.62</c:v>
                </c:pt>
                <c:pt idx="15">
                  <c:v>6129860.8700000001</c:v>
                </c:pt>
                <c:pt idx="16">
                  <c:v>7001391.5099999998</c:v>
                </c:pt>
                <c:pt idx="17">
                  <c:v>7939938.2800000003</c:v>
                </c:pt>
                <c:pt idx="18">
                  <c:v>8934742.5199999996</c:v>
                </c:pt>
                <c:pt idx="19">
                  <c:v>9993556.6999999993</c:v>
                </c:pt>
                <c:pt idx="20">
                  <c:v>11129074.57</c:v>
                </c:pt>
                <c:pt idx="21">
                  <c:v>12323453.699999999</c:v>
                </c:pt>
                <c:pt idx="22">
                  <c:v>13600302.33</c:v>
                </c:pt>
                <c:pt idx="23">
                  <c:v>14933617.630000001</c:v>
                </c:pt>
                <c:pt idx="24">
                  <c:v>16326884.970000001</c:v>
                </c:pt>
                <c:pt idx="25">
                  <c:v>17782937.489999998</c:v>
                </c:pt>
                <c:pt idx="26">
                  <c:v>19313408.719999999</c:v>
                </c:pt>
                <c:pt idx="27">
                  <c:v>20910095.989999998</c:v>
                </c:pt>
                <c:pt idx="28">
                  <c:v>22578159.449999999</c:v>
                </c:pt>
                <c:pt idx="29">
                  <c:v>24312511.809999999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8A-4E03-920B-9926CBF52CF5}"/>
            </c:ext>
          </c:extLst>
        </c:ser>
        <c:ser>
          <c:idx val="4"/>
          <c:order val="4"/>
          <c:tx>
            <c:v>CasoPessimo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Max!$J$2:$J$31</c:f>
              <c:numCache>
                <c:formatCode>General</c:formatCode>
                <c:ptCount val="30"/>
                <c:pt idx="0">
                  <c:v>25814</c:v>
                </c:pt>
                <c:pt idx="1">
                  <c:v>91442</c:v>
                </c:pt>
                <c:pt idx="2">
                  <c:v>199621</c:v>
                </c:pt>
                <c:pt idx="3">
                  <c:v>357105</c:v>
                </c:pt>
                <c:pt idx="4">
                  <c:v>561366</c:v>
                </c:pt>
                <c:pt idx="5">
                  <c:v>819426</c:v>
                </c:pt>
                <c:pt idx="6">
                  <c:v>1131854</c:v>
                </c:pt>
                <c:pt idx="7">
                  <c:v>1498127</c:v>
                </c:pt>
                <c:pt idx="8">
                  <c:v>1919835</c:v>
                </c:pt>
                <c:pt idx="9">
                  <c:v>2399168</c:v>
                </c:pt>
                <c:pt idx="10">
                  <c:v>2938145</c:v>
                </c:pt>
                <c:pt idx="11">
                  <c:v>3537316</c:v>
                </c:pt>
                <c:pt idx="12">
                  <c:v>4197113</c:v>
                </c:pt>
                <c:pt idx="13">
                  <c:v>4921753</c:v>
                </c:pt>
                <c:pt idx="14">
                  <c:v>5707616</c:v>
                </c:pt>
                <c:pt idx="15">
                  <c:v>6545951</c:v>
                </c:pt>
                <c:pt idx="16">
                  <c:v>7447044</c:v>
                </c:pt>
                <c:pt idx="17">
                  <c:v>8418253</c:v>
                </c:pt>
                <c:pt idx="18">
                  <c:v>9444324</c:v>
                </c:pt>
                <c:pt idx="19">
                  <c:v>10539559</c:v>
                </c:pt>
                <c:pt idx="20">
                  <c:v>11703162</c:v>
                </c:pt>
                <c:pt idx="21">
                  <c:v>12940086</c:v>
                </c:pt>
                <c:pt idx="22">
                  <c:v>14244273</c:v>
                </c:pt>
                <c:pt idx="23">
                  <c:v>15606607</c:v>
                </c:pt>
                <c:pt idx="24">
                  <c:v>17026911</c:v>
                </c:pt>
                <c:pt idx="25">
                  <c:v>18526918</c:v>
                </c:pt>
                <c:pt idx="26">
                  <c:v>20084842</c:v>
                </c:pt>
                <c:pt idx="27">
                  <c:v>21714149</c:v>
                </c:pt>
                <c:pt idx="28">
                  <c:v>23418311</c:v>
                </c:pt>
                <c:pt idx="29">
                  <c:v>25184344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8A-4E03-920B-9926CBF52CF5}"/>
            </c:ext>
          </c:extLst>
        </c:ser>
        <c:ser>
          <c:idx val="5"/>
          <c:order val="5"/>
          <c:tx>
            <c:v>Media+DevStd</c:v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'Media+DevStd'!$J$2:$J$31</c:f>
              <c:numCache>
                <c:formatCode>General</c:formatCode>
                <c:ptCount val="30"/>
                <c:pt idx="0">
                  <c:v>20500.647440358407</c:v>
                </c:pt>
                <c:pt idx="1">
                  <c:v>78068.618538508759</c:v>
                </c:pt>
                <c:pt idx="2">
                  <c:v>177273.5901614168</c:v>
                </c:pt>
                <c:pt idx="3">
                  <c:v>324179.81129656115</c:v>
                </c:pt>
                <c:pt idx="4">
                  <c:v>519310.27871147456</c:v>
                </c:pt>
                <c:pt idx="5">
                  <c:v>767188.33986946486</c:v>
                </c:pt>
                <c:pt idx="6">
                  <c:v>1066299.2731462668</c:v>
                </c:pt>
                <c:pt idx="7">
                  <c:v>1423518.8097765371</c:v>
                </c:pt>
                <c:pt idx="8">
                  <c:v>1832980.2475744511</c:v>
                </c:pt>
                <c:pt idx="9">
                  <c:v>2300670.7090679589</c:v>
                </c:pt>
                <c:pt idx="10">
                  <c:v>2828277.8333262852</c:v>
                </c:pt>
                <c:pt idx="11">
                  <c:v>3413131.4659340596</c:v>
                </c:pt>
                <c:pt idx="12">
                  <c:v>4060595.2450739979</c:v>
                </c:pt>
                <c:pt idx="13">
                  <c:v>4775222.0705906758</c:v>
                </c:pt>
                <c:pt idx="14">
                  <c:v>5547424.9410312464</c:v>
                </c:pt>
                <c:pt idx="15">
                  <c:v>6373432.9064645087</c:v>
                </c:pt>
                <c:pt idx="16">
                  <c:v>7263017.7937442521</c:v>
                </c:pt>
                <c:pt idx="17">
                  <c:v>8221677.009790889</c:v>
                </c:pt>
                <c:pt idx="18">
                  <c:v>9234113.2942913584</c:v>
                </c:pt>
                <c:pt idx="19">
                  <c:v>10310305.143049771</c:v>
                </c:pt>
                <c:pt idx="20">
                  <c:v>11466069.400205895</c:v>
                </c:pt>
                <c:pt idx="21">
                  <c:v>12683459.129784964</c:v>
                </c:pt>
                <c:pt idx="22">
                  <c:v>13978407.466509342</c:v>
                </c:pt>
                <c:pt idx="23">
                  <c:v>15328252.17133699</c:v>
                </c:pt>
                <c:pt idx="24">
                  <c:v>16740353.933669962</c:v>
                </c:pt>
                <c:pt idx="25">
                  <c:v>18219837.166961983</c:v>
                </c:pt>
                <c:pt idx="26">
                  <c:v>19765955.091606382</c:v>
                </c:pt>
                <c:pt idx="27">
                  <c:v>21382676.776159614</c:v>
                </c:pt>
                <c:pt idx="28">
                  <c:v>23072112.387270086</c:v>
                </c:pt>
                <c:pt idx="29">
                  <c:v>24825773.269424748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8A-4E03-920B-9926CBF52CF5}"/>
            </c:ext>
          </c:extLst>
        </c:ser>
        <c:ser>
          <c:idx val="6"/>
          <c:order val="6"/>
          <c:tx>
            <c:v>Media-DevStd</c:v>
          </c:tx>
          <c:spPr>
            <a:ln w="3492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'Media-DevStd'!$J$2:$J$31</c:f>
              <c:numCache>
                <c:formatCode>General</c:formatCode>
                <c:ptCount val="30"/>
                <c:pt idx="0">
                  <c:v>5577.6725596415918</c:v>
                </c:pt>
                <c:pt idx="1">
                  <c:v>40232.421461491234</c:v>
                </c:pt>
                <c:pt idx="2">
                  <c:v>114476.44983858318</c:v>
                </c:pt>
                <c:pt idx="3">
                  <c:v>233145.74870343893</c:v>
                </c:pt>
                <c:pt idx="4">
                  <c:v>400565.2812885255</c:v>
                </c:pt>
                <c:pt idx="5">
                  <c:v>617231.38013053511</c:v>
                </c:pt>
                <c:pt idx="6">
                  <c:v>885301.80685373337</c:v>
                </c:pt>
                <c:pt idx="7">
                  <c:v>1210781.5702234628</c:v>
                </c:pt>
                <c:pt idx="8">
                  <c:v>1588927.3124255489</c:v>
                </c:pt>
                <c:pt idx="9">
                  <c:v>2022317.5309320411</c:v>
                </c:pt>
                <c:pt idx="10">
                  <c:v>2515742.1466737152</c:v>
                </c:pt>
                <c:pt idx="11">
                  <c:v>3066858.6740659401</c:v>
                </c:pt>
                <c:pt idx="12">
                  <c:v>3677760.9749260019</c:v>
                </c:pt>
                <c:pt idx="13">
                  <c:v>4354731.1694093244</c:v>
                </c:pt>
                <c:pt idx="14">
                  <c:v>5090450.2989687538</c:v>
                </c:pt>
                <c:pt idx="15">
                  <c:v>5886288.8335354915</c:v>
                </c:pt>
                <c:pt idx="16">
                  <c:v>6739765.2262557475</c:v>
                </c:pt>
                <c:pt idx="17">
                  <c:v>7658199.5502091115</c:v>
                </c:pt>
                <c:pt idx="18">
                  <c:v>8635371.7457086407</c:v>
                </c:pt>
                <c:pt idx="19">
                  <c:v>9676808.2569502275</c:v>
                </c:pt>
                <c:pt idx="20">
                  <c:v>10792079.739794105</c:v>
                </c:pt>
                <c:pt idx="21">
                  <c:v>11963448.270215034</c:v>
                </c:pt>
                <c:pt idx="22">
                  <c:v>13222197.193490658</c:v>
                </c:pt>
                <c:pt idx="23">
                  <c:v>14538983.088663012</c:v>
                </c:pt>
                <c:pt idx="24">
                  <c:v>15913416.006330039</c:v>
                </c:pt>
                <c:pt idx="25">
                  <c:v>17346037.813038014</c:v>
                </c:pt>
                <c:pt idx="26">
                  <c:v>18860862.348393615</c:v>
                </c:pt>
                <c:pt idx="27">
                  <c:v>20437515.203840382</c:v>
                </c:pt>
                <c:pt idx="28">
                  <c:v>22084206.512729913</c:v>
                </c:pt>
                <c:pt idx="29">
                  <c:v>23799250.35057525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D8A-4E03-920B-9926CBF52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159855"/>
        <c:axId val="641161295"/>
      </c:lineChart>
      <c:catAx>
        <c:axId val="6411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61295"/>
        <c:crosses val="autoZero"/>
        <c:auto val="1"/>
        <c:lblAlgn val="ctr"/>
        <c:lblOffset val="100"/>
        <c:noMultiLvlLbl val="0"/>
      </c:catAx>
      <c:valAx>
        <c:axId val="641161295"/>
        <c:scaling>
          <c:orientation val="minMax"/>
          <c:max val="3000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aseline="0"/>
                  <a:t>Numero confronti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5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317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Tempo di Esecuzione</a:t>
            </a:r>
            <a:r>
              <a:rPr lang="it-IT" baseline="0"/>
              <a:t> Quick</a:t>
            </a:r>
            <a:r>
              <a:rPr lang="it-IT"/>
              <a:t>Sort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0.15425561586817996"/>
          <c:y val="0.13844718178424786"/>
          <c:w val="0.82076709076215604"/>
          <c:h val="0.63216354674590647"/>
        </c:manualLayout>
      </c:layout>
      <c:lineChart>
        <c:grouping val="standard"/>
        <c:varyColors val="0"/>
        <c:ser>
          <c:idx val="1"/>
          <c:order val="0"/>
          <c:tx>
            <c:strRef>
              <c:f>TempoQSR!$B$1</c:f>
              <c:strCache>
                <c:ptCount val="1"/>
                <c:pt idx="0">
                  <c:v>c*n^2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76200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FE-4766-A371-83C124C1D0F0}"/>
              </c:ext>
            </c:extLst>
          </c:dPt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TempoQSR!$B$2:$B$31</c:f>
              <c:numCache>
                <c:formatCode>General</c:formatCode>
                <c:ptCount val="30"/>
                <c:pt idx="0">
                  <c:v>36250</c:v>
                </c:pt>
                <c:pt idx="1">
                  <c:v>145000</c:v>
                </c:pt>
                <c:pt idx="2">
                  <c:v>326250</c:v>
                </c:pt>
                <c:pt idx="3">
                  <c:v>580000</c:v>
                </c:pt>
                <c:pt idx="4">
                  <c:v>906250</c:v>
                </c:pt>
                <c:pt idx="5">
                  <c:v>1305000</c:v>
                </c:pt>
                <c:pt idx="6">
                  <c:v>1776250</c:v>
                </c:pt>
                <c:pt idx="7">
                  <c:v>2320000</c:v>
                </c:pt>
                <c:pt idx="8">
                  <c:v>2936250</c:v>
                </c:pt>
                <c:pt idx="9">
                  <c:v>3625000</c:v>
                </c:pt>
                <c:pt idx="10">
                  <c:v>4386250</c:v>
                </c:pt>
                <c:pt idx="11">
                  <c:v>5220000</c:v>
                </c:pt>
                <c:pt idx="12">
                  <c:v>6126250</c:v>
                </c:pt>
                <c:pt idx="13">
                  <c:v>7105000</c:v>
                </c:pt>
                <c:pt idx="14">
                  <c:v>8156250</c:v>
                </c:pt>
                <c:pt idx="15">
                  <c:v>9280000</c:v>
                </c:pt>
                <c:pt idx="16">
                  <c:v>10476250</c:v>
                </c:pt>
                <c:pt idx="17">
                  <c:v>11745000</c:v>
                </c:pt>
                <c:pt idx="18">
                  <c:v>13086250</c:v>
                </c:pt>
                <c:pt idx="19">
                  <c:v>14500000</c:v>
                </c:pt>
                <c:pt idx="20">
                  <c:v>15986250</c:v>
                </c:pt>
                <c:pt idx="21">
                  <c:v>17545000</c:v>
                </c:pt>
                <c:pt idx="22">
                  <c:v>19176250</c:v>
                </c:pt>
                <c:pt idx="23">
                  <c:v>20880000</c:v>
                </c:pt>
                <c:pt idx="24">
                  <c:v>22656250</c:v>
                </c:pt>
                <c:pt idx="25">
                  <c:v>24505000</c:v>
                </c:pt>
                <c:pt idx="26">
                  <c:v>26426250</c:v>
                </c:pt>
                <c:pt idx="27">
                  <c:v>28420000</c:v>
                </c:pt>
                <c:pt idx="28">
                  <c:v>30486250</c:v>
                </c:pt>
                <c:pt idx="29">
                  <c:v>32625000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FE-4766-A371-83C124C1D0F0}"/>
            </c:ext>
          </c:extLst>
        </c:ser>
        <c:ser>
          <c:idx val="2"/>
          <c:order val="1"/>
          <c:tx>
            <c:strRef>
              <c:f>TempoQSR!$C$1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63500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ConfrontiBS!$A$2:$A$31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TempoQSR!$C$2:$C$31</c:f>
              <c:numCache>
                <c:formatCode>General</c:formatCode>
                <c:ptCount val="30"/>
                <c:pt idx="0">
                  <c:v>4091.7957375866754</c:v>
                </c:pt>
                <c:pt idx="1">
                  <c:v>9633.5914751733508</c:v>
                </c:pt>
                <c:pt idx="2">
                  <c:v>15722.680651828539</c:v>
                </c:pt>
                <c:pt idx="3">
                  <c:v>22167.182950346702</c:v>
                </c:pt>
                <c:pt idx="4">
                  <c:v>28875.968031900065</c:v>
                </c:pt>
                <c:pt idx="5">
                  <c:v>35795.361303657082</c:v>
                </c:pt>
                <c:pt idx="6">
                  <c:v>42889.896392549068</c:v>
                </c:pt>
                <c:pt idx="7">
                  <c:v>50134.365900693403</c:v>
                </c:pt>
                <c:pt idx="8">
                  <c:v>57509.922272691168</c:v>
                </c:pt>
                <c:pt idx="9">
                  <c:v>65001.936063800131</c:v>
                </c:pt>
                <c:pt idx="10">
                  <c:v>72598.720272085877</c:v>
                </c:pt>
                <c:pt idx="11">
                  <c:v>80290.722607314165</c:v>
                </c:pt>
                <c:pt idx="12">
                  <c:v>88069.988932106586</c:v>
                </c:pt>
                <c:pt idx="13">
                  <c:v>95929.792785098136</c:v>
                </c:pt>
                <c:pt idx="14">
                  <c:v>103864.37129104277</c:v>
                </c:pt>
                <c:pt idx="15">
                  <c:v>111868.73180138681</c:v>
                </c:pt>
                <c:pt idx="16">
                  <c:v>119938.50705738392</c:v>
                </c:pt>
                <c:pt idx="17">
                  <c:v>128069.84454538234</c:v>
                </c:pt>
                <c:pt idx="18">
                  <c:v>136259.32051183222</c:v>
                </c:pt>
                <c:pt idx="19">
                  <c:v>144503.87212760025</c:v>
                </c:pt>
                <c:pt idx="20">
                  <c:v>152800.74325112681</c:v>
                </c:pt>
                <c:pt idx="21">
                  <c:v>161147.44054417175</c:v>
                </c:pt>
                <c:pt idx="22">
                  <c:v>169541.69758174426</c:v>
                </c:pt>
                <c:pt idx="23">
                  <c:v>177981.44521462833</c:v>
                </c:pt>
                <c:pt idx="24">
                  <c:v>186464.78687933375</c:v>
                </c:pt>
                <c:pt idx="25">
                  <c:v>194989.97786421317</c:v>
                </c:pt>
                <c:pt idx="26">
                  <c:v>203555.40776969015</c:v>
                </c:pt>
                <c:pt idx="27">
                  <c:v>212159.58557019627</c:v>
                </c:pt>
                <c:pt idx="28">
                  <c:v>220801.12681257082</c:v>
                </c:pt>
                <c:pt idx="29">
                  <c:v>229478.74258208554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FE-4766-A371-83C124C1D0F0}"/>
            </c:ext>
          </c:extLst>
        </c:ser>
        <c:ser>
          <c:idx val="0"/>
          <c:order val="2"/>
          <c:tx>
            <c:v>CasoOttimo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Min!$K$2:$K$31</c:f>
              <c:numCache>
                <c:formatCode>General</c:formatCode>
                <c:ptCount val="30"/>
                <c:pt idx="0">
                  <c:v>12500</c:v>
                </c:pt>
                <c:pt idx="1">
                  <c:v>10900</c:v>
                </c:pt>
                <c:pt idx="2">
                  <c:v>16800</c:v>
                </c:pt>
                <c:pt idx="3">
                  <c:v>21900</c:v>
                </c:pt>
                <c:pt idx="4">
                  <c:v>27600</c:v>
                </c:pt>
                <c:pt idx="5">
                  <c:v>34600</c:v>
                </c:pt>
                <c:pt idx="6">
                  <c:v>39600</c:v>
                </c:pt>
                <c:pt idx="7">
                  <c:v>47200</c:v>
                </c:pt>
                <c:pt idx="8">
                  <c:v>53100</c:v>
                </c:pt>
                <c:pt idx="9">
                  <c:v>62100</c:v>
                </c:pt>
                <c:pt idx="10">
                  <c:v>68300</c:v>
                </c:pt>
                <c:pt idx="11">
                  <c:v>75100</c:v>
                </c:pt>
                <c:pt idx="12">
                  <c:v>83100</c:v>
                </c:pt>
                <c:pt idx="13">
                  <c:v>89700</c:v>
                </c:pt>
                <c:pt idx="14">
                  <c:v>96700</c:v>
                </c:pt>
                <c:pt idx="15">
                  <c:v>104400</c:v>
                </c:pt>
                <c:pt idx="16">
                  <c:v>111500</c:v>
                </c:pt>
                <c:pt idx="17">
                  <c:v>120900</c:v>
                </c:pt>
                <c:pt idx="18">
                  <c:v>126000</c:v>
                </c:pt>
                <c:pt idx="19">
                  <c:v>135200</c:v>
                </c:pt>
                <c:pt idx="20">
                  <c:v>143400</c:v>
                </c:pt>
                <c:pt idx="21">
                  <c:v>150900</c:v>
                </c:pt>
                <c:pt idx="22">
                  <c:v>159700</c:v>
                </c:pt>
                <c:pt idx="23">
                  <c:v>167000</c:v>
                </c:pt>
                <c:pt idx="24">
                  <c:v>175000</c:v>
                </c:pt>
                <c:pt idx="25">
                  <c:v>183700</c:v>
                </c:pt>
                <c:pt idx="26">
                  <c:v>189600</c:v>
                </c:pt>
                <c:pt idx="27">
                  <c:v>197800</c:v>
                </c:pt>
                <c:pt idx="28">
                  <c:v>207100</c:v>
                </c:pt>
                <c:pt idx="29">
                  <c:v>213700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DFE-4766-A371-83C124C1D0F0}"/>
            </c:ext>
          </c:extLst>
        </c:ser>
        <c:ser>
          <c:idx val="3"/>
          <c:order val="3"/>
          <c:tx>
            <c:v>CasoMedio</c:v>
          </c:tx>
          <c:spPr>
            <a:ln w="222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Media!$K$2:$K$31</c:f>
              <c:numCache>
                <c:formatCode>General</c:formatCode>
                <c:ptCount val="30"/>
                <c:pt idx="0">
                  <c:v>40119.191919191922</c:v>
                </c:pt>
                <c:pt idx="1">
                  <c:v>16797.802197802197</c:v>
                </c:pt>
                <c:pt idx="2">
                  <c:v>21233</c:v>
                </c:pt>
                <c:pt idx="3">
                  <c:v>29862</c:v>
                </c:pt>
                <c:pt idx="4">
                  <c:v>34475</c:v>
                </c:pt>
                <c:pt idx="5">
                  <c:v>39301</c:v>
                </c:pt>
                <c:pt idx="6">
                  <c:v>46944</c:v>
                </c:pt>
                <c:pt idx="7">
                  <c:v>54477</c:v>
                </c:pt>
                <c:pt idx="8">
                  <c:v>60089</c:v>
                </c:pt>
                <c:pt idx="9">
                  <c:v>69183</c:v>
                </c:pt>
                <c:pt idx="10">
                  <c:v>74594</c:v>
                </c:pt>
                <c:pt idx="11">
                  <c:v>80775</c:v>
                </c:pt>
                <c:pt idx="12">
                  <c:v>87170</c:v>
                </c:pt>
                <c:pt idx="13">
                  <c:v>96433</c:v>
                </c:pt>
                <c:pt idx="14">
                  <c:v>104792</c:v>
                </c:pt>
                <c:pt idx="15">
                  <c:v>111928</c:v>
                </c:pt>
                <c:pt idx="16">
                  <c:v>119764</c:v>
                </c:pt>
                <c:pt idx="17">
                  <c:v>128130</c:v>
                </c:pt>
                <c:pt idx="18">
                  <c:v>135441</c:v>
                </c:pt>
                <c:pt idx="19">
                  <c:v>145354</c:v>
                </c:pt>
                <c:pt idx="20">
                  <c:v>151992</c:v>
                </c:pt>
                <c:pt idx="21">
                  <c:v>162047</c:v>
                </c:pt>
                <c:pt idx="22">
                  <c:v>168810</c:v>
                </c:pt>
                <c:pt idx="23">
                  <c:v>178022</c:v>
                </c:pt>
                <c:pt idx="24">
                  <c:v>187716</c:v>
                </c:pt>
                <c:pt idx="25">
                  <c:v>195038</c:v>
                </c:pt>
                <c:pt idx="26">
                  <c:v>202094</c:v>
                </c:pt>
                <c:pt idx="27">
                  <c:v>210774</c:v>
                </c:pt>
                <c:pt idx="28">
                  <c:v>221905</c:v>
                </c:pt>
                <c:pt idx="29">
                  <c:v>229732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DFE-4766-A371-83C124C1D0F0}"/>
            </c:ext>
          </c:extLst>
        </c:ser>
        <c:ser>
          <c:idx val="4"/>
          <c:order val="4"/>
          <c:tx>
            <c:v>CasoPessimo</c:v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Max!$K$2:$K$31</c:f>
              <c:numCache>
                <c:formatCode>General</c:formatCode>
                <c:ptCount val="30"/>
                <c:pt idx="0">
                  <c:v>225800</c:v>
                </c:pt>
                <c:pt idx="1">
                  <c:v>69800</c:v>
                </c:pt>
                <c:pt idx="2">
                  <c:v>39300</c:v>
                </c:pt>
                <c:pt idx="3">
                  <c:v>83300</c:v>
                </c:pt>
                <c:pt idx="4">
                  <c:v>50200</c:v>
                </c:pt>
                <c:pt idx="5">
                  <c:v>67100</c:v>
                </c:pt>
                <c:pt idx="6">
                  <c:v>82000</c:v>
                </c:pt>
                <c:pt idx="7">
                  <c:v>78000</c:v>
                </c:pt>
                <c:pt idx="8">
                  <c:v>81800</c:v>
                </c:pt>
                <c:pt idx="9">
                  <c:v>98600</c:v>
                </c:pt>
                <c:pt idx="10">
                  <c:v>98200</c:v>
                </c:pt>
                <c:pt idx="11">
                  <c:v>128400</c:v>
                </c:pt>
                <c:pt idx="12">
                  <c:v>102400</c:v>
                </c:pt>
                <c:pt idx="13">
                  <c:v>150900</c:v>
                </c:pt>
                <c:pt idx="14">
                  <c:v>154700</c:v>
                </c:pt>
                <c:pt idx="15">
                  <c:v>159300</c:v>
                </c:pt>
                <c:pt idx="16">
                  <c:v>163800</c:v>
                </c:pt>
                <c:pt idx="17">
                  <c:v>198000</c:v>
                </c:pt>
                <c:pt idx="18">
                  <c:v>186400</c:v>
                </c:pt>
                <c:pt idx="19">
                  <c:v>208800</c:v>
                </c:pt>
                <c:pt idx="20">
                  <c:v>203900</c:v>
                </c:pt>
                <c:pt idx="21">
                  <c:v>258000</c:v>
                </c:pt>
                <c:pt idx="22">
                  <c:v>224800</c:v>
                </c:pt>
                <c:pt idx="23">
                  <c:v>281600</c:v>
                </c:pt>
                <c:pt idx="24">
                  <c:v>262300</c:v>
                </c:pt>
                <c:pt idx="25">
                  <c:v>408300</c:v>
                </c:pt>
                <c:pt idx="26">
                  <c:v>297100</c:v>
                </c:pt>
                <c:pt idx="27">
                  <c:v>281200</c:v>
                </c:pt>
                <c:pt idx="28">
                  <c:v>286200</c:v>
                </c:pt>
                <c:pt idx="29">
                  <c:v>340900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DFE-4766-A371-83C124C1D0F0}"/>
            </c:ext>
          </c:extLst>
        </c:ser>
        <c:ser>
          <c:idx val="5"/>
          <c:order val="5"/>
          <c:tx>
            <c:v>Media+DevStd</c:v>
          </c:tx>
          <c:spPr>
            <a:ln w="34925" cap="rnd">
              <a:solidFill>
                <a:schemeClr val="accent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'Media+DevStd'!$K$2:$K$31</c:f>
              <c:numCache>
                <c:formatCode>General</c:formatCode>
                <c:ptCount val="30"/>
                <c:pt idx="0">
                  <c:v>87535.850657139235</c:v>
                </c:pt>
                <c:pt idx="1">
                  <c:v>25193.55480150973</c:v>
                </c:pt>
                <c:pt idx="2">
                  <c:v>24497.936307328077</c:v>
                </c:pt>
                <c:pt idx="3">
                  <c:v>37526.080986898385</c:v>
                </c:pt>
                <c:pt idx="4">
                  <c:v>39036.529404163753</c:v>
                </c:pt>
                <c:pt idx="5">
                  <c:v>44507.59052053115</c:v>
                </c:pt>
                <c:pt idx="6">
                  <c:v>53888.954130790778</c:v>
                </c:pt>
                <c:pt idx="7">
                  <c:v>60785.817862982163</c:v>
                </c:pt>
                <c:pt idx="8">
                  <c:v>66657.841279676024</c:v>
                </c:pt>
                <c:pt idx="9">
                  <c:v>77382.643438909552</c:v>
                </c:pt>
                <c:pt idx="10">
                  <c:v>80812.83453955024</c:v>
                </c:pt>
                <c:pt idx="11">
                  <c:v>87804.467198224142</c:v>
                </c:pt>
                <c:pt idx="12">
                  <c:v>90138.878984438808</c:v>
                </c:pt>
                <c:pt idx="13">
                  <c:v>105025.56261677692</c:v>
                </c:pt>
                <c:pt idx="14">
                  <c:v>114850.88400742087</c:v>
                </c:pt>
                <c:pt idx="15">
                  <c:v>120908.02362148475</c:v>
                </c:pt>
                <c:pt idx="16">
                  <c:v>128867.01892425549</c:v>
                </c:pt>
                <c:pt idx="17">
                  <c:v>139311.74468235677</c:v>
                </c:pt>
                <c:pt idx="18">
                  <c:v>144452.43039576834</c:v>
                </c:pt>
                <c:pt idx="19">
                  <c:v>158107.47779860834</c:v>
                </c:pt>
                <c:pt idx="20">
                  <c:v>162609.70657577674</c:v>
                </c:pt>
                <c:pt idx="21">
                  <c:v>178809.92478879349</c:v>
                </c:pt>
                <c:pt idx="22">
                  <c:v>178443.53255534798</c:v>
                </c:pt>
                <c:pt idx="23">
                  <c:v>195687.89237868704</c:v>
                </c:pt>
                <c:pt idx="24">
                  <c:v>204489.77534706899</c:v>
                </c:pt>
                <c:pt idx="25">
                  <c:v>219304.8946875734</c:v>
                </c:pt>
                <c:pt idx="26">
                  <c:v>216499.86875358285</c:v>
                </c:pt>
                <c:pt idx="27">
                  <c:v>222449.16244776998</c:v>
                </c:pt>
                <c:pt idx="28">
                  <c:v>239253.37561167145</c:v>
                </c:pt>
                <c:pt idx="29">
                  <c:v>250128.61231526927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DFE-4766-A371-83C124C1D0F0}"/>
            </c:ext>
          </c:extLst>
        </c:ser>
        <c:ser>
          <c:idx val="6"/>
          <c:order val="6"/>
          <c:tx>
            <c:v>Media-DevStd</c:v>
          </c:tx>
          <c:spPr>
            <a:ln w="34925" cap="rnd">
              <a:solidFill>
                <a:schemeClr val="accent1">
                  <a:lumMod val="6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'Media-DevStd'!$K$2:$K$31</c:f>
              <c:numCache>
                <c:formatCode>General</c:formatCode>
                <c:ptCount val="30"/>
                <c:pt idx="0">
                  <c:v>-7297.4668187553834</c:v>
                </c:pt>
                <c:pt idx="1">
                  <c:v>8402.0495940946657</c:v>
                </c:pt>
                <c:pt idx="2">
                  <c:v>17968.063692671923</c:v>
                </c:pt>
                <c:pt idx="3">
                  <c:v>22197.919013101611</c:v>
                </c:pt>
                <c:pt idx="4">
                  <c:v>29913.47059583625</c:v>
                </c:pt>
                <c:pt idx="5">
                  <c:v>34094.40947946885</c:v>
                </c:pt>
                <c:pt idx="6">
                  <c:v>39999.045869209222</c:v>
                </c:pt>
                <c:pt idx="7">
                  <c:v>48168.182137017837</c:v>
                </c:pt>
                <c:pt idx="8">
                  <c:v>53520.158720323976</c:v>
                </c:pt>
                <c:pt idx="9">
                  <c:v>60983.356561090448</c:v>
                </c:pt>
                <c:pt idx="10">
                  <c:v>68375.16546044976</c:v>
                </c:pt>
                <c:pt idx="11">
                  <c:v>73745.532801775858</c:v>
                </c:pt>
                <c:pt idx="12">
                  <c:v>84201.121015561192</c:v>
                </c:pt>
                <c:pt idx="13">
                  <c:v>87840.437383223078</c:v>
                </c:pt>
                <c:pt idx="14">
                  <c:v>94733.115992579129</c:v>
                </c:pt>
                <c:pt idx="15">
                  <c:v>102947.97637851525</c:v>
                </c:pt>
                <c:pt idx="16">
                  <c:v>110660.98107574451</c:v>
                </c:pt>
                <c:pt idx="17">
                  <c:v>116948.25531764323</c:v>
                </c:pt>
                <c:pt idx="18">
                  <c:v>126429.56960423164</c:v>
                </c:pt>
                <c:pt idx="19">
                  <c:v>132600.52220139166</c:v>
                </c:pt>
                <c:pt idx="20">
                  <c:v>141374.29342422326</c:v>
                </c:pt>
                <c:pt idx="21">
                  <c:v>145284.07521120651</c:v>
                </c:pt>
                <c:pt idx="22">
                  <c:v>159176.46744465202</c:v>
                </c:pt>
                <c:pt idx="23">
                  <c:v>160356.10762131296</c:v>
                </c:pt>
                <c:pt idx="24">
                  <c:v>170942.22465293101</c:v>
                </c:pt>
                <c:pt idx="25">
                  <c:v>170771.1053124266</c:v>
                </c:pt>
                <c:pt idx="26">
                  <c:v>187688.13124641715</c:v>
                </c:pt>
                <c:pt idx="27">
                  <c:v>199098.83755223002</c:v>
                </c:pt>
                <c:pt idx="28">
                  <c:v>204556.62438832855</c:v>
                </c:pt>
                <c:pt idx="29">
                  <c:v>209335.38768473073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DFE-4766-A371-83C124C1D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159855"/>
        <c:axId val="641161295"/>
      </c:lineChart>
      <c:catAx>
        <c:axId val="64115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61295"/>
        <c:crosses val="autoZero"/>
        <c:auto val="1"/>
        <c:lblAlgn val="ctr"/>
        <c:lblOffset val="100"/>
        <c:noMultiLvlLbl val="0"/>
      </c:catAx>
      <c:valAx>
        <c:axId val="641161295"/>
        <c:scaling>
          <c:orientation val="minMax"/>
          <c:max val="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</a:t>
                </a:r>
                <a:r>
                  <a:rPr lang="it-IT" baseline="0"/>
                  <a:t> in nanosecondi</a:t>
                </a:r>
              </a:p>
              <a:p>
                <a:pPr>
                  <a:defRPr/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41159855"/>
        <c:crosses val="autoZero"/>
        <c:crossBetween val="between"/>
        <c:majorUnit val="10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3175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MS</a:t>
            </a:r>
            <a:r>
              <a:rPr lang="it-IT" baseline="0"/>
              <a:t> vs QS CASO 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'TNS MergeSort VS QuickSort'!$B$1</c:f>
              <c:strCache>
                <c:ptCount val="1"/>
                <c:pt idx="0">
                  <c:v>c*n^2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'TNS MergeSort VS QuickSort'!$A$2:$A$31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'TNS MergeSort VS QuickSort'!$B$2:$B$31</c:f>
              <c:numCache>
                <c:formatCode>General</c:formatCode>
                <c:ptCount val="30"/>
                <c:pt idx="0">
                  <c:v>32750</c:v>
                </c:pt>
                <c:pt idx="1">
                  <c:v>131000</c:v>
                </c:pt>
                <c:pt idx="2">
                  <c:v>294750</c:v>
                </c:pt>
                <c:pt idx="3">
                  <c:v>524000</c:v>
                </c:pt>
                <c:pt idx="4">
                  <c:v>818750</c:v>
                </c:pt>
                <c:pt idx="5">
                  <c:v>1179000</c:v>
                </c:pt>
                <c:pt idx="6">
                  <c:v>1604750</c:v>
                </c:pt>
                <c:pt idx="7">
                  <c:v>2096000</c:v>
                </c:pt>
                <c:pt idx="8">
                  <c:v>2652750</c:v>
                </c:pt>
                <c:pt idx="9">
                  <c:v>3275000</c:v>
                </c:pt>
                <c:pt idx="10">
                  <c:v>3962750</c:v>
                </c:pt>
                <c:pt idx="11">
                  <c:v>4716000</c:v>
                </c:pt>
                <c:pt idx="12">
                  <c:v>5534750</c:v>
                </c:pt>
                <c:pt idx="13">
                  <c:v>6419000</c:v>
                </c:pt>
                <c:pt idx="14">
                  <c:v>7368750</c:v>
                </c:pt>
                <c:pt idx="15">
                  <c:v>8384000</c:v>
                </c:pt>
                <c:pt idx="16">
                  <c:v>9464750</c:v>
                </c:pt>
                <c:pt idx="17">
                  <c:v>10611000</c:v>
                </c:pt>
                <c:pt idx="18">
                  <c:v>11822750</c:v>
                </c:pt>
                <c:pt idx="19">
                  <c:v>13100000</c:v>
                </c:pt>
                <c:pt idx="20">
                  <c:v>14442750</c:v>
                </c:pt>
                <c:pt idx="21">
                  <c:v>15851000</c:v>
                </c:pt>
                <c:pt idx="22">
                  <c:v>17324750</c:v>
                </c:pt>
                <c:pt idx="23">
                  <c:v>18864000</c:v>
                </c:pt>
                <c:pt idx="24">
                  <c:v>20468750</c:v>
                </c:pt>
                <c:pt idx="25">
                  <c:v>22139000</c:v>
                </c:pt>
                <c:pt idx="26">
                  <c:v>23874750</c:v>
                </c:pt>
                <c:pt idx="27">
                  <c:v>25676000</c:v>
                </c:pt>
                <c:pt idx="28">
                  <c:v>27542750</c:v>
                </c:pt>
                <c:pt idx="29">
                  <c:v>29475000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DB-43E1-8F89-EA69E4018BD7}"/>
            </c:ext>
          </c:extLst>
        </c:ser>
        <c:ser>
          <c:idx val="1"/>
          <c:order val="1"/>
          <c:tx>
            <c:strRef>
              <c:f>'TNS MergeSort VS QuickSort'!$C$1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'TNS MergeSort VS QuickSort'!$A$2:$A$31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'TNS MergeSort VS QuickSort'!$C$2:$C$31</c:f>
              <c:numCache>
                <c:formatCode>General</c:formatCode>
                <c:ptCount val="30"/>
                <c:pt idx="0">
                  <c:v>3696.7258043024444</c:v>
                </c:pt>
                <c:pt idx="1">
                  <c:v>8703.4516086048898</c:v>
                </c:pt>
                <c:pt idx="2">
                  <c:v>14204.628726824405</c:v>
                </c:pt>
                <c:pt idx="3">
                  <c:v>20026.90321720978</c:v>
                </c:pt>
                <c:pt idx="4">
                  <c:v>26087.943532268335</c:v>
                </c:pt>
                <c:pt idx="5">
                  <c:v>32339.257453648814</c:v>
                </c:pt>
                <c:pt idx="6">
                  <c:v>38748.802947751232</c:v>
                </c:pt>
                <c:pt idx="7">
                  <c:v>45293.806434419559</c:v>
                </c:pt>
                <c:pt idx="8">
                  <c:v>51957.240122224437</c:v>
                </c:pt>
                <c:pt idx="9">
                  <c:v>58725.88706453667</c:v>
                </c:pt>
                <c:pt idx="10">
                  <c:v>65589.188659608611</c:v>
                </c:pt>
                <c:pt idx="11">
                  <c:v>72538.51490729762</c:v>
                </c:pt>
                <c:pt idx="12">
                  <c:v>79566.679655903194</c:v>
                </c:pt>
                <c:pt idx="13">
                  <c:v>86667.605895502464</c:v>
                </c:pt>
                <c:pt idx="14">
                  <c:v>93836.087166390367</c:v>
                </c:pt>
                <c:pt idx="15">
                  <c:v>101067.61286883912</c:v>
                </c:pt>
                <c:pt idx="16">
                  <c:v>108358.23741046409</c:v>
                </c:pt>
                <c:pt idx="17">
                  <c:v>115704.48024444887</c:v>
                </c:pt>
                <c:pt idx="18">
                  <c:v>123103.24818655188</c:v>
                </c:pt>
                <c:pt idx="19">
                  <c:v>130551.77412907334</c:v>
                </c:pt>
                <c:pt idx="20">
                  <c:v>138047.56804067318</c:v>
                </c:pt>
                <c:pt idx="21">
                  <c:v>145588.37731921722</c:v>
                </c:pt>
                <c:pt idx="22">
                  <c:v>153172.15436695516</c:v>
                </c:pt>
                <c:pt idx="23">
                  <c:v>160797.02981459524</c:v>
                </c:pt>
                <c:pt idx="24">
                  <c:v>168461.29021512222</c:v>
                </c:pt>
                <c:pt idx="25">
                  <c:v>176163.35931180639</c:v>
                </c:pt>
                <c:pt idx="26">
                  <c:v>183901.78219192696</c:v>
                </c:pt>
                <c:pt idx="27">
                  <c:v>191675.21179100493</c:v>
                </c:pt>
                <c:pt idx="28">
                  <c:v>199482.39732721917</c:v>
                </c:pt>
                <c:pt idx="29">
                  <c:v>207322.17433278073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DB-43E1-8F89-EA69E4018BD7}"/>
            </c:ext>
          </c:extLst>
        </c:ser>
        <c:ser>
          <c:idx val="2"/>
          <c:order val="2"/>
          <c:tx>
            <c:v>MedioMS</c:v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Media!$G$2:$G$31</c:f>
              <c:numCache>
                <c:formatCode>General</c:formatCode>
                <c:ptCount val="30"/>
                <c:pt idx="0">
                  <c:v>88194.897959183669</c:v>
                </c:pt>
                <c:pt idx="1">
                  <c:v>50101.123595505618</c:v>
                </c:pt>
                <c:pt idx="2">
                  <c:v>65543.434343434346</c:v>
                </c:pt>
                <c:pt idx="3">
                  <c:v>83616</c:v>
                </c:pt>
                <c:pt idx="4">
                  <c:v>108513</c:v>
                </c:pt>
                <c:pt idx="5">
                  <c:v>119244</c:v>
                </c:pt>
                <c:pt idx="6">
                  <c:v>140256</c:v>
                </c:pt>
                <c:pt idx="7">
                  <c:v>155261</c:v>
                </c:pt>
                <c:pt idx="8">
                  <c:v>169668</c:v>
                </c:pt>
                <c:pt idx="9">
                  <c:v>187120</c:v>
                </c:pt>
                <c:pt idx="10">
                  <c:v>220339</c:v>
                </c:pt>
                <c:pt idx="11">
                  <c:v>223402</c:v>
                </c:pt>
                <c:pt idx="12">
                  <c:v>235160</c:v>
                </c:pt>
                <c:pt idx="13">
                  <c:v>256620</c:v>
                </c:pt>
                <c:pt idx="14">
                  <c:v>276260</c:v>
                </c:pt>
                <c:pt idx="15">
                  <c:v>311422</c:v>
                </c:pt>
                <c:pt idx="16">
                  <c:v>321508</c:v>
                </c:pt>
                <c:pt idx="17">
                  <c:v>337536</c:v>
                </c:pt>
                <c:pt idx="18">
                  <c:v>357146</c:v>
                </c:pt>
                <c:pt idx="19">
                  <c:v>385280</c:v>
                </c:pt>
                <c:pt idx="20">
                  <c:v>408288</c:v>
                </c:pt>
                <c:pt idx="21">
                  <c:v>430790</c:v>
                </c:pt>
                <c:pt idx="22">
                  <c:v>444997</c:v>
                </c:pt>
                <c:pt idx="23">
                  <c:v>469499</c:v>
                </c:pt>
                <c:pt idx="24">
                  <c:v>506950</c:v>
                </c:pt>
                <c:pt idx="25">
                  <c:v>525633</c:v>
                </c:pt>
                <c:pt idx="26">
                  <c:v>546437</c:v>
                </c:pt>
                <c:pt idx="27">
                  <c:v>598522</c:v>
                </c:pt>
                <c:pt idx="28">
                  <c:v>586686</c:v>
                </c:pt>
                <c:pt idx="29">
                  <c:v>609364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DB-43E1-8F89-EA69E4018BD7}"/>
            </c:ext>
          </c:extLst>
        </c:ser>
        <c:ser>
          <c:idx val="3"/>
          <c:order val="3"/>
          <c:tx>
            <c:v>Media+DevStdMS</c:v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'Media+DevStd'!$G$2:$G$31</c:f>
              <c:numCache>
                <c:formatCode>General</c:formatCode>
                <c:ptCount val="30"/>
                <c:pt idx="0">
                  <c:v>164732.71877306583</c:v>
                </c:pt>
                <c:pt idx="1">
                  <c:v>60448.559535938817</c:v>
                </c:pt>
                <c:pt idx="2">
                  <c:v>79880.151595103875</c:v>
                </c:pt>
                <c:pt idx="3">
                  <c:v>101521.36130985252</c:v>
                </c:pt>
                <c:pt idx="4">
                  <c:v>128659.41685563992</c:v>
                </c:pt>
                <c:pt idx="5">
                  <c:v>139884.87501081583</c:v>
                </c:pt>
                <c:pt idx="6">
                  <c:v>170286.1677274266</c:v>
                </c:pt>
                <c:pt idx="7">
                  <c:v>182667.9330423504</c:v>
                </c:pt>
                <c:pt idx="8">
                  <c:v>191081.69277784284</c:v>
                </c:pt>
                <c:pt idx="9">
                  <c:v>214458.11488110555</c:v>
                </c:pt>
                <c:pt idx="10">
                  <c:v>370793.47507368121</c:v>
                </c:pt>
                <c:pt idx="11">
                  <c:v>248481.17152627744</c:v>
                </c:pt>
                <c:pt idx="12">
                  <c:v>254629.75380253466</c:v>
                </c:pt>
                <c:pt idx="13">
                  <c:v>277602.15692179691</c:v>
                </c:pt>
                <c:pt idx="14">
                  <c:v>293857.7730455196</c:v>
                </c:pt>
                <c:pt idx="15">
                  <c:v>442992.58832859003</c:v>
                </c:pt>
                <c:pt idx="16">
                  <c:v>375450.66443609033</c:v>
                </c:pt>
                <c:pt idx="17">
                  <c:v>367753.11509135913</c:v>
                </c:pt>
                <c:pt idx="18">
                  <c:v>377368.27704510273</c:v>
                </c:pt>
                <c:pt idx="19">
                  <c:v>421715.13954878441</c:v>
                </c:pt>
                <c:pt idx="20">
                  <c:v>457371.67269523058</c:v>
                </c:pt>
                <c:pt idx="21">
                  <c:v>469609.51113093062</c:v>
                </c:pt>
                <c:pt idx="22">
                  <c:v>475063.46326276695</c:v>
                </c:pt>
                <c:pt idx="23">
                  <c:v>510675.3943726907</c:v>
                </c:pt>
                <c:pt idx="24">
                  <c:v>670844.69796244788</c:v>
                </c:pt>
                <c:pt idx="25">
                  <c:v>643890.68649500771</c:v>
                </c:pt>
                <c:pt idx="26">
                  <c:v>669871.01185993419</c:v>
                </c:pt>
                <c:pt idx="27">
                  <c:v>848037.70003031101</c:v>
                </c:pt>
                <c:pt idx="28">
                  <c:v>633854.87139081059</c:v>
                </c:pt>
                <c:pt idx="29">
                  <c:v>734489.47522185463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3DB-43E1-8F89-EA69E4018BD7}"/>
            </c:ext>
          </c:extLst>
        </c:ser>
        <c:ser>
          <c:idx val="4"/>
          <c:order val="4"/>
          <c:tx>
            <c:v>Media-DevStdMS</c:v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square"/>
              <c:size val="5"/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5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'Media-DevStd'!$G$2:$G$31</c:f>
              <c:numCache>
                <c:formatCode>General</c:formatCode>
                <c:ptCount val="30"/>
                <c:pt idx="0">
                  <c:v>11657.077145301504</c:v>
                </c:pt>
                <c:pt idx="1">
                  <c:v>39753.687655072419</c:v>
                </c:pt>
                <c:pt idx="2">
                  <c:v>51206.717091764818</c:v>
                </c:pt>
                <c:pt idx="3">
                  <c:v>65710.638690147476</c:v>
                </c:pt>
                <c:pt idx="4">
                  <c:v>88366.583144360076</c:v>
                </c:pt>
                <c:pt idx="5">
                  <c:v>98603.124989184173</c:v>
                </c:pt>
                <c:pt idx="6">
                  <c:v>110225.8322725734</c:v>
                </c:pt>
                <c:pt idx="7">
                  <c:v>127854.06695764959</c:v>
                </c:pt>
                <c:pt idx="8">
                  <c:v>148254.30722215716</c:v>
                </c:pt>
                <c:pt idx="9">
                  <c:v>159781.88511889445</c:v>
                </c:pt>
                <c:pt idx="10">
                  <c:v>69884.524926318758</c:v>
                </c:pt>
                <c:pt idx="11">
                  <c:v>198322.82847372256</c:v>
                </c:pt>
                <c:pt idx="12">
                  <c:v>215690.24619746534</c:v>
                </c:pt>
                <c:pt idx="13">
                  <c:v>235637.84307820312</c:v>
                </c:pt>
                <c:pt idx="14">
                  <c:v>258662.2269544804</c:v>
                </c:pt>
                <c:pt idx="15">
                  <c:v>179851.41167140997</c:v>
                </c:pt>
                <c:pt idx="16">
                  <c:v>267565.33556390967</c:v>
                </c:pt>
                <c:pt idx="17">
                  <c:v>307318.88490864087</c:v>
                </c:pt>
                <c:pt idx="18">
                  <c:v>336923.72295489727</c:v>
                </c:pt>
                <c:pt idx="19">
                  <c:v>348844.86045121559</c:v>
                </c:pt>
                <c:pt idx="20">
                  <c:v>359204.32730476942</c:v>
                </c:pt>
                <c:pt idx="21">
                  <c:v>391970.48886906938</c:v>
                </c:pt>
                <c:pt idx="22">
                  <c:v>414930.53673723305</c:v>
                </c:pt>
                <c:pt idx="23">
                  <c:v>428322.6056273093</c:v>
                </c:pt>
                <c:pt idx="24">
                  <c:v>343055.30203755212</c:v>
                </c:pt>
                <c:pt idx="25">
                  <c:v>407375.31350499234</c:v>
                </c:pt>
                <c:pt idx="26">
                  <c:v>423002.98814006575</c:v>
                </c:pt>
                <c:pt idx="27">
                  <c:v>349006.29996968899</c:v>
                </c:pt>
                <c:pt idx="28">
                  <c:v>539517.12860918941</c:v>
                </c:pt>
                <c:pt idx="29">
                  <c:v>484238.52477814537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3DB-43E1-8F89-EA69E4018BD7}"/>
            </c:ext>
          </c:extLst>
        </c:ser>
        <c:ser>
          <c:idx val="5"/>
          <c:order val="5"/>
          <c:tx>
            <c:v>MedioQS</c:v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Media!$I$2:$I$31</c:f>
              <c:numCache>
                <c:formatCode>General</c:formatCode>
                <c:ptCount val="30"/>
                <c:pt idx="0">
                  <c:v>43264.646464646466</c:v>
                </c:pt>
                <c:pt idx="1">
                  <c:v>14030.927835051547</c:v>
                </c:pt>
                <c:pt idx="2">
                  <c:v>17897</c:v>
                </c:pt>
                <c:pt idx="3">
                  <c:v>23260</c:v>
                </c:pt>
                <c:pt idx="4">
                  <c:v>30478</c:v>
                </c:pt>
                <c:pt idx="5">
                  <c:v>34011</c:v>
                </c:pt>
                <c:pt idx="6">
                  <c:v>40453</c:v>
                </c:pt>
                <c:pt idx="7">
                  <c:v>48893</c:v>
                </c:pt>
                <c:pt idx="8">
                  <c:v>53454</c:v>
                </c:pt>
                <c:pt idx="9">
                  <c:v>61132</c:v>
                </c:pt>
                <c:pt idx="10">
                  <c:v>67322</c:v>
                </c:pt>
                <c:pt idx="11">
                  <c:v>72378</c:v>
                </c:pt>
                <c:pt idx="12">
                  <c:v>78740</c:v>
                </c:pt>
                <c:pt idx="13">
                  <c:v>85323</c:v>
                </c:pt>
                <c:pt idx="14">
                  <c:v>93654</c:v>
                </c:pt>
                <c:pt idx="15">
                  <c:v>100486</c:v>
                </c:pt>
                <c:pt idx="16">
                  <c:v>107114</c:v>
                </c:pt>
                <c:pt idx="17">
                  <c:v>115183</c:v>
                </c:pt>
                <c:pt idx="18">
                  <c:v>122667</c:v>
                </c:pt>
                <c:pt idx="19">
                  <c:v>132290</c:v>
                </c:pt>
                <c:pt idx="20">
                  <c:v>143326</c:v>
                </c:pt>
                <c:pt idx="21">
                  <c:v>146161</c:v>
                </c:pt>
                <c:pt idx="22">
                  <c:v>153975</c:v>
                </c:pt>
                <c:pt idx="23">
                  <c:v>161754</c:v>
                </c:pt>
                <c:pt idx="24">
                  <c:v>170590</c:v>
                </c:pt>
                <c:pt idx="25">
                  <c:v>180633</c:v>
                </c:pt>
                <c:pt idx="26">
                  <c:v>183289</c:v>
                </c:pt>
                <c:pt idx="27">
                  <c:v>192565</c:v>
                </c:pt>
                <c:pt idx="28">
                  <c:v>203407</c:v>
                </c:pt>
                <c:pt idx="29">
                  <c:v>207847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3DB-43E1-8F89-EA69E4018BD7}"/>
            </c:ext>
          </c:extLst>
        </c:ser>
        <c:ser>
          <c:idx val="6"/>
          <c:order val="6"/>
          <c:tx>
            <c:v>Media+DevStdQS</c:v>
          </c:tx>
          <c:spPr>
            <a:ln w="34925" cap="rnd">
              <a:solidFill>
                <a:schemeClr val="bg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'Media+DevStd'!$I$2:$I$31</c:f>
              <c:numCache>
                <c:formatCode>General</c:formatCode>
                <c:ptCount val="30"/>
                <c:pt idx="0">
                  <c:v>84417.991638597887</c:v>
                </c:pt>
                <c:pt idx="1">
                  <c:v>21134.83463613558</c:v>
                </c:pt>
                <c:pt idx="2">
                  <c:v>22000.27425307639</c:v>
                </c:pt>
                <c:pt idx="3">
                  <c:v>26728.327108173755</c:v>
                </c:pt>
                <c:pt idx="4">
                  <c:v>35349.408648658231</c:v>
                </c:pt>
                <c:pt idx="5">
                  <c:v>38040.083536167265</c:v>
                </c:pt>
                <c:pt idx="6">
                  <c:v>45753.818595064142</c:v>
                </c:pt>
                <c:pt idx="7">
                  <c:v>54579.440632830621</c:v>
                </c:pt>
                <c:pt idx="8">
                  <c:v>59348.072009102441</c:v>
                </c:pt>
                <c:pt idx="9">
                  <c:v>69014.506907800023</c:v>
                </c:pt>
                <c:pt idx="10">
                  <c:v>80344.611105304502</c:v>
                </c:pt>
                <c:pt idx="11">
                  <c:v>78937.495853995628</c:v>
                </c:pt>
                <c:pt idx="12">
                  <c:v>83394.985380094004</c:v>
                </c:pt>
                <c:pt idx="13">
                  <c:v>90247.600276041485</c:v>
                </c:pt>
                <c:pt idx="14">
                  <c:v>100023.09235085639</c:v>
                </c:pt>
                <c:pt idx="15">
                  <c:v>107158.51289116988</c:v>
                </c:pt>
                <c:pt idx="16">
                  <c:v>114367.36592015853</c:v>
                </c:pt>
                <c:pt idx="17">
                  <c:v>123918.63530846064</c:v>
                </c:pt>
                <c:pt idx="18">
                  <c:v>133534.36431112472</c:v>
                </c:pt>
                <c:pt idx="19">
                  <c:v>144756.38713023177</c:v>
                </c:pt>
                <c:pt idx="20">
                  <c:v>199679.40438570315</c:v>
                </c:pt>
                <c:pt idx="21">
                  <c:v>161158.58832464591</c:v>
                </c:pt>
                <c:pt idx="22">
                  <c:v>168995.41287815693</c:v>
                </c:pt>
                <c:pt idx="23">
                  <c:v>175698.90182355855</c:v>
                </c:pt>
                <c:pt idx="24">
                  <c:v>182988.41550645515</c:v>
                </c:pt>
                <c:pt idx="25">
                  <c:v>202695.18509375514</c:v>
                </c:pt>
                <c:pt idx="26">
                  <c:v>193852.39108966111</c:v>
                </c:pt>
                <c:pt idx="27">
                  <c:v>216423.49858112313</c:v>
                </c:pt>
                <c:pt idx="28">
                  <c:v>223075.66582032232</c:v>
                </c:pt>
                <c:pt idx="29">
                  <c:v>227255.94542797888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3DB-43E1-8F89-EA69E4018BD7}"/>
            </c:ext>
          </c:extLst>
        </c:ser>
        <c:ser>
          <c:idx val="7"/>
          <c:order val="7"/>
          <c:tx>
            <c:v>Media-DevStdQS</c:v>
          </c:tx>
          <c:spPr>
            <a:ln w="34925" cap="rnd">
              <a:solidFill>
                <a:schemeClr val="bg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'Media-DevStd'!$I$2:$I$31</c:f>
              <c:numCache>
                <c:formatCode>General</c:formatCode>
                <c:ptCount val="30"/>
                <c:pt idx="0">
                  <c:v>2111.3012906950535</c:v>
                </c:pt>
                <c:pt idx="1">
                  <c:v>6927.0210339675141</c:v>
                </c:pt>
                <c:pt idx="2">
                  <c:v>13793.72574692361</c:v>
                </c:pt>
                <c:pt idx="3">
                  <c:v>19791.672891826245</c:v>
                </c:pt>
                <c:pt idx="4">
                  <c:v>25606.591351341769</c:v>
                </c:pt>
                <c:pt idx="5">
                  <c:v>29981.916463832731</c:v>
                </c:pt>
                <c:pt idx="6">
                  <c:v>35152.181404935858</c:v>
                </c:pt>
                <c:pt idx="7">
                  <c:v>43206.559367169379</c:v>
                </c:pt>
                <c:pt idx="8">
                  <c:v>47559.927990897559</c:v>
                </c:pt>
                <c:pt idx="9">
                  <c:v>53249.493092199977</c:v>
                </c:pt>
                <c:pt idx="10">
                  <c:v>54299.388894695505</c:v>
                </c:pt>
                <c:pt idx="11">
                  <c:v>65818.504146004372</c:v>
                </c:pt>
                <c:pt idx="12">
                  <c:v>74085.014619905996</c:v>
                </c:pt>
                <c:pt idx="13">
                  <c:v>80398.399723958515</c:v>
                </c:pt>
                <c:pt idx="14">
                  <c:v>87284.907649143614</c:v>
                </c:pt>
                <c:pt idx="15">
                  <c:v>93813.487108830115</c:v>
                </c:pt>
                <c:pt idx="16">
                  <c:v>99860.634079841475</c:v>
                </c:pt>
                <c:pt idx="17">
                  <c:v>106447.36469153936</c:v>
                </c:pt>
                <c:pt idx="18">
                  <c:v>111799.63568887529</c:v>
                </c:pt>
                <c:pt idx="19">
                  <c:v>119823.61286976824</c:v>
                </c:pt>
                <c:pt idx="20">
                  <c:v>86972.59561429685</c:v>
                </c:pt>
                <c:pt idx="21">
                  <c:v>131163.41167535409</c:v>
                </c:pt>
                <c:pt idx="22">
                  <c:v>138954.58712184307</c:v>
                </c:pt>
                <c:pt idx="23">
                  <c:v>147809.09817644145</c:v>
                </c:pt>
                <c:pt idx="24">
                  <c:v>158191.58449354485</c:v>
                </c:pt>
                <c:pt idx="25">
                  <c:v>158570.81490624486</c:v>
                </c:pt>
                <c:pt idx="26">
                  <c:v>172725.60891033889</c:v>
                </c:pt>
                <c:pt idx="27">
                  <c:v>168706.50141887687</c:v>
                </c:pt>
                <c:pt idx="28">
                  <c:v>183738.33417967768</c:v>
                </c:pt>
                <c:pt idx="29">
                  <c:v>188438.05457202112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3DB-43E1-8F89-EA69E4018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980688"/>
        <c:axId val="1865978768"/>
      </c:lineChart>
      <c:catAx>
        <c:axId val="186598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</a:t>
                </a:r>
                <a:r>
                  <a:rPr lang="it-IT" baseline="0"/>
                  <a:t> (N)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5978768"/>
        <c:crosses val="autoZero"/>
        <c:auto val="1"/>
        <c:lblAlgn val="ctr"/>
        <c:lblOffset val="100"/>
        <c:noMultiLvlLbl val="0"/>
      </c:catAx>
      <c:valAx>
        <c:axId val="1865978768"/>
        <c:scaling>
          <c:orientation val="minMax"/>
          <c:max val="8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 in nanosecondi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598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MS</a:t>
            </a:r>
            <a:r>
              <a:rPr lang="it-IT" baseline="0"/>
              <a:t> vs QS CASO PESSIMO e OTTIMO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'TNS MergeSort VS QuickSort'!$B$1</c:f>
              <c:strCache>
                <c:ptCount val="1"/>
                <c:pt idx="0">
                  <c:v>c*n^2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'TNS MergeSort VS QuickSort'!$A$2:$A$31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'TNS MergeSort VS QuickSort'!$B$2:$B$31</c:f>
              <c:numCache>
                <c:formatCode>General</c:formatCode>
                <c:ptCount val="30"/>
                <c:pt idx="0">
                  <c:v>32750</c:v>
                </c:pt>
                <c:pt idx="1">
                  <c:v>131000</c:v>
                </c:pt>
                <c:pt idx="2">
                  <c:v>294750</c:v>
                </c:pt>
                <c:pt idx="3">
                  <c:v>524000</c:v>
                </c:pt>
                <c:pt idx="4">
                  <c:v>818750</c:v>
                </c:pt>
                <c:pt idx="5">
                  <c:v>1179000</c:v>
                </c:pt>
                <c:pt idx="6">
                  <c:v>1604750</c:v>
                </c:pt>
                <c:pt idx="7">
                  <c:v>2096000</c:v>
                </c:pt>
                <c:pt idx="8">
                  <c:v>2652750</c:v>
                </c:pt>
                <c:pt idx="9">
                  <c:v>3275000</c:v>
                </c:pt>
                <c:pt idx="10">
                  <c:v>3962750</c:v>
                </c:pt>
                <c:pt idx="11">
                  <c:v>4716000</c:v>
                </c:pt>
                <c:pt idx="12">
                  <c:v>5534750</c:v>
                </c:pt>
                <c:pt idx="13">
                  <c:v>6419000</c:v>
                </c:pt>
                <c:pt idx="14">
                  <c:v>7368750</c:v>
                </c:pt>
                <c:pt idx="15">
                  <c:v>8384000</c:v>
                </c:pt>
                <c:pt idx="16">
                  <c:v>9464750</c:v>
                </c:pt>
                <c:pt idx="17">
                  <c:v>10611000</c:v>
                </c:pt>
                <c:pt idx="18">
                  <c:v>11822750</c:v>
                </c:pt>
                <c:pt idx="19">
                  <c:v>13100000</c:v>
                </c:pt>
                <c:pt idx="20">
                  <c:v>14442750</c:v>
                </c:pt>
                <c:pt idx="21">
                  <c:v>15851000</c:v>
                </c:pt>
                <c:pt idx="22">
                  <c:v>17324750</c:v>
                </c:pt>
                <c:pt idx="23">
                  <c:v>18864000</c:v>
                </c:pt>
                <c:pt idx="24">
                  <c:v>20468750</c:v>
                </c:pt>
                <c:pt idx="25">
                  <c:v>22139000</c:v>
                </c:pt>
                <c:pt idx="26">
                  <c:v>23874750</c:v>
                </c:pt>
                <c:pt idx="27">
                  <c:v>25676000</c:v>
                </c:pt>
                <c:pt idx="28">
                  <c:v>27542750</c:v>
                </c:pt>
                <c:pt idx="29">
                  <c:v>29475000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E8-40B2-8A88-2880A7F5B998}"/>
            </c:ext>
          </c:extLst>
        </c:ser>
        <c:ser>
          <c:idx val="1"/>
          <c:order val="1"/>
          <c:tx>
            <c:strRef>
              <c:f>'TNS MergeSort VS QuickSort'!$C$1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'TNS MergeSort VS QuickSort'!$A$2:$A$31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'TNS MergeSort VS QuickSort'!$C$2:$C$31</c:f>
              <c:numCache>
                <c:formatCode>General</c:formatCode>
                <c:ptCount val="30"/>
                <c:pt idx="0">
                  <c:v>3696.7258043024444</c:v>
                </c:pt>
                <c:pt idx="1">
                  <c:v>8703.4516086048898</c:v>
                </c:pt>
                <c:pt idx="2">
                  <c:v>14204.628726824405</c:v>
                </c:pt>
                <c:pt idx="3">
                  <c:v>20026.90321720978</c:v>
                </c:pt>
                <c:pt idx="4">
                  <c:v>26087.943532268335</c:v>
                </c:pt>
                <c:pt idx="5">
                  <c:v>32339.257453648814</c:v>
                </c:pt>
                <c:pt idx="6">
                  <c:v>38748.802947751232</c:v>
                </c:pt>
                <c:pt idx="7">
                  <c:v>45293.806434419559</c:v>
                </c:pt>
                <c:pt idx="8">
                  <c:v>51957.240122224437</c:v>
                </c:pt>
                <c:pt idx="9">
                  <c:v>58725.88706453667</c:v>
                </c:pt>
                <c:pt idx="10">
                  <c:v>65589.188659608611</c:v>
                </c:pt>
                <c:pt idx="11">
                  <c:v>72538.51490729762</c:v>
                </c:pt>
                <c:pt idx="12">
                  <c:v>79566.679655903194</c:v>
                </c:pt>
                <c:pt idx="13">
                  <c:v>86667.605895502464</c:v>
                </c:pt>
                <c:pt idx="14">
                  <c:v>93836.087166390367</c:v>
                </c:pt>
                <c:pt idx="15">
                  <c:v>101067.61286883912</c:v>
                </c:pt>
                <c:pt idx="16">
                  <c:v>108358.23741046409</c:v>
                </c:pt>
                <c:pt idx="17">
                  <c:v>115704.48024444887</c:v>
                </c:pt>
                <c:pt idx="18">
                  <c:v>123103.24818655188</c:v>
                </c:pt>
                <c:pt idx="19">
                  <c:v>130551.77412907334</c:v>
                </c:pt>
                <c:pt idx="20">
                  <c:v>138047.56804067318</c:v>
                </c:pt>
                <c:pt idx="21">
                  <c:v>145588.37731921722</c:v>
                </c:pt>
                <c:pt idx="22">
                  <c:v>153172.15436695516</c:v>
                </c:pt>
                <c:pt idx="23">
                  <c:v>160797.02981459524</c:v>
                </c:pt>
                <c:pt idx="24">
                  <c:v>168461.29021512222</c:v>
                </c:pt>
                <c:pt idx="25">
                  <c:v>176163.35931180639</c:v>
                </c:pt>
                <c:pt idx="26">
                  <c:v>183901.78219192696</c:v>
                </c:pt>
                <c:pt idx="27">
                  <c:v>191675.21179100493</c:v>
                </c:pt>
                <c:pt idx="28">
                  <c:v>199482.39732721917</c:v>
                </c:pt>
                <c:pt idx="29">
                  <c:v>207322.17433278073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E8-40B2-8A88-2880A7F5B998}"/>
            </c:ext>
          </c:extLst>
        </c:ser>
        <c:ser>
          <c:idx val="2"/>
          <c:order val="2"/>
          <c:tx>
            <c:v>OttimoMS</c:v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Min!$G$2:$G$31</c:f>
              <c:numCache>
                <c:formatCode>General</c:formatCode>
                <c:ptCount val="30"/>
                <c:pt idx="0">
                  <c:v>29100</c:v>
                </c:pt>
                <c:pt idx="1">
                  <c:v>30600</c:v>
                </c:pt>
                <c:pt idx="2">
                  <c:v>43900</c:v>
                </c:pt>
                <c:pt idx="3">
                  <c:v>61100</c:v>
                </c:pt>
                <c:pt idx="4">
                  <c:v>78600</c:v>
                </c:pt>
                <c:pt idx="5">
                  <c:v>97600</c:v>
                </c:pt>
                <c:pt idx="6">
                  <c:v>113800</c:v>
                </c:pt>
                <c:pt idx="7">
                  <c:v>131700</c:v>
                </c:pt>
                <c:pt idx="8">
                  <c:v>148400</c:v>
                </c:pt>
                <c:pt idx="9">
                  <c:v>168600</c:v>
                </c:pt>
                <c:pt idx="10">
                  <c:v>187700</c:v>
                </c:pt>
                <c:pt idx="11">
                  <c:v>206500</c:v>
                </c:pt>
                <c:pt idx="12">
                  <c:v>224200</c:v>
                </c:pt>
                <c:pt idx="13">
                  <c:v>244400</c:v>
                </c:pt>
                <c:pt idx="14">
                  <c:v>266300</c:v>
                </c:pt>
                <c:pt idx="15">
                  <c:v>286800</c:v>
                </c:pt>
                <c:pt idx="16">
                  <c:v>306500</c:v>
                </c:pt>
                <c:pt idx="17">
                  <c:v>322400</c:v>
                </c:pt>
                <c:pt idx="18">
                  <c:v>345100</c:v>
                </c:pt>
                <c:pt idx="19">
                  <c:v>365600</c:v>
                </c:pt>
                <c:pt idx="20">
                  <c:v>384900</c:v>
                </c:pt>
                <c:pt idx="21">
                  <c:v>408800</c:v>
                </c:pt>
                <c:pt idx="22">
                  <c:v>429800</c:v>
                </c:pt>
                <c:pt idx="23">
                  <c:v>450300</c:v>
                </c:pt>
                <c:pt idx="24">
                  <c:v>467100</c:v>
                </c:pt>
                <c:pt idx="25">
                  <c:v>486400</c:v>
                </c:pt>
                <c:pt idx="26">
                  <c:v>513300</c:v>
                </c:pt>
                <c:pt idx="27">
                  <c:v>534400</c:v>
                </c:pt>
                <c:pt idx="28">
                  <c:v>556800</c:v>
                </c:pt>
                <c:pt idx="29">
                  <c:v>574300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E8-40B2-8A88-2880A7F5B998}"/>
            </c:ext>
          </c:extLst>
        </c:ser>
        <c:ser>
          <c:idx val="4"/>
          <c:order val="3"/>
          <c:tx>
            <c:v>PessimoMS</c:v>
          </c:tx>
          <c:spPr>
            <a:ln w="34925" cap="rnd">
              <a:solidFill>
                <a:srgbClr val="FF0000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square"/>
              <c:size val="5"/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5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FF0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E8-40B2-8A88-2880A7F5B998}"/>
              </c:ext>
            </c:extLst>
          </c:dPt>
          <c:val>
            <c:numRef>
              <c:f>Max!$G$2:$G$31</c:f>
              <c:numCache>
                <c:formatCode>General</c:formatCode>
                <c:ptCount val="30"/>
                <c:pt idx="0">
                  <c:v>462800</c:v>
                </c:pt>
                <c:pt idx="1">
                  <c:v>73300</c:v>
                </c:pt>
                <c:pt idx="2">
                  <c:v>107800</c:v>
                </c:pt>
                <c:pt idx="3">
                  <c:v>149900</c:v>
                </c:pt>
                <c:pt idx="4">
                  <c:v>160300</c:v>
                </c:pt>
                <c:pt idx="5">
                  <c:v>220300</c:v>
                </c:pt>
                <c:pt idx="6">
                  <c:v>350700</c:v>
                </c:pt>
                <c:pt idx="7">
                  <c:v>271400</c:v>
                </c:pt>
                <c:pt idx="8">
                  <c:v>271300</c:v>
                </c:pt>
                <c:pt idx="9">
                  <c:v>303900</c:v>
                </c:pt>
                <c:pt idx="10">
                  <c:v>1689100</c:v>
                </c:pt>
                <c:pt idx="11">
                  <c:v>327100</c:v>
                </c:pt>
                <c:pt idx="12">
                  <c:v>337700</c:v>
                </c:pt>
                <c:pt idx="13">
                  <c:v>352300</c:v>
                </c:pt>
                <c:pt idx="14">
                  <c:v>414800</c:v>
                </c:pt>
                <c:pt idx="15">
                  <c:v>1582400</c:v>
                </c:pt>
                <c:pt idx="16">
                  <c:v>835300</c:v>
                </c:pt>
                <c:pt idx="17">
                  <c:v>520500</c:v>
                </c:pt>
                <c:pt idx="18">
                  <c:v>470600</c:v>
                </c:pt>
                <c:pt idx="19">
                  <c:v>612100</c:v>
                </c:pt>
                <c:pt idx="20">
                  <c:v>822400</c:v>
                </c:pt>
                <c:pt idx="21">
                  <c:v>611000</c:v>
                </c:pt>
                <c:pt idx="22">
                  <c:v>674300</c:v>
                </c:pt>
                <c:pt idx="23">
                  <c:v>730300</c:v>
                </c:pt>
                <c:pt idx="24">
                  <c:v>2094700</c:v>
                </c:pt>
                <c:pt idx="25">
                  <c:v>1609100</c:v>
                </c:pt>
                <c:pt idx="26">
                  <c:v>1711600</c:v>
                </c:pt>
                <c:pt idx="27">
                  <c:v>2656600</c:v>
                </c:pt>
                <c:pt idx="28">
                  <c:v>730900</c:v>
                </c:pt>
                <c:pt idx="29">
                  <c:v>1773300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E8-40B2-8A88-2880A7F5B998}"/>
            </c:ext>
          </c:extLst>
        </c:ser>
        <c:ser>
          <c:idx val="5"/>
          <c:order val="4"/>
          <c:tx>
            <c:v>OttimoQS</c:v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Min!$I$2:$I$31</c:f>
              <c:numCache>
                <c:formatCode>General</c:formatCode>
                <c:ptCount val="30"/>
                <c:pt idx="0">
                  <c:v>10800</c:v>
                </c:pt>
                <c:pt idx="1">
                  <c:v>9000</c:v>
                </c:pt>
                <c:pt idx="2">
                  <c:v>13500</c:v>
                </c:pt>
                <c:pt idx="3">
                  <c:v>19000</c:v>
                </c:pt>
                <c:pt idx="4">
                  <c:v>24000</c:v>
                </c:pt>
                <c:pt idx="5">
                  <c:v>30600</c:v>
                </c:pt>
                <c:pt idx="6">
                  <c:v>36000</c:v>
                </c:pt>
                <c:pt idx="7">
                  <c:v>42400</c:v>
                </c:pt>
                <c:pt idx="8">
                  <c:v>47200</c:v>
                </c:pt>
                <c:pt idx="9">
                  <c:v>54300</c:v>
                </c:pt>
                <c:pt idx="10">
                  <c:v>59800</c:v>
                </c:pt>
                <c:pt idx="11">
                  <c:v>67100</c:v>
                </c:pt>
                <c:pt idx="12">
                  <c:v>73700</c:v>
                </c:pt>
                <c:pt idx="13">
                  <c:v>79800</c:v>
                </c:pt>
                <c:pt idx="14">
                  <c:v>87300</c:v>
                </c:pt>
                <c:pt idx="15">
                  <c:v>94700</c:v>
                </c:pt>
                <c:pt idx="16">
                  <c:v>101600</c:v>
                </c:pt>
                <c:pt idx="17">
                  <c:v>107400</c:v>
                </c:pt>
                <c:pt idx="18">
                  <c:v>114700</c:v>
                </c:pt>
                <c:pt idx="19">
                  <c:v>122400</c:v>
                </c:pt>
                <c:pt idx="20">
                  <c:v>128600</c:v>
                </c:pt>
                <c:pt idx="21">
                  <c:v>135800</c:v>
                </c:pt>
                <c:pt idx="22">
                  <c:v>139800</c:v>
                </c:pt>
                <c:pt idx="23">
                  <c:v>149800</c:v>
                </c:pt>
                <c:pt idx="24">
                  <c:v>157500</c:v>
                </c:pt>
                <c:pt idx="25">
                  <c:v>167300</c:v>
                </c:pt>
                <c:pt idx="26">
                  <c:v>174000</c:v>
                </c:pt>
                <c:pt idx="27">
                  <c:v>179600</c:v>
                </c:pt>
                <c:pt idx="28">
                  <c:v>189300</c:v>
                </c:pt>
                <c:pt idx="29">
                  <c:v>193000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DE8-40B2-8A88-2880A7F5B998}"/>
            </c:ext>
          </c:extLst>
        </c:ser>
        <c:ser>
          <c:idx val="7"/>
          <c:order val="5"/>
          <c:tx>
            <c:v>PessimoQS</c:v>
          </c:tx>
          <c:spPr>
            <a:ln w="34925" cap="rnd">
              <a:solidFill>
                <a:srgbClr val="C00000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Max!$I$2:$I$31</c:f>
              <c:numCache>
                <c:formatCode>General</c:formatCode>
                <c:ptCount val="30"/>
                <c:pt idx="0">
                  <c:v>201200</c:v>
                </c:pt>
                <c:pt idx="1">
                  <c:v>74700</c:v>
                </c:pt>
                <c:pt idx="2">
                  <c:v>46700</c:v>
                </c:pt>
                <c:pt idx="3">
                  <c:v>33800</c:v>
                </c:pt>
                <c:pt idx="4">
                  <c:v>56600</c:v>
                </c:pt>
                <c:pt idx="5">
                  <c:v>51800</c:v>
                </c:pt>
                <c:pt idx="6">
                  <c:v>63600</c:v>
                </c:pt>
                <c:pt idx="7">
                  <c:v>71800</c:v>
                </c:pt>
                <c:pt idx="8">
                  <c:v>69900</c:v>
                </c:pt>
                <c:pt idx="9">
                  <c:v>104200</c:v>
                </c:pt>
                <c:pt idx="10">
                  <c:v>174500</c:v>
                </c:pt>
                <c:pt idx="11">
                  <c:v>107000</c:v>
                </c:pt>
                <c:pt idx="12">
                  <c:v>106400</c:v>
                </c:pt>
                <c:pt idx="13">
                  <c:v>119000</c:v>
                </c:pt>
                <c:pt idx="14">
                  <c:v>129300</c:v>
                </c:pt>
                <c:pt idx="15">
                  <c:v>133100</c:v>
                </c:pt>
                <c:pt idx="16">
                  <c:v>151800</c:v>
                </c:pt>
                <c:pt idx="17">
                  <c:v>176400</c:v>
                </c:pt>
                <c:pt idx="18">
                  <c:v>207900</c:v>
                </c:pt>
                <c:pt idx="19">
                  <c:v>203800</c:v>
                </c:pt>
                <c:pt idx="20">
                  <c:v>691300</c:v>
                </c:pt>
                <c:pt idx="21">
                  <c:v>231000</c:v>
                </c:pt>
                <c:pt idx="22">
                  <c:v>235900</c:v>
                </c:pt>
                <c:pt idx="23">
                  <c:v>232200</c:v>
                </c:pt>
                <c:pt idx="24">
                  <c:v>240700</c:v>
                </c:pt>
                <c:pt idx="25">
                  <c:v>347600</c:v>
                </c:pt>
                <c:pt idx="26">
                  <c:v>228100</c:v>
                </c:pt>
                <c:pt idx="27">
                  <c:v>404600</c:v>
                </c:pt>
                <c:pt idx="28">
                  <c:v>272400</c:v>
                </c:pt>
                <c:pt idx="29">
                  <c:v>359800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DE8-40B2-8A88-2880A7F5B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980688"/>
        <c:axId val="1865978768"/>
      </c:lineChart>
      <c:catAx>
        <c:axId val="186598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</a:t>
                </a:r>
                <a:r>
                  <a:rPr lang="it-IT" baseline="0"/>
                  <a:t> (N)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5978768"/>
        <c:crosses val="autoZero"/>
        <c:auto val="1"/>
        <c:lblAlgn val="ctr"/>
        <c:lblOffset val="100"/>
        <c:noMultiLvlLbl val="0"/>
      </c:catAx>
      <c:valAx>
        <c:axId val="1865978768"/>
        <c:scaling>
          <c:orientation val="minMax"/>
          <c:max val="2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 in nanosecondi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598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 baseline="0"/>
              <a:t>QS vs QSR CASO 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'TNS MergeSort VS QuickSort'!$B$1</c:f>
              <c:strCache>
                <c:ptCount val="1"/>
                <c:pt idx="0">
                  <c:v>c*n^2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'TNS MergeSort VS QuickSort'!$A$2:$A$31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'TNS MergeSort VS QuickSort'!$B$2:$B$31</c:f>
              <c:numCache>
                <c:formatCode>General</c:formatCode>
                <c:ptCount val="30"/>
                <c:pt idx="0">
                  <c:v>32750</c:v>
                </c:pt>
                <c:pt idx="1">
                  <c:v>131000</c:v>
                </c:pt>
                <c:pt idx="2">
                  <c:v>294750</c:v>
                </c:pt>
                <c:pt idx="3">
                  <c:v>524000</c:v>
                </c:pt>
                <c:pt idx="4">
                  <c:v>818750</c:v>
                </c:pt>
                <c:pt idx="5">
                  <c:v>1179000</c:v>
                </c:pt>
                <c:pt idx="6">
                  <c:v>1604750</c:v>
                </c:pt>
                <c:pt idx="7">
                  <c:v>2096000</c:v>
                </c:pt>
                <c:pt idx="8">
                  <c:v>2652750</c:v>
                </c:pt>
                <c:pt idx="9">
                  <c:v>3275000</c:v>
                </c:pt>
                <c:pt idx="10">
                  <c:v>3962750</c:v>
                </c:pt>
                <c:pt idx="11">
                  <c:v>4716000</c:v>
                </c:pt>
                <c:pt idx="12">
                  <c:v>5534750</c:v>
                </c:pt>
                <c:pt idx="13">
                  <c:v>6419000</c:v>
                </c:pt>
                <c:pt idx="14">
                  <c:v>7368750</c:v>
                </c:pt>
                <c:pt idx="15">
                  <c:v>8384000</c:v>
                </c:pt>
                <c:pt idx="16">
                  <c:v>9464750</c:v>
                </c:pt>
                <c:pt idx="17">
                  <c:v>10611000</c:v>
                </c:pt>
                <c:pt idx="18">
                  <c:v>11822750</c:v>
                </c:pt>
                <c:pt idx="19">
                  <c:v>13100000</c:v>
                </c:pt>
                <c:pt idx="20">
                  <c:v>14442750</c:v>
                </c:pt>
                <c:pt idx="21">
                  <c:v>15851000</c:v>
                </c:pt>
                <c:pt idx="22">
                  <c:v>17324750</c:v>
                </c:pt>
                <c:pt idx="23">
                  <c:v>18864000</c:v>
                </c:pt>
                <c:pt idx="24">
                  <c:v>20468750</c:v>
                </c:pt>
                <c:pt idx="25">
                  <c:v>22139000</c:v>
                </c:pt>
                <c:pt idx="26">
                  <c:v>23874750</c:v>
                </c:pt>
                <c:pt idx="27">
                  <c:v>25676000</c:v>
                </c:pt>
                <c:pt idx="28">
                  <c:v>27542750</c:v>
                </c:pt>
                <c:pt idx="29">
                  <c:v>29475000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00-4167-B6AF-886DBC947481}"/>
            </c:ext>
          </c:extLst>
        </c:ser>
        <c:ser>
          <c:idx val="1"/>
          <c:order val="1"/>
          <c:tx>
            <c:strRef>
              <c:f>'TNS MergeSort VS QuickSort'!$C$1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'TNS MergeSort VS QuickSort'!$A$2:$A$31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'TNS MergeSort VS QuickSort'!$C$2:$C$31</c:f>
              <c:numCache>
                <c:formatCode>General</c:formatCode>
                <c:ptCount val="30"/>
                <c:pt idx="0">
                  <c:v>3696.7258043024444</c:v>
                </c:pt>
                <c:pt idx="1">
                  <c:v>8703.4516086048898</c:v>
                </c:pt>
                <c:pt idx="2">
                  <c:v>14204.628726824405</c:v>
                </c:pt>
                <c:pt idx="3">
                  <c:v>20026.90321720978</c:v>
                </c:pt>
                <c:pt idx="4">
                  <c:v>26087.943532268335</c:v>
                </c:pt>
                <c:pt idx="5">
                  <c:v>32339.257453648814</c:v>
                </c:pt>
                <c:pt idx="6">
                  <c:v>38748.802947751232</c:v>
                </c:pt>
                <c:pt idx="7">
                  <c:v>45293.806434419559</c:v>
                </c:pt>
                <c:pt idx="8">
                  <c:v>51957.240122224437</c:v>
                </c:pt>
                <c:pt idx="9">
                  <c:v>58725.88706453667</c:v>
                </c:pt>
                <c:pt idx="10">
                  <c:v>65589.188659608611</c:v>
                </c:pt>
                <c:pt idx="11">
                  <c:v>72538.51490729762</c:v>
                </c:pt>
                <c:pt idx="12">
                  <c:v>79566.679655903194</c:v>
                </c:pt>
                <c:pt idx="13">
                  <c:v>86667.605895502464</c:v>
                </c:pt>
                <c:pt idx="14">
                  <c:v>93836.087166390367</c:v>
                </c:pt>
                <c:pt idx="15">
                  <c:v>101067.61286883912</c:v>
                </c:pt>
                <c:pt idx="16">
                  <c:v>108358.23741046409</c:v>
                </c:pt>
                <c:pt idx="17">
                  <c:v>115704.48024444887</c:v>
                </c:pt>
                <c:pt idx="18">
                  <c:v>123103.24818655188</c:v>
                </c:pt>
                <c:pt idx="19">
                  <c:v>130551.77412907334</c:v>
                </c:pt>
                <c:pt idx="20">
                  <c:v>138047.56804067318</c:v>
                </c:pt>
                <c:pt idx="21">
                  <c:v>145588.37731921722</c:v>
                </c:pt>
                <c:pt idx="22">
                  <c:v>153172.15436695516</c:v>
                </c:pt>
                <c:pt idx="23">
                  <c:v>160797.02981459524</c:v>
                </c:pt>
                <c:pt idx="24">
                  <c:v>168461.29021512222</c:v>
                </c:pt>
                <c:pt idx="25">
                  <c:v>176163.35931180639</c:v>
                </c:pt>
                <c:pt idx="26">
                  <c:v>183901.78219192696</c:v>
                </c:pt>
                <c:pt idx="27">
                  <c:v>191675.21179100493</c:v>
                </c:pt>
                <c:pt idx="28">
                  <c:v>199482.39732721917</c:v>
                </c:pt>
                <c:pt idx="29">
                  <c:v>207322.17433278073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00-4167-B6AF-886DBC947481}"/>
            </c:ext>
          </c:extLst>
        </c:ser>
        <c:ser>
          <c:idx val="2"/>
          <c:order val="2"/>
          <c:tx>
            <c:v>MedioQSR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Media!$K$2:$K$31</c:f>
              <c:numCache>
                <c:formatCode>General</c:formatCode>
                <c:ptCount val="30"/>
                <c:pt idx="0">
                  <c:v>40119.191919191922</c:v>
                </c:pt>
                <c:pt idx="1">
                  <c:v>16797.802197802197</c:v>
                </c:pt>
                <c:pt idx="2">
                  <c:v>21233</c:v>
                </c:pt>
                <c:pt idx="3">
                  <c:v>29862</c:v>
                </c:pt>
                <c:pt idx="4">
                  <c:v>34475</c:v>
                </c:pt>
                <c:pt idx="5">
                  <c:v>39301</c:v>
                </c:pt>
                <c:pt idx="6">
                  <c:v>46944</c:v>
                </c:pt>
                <c:pt idx="7">
                  <c:v>54477</c:v>
                </c:pt>
                <c:pt idx="8">
                  <c:v>60089</c:v>
                </c:pt>
                <c:pt idx="9">
                  <c:v>69183</c:v>
                </c:pt>
                <c:pt idx="10">
                  <c:v>74594</c:v>
                </c:pt>
                <c:pt idx="11">
                  <c:v>80775</c:v>
                </c:pt>
                <c:pt idx="12">
                  <c:v>87170</c:v>
                </c:pt>
                <c:pt idx="13">
                  <c:v>96433</c:v>
                </c:pt>
                <c:pt idx="14">
                  <c:v>104792</c:v>
                </c:pt>
                <c:pt idx="15">
                  <c:v>111928</c:v>
                </c:pt>
                <c:pt idx="16">
                  <c:v>119764</c:v>
                </c:pt>
                <c:pt idx="17">
                  <c:v>128130</c:v>
                </c:pt>
                <c:pt idx="18">
                  <c:v>135441</c:v>
                </c:pt>
                <c:pt idx="19">
                  <c:v>145354</c:v>
                </c:pt>
                <c:pt idx="20">
                  <c:v>151992</c:v>
                </c:pt>
                <c:pt idx="21">
                  <c:v>162047</c:v>
                </c:pt>
                <c:pt idx="22">
                  <c:v>168810</c:v>
                </c:pt>
                <c:pt idx="23">
                  <c:v>178022</c:v>
                </c:pt>
                <c:pt idx="24">
                  <c:v>187716</c:v>
                </c:pt>
                <c:pt idx="25">
                  <c:v>195038</c:v>
                </c:pt>
                <c:pt idx="26">
                  <c:v>202094</c:v>
                </c:pt>
                <c:pt idx="27">
                  <c:v>210774</c:v>
                </c:pt>
                <c:pt idx="28">
                  <c:v>221905</c:v>
                </c:pt>
                <c:pt idx="29">
                  <c:v>229732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00-4167-B6AF-886DBC947481}"/>
            </c:ext>
          </c:extLst>
        </c:ser>
        <c:ser>
          <c:idx val="3"/>
          <c:order val="3"/>
          <c:tx>
            <c:v>Media+DevStdQSR</c:v>
          </c:tx>
          <c:spPr>
            <a:ln w="34925" cap="rnd">
              <a:solidFill>
                <a:schemeClr val="accent6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'Media+DevStd'!$K$2:$K$31</c:f>
              <c:numCache>
                <c:formatCode>General</c:formatCode>
                <c:ptCount val="30"/>
                <c:pt idx="0">
                  <c:v>87535.850657139235</c:v>
                </c:pt>
                <c:pt idx="1">
                  <c:v>25193.55480150973</c:v>
                </c:pt>
                <c:pt idx="2">
                  <c:v>24497.936307328077</c:v>
                </c:pt>
                <c:pt idx="3">
                  <c:v>37526.080986898385</c:v>
                </c:pt>
                <c:pt idx="4">
                  <c:v>39036.529404163753</c:v>
                </c:pt>
                <c:pt idx="5">
                  <c:v>44507.59052053115</c:v>
                </c:pt>
                <c:pt idx="6">
                  <c:v>53888.954130790778</c:v>
                </c:pt>
                <c:pt idx="7">
                  <c:v>60785.817862982163</c:v>
                </c:pt>
                <c:pt idx="8">
                  <c:v>66657.841279676024</c:v>
                </c:pt>
                <c:pt idx="9">
                  <c:v>77382.643438909552</c:v>
                </c:pt>
                <c:pt idx="10">
                  <c:v>80812.83453955024</c:v>
                </c:pt>
                <c:pt idx="11">
                  <c:v>87804.467198224142</c:v>
                </c:pt>
                <c:pt idx="12">
                  <c:v>90138.878984438808</c:v>
                </c:pt>
                <c:pt idx="13">
                  <c:v>105025.56261677692</c:v>
                </c:pt>
                <c:pt idx="14">
                  <c:v>114850.88400742087</c:v>
                </c:pt>
                <c:pt idx="15">
                  <c:v>120908.02362148475</c:v>
                </c:pt>
                <c:pt idx="16">
                  <c:v>128867.01892425549</c:v>
                </c:pt>
                <c:pt idx="17">
                  <c:v>139311.74468235677</c:v>
                </c:pt>
                <c:pt idx="18">
                  <c:v>144452.43039576834</c:v>
                </c:pt>
                <c:pt idx="19">
                  <c:v>158107.47779860834</c:v>
                </c:pt>
                <c:pt idx="20">
                  <c:v>162609.70657577674</c:v>
                </c:pt>
                <c:pt idx="21">
                  <c:v>178809.92478879349</c:v>
                </c:pt>
                <c:pt idx="22">
                  <c:v>178443.53255534798</c:v>
                </c:pt>
                <c:pt idx="23">
                  <c:v>195687.89237868704</c:v>
                </c:pt>
                <c:pt idx="24">
                  <c:v>204489.77534706899</c:v>
                </c:pt>
                <c:pt idx="25">
                  <c:v>219304.8946875734</c:v>
                </c:pt>
                <c:pt idx="26">
                  <c:v>216499.86875358285</c:v>
                </c:pt>
                <c:pt idx="27">
                  <c:v>222449.16244776998</c:v>
                </c:pt>
                <c:pt idx="28">
                  <c:v>239253.37561167145</c:v>
                </c:pt>
                <c:pt idx="29">
                  <c:v>250128.61231526927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00-4167-B6AF-886DBC947481}"/>
            </c:ext>
          </c:extLst>
        </c:ser>
        <c:ser>
          <c:idx val="4"/>
          <c:order val="4"/>
          <c:tx>
            <c:v>Media-DevStdQSR</c:v>
          </c:tx>
          <c:spPr>
            <a:ln w="34925" cap="rnd">
              <a:solidFill>
                <a:schemeClr val="accent6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'Media-DevStd'!$K$2:$K$31</c:f>
              <c:numCache>
                <c:formatCode>General</c:formatCode>
                <c:ptCount val="30"/>
                <c:pt idx="0">
                  <c:v>-7297.4668187553834</c:v>
                </c:pt>
                <c:pt idx="1">
                  <c:v>8402.0495940946657</c:v>
                </c:pt>
                <c:pt idx="2">
                  <c:v>17968.063692671923</c:v>
                </c:pt>
                <c:pt idx="3">
                  <c:v>22197.919013101611</c:v>
                </c:pt>
                <c:pt idx="4">
                  <c:v>29913.47059583625</c:v>
                </c:pt>
                <c:pt idx="5">
                  <c:v>34094.40947946885</c:v>
                </c:pt>
                <c:pt idx="6">
                  <c:v>39999.045869209222</c:v>
                </c:pt>
                <c:pt idx="7">
                  <c:v>48168.182137017837</c:v>
                </c:pt>
                <c:pt idx="8">
                  <c:v>53520.158720323976</c:v>
                </c:pt>
                <c:pt idx="9">
                  <c:v>60983.356561090448</c:v>
                </c:pt>
                <c:pt idx="10">
                  <c:v>68375.16546044976</c:v>
                </c:pt>
                <c:pt idx="11">
                  <c:v>73745.532801775858</c:v>
                </c:pt>
                <c:pt idx="12">
                  <c:v>84201.121015561192</c:v>
                </c:pt>
                <c:pt idx="13">
                  <c:v>87840.437383223078</c:v>
                </c:pt>
                <c:pt idx="14">
                  <c:v>94733.115992579129</c:v>
                </c:pt>
                <c:pt idx="15">
                  <c:v>102947.97637851525</c:v>
                </c:pt>
                <c:pt idx="16">
                  <c:v>110660.98107574451</c:v>
                </c:pt>
                <c:pt idx="17">
                  <c:v>116948.25531764323</c:v>
                </c:pt>
                <c:pt idx="18">
                  <c:v>126429.56960423164</c:v>
                </c:pt>
                <c:pt idx="19">
                  <c:v>132600.52220139166</c:v>
                </c:pt>
                <c:pt idx="20">
                  <c:v>141374.29342422326</c:v>
                </c:pt>
                <c:pt idx="21">
                  <c:v>145284.07521120651</c:v>
                </c:pt>
                <c:pt idx="22">
                  <c:v>159176.46744465202</c:v>
                </c:pt>
                <c:pt idx="23">
                  <c:v>160356.10762131296</c:v>
                </c:pt>
                <c:pt idx="24">
                  <c:v>170942.22465293101</c:v>
                </c:pt>
                <c:pt idx="25">
                  <c:v>170771.1053124266</c:v>
                </c:pt>
                <c:pt idx="26">
                  <c:v>187688.13124641715</c:v>
                </c:pt>
                <c:pt idx="27">
                  <c:v>199098.83755223002</c:v>
                </c:pt>
                <c:pt idx="28">
                  <c:v>204556.62438832855</c:v>
                </c:pt>
                <c:pt idx="29">
                  <c:v>209335.38768473073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00-4167-B6AF-886DBC947481}"/>
            </c:ext>
          </c:extLst>
        </c:ser>
        <c:ser>
          <c:idx val="5"/>
          <c:order val="5"/>
          <c:tx>
            <c:v>MedioQS</c:v>
          </c:tx>
          <c:spPr>
            <a:ln w="34925" cap="rnd">
              <a:solidFill>
                <a:schemeClr val="bg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Media!$I$2:$I$31</c:f>
              <c:numCache>
                <c:formatCode>General</c:formatCode>
                <c:ptCount val="30"/>
                <c:pt idx="0">
                  <c:v>43264.646464646466</c:v>
                </c:pt>
                <c:pt idx="1">
                  <c:v>14030.927835051547</c:v>
                </c:pt>
                <c:pt idx="2">
                  <c:v>17897</c:v>
                </c:pt>
                <c:pt idx="3">
                  <c:v>23260</c:v>
                </c:pt>
                <c:pt idx="4">
                  <c:v>30478</c:v>
                </c:pt>
                <c:pt idx="5">
                  <c:v>34011</c:v>
                </c:pt>
                <c:pt idx="6">
                  <c:v>40453</c:v>
                </c:pt>
                <c:pt idx="7">
                  <c:v>48893</c:v>
                </c:pt>
                <c:pt idx="8">
                  <c:v>53454</c:v>
                </c:pt>
                <c:pt idx="9">
                  <c:v>61132</c:v>
                </c:pt>
                <c:pt idx="10">
                  <c:v>67322</c:v>
                </c:pt>
                <c:pt idx="11">
                  <c:v>72378</c:v>
                </c:pt>
                <c:pt idx="12">
                  <c:v>78740</c:v>
                </c:pt>
                <c:pt idx="13">
                  <c:v>85323</c:v>
                </c:pt>
                <c:pt idx="14">
                  <c:v>93654</c:v>
                </c:pt>
                <c:pt idx="15">
                  <c:v>100486</c:v>
                </c:pt>
                <c:pt idx="16">
                  <c:v>107114</c:v>
                </c:pt>
                <c:pt idx="17">
                  <c:v>115183</c:v>
                </c:pt>
                <c:pt idx="18">
                  <c:v>122667</c:v>
                </c:pt>
                <c:pt idx="19">
                  <c:v>132290</c:v>
                </c:pt>
                <c:pt idx="20">
                  <c:v>143326</c:v>
                </c:pt>
                <c:pt idx="21">
                  <c:v>146161</c:v>
                </c:pt>
                <c:pt idx="22">
                  <c:v>153975</c:v>
                </c:pt>
                <c:pt idx="23">
                  <c:v>161754</c:v>
                </c:pt>
                <c:pt idx="24">
                  <c:v>170590</c:v>
                </c:pt>
                <c:pt idx="25">
                  <c:v>180633</c:v>
                </c:pt>
                <c:pt idx="26">
                  <c:v>183289</c:v>
                </c:pt>
                <c:pt idx="27">
                  <c:v>192565</c:v>
                </c:pt>
                <c:pt idx="28">
                  <c:v>203407</c:v>
                </c:pt>
                <c:pt idx="29">
                  <c:v>207847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00-4167-B6AF-886DBC947481}"/>
            </c:ext>
          </c:extLst>
        </c:ser>
        <c:ser>
          <c:idx val="6"/>
          <c:order val="6"/>
          <c:tx>
            <c:v>Media+DevStdQS</c:v>
          </c:tx>
          <c:spPr>
            <a:ln w="34925" cap="rnd">
              <a:solidFill>
                <a:schemeClr val="bg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'Media+DevStd'!$I$2:$I$31</c:f>
              <c:numCache>
                <c:formatCode>General</c:formatCode>
                <c:ptCount val="30"/>
                <c:pt idx="0">
                  <c:v>84417.991638597887</c:v>
                </c:pt>
                <c:pt idx="1">
                  <c:v>21134.83463613558</c:v>
                </c:pt>
                <c:pt idx="2">
                  <c:v>22000.27425307639</c:v>
                </c:pt>
                <c:pt idx="3">
                  <c:v>26728.327108173755</c:v>
                </c:pt>
                <c:pt idx="4">
                  <c:v>35349.408648658231</c:v>
                </c:pt>
                <c:pt idx="5">
                  <c:v>38040.083536167265</c:v>
                </c:pt>
                <c:pt idx="6">
                  <c:v>45753.818595064142</c:v>
                </c:pt>
                <c:pt idx="7">
                  <c:v>54579.440632830621</c:v>
                </c:pt>
                <c:pt idx="8">
                  <c:v>59348.072009102441</c:v>
                </c:pt>
                <c:pt idx="9">
                  <c:v>69014.506907800023</c:v>
                </c:pt>
                <c:pt idx="10">
                  <c:v>80344.611105304502</c:v>
                </c:pt>
                <c:pt idx="11">
                  <c:v>78937.495853995628</c:v>
                </c:pt>
                <c:pt idx="12">
                  <c:v>83394.985380094004</c:v>
                </c:pt>
                <c:pt idx="13">
                  <c:v>90247.600276041485</c:v>
                </c:pt>
                <c:pt idx="14">
                  <c:v>100023.09235085639</c:v>
                </c:pt>
                <c:pt idx="15">
                  <c:v>107158.51289116988</c:v>
                </c:pt>
                <c:pt idx="16">
                  <c:v>114367.36592015853</c:v>
                </c:pt>
                <c:pt idx="17">
                  <c:v>123918.63530846064</c:v>
                </c:pt>
                <c:pt idx="18">
                  <c:v>133534.36431112472</c:v>
                </c:pt>
                <c:pt idx="19">
                  <c:v>144756.38713023177</c:v>
                </c:pt>
                <c:pt idx="20">
                  <c:v>199679.40438570315</c:v>
                </c:pt>
                <c:pt idx="21">
                  <c:v>161158.58832464591</c:v>
                </c:pt>
                <c:pt idx="22">
                  <c:v>168995.41287815693</c:v>
                </c:pt>
                <c:pt idx="23">
                  <c:v>175698.90182355855</c:v>
                </c:pt>
                <c:pt idx="24">
                  <c:v>182988.41550645515</c:v>
                </c:pt>
                <c:pt idx="25">
                  <c:v>202695.18509375514</c:v>
                </c:pt>
                <c:pt idx="26">
                  <c:v>193852.39108966111</c:v>
                </c:pt>
                <c:pt idx="27">
                  <c:v>216423.49858112313</c:v>
                </c:pt>
                <c:pt idx="28">
                  <c:v>223075.66582032232</c:v>
                </c:pt>
                <c:pt idx="29">
                  <c:v>227255.94542797888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00-4167-B6AF-886DBC947481}"/>
            </c:ext>
          </c:extLst>
        </c:ser>
        <c:ser>
          <c:idx val="7"/>
          <c:order val="7"/>
          <c:tx>
            <c:v>Media-DevStdQS</c:v>
          </c:tx>
          <c:spPr>
            <a:ln w="34925" cap="rnd">
              <a:solidFill>
                <a:schemeClr val="bg1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'Media-DevStd'!$I$2:$I$31</c:f>
              <c:numCache>
                <c:formatCode>General</c:formatCode>
                <c:ptCount val="30"/>
                <c:pt idx="0">
                  <c:v>2111.3012906950535</c:v>
                </c:pt>
                <c:pt idx="1">
                  <c:v>6927.0210339675141</c:v>
                </c:pt>
                <c:pt idx="2">
                  <c:v>13793.72574692361</c:v>
                </c:pt>
                <c:pt idx="3">
                  <c:v>19791.672891826245</c:v>
                </c:pt>
                <c:pt idx="4">
                  <c:v>25606.591351341769</c:v>
                </c:pt>
                <c:pt idx="5">
                  <c:v>29981.916463832731</c:v>
                </c:pt>
                <c:pt idx="6">
                  <c:v>35152.181404935858</c:v>
                </c:pt>
                <c:pt idx="7">
                  <c:v>43206.559367169379</c:v>
                </c:pt>
                <c:pt idx="8">
                  <c:v>47559.927990897559</c:v>
                </c:pt>
                <c:pt idx="9">
                  <c:v>53249.493092199977</c:v>
                </c:pt>
                <c:pt idx="10">
                  <c:v>54299.388894695505</c:v>
                </c:pt>
                <c:pt idx="11">
                  <c:v>65818.504146004372</c:v>
                </c:pt>
                <c:pt idx="12">
                  <c:v>74085.014619905996</c:v>
                </c:pt>
                <c:pt idx="13">
                  <c:v>80398.399723958515</c:v>
                </c:pt>
                <c:pt idx="14">
                  <c:v>87284.907649143614</c:v>
                </c:pt>
                <c:pt idx="15">
                  <c:v>93813.487108830115</c:v>
                </c:pt>
                <c:pt idx="16">
                  <c:v>99860.634079841475</c:v>
                </c:pt>
                <c:pt idx="17">
                  <c:v>106447.36469153936</c:v>
                </c:pt>
                <c:pt idx="18">
                  <c:v>111799.63568887529</c:v>
                </c:pt>
                <c:pt idx="19">
                  <c:v>119823.61286976824</c:v>
                </c:pt>
                <c:pt idx="20">
                  <c:v>86972.59561429685</c:v>
                </c:pt>
                <c:pt idx="21">
                  <c:v>131163.41167535409</c:v>
                </c:pt>
                <c:pt idx="22">
                  <c:v>138954.58712184307</c:v>
                </c:pt>
                <c:pt idx="23">
                  <c:v>147809.09817644145</c:v>
                </c:pt>
                <c:pt idx="24">
                  <c:v>158191.58449354485</c:v>
                </c:pt>
                <c:pt idx="25">
                  <c:v>158570.81490624486</c:v>
                </c:pt>
                <c:pt idx="26">
                  <c:v>172725.60891033889</c:v>
                </c:pt>
                <c:pt idx="27">
                  <c:v>168706.50141887687</c:v>
                </c:pt>
                <c:pt idx="28">
                  <c:v>183738.33417967768</c:v>
                </c:pt>
                <c:pt idx="29">
                  <c:v>188438.05457202112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00-4167-B6AF-886DBC947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980688"/>
        <c:axId val="1865978768"/>
      </c:lineChart>
      <c:catAx>
        <c:axId val="186598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</a:t>
                </a:r>
                <a:r>
                  <a:rPr lang="it-IT" baseline="0"/>
                  <a:t> (N)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5978768"/>
        <c:crosses val="autoZero"/>
        <c:auto val="1"/>
        <c:lblAlgn val="ctr"/>
        <c:lblOffset val="100"/>
        <c:noMultiLvlLbl val="0"/>
      </c:catAx>
      <c:valAx>
        <c:axId val="1865978768"/>
        <c:scaling>
          <c:orientation val="minMax"/>
          <c:max val="3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 in nanosecondi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598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QS</a:t>
            </a:r>
            <a:r>
              <a:rPr lang="it-IT" baseline="0"/>
              <a:t> vs QSR CASO PESSIMO e OTTIMO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'TNS MergeSort VS QuickSort'!$B$1</c:f>
              <c:strCache>
                <c:ptCount val="1"/>
                <c:pt idx="0">
                  <c:v>c*n^2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'TNS MergeSort VS QuickSort'!$A$2:$A$31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'TNS MergeSort VS QuickSort'!$B$2:$B$31</c:f>
              <c:numCache>
                <c:formatCode>General</c:formatCode>
                <c:ptCount val="30"/>
                <c:pt idx="0">
                  <c:v>32750</c:v>
                </c:pt>
                <c:pt idx="1">
                  <c:v>131000</c:v>
                </c:pt>
                <c:pt idx="2">
                  <c:v>294750</c:v>
                </c:pt>
                <c:pt idx="3">
                  <c:v>524000</c:v>
                </c:pt>
                <c:pt idx="4">
                  <c:v>818750</c:v>
                </c:pt>
                <c:pt idx="5">
                  <c:v>1179000</c:v>
                </c:pt>
                <c:pt idx="6">
                  <c:v>1604750</c:v>
                </c:pt>
                <c:pt idx="7">
                  <c:v>2096000</c:v>
                </c:pt>
                <c:pt idx="8">
                  <c:v>2652750</c:v>
                </c:pt>
                <c:pt idx="9">
                  <c:v>3275000</c:v>
                </c:pt>
                <c:pt idx="10">
                  <c:v>3962750</c:v>
                </c:pt>
                <c:pt idx="11">
                  <c:v>4716000</c:v>
                </c:pt>
                <c:pt idx="12">
                  <c:v>5534750</c:v>
                </c:pt>
                <c:pt idx="13">
                  <c:v>6419000</c:v>
                </c:pt>
                <c:pt idx="14">
                  <c:v>7368750</c:v>
                </c:pt>
                <c:pt idx="15">
                  <c:v>8384000</c:v>
                </c:pt>
                <c:pt idx="16">
                  <c:v>9464750</c:v>
                </c:pt>
                <c:pt idx="17">
                  <c:v>10611000</c:v>
                </c:pt>
                <c:pt idx="18">
                  <c:v>11822750</c:v>
                </c:pt>
                <c:pt idx="19">
                  <c:v>13100000</c:v>
                </c:pt>
                <c:pt idx="20">
                  <c:v>14442750</c:v>
                </c:pt>
                <c:pt idx="21">
                  <c:v>15851000</c:v>
                </c:pt>
                <c:pt idx="22">
                  <c:v>17324750</c:v>
                </c:pt>
                <c:pt idx="23">
                  <c:v>18864000</c:v>
                </c:pt>
                <c:pt idx="24">
                  <c:v>20468750</c:v>
                </c:pt>
                <c:pt idx="25">
                  <c:v>22139000</c:v>
                </c:pt>
                <c:pt idx="26">
                  <c:v>23874750</c:v>
                </c:pt>
                <c:pt idx="27">
                  <c:v>25676000</c:v>
                </c:pt>
                <c:pt idx="28">
                  <c:v>27542750</c:v>
                </c:pt>
                <c:pt idx="29">
                  <c:v>29475000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EE-4F9A-BAD0-EB46F6CADC25}"/>
            </c:ext>
          </c:extLst>
        </c:ser>
        <c:ser>
          <c:idx val="1"/>
          <c:order val="1"/>
          <c:tx>
            <c:strRef>
              <c:f>'TNS MergeSort VS QuickSort'!$C$1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'TNS MergeSort VS QuickSort'!$A$2:$A$31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'TNS MergeSort VS QuickSort'!$C$2:$C$31</c:f>
              <c:numCache>
                <c:formatCode>General</c:formatCode>
                <c:ptCount val="30"/>
                <c:pt idx="0">
                  <c:v>3696.7258043024444</c:v>
                </c:pt>
                <c:pt idx="1">
                  <c:v>8703.4516086048898</c:v>
                </c:pt>
                <c:pt idx="2">
                  <c:v>14204.628726824405</c:v>
                </c:pt>
                <c:pt idx="3">
                  <c:v>20026.90321720978</c:v>
                </c:pt>
                <c:pt idx="4">
                  <c:v>26087.943532268335</c:v>
                </c:pt>
                <c:pt idx="5">
                  <c:v>32339.257453648814</c:v>
                </c:pt>
                <c:pt idx="6">
                  <c:v>38748.802947751232</c:v>
                </c:pt>
                <c:pt idx="7">
                  <c:v>45293.806434419559</c:v>
                </c:pt>
                <c:pt idx="8">
                  <c:v>51957.240122224437</c:v>
                </c:pt>
                <c:pt idx="9">
                  <c:v>58725.88706453667</c:v>
                </c:pt>
                <c:pt idx="10">
                  <c:v>65589.188659608611</c:v>
                </c:pt>
                <c:pt idx="11">
                  <c:v>72538.51490729762</c:v>
                </c:pt>
                <c:pt idx="12">
                  <c:v>79566.679655903194</c:v>
                </c:pt>
                <c:pt idx="13">
                  <c:v>86667.605895502464</c:v>
                </c:pt>
                <c:pt idx="14">
                  <c:v>93836.087166390367</c:v>
                </c:pt>
                <c:pt idx="15">
                  <c:v>101067.61286883912</c:v>
                </c:pt>
                <c:pt idx="16">
                  <c:v>108358.23741046409</c:v>
                </c:pt>
                <c:pt idx="17">
                  <c:v>115704.48024444887</c:v>
                </c:pt>
                <c:pt idx="18">
                  <c:v>123103.24818655188</c:v>
                </c:pt>
                <c:pt idx="19">
                  <c:v>130551.77412907334</c:v>
                </c:pt>
                <c:pt idx="20">
                  <c:v>138047.56804067318</c:v>
                </c:pt>
                <c:pt idx="21">
                  <c:v>145588.37731921722</c:v>
                </c:pt>
                <c:pt idx="22">
                  <c:v>153172.15436695516</c:v>
                </c:pt>
                <c:pt idx="23">
                  <c:v>160797.02981459524</c:v>
                </c:pt>
                <c:pt idx="24">
                  <c:v>168461.29021512222</c:v>
                </c:pt>
                <c:pt idx="25">
                  <c:v>176163.35931180639</c:v>
                </c:pt>
                <c:pt idx="26">
                  <c:v>183901.78219192696</c:v>
                </c:pt>
                <c:pt idx="27">
                  <c:v>191675.21179100493</c:v>
                </c:pt>
                <c:pt idx="28">
                  <c:v>199482.39732721917</c:v>
                </c:pt>
                <c:pt idx="29">
                  <c:v>207322.17433278073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EE-4F9A-BAD0-EB46F6CADC25}"/>
            </c:ext>
          </c:extLst>
        </c:ser>
        <c:ser>
          <c:idx val="2"/>
          <c:order val="2"/>
          <c:tx>
            <c:v>OttimoQSR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Min!$K$2:$K$31</c:f>
              <c:numCache>
                <c:formatCode>General</c:formatCode>
                <c:ptCount val="30"/>
                <c:pt idx="0">
                  <c:v>12500</c:v>
                </c:pt>
                <c:pt idx="1">
                  <c:v>10900</c:v>
                </c:pt>
                <c:pt idx="2">
                  <c:v>16800</c:v>
                </c:pt>
                <c:pt idx="3">
                  <c:v>21900</c:v>
                </c:pt>
                <c:pt idx="4">
                  <c:v>27600</c:v>
                </c:pt>
                <c:pt idx="5">
                  <c:v>34600</c:v>
                </c:pt>
                <c:pt idx="6">
                  <c:v>39600</c:v>
                </c:pt>
                <c:pt idx="7">
                  <c:v>47200</c:v>
                </c:pt>
                <c:pt idx="8">
                  <c:v>53100</c:v>
                </c:pt>
                <c:pt idx="9">
                  <c:v>62100</c:v>
                </c:pt>
                <c:pt idx="10">
                  <c:v>68300</c:v>
                </c:pt>
                <c:pt idx="11">
                  <c:v>75100</c:v>
                </c:pt>
                <c:pt idx="12">
                  <c:v>83100</c:v>
                </c:pt>
                <c:pt idx="13">
                  <c:v>89700</c:v>
                </c:pt>
                <c:pt idx="14">
                  <c:v>96700</c:v>
                </c:pt>
                <c:pt idx="15">
                  <c:v>104400</c:v>
                </c:pt>
                <c:pt idx="16">
                  <c:v>111500</c:v>
                </c:pt>
                <c:pt idx="17">
                  <c:v>120900</c:v>
                </c:pt>
                <c:pt idx="18">
                  <c:v>126000</c:v>
                </c:pt>
                <c:pt idx="19">
                  <c:v>135200</c:v>
                </c:pt>
                <c:pt idx="20">
                  <c:v>143400</c:v>
                </c:pt>
                <c:pt idx="21">
                  <c:v>150900</c:v>
                </c:pt>
                <c:pt idx="22">
                  <c:v>159700</c:v>
                </c:pt>
                <c:pt idx="23">
                  <c:v>167000</c:v>
                </c:pt>
                <c:pt idx="24">
                  <c:v>175000</c:v>
                </c:pt>
                <c:pt idx="25">
                  <c:v>183700</c:v>
                </c:pt>
                <c:pt idx="26">
                  <c:v>189600</c:v>
                </c:pt>
                <c:pt idx="27">
                  <c:v>197800</c:v>
                </c:pt>
                <c:pt idx="28">
                  <c:v>207100</c:v>
                </c:pt>
                <c:pt idx="29">
                  <c:v>213700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EE-4F9A-BAD0-EB46F6CADC25}"/>
            </c:ext>
          </c:extLst>
        </c:ser>
        <c:ser>
          <c:idx val="4"/>
          <c:order val="3"/>
          <c:tx>
            <c:v>PessimoQSR</c:v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Max!$K$2:$K$31</c:f>
              <c:numCache>
                <c:formatCode>General</c:formatCode>
                <c:ptCount val="30"/>
                <c:pt idx="0">
                  <c:v>225800</c:v>
                </c:pt>
                <c:pt idx="1">
                  <c:v>69800</c:v>
                </c:pt>
                <c:pt idx="2">
                  <c:v>39300</c:v>
                </c:pt>
                <c:pt idx="3">
                  <c:v>83300</c:v>
                </c:pt>
                <c:pt idx="4">
                  <c:v>50200</c:v>
                </c:pt>
                <c:pt idx="5">
                  <c:v>67100</c:v>
                </c:pt>
                <c:pt idx="6">
                  <c:v>82000</c:v>
                </c:pt>
                <c:pt idx="7">
                  <c:v>78000</c:v>
                </c:pt>
                <c:pt idx="8">
                  <c:v>81800</c:v>
                </c:pt>
                <c:pt idx="9">
                  <c:v>98600</c:v>
                </c:pt>
                <c:pt idx="10">
                  <c:v>98200</c:v>
                </c:pt>
                <c:pt idx="11">
                  <c:v>128400</c:v>
                </c:pt>
                <c:pt idx="12">
                  <c:v>102400</c:v>
                </c:pt>
                <c:pt idx="13">
                  <c:v>150900</c:v>
                </c:pt>
                <c:pt idx="14">
                  <c:v>154700</c:v>
                </c:pt>
                <c:pt idx="15">
                  <c:v>159300</c:v>
                </c:pt>
                <c:pt idx="16">
                  <c:v>163800</c:v>
                </c:pt>
                <c:pt idx="17">
                  <c:v>198000</c:v>
                </c:pt>
                <c:pt idx="18">
                  <c:v>186400</c:v>
                </c:pt>
                <c:pt idx="19">
                  <c:v>208800</c:v>
                </c:pt>
                <c:pt idx="20">
                  <c:v>203900</c:v>
                </c:pt>
                <c:pt idx="21">
                  <c:v>258000</c:v>
                </c:pt>
                <c:pt idx="22">
                  <c:v>224800</c:v>
                </c:pt>
                <c:pt idx="23">
                  <c:v>281600</c:v>
                </c:pt>
                <c:pt idx="24">
                  <c:v>262300</c:v>
                </c:pt>
                <c:pt idx="25">
                  <c:v>408300</c:v>
                </c:pt>
                <c:pt idx="26">
                  <c:v>297100</c:v>
                </c:pt>
                <c:pt idx="27">
                  <c:v>281200</c:v>
                </c:pt>
                <c:pt idx="28">
                  <c:v>286200</c:v>
                </c:pt>
                <c:pt idx="29">
                  <c:v>340900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EE-4F9A-BAD0-EB46F6CADC25}"/>
            </c:ext>
          </c:extLst>
        </c:ser>
        <c:ser>
          <c:idx val="5"/>
          <c:order val="4"/>
          <c:tx>
            <c:v>OttimoQS</c:v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Min!$I$2:$I$31</c:f>
              <c:numCache>
                <c:formatCode>General</c:formatCode>
                <c:ptCount val="30"/>
                <c:pt idx="0">
                  <c:v>10800</c:v>
                </c:pt>
                <c:pt idx="1">
                  <c:v>9000</c:v>
                </c:pt>
                <c:pt idx="2">
                  <c:v>13500</c:v>
                </c:pt>
                <c:pt idx="3">
                  <c:v>19000</c:v>
                </c:pt>
                <c:pt idx="4">
                  <c:v>24000</c:v>
                </c:pt>
                <c:pt idx="5">
                  <c:v>30600</c:v>
                </c:pt>
                <c:pt idx="6">
                  <c:v>36000</c:v>
                </c:pt>
                <c:pt idx="7">
                  <c:v>42400</c:v>
                </c:pt>
                <c:pt idx="8">
                  <c:v>47200</c:v>
                </c:pt>
                <c:pt idx="9">
                  <c:v>54300</c:v>
                </c:pt>
                <c:pt idx="10">
                  <c:v>59800</c:v>
                </c:pt>
                <c:pt idx="11">
                  <c:v>67100</c:v>
                </c:pt>
                <c:pt idx="12">
                  <c:v>73700</c:v>
                </c:pt>
                <c:pt idx="13">
                  <c:v>79800</c:v>
                </c:pt>
                <c:pt idx="14">
                  <c:v>87300</c:v>
                </c:pt>
                <c:pt idx="15">
                  <c:v>94700</c:v>
                </c:pt>
                <c:pt idx="16">
                  <c:v>101600</c:v>
                </c:pt>
                <c:pt idx="17">
                  <c:v>107400</c:v>
                </c:pt>
                <c:pt idx="18">
                  <c:v>114700</c:v>
                </c:pt>
                <c:pt idx="19">
                  <c:v>122400</c:v>
                </c:pt>
                <c:pt idx="20">
                  <c:v>128600</c:v>
                </c:pt>
                <c:pt idx="21">
                  <c:v>135800</c:v>
                </c:pt>
                <c:pt idx="22">
                  <c:v>139800</c:v>
                </c:pt>
                <c:pt idx="23">
                  <c:v>149800</c:v>
                </c:pt>
                <c:pt idx="24">
                  <c:v>157500</c:v>
                </c:pt>
                <c:pt idx="25">
                  <c:v>167300</c:v>
                </c:pt>
                <c:pt idx="26">
                  <c:v>174000</c:v>
                </c:pt>
                <c:pt idx="27">
                  <c:v>179600</c:v>
                </c:pt>
                <c:pt idx="28">
                  <c:v>189300</c:v>
                </c:pt>
                <c:pt idx="29">
                  <c:v>193000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EE-4F9A-BAD0-EB46F6CADC25}"/>
            </c:ext>
          </c:extLst>
        </c:ser>
        <c:ser>
          <c:idx val="7"/>
          <c:order val="5"/>
          <c:tx>
            <c:v>PessimoQS</c:v>
          </c:tx>
          <c:spPr>
            <a:ln w="34925" cap="rnd">
              <a:solidFill>
                <a:srgbClr val="C00000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Max!$I$2:$I$31</c:f>
              <c:numCache>
                <c:formatCode>General</c:formatCode>
                <c:ptCount val="30"/>
                <c:pt idx="0">
                  <c:v>201200</c:v>
                </c:pt>
                <c:pt idx="1">
                  <c:v>74700</c:v>
                </c:pt>
                <c:pt idx="2">
                  <c:v>46700</c:v>
                </c:pt>
                <c:pt idx="3">
                  <c:v>33800</c:v>
                </c:pt>
                <c:pt idx="4">
                  <c:v>56600</c:v>
                </c:pt>
                <c:pt idx="5">
                  <c:v>51800</c:v>
                </c:pt>
                <c:pt idx="6">
                  <c:v>63600</c:v>
                </c:pt>
                <c:pt idx="7">
                  <c:v>71800</c:v>
                </c:pt>
                <c:pt idx="8">
                  <c:v>69900</c:v>
                </c:pt>
                <c:pt idx="9">
                  <c:v>104200</c:v>
                </c:pt>
                <c:pt idx="10">
                  <c:v>174500</c:v>
                </c:pt>
                <c:pt idx="11">
                  <c:v>107000</c:v>
                </c:pt>
                <c:pt idx="12">
                  <c:v>106400</c:v>
                </c:pt>
                <c:pt idx="13">
                  <c:v>119000</c:v>
                </c:pt>
                <c:pt idx="14">
                  <c:v>129300</c:v>
                </c:pt>
                <c:pt idx="15">
                  <c:v>133100</c:v>
                </c:pt>
                <c:pt idx="16">
                  <c:v>151800</c:v>
                </c:pt>
                <c:pt idx="17">
                  <c:v>176400</c:v>
                </c:pt>
                <c:pt idx="18">
                  <c:v>207900</c:v>
                </c:pt>
                <c:pt idx="19">
                  <c:v>203800</c:v>
                </c:pt>
                <c:pt idx="20">
                  <c:v>691300</c:v>
                </c:pt>
                <c:pt idx="21">
                  <c:v>231000</c:v>
                </c:pt>
                <c:pt idx="22">
                  <c:v>235900</c:v>
                </c:pt>
                <c:pt idx="23">
                  <c:v>232200</c:v>
                </c:pt>
                <c:pt idx="24">
                  <c:v>240700</c:v>
                </c:pt>
                <c:pt idx="25">
                  <c:v>347600</c:v>
                </c:pt>
                <c:pt idx="26">
                  <c:v>228100</c:v>
                </c:pt>
                <c:pt idx="27">
                  <c:v>404600</c:v>
                </c:pt>
                <c:pt idx="28">
                  <c:v>272400</c:v>
                </c:pt>
                <c:pt idx="29">
                  <c:v>359800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EE-4F9A-BAD0-EB46F6CAD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980688"/>
        <c:axId val="1865978768"/>
      </c:lineChart>
      <c:catAx>
        <c:axId val="186598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</a:t>
                </a:r>
                <a:r>
                  <a:rPr lang="it-IT" baseline="0"/>
                  <a:t> (N)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5978768"/>
        <c:crosses val="autoZero"/>
        <c:auto val="1"/>
        <c:lblAlgn val="ctr"/>
        <c:lblOffset val="100"/>
        <c:noMultiLvlLbl val="0"/>
      </c:catAx>
      <c:valAx>
        <c:axId val="1865978768"/>
        <c:scaling>
          <c:orientation val="minMax"/>
          <c:max val="5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 in nanosecondi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598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MS</a:t>
            </a:r>
            <a:r>
              <a:rPr lang="it-IT" baseline="0"/>
              <a:t> vs BS CASO MEDIO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'TNS MergeSort vs BubbleSort'!$B$1</c:f>
              <c:strCache>
                <c:ptCount val="1"/>
                <c:pt idx="0">
                  <c:v>c*n^2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'TNS MergeSort VS QuickSort'!$A$2:$A$31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'TNS MergeSort vs BubbleSort'!$B$2:$B$31</c:f>
              <c:numCache>
                <c:formatCode>General</c:formatCode>
                <c:ptCount val="30"/>
                <c:pt idx="0">
                  <c:v>11750</c:v>
                </c:pt>
                <c:pt idx="1">
                  <c:v>47000</c:v>
                </c:pt>
                <c:pt idx="2">
                  <c:v>105750</c:v>
                </c:pt>
                <c:pt idx="3">
                  <c:v>188000</c:v>
                </c:pt>
                <c:pt idx="4">
                  <c:v>293750</c:v>
                </c:pt>
                <c:pt idx="5">
                  <c:v>423000</c:v>
                </c:pt>
                <c:pt idx="6">
                  <c:v>575750</c:v>
                </c:pt>
                <c:pt idx="7">
                  <c:v>752000</c:v>
                </c:pt>
                <c:pt idx="8">
                  <c:v>951750</c:v>
                </c:pt>
                <c:pt idx="9">
                  <c:v>1175000</c:v>
                </c:pt>
                <c:pt idx="10">
                  <c:v>1421750</c:v>
                </c:pt>
                <c:pt idx="11">
                  <c:v>1692000</c:v>
                </c:pt>
                <c:pt idx="12">
                  <c:v>1985750</c:v>
                </c:pt>
                <c:pt idx="13">
                  <c:v>2303000</c:v>
                </c:pt>
                <c:pt idx="14">
                  <c:v>2643750</c:v>
                </c:pt>
                <c:pt idx="15">
                  <c:v>3008000</c:v>
                </c:pt>
                <c:pt idx="16">
                  <c:v>3395750</c:v>
                </c:pt>
                <c:pt idx="17">
                  <c:v>3807000</c:v>
                </c:pt>
                <c:pt idx="18">
                  <c:v>4241750</c:v>
                </c:pt>
                <c:pt idx="19">
                  <c:v>4700000</c:v>
                </c:pt>
                <c:pt idx="20">
                  <c:v>5181750</c:v>
                </c:pt>
                <c:pt idx="21">
                  <c:v>5687000</c:v>
                </c:pt>
                <c:pt idx="22">
                  <c:v>6215750</c:v>
                </c:pt>
                <c:pt idx="23">
                  <c:v>6768000</c:v>
                </c:pt>
                <c:pt idx="24">
                  <c:v>7343750</c:v>
                </c:pt>
                <c:pt idx="25">
                  <c:v>7943000</c:v>
                </c:pt>
                <c:pt idx="26">
                  <c:v>8565750</c:v>
                </c:pt>
                <c:pt idx="27">
                  <c:v>9212000</c:v>
                </c:pt>
                <c:pt idx="28">
                  <c:v>9881750</c:v>
                </c:pt>
                <c:pt idx="29">
                  <c:v>10575000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B3-4314-A7A0-0AB799CC03EA}"/>
            </c:ext>
          </c:extLst>
        </c:ser>
        <c:ser>
          <c:idx val="1"/>
          <c:order val="1"/>
          <c:tx>
            <c:strRef>
              <c:f>'TNS MergeSort vs BubbleSort'!$C$1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'TNS MergeSort VS QuickSort'!$A$2:$A$31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'TNS MergeSort vs BubbleSort'!$C$2:$C$31</c:f>
              <c:numCache>
                <c:formatCode>General</c:formatCode>
                <c:ptCount val="30"/>
                <c:pt idx="0">
                  <c:v>10864.423165316344</c:v>
                </c:pt>
                <c:pt idx="1">
                  <c:v>25578.846330632692</c:v>
                </c:pt>
                <c:pt idx="2">
                  <c:v>41746.427937613713</c:v>
                </c:pt>
                <c:pt idx="3">
                  <c:v>58857.692661265377</c:v>
                </c:pt>
                <c:pt idx="4">
                  <c:v>76670.673739872582</c:v>
                </c:pt>
                <c:pt idx="5">
                  <c:v>95042.855875227426</c:v>
                </c:pt>
                <c:pt idx="6">
                  <c:v>113880.06973194063</c:v>
                </c:pt>
                <c:pt idx="7">
                  <c:v>133115.38532253078</c:v>
                </c:pt>
                <c:pt idx="8">
                  <c:v>152698.75913783518</c:v>
                </c:pt>
                <c:pt idx="9">
                  <c:v>172591.34747974516</c:v>
                </c:pt>
                <c:pt idx="10">
                  <c:v>192762.11934312456</c:v>
                </c:pt>
                <c:pt idx="11">
                  <c:v>213185.71175045485</c:v>
                </c:pt>
                <c:pt idx="12">
                  <c:v>233841.00509559334</c:v>
                </c:pt>
                <c:pt idx="13">
                  <c:v>254710.13946388126</c:v>
                </c:pt>
                <c:pt idx="14">
                  <c:v>275777.81342794112</c:v>
                </c:pt>
                <c:pt idx="15">
                  <c:v>297030.77064506157</c:v>
                </c:pt>
                <c:pt idx="16">
                  <c:v>318457.4152902952</c:v>
                </c:pt>
                <c:pt idx="17">
                  <c:v>340047.51827567036</c:v>
                </c:pt>
                <c:pt idx="18">
                  <c:v>361791.98894520971</c:v>
                </c:pt>
                <c:pt idx="19">
                  <c:v>383682.69495949033</c:v>
                </c:pt>
                <c:pt idx="20">
                  <c:v>405712.31828747463</c:v>
                </c:pt>
                <c:pt idx="21">
                  <c:v>427874.23868624913</c:v>
                </c:pt>
                <c:pt idx="22">
                  <c:v>450162.43840670027</c:v>
                </c:pt>
                <c:pt idx="23">
                  <c:v>472571.4235009097</c:v>
                </c:pt>
                <c:pt idx="24">
                  <c:v>495096.15826581721</c:v>
                </c:pt>
                <c:pt idx="25">
                  <c:v>517732.01019118668</c:v>
                </c:pt>
                <c:pt idx="26">
                  <c:v>540474.70338848757</c:v>
                </c:pt>
                <c:pt idx="27">
                  <c:v>563320.27892776253</c:v>
                </c:pt>
                <c:pt idx="28">
                  <c:v>586265.06084717077</c:v>
                </c:pt>
                <c:pt idx="29">
                  <c:v>609305.62685588223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B3-4314-A7A0-0AB799CC03EA}"/>
            </c:ext>
          </c:extLst>
        </c:ser>
        <c:ser>
          <c:idx val="2"/>
          <c:order val="2"/>
          <c:tx>
            <c:v>MedioMS</c:v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Media!$G$2:$G$31</c:f>
              <c:numCache>
                <c:formatCode>General</c:formatCode>
                <c:ptCount val="30"/>
                <c:pt idx="0">
                  <c:v>88194.897959183669</c:v>
                </c:pt>
                <c:pt idx="1">
                  <c:v>50101.123595505618</c:v>
                </c:pt>
                <c:pt idx="2">
                  <c:v>65543.434343434346</c:v>
                </c:pt>
                <c:pt idx="3">
                  <c:v>83616</c:v>
                </c:pt>
                <c:pt idx="4">
                  <c:v>108513</c:v>
                </c:pt>
                <c:pt idx="5">
                  <c:v>119244</c:v>
                </c:pt>
                <c:pt idx="6">
                  <c:v>140256</c:v>
                </c:pt>
                <c:pt idx="7">
                  <c:v>155261</c:v>
                </c:pt>
                <c:pt idx="8">
                  <c:v>169668</c:v>
                </c:pt>
                <c:pt idx="9">
                  <c:v>187120</c:v>
                </c:pt>
                <c:pt idx="10">
                  <c:v>220339</c:v>
                </c:pt>
                <c:pt idx="11">
                  <c:v>223402</c:v>
                </c:pt>
                <c:pt idx="12">
                  <c:v>235160</c:v>
                </c:pt>
                <c:pt idx="13">
                  <c:v>256620</c:v>
                </c:pt>
                <c:pt idx="14">
                  <c:v>276260</c:v>
                </c:pt>
                <c:pt idx="15">
                  <c:v>311422</c:v>
                </c:pt>
                <c:pt idx="16">
                  <c:v>321508</c:v>
                </c:pt>
                <c:pt idx="17">
                  <c:v>337536</c:v>
                </c:pt>
                <c:pt idx="18">
                  <c:v>357146</c:v>
                </c:pt>
                <c:pt idx="19">
                  <c:v>385280</c:v>
                </c:pt>
                <c:pt idx="20">
                  <c:v>408288</c:v>
                </c:pt>
                <c:pt idx="21">
                  <c:v>430790</c:v>
                </c:pt>
                <c:pt idx="22">
                  <c:v>444997</c:v>
                </c:pt>
                <c:pt idx="23">
                  <c:v>469499</c:v>
                </c:pt>
                <c:pt idx="24">
                  <c:v>506950</c:v>
                </c:pt>
                <c:pt idx="25">
                  <c:v>525633</c:v>
                </c:pt>
                <c:pt idx="26">
                  <c:v>546437</c:v>
                </c:pt>
                <c:pt idx="27">
                  <c:v>598522</c:v>
                </c:pt>
                <c:pt idx="28">
                  <c:v>586686</c:v>
                </c:pt>
                <c:pt idx="29">
                  <c:v>609364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B3-4314-A7A0-0AB799CC03EA}"/>
            </c:ext>
          </c:extLst>
        </c:ser>
        <c:ser>
          <c:idx val="3"/>
          <c:order val="3"/>
          <c:tx>
            <c:v>Media+DevStdMS</c:v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'Media+DevStd'!$G$2:$G$31</c:f>
              <c:numCache>
                <c:formatCode>General</c:formatCode>
                <c:ptCount val="30"/>
                <c:pt idx="0">
                  <c:v>164732.71877306583</c:v>
                </c:pt>
                <c:pt idx="1">
                  <c:v>60448.559535938817</c:v>
                </c:pt>
                <c:pt idx="2">
                  <c:v>79880.151595103875</c:v>
                </c:pt>
                <c:pt idx="3">
                  <c:v>101521.36130985252</c:v>
                </c:pt>
                <c:pt idx="4">
                  <c:v>128659.41685563992</c:v>
                </c:pt>
                <c:pt idx="5">
                  <c:v>139884.87501081583</c:v>
                </c:pt>
                <c:pt idx="6">
                  <c:v>170286.1677274266</c:v>
                </c:pt>
                <c:pt idx="7">
                  <c:v>182667.9330423504</c:v>
                </c:pt>
                <c:pt idx="8">
                  <c:v>191081.69277784284</c:v>
                </c:pt>
                <c:pt idx="9">
                  <c:v>214458.11488110555</c:v>
                </c:pt>
                <c:pt idx="10">
                  <c:v>370793.47507368121</c:v>
                </c:pt>
                <c:pt idx="11">
                  <c:v>248481.17152627744</c:v>
                </c:pt>
                <c:pt idx="12">
                  <c:v>254629.75380253466</c:v>
                </c:pt>
                <c:pt idx="13">
                  <c:v>277602.15692179691</c:v>
                </c:pt>
                <c:pt idx="14">
                  <c:v>293857.7730455196</c:v>
                </c:pt>
                <c:pt idx="15">
                  <c:v>442992.58832859003</c:v>
                </c:pt>
                <c:pt idx="16">
                  <c:v>375450.66443609033</c:v>
                </c:pt>
                <c:pt idx="17">
                  <c:v>367753.11509135913</c:v>
                </c:pt>
                <c:pt idx="18">
                  <c:v>377368.27704510273</c:v>
                </c:pt>
                <c:pt idx="19">
                  <c:v>421715.13954878441</c:v>
                </c:pt>
                <c:pt idx="20">
                  <c:v>457371.67269523058</c:v>
                </c:pt>
                <c:pt idx="21">
                  <c:v>469609.51113093062</c:v>
                </c:pt>
                <c:pt idx="22">
                  <c:v>475063.46326276695</c:v>
                </c:pt>
                <c:pt idx="23">
                  <c:v>510675.3943726907</c:v>
                </c:pt>
                <c:pt idx="24">
                  <c:v>670844.69796244788</c:v>
                </c:pt>
                <c:pt idx="25">
                  <c:v>643890.68649500771</c:v>
                </c:pt>
                <c:pt idx="26">
                  <c:v>669871.01185993419</c:v>
                </c:pt>
                <c:pt idx="27">
                  <c:v>848037.70003031101</c:v>
                </c:pt>
                <c:pt idx="28">
                  <c:v>633854.87139081059</c:v>
                </c:pt>
                <c:pt idx="29">
                  <c:v>734489.47522185463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B3-4314-A7A0-0AB799CC03EA}"/>
            </c:ext>
          </c:extLst>
        </c:ser>
        <c:ser>
          <c:idx val="4"/>
          <c:order val="4"/>
          <c:tx>
            <c:v>Media-DevStdMS</c:v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square"/>
              <c:size val="5"/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5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5B3-4314-A7A0-0AB799CC03EA}"/>
              </c:ext>
            </c:extLst>
          </c:dPt>
          <c:val>
            <c:numRef>
              <c:f>'Media-DevStd'!$G$2:$G$31</c:f>
              <c:numCache>
                <c:formatCode>General</c:formatCode>
                <c:ptCount val="30"/>
                <c:pt idx="0">
                  <c:v>11657.077145301504</c:v>
                </c:pt>
                <c:pt idx="1">
                  <c:v>39753.687655072419</c:v>
                </c:pt>
                <c:pt idx="2">
                  <c:v>51206.717091764818</c:v>
                </c:pt>
                <c:pt idx="3">
                  <c:v>65710.638690147476</c:v>
                </c:pt>
                <c:pt idx="4">
                  <c:v>88366.583144360076</c:v>
                </c:pt>
                <c:pt idx="5">
                  <c:v>98603.124989184173</c:v>
                </c:pt>
                <c:pt idx="6">
                  <c:v>110225.8322725734</c:v>
                </c:pt>
                <c:pt idx="7">
                  <c:v>127854.06695764959</c:v>
                </c:pt>
                <c:pt idx="8">
                  <c:v>148254.30722215716</c:v>
                </c:pt>
                <c:pt idx="9">
                  <c:v>159781.88511889445</c:v>
                </c:pt>
                <c:pt idx="10">
                  <c:v>69884.524926318758</c:v>
                </c:pt>
                <c:pt idx="11">
                  <c:v>198322.82847372256</c:v>
                </c:pt>
                <c:pt idx="12">
                  <c:v>215690.24619746534</c:v>
                </c:pt>
                <c:pt idx="13">
                  <c:v>235637.84307820312</c:v>
                </c:pt>
                <c:pt idx="14">
                  <c:v>258662.2269544804</c:v>
                </c:pt>
                <c:pt idx="15">
                  <c:v>179851.41167140997</c:v>
                </c:pt>
                <c:pt idx="16">
                  <c:v>267565.33556390967</c:v>
                </c:pt>
                <c:pt idx="17">
                  <c:v>307318.88490864087</c:v>
                </c:pt>
                <c:pt idx="18">
                  <c:v>336923.72295489727</c:v>
                </c:pt>
                <c:pt idx="19">
                  <c:v>348844.86045121559</c:v>
                </c:pt>
                <c:pt idx="20">
                  <c:v>359204.32730476942</c:v>
                </c:pt>
                <c:pt idx="21">
                  <c:v>391970.48886906938</c:v>
                </c:pt>
                <c:pt idx="22">
                  <c:v>414930.53673723305</c:v>
                </c:pt>
                <c:pt idx="23">
                  <c:v>428322.6056273093</c:v>
                </c:pt>
                <c:pt idx="24">
                  <c:v>343055.30203755212</c:v>
                </c:pt>
                <c:pt idx="25">
                  <c:v>407375.31350499234</c:v>
                </c:pt>
                <c:pt idx="26">
                  <c:v>423002.98814006575</c:v>
                </c:pt>
                <c:pt idx="27">
                  <c:v>349006.29996968899</c:v>
                </c:pt>
                <c:pt idx="28">
                  <c:v>539517.12860918941</c:v>
                </c:pt>
                <c:pt idx="29">
                  <c:v>484238.52477814537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5B3-4314-A7A0-0AB799CC03EA}"/>
            </c:ext>
          </c:extLst>
        </c:ser>
        <c:ser>
          <c:idx val="5"/>
          <c:order val="5"/>
          <c:tx>
            <c:v>MedioBS</c:v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Media!$C$2:$C$31</c:f>
              <c:numCache>
                <c:formatCode>General</c:formatCode>
                <c:ptCount val="30"/>
                <c:pt idx="0">
                  <c:v>211879.79797979799</c:v>
                </c:pt>
                <c:pt idx="1">
                  <c:v>43873.076923076922</c:v>
                </c:pt>
                <c:pt idx="2">
                  <c:v>84124.242424242431</c:v>
                </c:pt>
                <c:pt idx="3">
                  <c:v>149193.93939393939</c:v>
                </c:pt>
                <c:pt idx="4">
                  <c:v>243484</c:v>
                </c:pt>
                <c:pt idx="5">
                  <c:v>312043.87755102041</c:v>
                </c:pt>
                <c:pt idx="6">
                  <c:v>433754</c:v>
                </c:pt>
                <c:pt idx="7">
                  <c:v>572483</c:v>
                </c:pt>
                <c:pt idx="8">
                  <c:v>729812</c:v>
                </c:pt>
                <c:pt idx="9">
                  <c:v>945032</c:v>
                </c:pt>
                <c:pt idx="10">
                  <c:v>1151677</c:v>
                </c:pt>
                <c:pt idx="11">
                  <c:v>1404312</c:v>
                </c:pt>
                <c:pt idx="12">
                  <c:v>1672217</c:v>
                </c:pt>
                <c:pt idx="13">
                  <c:v>1950794</c:v>
                </c:pt>
                <c:pt idx="14">
                  <c:v>2296931</c:v>
                </c:pt>
                <c:pt idx="15">
                  <c:v>2593226.5306122447</c:v>
                </c:pt>
                <c:pt idx="16">
                  <c:v>2997264</c:v>
                </c:pt>
                <c:pt idx="17">
                  <c:v>3372372.7272727271</c:v>
                </c:pt>
                <c:pt idx="18">
                  <c:v>3820549</c:v>
                </c:pt>
                <c:pt idx="19">
                  <c:v>4247274.7474747477</c:v>
                </c:pt>
                <c:pt idx="20">
                  <c:v>4788101</c:v>
                </c:pt>
                <c:pt idx="21">
                  <c:v>5313613</c:v>
                </c:pt>
                <c:pt idx="22">
                  <c:v>5862552</c:v>
                </c:pt>
                <c:pt idx="23">
                  <c:v>6388845</c:v>
                </c:pt>
                <c:pt idx="24">
                  <c:v>7028060</c:v>
                </c:pt>
                <c:pt idx="25">
                  <c:v>7699497</c:v>
                </c:pt>
                <c:pt idx="26">
                  <c:v>8342898</c:v>
                </c:pt>
                <c:pt idx="27">
                  <c:v>9026435.7142857146</c:v>
                </c:pt>
                <c:pt idx="28">
                  <c:v>9834323</c:v>
                </c:pt>
                <c:pt idx="29">
                  <c:v>10567417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5B3-4314-A7A0-0AB799CC03EA}"/>
            </c:ext>
          </c:extLst>
        </c:ser>
        <c:ser>
          <c:idx val="6"/>
          <c:order val="6"/>
          <c:tx>
            <c:v>Media+DevStdBS</c:v>
          </c:tx>
          <c:spPr>
            <a:ln w="34925" cap="rnd">
              <a:solidFill>
                <a:srgbClr val="FF00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'Media+DevStd'!$C$2:$C$31</c:f>
              <c:numCache>
                <c:formatCode>General</c:formatCode>
                <c:ptCount val="30"/>
                <c:pt idx="0">
                  <c:v>382409.07907299575</c:v>
                </c:pt>
                <c:pt idx="1">
                  <c:v>47803.401025800202</c:v>
                </c:pt>
                <c:pt idx="2">
                  <c:v>94501.307902528206</c:v>
                </c:pt>
                <c:pt idx="3">
                  <c:v>170864.88212407031</c:v>
                </c:pt>
                <c:pt idx="4">
                  <c:v>279214.51413573616</c:v>
                </c:pt>
                <c:pt idx="5">
                  <c:v>352199.48227807152</c:v>
                </c:pt>
                <c:pt idx="6">
                  <c:v>479218.80139246804</c:v>
                </c:pt>
                <c:pt idx="7">
                  <c:v>632736.88382636942</c:v>
                </c:pt>
                <c:pt idx="8">
                  <c:v>807085.44765914953</c:v>
                </c:pt>
                <c:pt idx="9">
                  <c:v>1059847.2322277629</c:v>
                </c:pt>
                <c:pt idx="10">
                  <c:v>1265239.7445089456</c:v>
                </c:pt>
                <c:pt idx="11">
                  <c:v>1547131.2601390537</c:v>
                </c:pt>
                <c:pt idx="12">
                  <c:v>1812420.8170455478</c:v>
                </c:pt>
                <c:pt idx="13">
                  <c:v>2124817.3299232484</c:v>
                </c:pt>
                <c:pt idx="14">
                  <c:v>2481197.794223852</c:v>
                </c:pt>
                <c:pt idx="15">
                  <c:v>2765621.3026710288</c:v>
                </c:pt>
                <c:pt idx="16">
                  <c:v>3192516.1495995172</c:v>
                </c:pt>
                <c:pt idx="17">
                  <c:v>3555354.4375320445</c:v>
                </c:pt>
                <c:pt idx="18">
                  <c:v>4027016.9301020042</c:v>
                </c:pt>
                <c:pt idx="19">
                  <c:v>4442114.4410501011</c:v>
                </c:pt>
                <c:pt idx="20">
                  <c:v>5019764.0937134549</c:v>
                </c:pt>
                <c:pt idx="21">
                  <c:v>5549336.5427724002</c:v>
                </c:pt>
                <c:pt idx="22">
                  <c:v>6134717.8401442291</c:v>
                </c:pt>
                <c:pt idx="23">
                  <c:v>6622777.5843382049</c:v>
                </c:pt>
                <c:pt idx="24">
                  <c:v>7293640.9534365796</c:v>
                </c:pt>
                <c:pt idx="25">
                  <c:v>8005587.3080098676</c:v>
                </c:pt>
                <c:pt idx="26">
                  <c:v>8632176.2397553604</c:v>
                </c:pt>
                <c:pt idx="27">
                  <c:v>9314713.8500447441</c:v>
                </c:pt>
                <c:pt idx="28">
                  <c:v>10185783.016506899</c:v>
                </c:pt>
                <c:pt idx="29">
                  <c:v>10922126.230772121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5B3-4314-A7A0-0AB799CC03EA}"/>
            </c:ext>
          </c:extLst>
        </c:ser>
        <c:ser>
          <c:idx val="7"/>
          <c:order val="7"/>
          <c:tx>
            <c:v>Media-DevStdBS</c:v>
          </c:tx>
          <c:spPr>
            <a:ln w="34925" cap="rnd">
              <a:solidFill>
                <a:srgbClr val="FF0000"/>
              </a:solidFill>
              <a:prstDash val="sysDot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'Media-DevStd'!$C$2:$C$31</c:f>
              <c:numCache>
                <c:formatCode>General</c:formatCode>
                <c:ptCount val="30"/>
                <c:pt idx="0">
                  <c:v>41350.516886600235</c:v>
                </c:pt>
                <c:pt idx="1">
                  <c:v>39942.752820353642</c:v>
                </c:pt>
                <c:pt idx="2">
                  <c:v>73747.176945956657</c:v>
                </c:pt>
                <c:pt idx="3">
                  <c:v>127522.99666380846</c:v>
                </c:pt>
                <c:pt idx="4">
                  <c:v>207753.48586426384</c:v>
                </c:pt>
                <c:pt idx="5">
                  <c:v>271888.27282396931</c:v>
                </c:pt>
                <c:pt idx="6">
                  <c:v>388289.19860753196</c:v>
                </c:pt>
                <c:pt idx="7">
                  <c:v>512229.11617363064</c:v>
                </c:pt>
                <c:pt idx="8">
                  <c:v>652538.55234085047</c:v>
                </c:pt>
                <c:pt idx="9">
                  <c:v>830216.76777223696</c:v>
                </c:pt>
                <c:pt idx="10">
                  <c:v>1038114.2554910545</c:v>
                </c:pt>
                <c:pt idx="11">
                  <c:v>1261492.7398609463</c:v>
                </c:pt>
                <c:pt idx="12">
                  <c:v>1532013.1829544522</c:v>
                </c:pt>
                <c:pt idx="13">
                  <c:v>1776770.6700767516</c:v>
                </c:pt>
                <c:pt idx="14">
                  <c:v>2112664.205776148</c:v>
                </c:pt>
                <c:pt idx="15">
                  <c:v>2420831.7585534607</c:v>
                </c:pt>
                <c:pt idx="16">
                  <c:v>2802011.8504004828</c:v>
                </c:pt>
                <c:pt idx="17">
                  <c:v>3189391.0170134096</c:v>
                </c:pt>
                <c:pt idx="18">
                  <c:v>3614081.0698979958</c:v>
                </c:pt>
                <c:pt idx="19">
                  <c:v>4052435.0538993943</c:v>
                </c:pt>
                <c:pt idx="20">
                  <c:v>4556437.9062865451</c:v>
                </c:pt>
                <c:pt idx="21">
                  <c:v>5077889.4572275998</c:v>
                </c:pt>
                <c:pt idx="22">
                  <c:v>5590386.1598557709</c:v>
                </c:pt>
                <c:pt idx="23">
                  <c:v>6154912.4156617951</c:v>
                </c:pt>
                <c:pt idx="24">
                  <c:v>6762479.0465634204</c:v>
                </c:pt>
                <c:pt idx="25">
                  <c:v>7393406.6919901324</c:v>
                </c:pt>
                <c:pt idx="26">
                  <c:v>8053619.7602446396</c:v>
                </c:pt>
                <c:pt idx="27">
                  <c:v>8738157.578526685</c:v>
                </c:pt>
                <c:pt idx="28">
                  <c:v>9482862.9834931009</c:v>
                </c:pt>
                <c:pt idx="29">
                  <c:v>10212707.769227879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5B3-4314-A7A0-0AB799CC0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980688"/>
        <c:axId val="1865978768"/>
      </c:lineChart>
      <c:catAx>
        <c:axId val="186598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</a:t>
                </a:r>
                <a:r>
                  <a:rPr lang="it-IT" baseline="0"/>
                  <a:t> (N)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5978768"/>
        <c:crosses val="autoZero"/>
        <c:auto val="1"/>
        <c:lblAlgn val="ctr"/>
        <c:lblOffset val="100"/>
        <c:noMultiLvlLbl val="0"/>
      </c:catAx>
      <c:valAx>
        <c:axId val="1865978768"/>
        <c:scaling>
          <c:orientation val="minMax"/>
          <c:max val="12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 in nanosecondi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598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MS</a:t>
            </a:r>
            <a:r>
              <a:rPr lang="it-IT" baseline="0"/>
              <a:t> vs BS CASO PESSIMO e OTTIMO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'TNS MergeSort VS QuickSort'!$B$1</c:f>
              <c:strCache>
                <c:ptCount val="1"/>
                <c:pt idx="0">
                  <c:v>c*n^2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'TNS MergeSort VS QuickSort'!$A$2:$A$31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'TNS MergeSort vs BubbleSort'!$B$2:$B$31</c:f>
              <c:numCache>
                <c:formatCode>General</c:formatCode>
                <c:ptCount val="30"/>
                <c:pt idx="0">
                  <c:v>11750</c:v>
                </c:pt>
                <c:pt idx="1">
                  <c:v>47000</c:v>
                </c:pt>
                <c:pt idx="2">
                  <c:v>105750</c:v>
                </c:pt>
                <c:pt idx="3">
                  <c:v>188000</c:v>
                </c:pt>
                <c:pt idx="4">
                  <c:v>293750</c:v>
                </c:pt>
                <c:pt idx="5">
                  <c:v>423000</c:v>
                </c:pt>
                <c:pt idx="6">
                  <c:v>575750</c:v>
                </c:pt>
                <c:pt idx="7">
                  <c:v>752000</c:v>
                </c:pt>
                <c:pt idx="8">
                  <c:v>951750</c:v>
                </c:pt>
                <c:pt idx="9">
                  <c:v>1175000</c:v>
                </c:pt>
                <c:pt idx="10">
                  <c:v>1421750</c:v>
                </c:pt>
                <c:pt idx="11">
                  <c:v>1692000</c:v>
                </c:pt>
                <c:pt idx="12">
                  <c:v>1985750</c:v>
                </c:pt>
                <c:pt idx="13">
                  <c:v>2303000</c:v>
                </c:pt>
                <c:pt idx="14">
                  <c:v>2643750</c:v>
                </c:pt>
                <c:pt idx="15">
                  <c:v>3008000</c:v>
                </c:pt>
                <c:pt idx="16">
                  <c:v>3395750</c:v>
                </c:pt>
                <c:pt idx="17">
                  <c:v>3807000</c:v>
                </c:pt>
                <c:pt idx="18">
                  <c:v>4241750</c:v>
                </c:pt>
                <c:pt idx="19">
                  <c:v>4700000</c:v>
                </c:pt>
                <c:pt idx="20">
                  <c:v>5181750</c:v>
                </c:pt>
                <c:pt idx="21">
                  <c:v>5687000</c:v>
                </c:pt>
                <c:pt idx="22">
                  <c:v>6215750</c:v>
                </c:pt>
                <c:pt idx="23">
                  <c:v>6768000</c:v>
                </c:pt>
                <c:pt idx="24">
                  <c:v>7343750</c:v>
                </c:pt>
                <c:pt idx="25">
                  <c:v>7943000</c:v>
                </c:pt>
                <c:pt idx="26">
                  <c:v>8565750</c:v>
                </c:pt>
                <c:pt idx="27">
                  <c:v>9212000</c:v>
                </c:pt>
                <c:pt idx="28">
                  <c:v>9881750</c:v>
                </c:pt>
                <c:pt idx="29">
                  <c:v>10575000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98-4424-92FA-AEFE59859859}"/>
            </c:ext>
          </c:extLst>
        </c:ser>
        <c:ser>
          <c:idx val="1"/>
          <c:order val="1"/>
          <c:tx>
            <c:strRef>
              <c:f>'TNS MergeSort vs BubbleSort'!$C$1</c:f>
              <c:strCache>
                <c:ptCount val="1"/>
                <c:pt idx="0">
                  <c:v>c*n*log(n)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'TNS MergeSort VS QuickSort'!$A$2:$A$31</c:f>
              <c:numCache>
                <c:formatCode>General</c:formatCode>
                <c:ptCount val="3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  <c:pt idx="16">
                  <c:v>850</c:v>
                </c:pt>
                <c:pt idx="17">
                  <c:v>900</c:v>
                </c:pt>
                <c:pt idx="18">
                  <c:v>950</c:v>
                </c:pt>
                <c:pt idx="19">
                  <c:v>1000</c:v>
                </c:pt>
                <c:pt idx="20">
                  <c:v>1050</c:v>
                </c:pt>
                <c:pt idx="21">
                  <c:v>1100</c:v>
                </c:pt>
                <c:pt idx="22">
                  <c:v>1150</c:v>
                </c:pt>
                <c:pt idx="23">
                  <c:v>1200</c:v>
                </c:pt>
                <c:pt idx="24">
                  <c:v>1250</c:v>
                </c:pt>
                <c:pt idx="25">
                  <c:v>1300</c:v>
                </c:pt>
                <c:pt idx="26">
                  <c:v>1350</c:v>
                </c:pt>
                <c:pt idx="27">
                  <c:v>1400</c:v>
                </c:pt>
                <c:pt idx="28">
                  <c:v>1450</c:v>
                </c:pt>
                <c:pt idx="29">
                  <c:v>1500</c:v>
                </c:pt>
              </c:numCache>
            </c:numRef>
          </c:cat>
          <c:val>
            <c:numRef>
              <c:f>'TNS MergeSort vs BubbleSort'!$C$2:$C$31</c:f>
              <c:numCache>
                <c:formatCode>General</c:formatCode>
                <c:ptCount val="30"/>
                <c:pt idx="0">
                  <c:v>10864.423165316344</c:v>
                </c:pt>
                <c:pt idx="1">
                  <c:v>25578.846330632692</c:v>
                </c:pt>
                <c:pt idx="2">
                  <c:v>41746.427937613713</c:v>
                </c:pt>
                <c:pt idx="3">
                  <c:v>58857.692661265377</c:v>
                </c:pt>
                <c:pt idx="4">
                  <c:v>76670.673739872582</c:v>
                </c:pt>
                <c:pt idx="5">
                  <c:v>95042.855875227426</c:v>
                </c:pt>
                <c:pt idx="6">
                  <c:v>113880.06973194063</c:v>
                </c:pt>
                <c:pt idx="7">
                  <c:v>133115.38532253078</c:v>
                </c:pt>
                <c:pt idx="8">
                  <c:v>152698.75913783518</c:v>
                </c:pt>
                <c:pt idx="9">
                  <c:v>172591.34747974516</c:v>
                </c:pt>
                <c:pt idx="10">
                  <c:v>192762.11934312456</c:v>
                </c:pt>
                <c:pt idx="11">
                  <c:v>213185.71175045485</c:v>
                </c:pt>
                <c:pt idx="12">
                  <c:v>233841.00509559334</c:v>
                </c:pt>
                <c:pt idx="13">
                  <c:v>254710.13946388126</c:v>
                </c:pt>
                <c:pt idx="14">
                  <c:v>275777.81342794112</c:v>
                </c:pt>
                <c:pt idx="15">
                  <c:v>297030.77064506157</c:v>
                </c:pt>
                <c:pt idx="16">
                  <c:v>318457.4152902952</c:v>
                </c:pt>
                <c:pt idx="17">
                  <c:v>340047.51827567036</c:v>
                </c:pt>
                <c:pt idx="18">
                  <c:v>361791.98894520971</c:v>
                </c:pt>
                <c:pt idx="19">
                  <c:v>383682.69495949033</c:v>
                </c:pt>
                <c:pt idx="20">
                  <c:v>405712.31828747463</c:v>
                </c:pt>
                <c:pt idx="21">
                  <c:v>427874.23868624913</c:v>
                </c:pt>
                <c:pt idx="22">
                  <c:v>450162.43840670027</c:v>
                </c:pt>
                <c:pt idx="23">
                  <c:v>472571.4235009097</c:v>
                </c:pt>
                <c:pt idx="24">
                  <c:v>495096.15826581721</c:v>
                </c:pt>
                <c:pt idx="25">
                  <c:v>517732.01019118668</c:v>
                </c:pt>
                <c:pt idx="26">
                  <c:v>540474.70338848757</c:v>
                </c:pt>
                <c:pt idx="27">
                  <c:v>563320.27892776253</c:v>
                </c:pt>
                <c:pt idx="28">
                  <c:v>586265.06084717077</c:v>
                </c:pt>
                <c:pt idx="29">
                  <c:v>609305.62685588223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98-4424-92FA-AEFE59859859}"/>
            </c:ext>
          </c:extLst>
        </c:ser>
        <c:ser>
          <c:idx val="2"/>
          <c:order val="2"/>
          <c:tx>
            <c:v>OttimoMS</c:v>
          </c:tx>
          <c:spPr>
            <a:ln w="349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Min!$G$2:$G$31</c:f>
              <c:numCache>
                <c:formatCode>General</c:formatCode>
                <c:ptCount val="30"/>
                <c:pt idx="0">
                  <c:v>29100</c:v>
                </c:pt>
                <c:pt idx="1">
                  <c:v>30600</c:v>
                </c:pt>
                <c:pt idx="2">
                  <c:v>43900</c:v>
                </c:pt>
                <c:pt idx="3">
                  <c:v>61100</c:v>
                </c:pt>
                <c:pt idx="4">
                  <c:v>78600</c:v>
                </c:pt>
                <c:pt idx="5">
                  <c:v>97600</c:v>
                </c:pt>
                <c:pt idx="6">
                  <c:v>113800</c:v>
                </c:pt>
                <c:pt idx="7">
                  <c:v>131700</c:v>
                </c:pt>
                <c:pt idx="8">
                  <c:v>148400</c:v>
                </c:pt>
                <c:pt idx="9">
                  <c:v>168600</c:v>
                </c:pt>
                <c:pt idx="10">
                  <c:v>187700</c:v>
                </c:pt>
                <c:pt idx="11">
                  <c:v>206500</c:v>
                </c:pt>
                <c:pt idx="12">
                  <c:v>224200</c:v>
                </c:pt>
                <c:pt idx="13">
                  <c:v>244400</c:v>
                </c:pt>
                <c:pt idx="14">
                  <c:v>266300</c:v>
                </c:pt>
                <c:pt idx="15">
                  <c:v>286800</c:v>
                </c:pt>
                <c:pt idx="16">
                  <c:v>306500</c:v>
                </c:pt>
                <c:pt idx="17">
                  <c:v>322400</c:v>
                </c:pt>
                <c:pt idx="18">
                  <c:v>345100</c:v>
                </c:pt>
                <c:pt idx="19">
                  <c:v>365600</c:v>
                </c:pt>
                <c:pt idx="20">
                  <c:v>384900</c:v>
                </c:pt>
                <c:pt idx="21">
                  <c:v>408800</c:v>
                </c:pt>
                <c:pt idx="22">
                  <c:v>429800</c:v>
                </c:pt>
                <c:pt idx="23">
                  <c:v>450300</c:v>
                </c:pt>
                <c:pt idx="24">
                  <c:v>467100</c:v>
                </c:pt>
                <c:pt idx="25">
                  <c:v>486400</c:v>
                </c:pt>
                <c:pt idx="26">
                  <c:v>513300</c:v>
                </c:pt>
                <c:pt idx="27">
                  <c:v>534400</c:v>
                </c:pt>
                <c:pt idx="28">
                  <c:v>556800</c:v>
                </c:pt>
                <c:pt idx="29">
                  <c:v>574300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98-4424-92FA-AEFE59859859}"/>
            </c:ext>
          </c:extLst>
        </c:ser>
        <c:ser>
          <c:idx val="4"/>
          <c:order val="3"/>
          <c:tx>
            <c:v>PessimoMS</c:v>
          </c:tx>
          <c:spPr>
            <a:ln w="34925" cap="rnd">
              <a:solidFill>
                <a:srgbClr val="FF0000"/>
              </a:solidFill>
              <a:prstDash val="solid"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Pt>
            <c:idx val="0"/>
            <c:marker>
              <c:symbol val="square"/>
              <c:size val="5"/>
              <c:spPr>
                <a:gradFill rotWithShape="1">
                  <a:gsLst>
                    <a:gs pos="0">
                      <a:schemeClr val="accent5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5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5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5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spPr>
              <a:ln w="34925" cap="rnd">
                <a:solidFill>
                  <a:srgbClr val="FF0000"/>
                </a:solidFill>
                <a:prstDash val="solid"/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F98-4424-92FA-AEFE59859859}"/>
              </c:ext>
            </c:extLst>
          </c:dPt>
          <c:val>
            <c:numRef>
              <c:f>Max!$G$2:$G$31</c:f>
              <c:numCache>
                <c:formatCode>General</c:formatCode>
                <c:ptCount val="30"/>
                <c:pt idx="0">
                  <c:v>462800</c:v>
                </c:pt>
                <c:pt idx="1">
                  <c:v>73300</c:v>
                </c:pt>
                <c:pt idx="2">
                  <c:v>107800</c:v>
                </c:pt>
                <c:pt idx="3">
                  <c:v>149900</c:v>
                </c:pt>
                <c:pt idx="4">
                  <c:v>160300</c:v>
                </c:pt>
                <c:pt idx="5">
                  <c:v>220300</c:v>
                </c:pt>
                <c:pt idx="6">
                  <c:v>350700</c:v>
                </c:pt>
                <c:pt idx="7">
                  <c:v>271400</c:v>
                </c:pt>
                <c:pt idx="8">
                  <c:v>271300</c:v>
                </c:pt>
                <c:pt idx="9">
                  <c:v>303900</c:v>
                </c:pt>
                <c:pt idx="10">
                  <c:v>1689100</c:v>
                </c:pt>
                <c:pt idx="11">
                  <c:v>327100</c:v>
                </c:pt>
                <c:pt idx="12">
                  <c:v>337700</c:v>
                </c:pt>
                <c:pt idx="13">
                  <c:v>352300</c:v>
                </c:pt>
                <c:pt idx="14">
                  <c:v>414800</c:v>
                </c:pt>
                <c:pt idx="15">
                  <c:v>1582400</c:v>
                </c:pt>
                <c:pt idx="16">
                  <c:v>835300</c:v>
                </c:pt>
                <c:pt idx="17">
                  <c:v>520500</c:v>
                </c:pt>
                <c:pt idx="18">
                  <c:v>470600</c:v>
                </c:pt>
                <c:pt idx="19">
                  <c:v>612100</c:v>
                </c:pt>
                <c:pt idx="20">
                  <c:v>822400</c:v>
                </c:pt>
                <c:pt idx="21">
                  <c:v>611000</c:v>
                </c:pt>
                <c:pt idx="22">
                  <c:v>674300</c:v>
                </c:pt>
                <c:pt idx="23">
                  <c:v>730300</c:v>
                </c:pt>
                <c:pt idx="24">
                  <c:v>2094700</c:v>
                </c:pt>
                <c:pt idx="25">
                  <c:v>1609100</c:v>
                </c:pt>
                <c:pt idx="26">
                  <c:v>1711600</c:v>
                </c:pt>
                <c:pt idx="27">
                  <c:v>2656600</c:v>
                </c:pt>
                <c:pt idx="28">
                  <c:v>730900</c:v>
                </c:pt>
                <c:pt idx="29">
                  <c:v>1773300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98-4424-92FA-AEFE59859859}"/>
            </c:ext>
          </c:extLst>
        </c:ser>
        <c:ser>
          <c:idx val="5"/>
          <c:order val="4"/>
          <c:tx>
            <c:v>OttimoBS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Min!$C$2:$C$31</c:f>
              <c:numCache>
                <c:formatCode>General</c:formatCode>
                <c:ptCount val="30"/>
                <c:pt idx="0">
                  <c:v>43100</c:v>
                </c:pt>
                <c:pt idx="1">
                  <c:v>32300</c:v>
                </c:pt>
                <c:pt idx="2">
                  <c:v>63700</c:v>
                </c:pt>
                <c:pt idx="3">
                  <c:v>113700</c:v>
                </c:pt>
                <c:pt idx="4">
                  <c:v>181800</c:v>
                </c:pt>
                <c:pt idx="5">
                  <c:v>262800</c:v>
                </c:pt>
                <c:pt idx="6">
                  <c:v>370100</c:v>
                </c:pt>
                <c:pt idx="7">
                  <c:v>479900</c:v>
                </c:pt>
                <c:pt idx="8">
                  <c:v>608900</c:v>
                </c:pt>
                <c:pt idx="9">
                  <c:v>774500</c:v>
                </c:pt>
                <c:pt idx="10">
                  <c:v>963000</c:v>
                </c:pt>
                <c:pt idx="11">
                  <c:v>1194700</c:v>
                </c:pt>
                <c:pt idx="12">
                  <c:v>1458500</c:v>
                </c:pt>
                <c:pt idx="13">
                  <c:v>1740000</c:v>
                </c:pt>
                <c:pt idx="14">
                  <c:v>1968200</c:v>
                </c:pt>
                <c:pt idx="15">
                  <c:v>2324000</c:v>
                </c:pt>
                <c:pt idx="16">
                  <c:v>2638100</c:v>
                </c:pt>
                <c:pt idx="17">
                  <c:v>3095100</c:v>
                </c:pt>
                <c:pt idx="18">
                  <c:v>3423000</c:v>
                </c:pt>
                <c:pt idx="19">
                  <c:v>3939000</c:v>
                </c:pt>
                <c:pt idx="20">
                  <c:v>4445300</c:v>
                </c:pt>
                <c:pt idx="21">
                  <c:v>4883400</c:v>
                </c:pt>
                <c:pt idx="22">
                  <c:v>5424300</c:v>
                </c:pt>
                <c:pt idx="23">
                  <c:v>5975800</c:v>
                </c:pt>
                <c:pt idx="24">
                  <c:v>6563100</c:v>
                </c:pt>
                <c:pt idx="25">
                  <c:v>7234800</c:v>
                </c:pt>
                <c:pt idx="26">
                  <c:v>7921800</c:v>
                </c:pt>
                <c:pt idx="27">
                  <c:v>8507500</c:v>
                </c:pt>
                <c:pt idx="28">
                  <c:v>9228600</c:v>
                </c:pt>
                <c:pt idx="29">
                  <c:v>9857900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98-4424-92FA-AEFE59859859}"/>
            </c:ext>
          </c:extLst>
        </c:ser>
        <c:ser>
          <c:idx val="7"/>
          <c:order val="5"/>
          <c:tx>
            <c:v>PessimoBS</c:v>
          </c:tx>
          <c:spPr>
            <a:ln w="34925" cap="rnd">
              <a:solidFill>
                <a:srgbClr val="C0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Max!$C$2:$C$31</c:f>
              <c:numCache>
                <c:formatCode>General</c:formatCode>
                <c:ptCount val="30"/>
                <c:pt idx="0">
                  <c:v>728600</c:v>
                </c:pt>
                <c:pt idx="1">
                  <c:v>52800</c:v>
                </c:pt>
                <c:pt idx="2">
                  <c:v>110300</c:v>
                </c:pt>
                <c:pt idx="3">
                  <c:v>216300</c:v>
                </c:pt>
                <c:pt idx="4">
                  <c:v>393100</c:v>
                </c:pt>
                <c:pt idx="5">
                  <c:v>428500</c:v>
                </c:pt>
                <c:pt idx="6">
                  <c:v>564800</c:v>
                </c:pt>
                <c:pt idx="7">
                  <c:v>736200</c:v>
                </c:pt>
                <c:pt idx="8">
                  <c:v>1023500</c:v>
                </c:pt>
                <c:pt idx="9">
                  <c:v>1381600</c:v>
                </c:pt>
                <c:pt idx="10">
                  <c:v>1513900</c:v>
                </c:pt>
                <c:pt idx="11">
                  <c:v>1810000</c:v>
                </c:pt>
                <c:pt idx="12">
                  <c:v>2035500</c:v>
                </c:pt>
                <c:pt idx="13">
                  <c:v>2369900</c:v>
                </c:pt>
                <c:pt idx="14">
                  <c:v>2770700</c:v>
                </c:pt>
                <c:pt idx="15">
                  <c:v>3034800</c:v>
                </c:pt>
                <c:pt idx="16">
                  <c:v>3792100</c:v>
                </c:pt>
                <c:pt idx="17">
                  <c:v>3966700</c:v>
                </c:pt>
                <c:pt idx="18">
                  <c:v>4313700</c:v>
                </c:pt>
                <c:pt idx="19">
                  <c:v>4970100</c:v>
                </c:pt>
                <c:pt idx="20">
                  <c:v>5542600</c:v>
                </c:pt>
                <c:pt idx="21">
                  <c:v>6130900</c:v>
                </c:pt>
                <c:pt idx="22">
                  <c:v>6897400</c:v>
                </c:pt>
                <c:pt idx="23">
                  <c:v>7330600</c:v>
                </c:pt>
                <c:pt idx="24">
                  <c:v>7939100</c:v>
                </c:pt>
                <c:pt idx="25">
                  <c:v>8620200</c:v>
                </c:pt>
                <c:pt idx="26">
                  <c:v>9160100</c:v>
                </c:pt>
                <c:pt idx="27">
                  <c:v>10059500</c:v>
                </c:pt>
                <c:pt idx="28">
                  <c:v>10804000</c:v>
                </c:pt>
                <c:pt idx="29">
                  <c:v>11588300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98-4424-92FA-AEFE59859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5980688"/>
        <c:axId val="1865978768"/>
      </c:lineChart>
      <c:catAx>
        <c:axId val="186598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lunghezza sequenze</a:t>
                </a:r>
                <a:r>
                  <a:rPr lang="it-IT" baseline="0"/>
                  <a:t> (N)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5978768"/>
        <c:crosses val="autoZero"/>
        <c:auto val="1"/>
        <c:lblAlgn val="ctr"/>
        <c:lblOffset val="100"/>
        <c:noMultiLvlLbl val="0"/>
      </c:catAx>
      <c:valAx>
        <c:axId val="1865978768"/>
        <c:scaling>
          <c:orientation val="minMax"/>
          <c:max val="4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TEmpo in nanosecondi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6598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22860</xdr:rowOff>
    </xdr:from>
    <xdr:to>
      <xdr:col>16</xdr:col>
      <xdr:colOff>45720</xdr:colOff>
      <xdr:row>25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87363DE-099A-C971-34FC-BF4C8334C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22860</xdr:rowOff>
    </xdr:from>
    <xdr:to>
      <xdr:col>16</xdr:col>
      <xdr:colOff>45720</xdr:colOff>
      <xdr:row>25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260A138-DA8E-4503-B3BB-EC41BAD27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22860</xdr:rowOff>
    </xdr:from>
    <xdr:to>
      <xdr:col>16</xdr:col>
      <xdr:colOff>45720</xdr:colOff>
      <xdr:row>25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6F30E8F-F3A8-4A36-938C-A77B4E7B5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22860</xdr:rowOff>
    </xdr:from>
    <xdr:to>
      <xdr:col>16</xdr:col>
      <xdr:colOff>45720</xdr:colOff>
      <xdr:row>25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A5E3549-3EE3-4352-9864-D061E66EB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22860</xdr:rowOff>
    </xdr:from>
    <xdr:to>
      <xdr:col>16</xdr:col>
      <xdr:colOff>45720</xdr:colOff>
      <xdr:row>25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BE74502-8C57-46FA-A080-D1998C016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22860</xdr:rowOff>
    </xdr:from>
    <xdr:to>
      <xdr:col>16</xdr:col>
      <xdr:colOff>45720</xdr:colOff>
      <xdr:row>25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1E803198-6A32-45BA-9907-0FAF2E7BFB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22860</xdr:rowOff>
    </xdr:from>
    <xdr:to>
      <xdr:col>16</xdr:col>
      <xdr:colOff>45720</xdr:colOff>
      <xdr:row>25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837A2B1-69A4-4873-B87D-571E030A9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22860</xdr:rowOff>
    </xdr:from>
    <xdr:to>
      <xdr:col>16</xdr:col>
      <xdr:colOff>45720</xdr:colOff>
      <xdr:row>25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7CCD7C0B-1EA7-4892-9C2A-E57B7350A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22860</xdr:rowOff>
    </xdr:from>
    <xdr:to>
      <xdr:col>16</xdr:col>
      <xdr:colOff>45720</xdr:colOff>
      <xdr:row>25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C556A5F-0F41-4EBA-A937-23998C7A4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594360</xdr:colOff>
      <xdr:row>2</xdr:row>
      <xdr:rowOff>22860</xdr:rowOff>
    </xdr:from>
    <xdr:to>
      <xdr:col>16</xdr:col>
      <xdr:colOff>45720</xdr:colOff>
      <xdr:row>25</xdr:row>
      <xdr:rowOff>22860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9FB4970-3923-4520-9ED3-7A0617506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</xdr:row>
      <xdr:rowOff>7620</xdr:rowOff>
    </xdr:from>
    <xdr:to>
      <xdr:col>15</xdr:col>
      <xdr:colOff>22860</xdr:colOff>
      <xdr:row>24</xdr:row>
      <xdr:rowOff>175260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7E2E2D0-8C53-C156-2911-23C37C12D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15240</xdr:colOff>
      <xdr:row>2</xdr:row>
      <xdr:rowOff>0</xdr:rowOff>
    </xdr:from>
    <xdr:to>
      <xdr:col>26</xdr:col>
      <xdr:colOff>0</xdr:colOff>
      <xdr:row>24</xdr:row>
      <xdr:rowOff>167640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E5C54A09-66FE-448E-A44E-A42A8E12F6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2</xdr:row>
      <xdr:rowOff>15240</xdr:rowOff>
    </xdr:from>
    <xdr:to>
      <xdr:col>15</xdr:col>
      <xdr:colOff>7620</xdr:colOff>
      <xdr:row>25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1B70D2B-D888-400F-8356-7A702C869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7620</xdr:colOff>
      <xdr:row>2</xdr:row>
      <xdr:rowOff>15240</xdr:rowOff>
    </xdr:from>
    <xdr:to>
      <xdr:col>25</xdr:col>
      <xdr:colOff>601980</xdr:colOff>
      <xdr:row>25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C7DEDA9-522B-4015-A17D-A61E137FF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2</xdr:row>
      <xdr:rowOff>15240</xdr:rowOff>
    </xdr:from>
    <xdr:to>
      <xdr:col>15</xdr:col>
      <xdr:colOff>601980</xdr:colOff>
      <xdr:row>25</xdr:row>
      <xdr:rowOff>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4912BF9-44CF-4D17-8BF5-A4637D10AF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15240</xdr:colOff>
      <xdr:row>2</xdr:row>
      <xdr:rowOff>0</xdr:rowOff>
    </xdr:from>
    <xdr:to>
      <xdr:col>27</xdr:col>
      <xdr:colOff>0</xdr:colOff>
      <xdr:row>24</xdr:row>
      <xdr:rowOff>167640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F6C7B9F5-EFC1-4C35-A6A6-B8C9C4DEE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382C41CE-F743-4A4D-9C33-20555CC88736}" autoFormatId="16" applyNumberFormats="0" applyBorderFormats="0" applyFontFormats="0" applyPatternFormats="0" applyAlignmentFormats="0" applyWidthHeightFormats="0">
  <queryTableRefresh nextId="13">
    <queryTableFields count="11">
      <queryTableField id="1" name="SeqId" tableColumnId="1"/>
      <queryTableField id="2" name="BubbleSortNComp" tableColumnId="2"/>
      <queryTableField id="3" name="BubbleSortTns" tableColumnId="3"/>
      <queryTableField id="4" name="InsertionSortNComp" tableColumnId="4"/>
      <queryTableField id="5" name="InsertionSortTns" tableColumnId="5"/>
      <queryTableField id="6" name="MergeSortNComp" tableColumnId="6"/>
      <queryTableField id="7" name="MergeSortTns" tableColumnId="7"/>
      <queryTableField id="8" name="QuickSortNComp" tableColumnId="8"/>
      <queryTableField id="9" name="QuickSortTns" tableColumnId="9"/>
      <queryTableField id="10" name="QuickSortRandomNComp" tableColumnId="10"/>
      <queryTableField id="11" name="QuickSortRandomTns" tableColumnId="11"/>
    </queryTableFields>
    <queryTableDeletedFields count="1">
      <deletedField name="Column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FAAC5C8C-C89D-4EA3-BDF0-03EBABE40EDB}" autoFormatId="16" applyNumberFormats="0" applyBorderFormats="0" applyFontFormats="0" applyPatternFormats="0" applyAlignmentFormats="0" applyWidthHeightFormats="0">
  <queryTableRefresh nextId="13">
    <queryTableFields count="11">
      <queryTableField id="1" name="SeqId" tableColumnId="1"/>
      <queryTableField id="2" name="BubbleSortNComp" tableColumnId="2"/>
      <queryTableField id="3" name="BubbleSortTns" tableColumnId="3"/>
      <queryTableField id="4" name="InsertionSortNComp" tableColumnId="4"/>
      <queryTableField id="5" name="InsertionSortTns" tableColumnId="5"/>
      <queryTableField id="6" name="MergeSortNComp" tableColumnId="6"/>
      <queryTableField id="7" name="MergeSortTns" tableColumnId="7"/>
      <queryTableField id="8" name="QuickSortNComp" tableColumnId="8"/>
      <queryTableField id="9" name="QuickSortTns" tableColumnId="9"/>
      <queryTableField id="10" name="QuickSortRandomNComp" tableColumnId="10"/>
      <queryTableField id="11" name="QuickSortRandomTns" tableColumnId="11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E9158-8C07-427A-8C87-4F80006AFD60}" name="evalfram" displayName="evalfram" ref="A1:K3001" tableType="queryTable" totalsRowShown="0">
  <autoFilter ref="A1:K3001" xr:uid="{F41E9158-8C07-427A-8C87-4F80006AFD60}"/>
  <tableColumns count="11">
    <tableColumn id="1" xr3:uid="{B37E513C-587A-41D0-84D5-9693601ECAD6}" uniqueName="1" name="SeqId" queryTableFieldId="1" dataDxfId="13"/>
    <tableColumn id="2" xr3:uid="{47B0C5F7-CE6F-479B-B999-55696EAEBC92}" uniqueName="2" name="BubbleSortNComp" queryTableFieldId="2"/>
    <tableColumn id="3" xr3:uid="{0069E985-4045-4D3D-9428-3BFCAFE226A5}" uniqueName="3" name="BubbleSortTns" queryTableFieldId="3"/>
    <tableColumn id="4" xr3:uid="{470147A5-FB6D-4DF3-9C28-A8FCECA04C30}" uniqueName="4" name="InsertionSortNComp" queryTableFieldId="4"/>
    <tableColumn id="5" xr3:uid="{C945BB22-A0EF-46DF-8658-B84A47461B9B}" uniqueName="5" name="InsertionSortTns" queryTableFieldId="5"/>
    <tableColumn id="6" xr3:uid="{0B47CB79-EF56-4E07-A66F-36ADFC2DCFD6}" uniqueName="6" name="MergeSortNComp" queryTableFieldId="6"/>
    <tableColumn id="7" xr3:uid="{61379074-4CC6-497D-8D39-97E5AAA654AA}" uniqueName="7" name="MergeSortTns" queryTableFieldId="7"/>
    <tableColumn id="8" xr3:uid="{68579473-C69F-4504-9CE7-2BBDA851E474}" uniqueName="8" name="QuickSortNComp" queryTableFieldId="8"/>
    <tableColumn id="9" xr3:uid="{66BFEE85-9E95-42A2-8B58-7BDA15BF0FDB}" uniqueName="9" name="QuickSortTns" queryTableFieldId="9"/>
    <tableColumn id="10" xr3:uid="{2F4FC033-020D-49EF-8C9B-AC3C16AC3616}" uniqueName="10" name="QuickSortRandomNComp" queryTableFieldId="10"/>
    <tableColumn id="11" xr3:uid="{5F2AFDF4-66D7-4371-8395-17BD8E854A9A}" uniqueName="11" name="QuickSortRandomTns" queryTableFieldId="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CD7153-C9B9-4C47-9D1D-F3AE96A3A0FA}" name="evalfram3" displayName="evalfram3" ref="A1:K3001" tableType="queryTable" totalsRowShown="0" headerRowDxfId="12" dataDxfId="11">
  <autoFilter ref="A1:K3001" xr:uid="{3ACD7153-C9B9-4C47-9D1D-F3AE96A3A0FA}"/>
  <tableColumns count="11">
    <tableColumn id="1" xr3:uid="{1C259E37-832A-47E8-977D-0B080F2690FB}" uniqueName="1" name="SeqId" queryTableFieldId="1" dataDxfId="10"/>
    <tableColumn id="2" xr3:uid="{3C69D260-B816-4A68-B116-ED1584EEC189}" uniqueName="2" name="BubbleSortNComp" queryTableFieldId="2" dataDxfId="9"/>
    <tableColumn id="3" xr3:uid="{E7E65331-EE54-4B03-B7B6-8548302D6BBD}" uniqueName="3" name="BubbleSortTns" queryTableFieldId="3" dataDxfId="8"/>
    <tableColumn id="4" xr3:uid="{DB2AD1B7-7870-4B5E-AA92-9E2E4D7A6949}" uniqueName="4" name="InsertionSortNComp" queryTableFieldId="4" dataDxfId="7"/>
    <tableColumn id="5" xr3:uid="{967939E0-7354-4683-9AE1-41831BA70B70}" uniqueName="5" name="InsertionSortTns" queryTableFieldId="5" dataDxfId="6"/>
    <tableColumn id="6" xr3:uid="{A8CE5168-052C-4AA7-B71A-58A0868BF50E}" uniqueName="6" name="MergeSortNComp" queryTableFieldId="6" dataDxfId="5"/>
    <tableColumn id="7" xr3:uid="{29501FCE-83EC-472C-BF9C-92CED02D96DE}" uniqueName="7" name="MergeSortTns" queryTableFieldId="7" dataDxfId="4"/>
    <tableColumn id="8" xr3:uid="{06F9352C-D6E6-4B55-AE98-D98F1B0BD805}" uniqueName="8" name="QuickSortNComp" queryTableFieldId="8" dataDxfId="3"/>
    <tableColumn id="9" xr3:uid="{7A04AD06-C4AD-4399-9BED-4789ED5E7494}" uniqueName="9" name="QuickSortTns" queryTableFieldId="9" dataDxfId="2"/>
    <tableColumn id="10" xr3:uid="{1743A3FD-09BF-4309-BA49-FBCE754E8279}" uniqueName="10" name="QuickSortRandomNComp" queryTableFieldId="10" dataDxfId="1"/>
    <tableColumn id="11" xr3:uid="{AF86C607-C306-442F-A226-0CA8312420F6}" uniqueName="11" name="QuickSortRandomTns" queryTableFieldId="1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1A143-D7A5-4A1C-B064-CE8AF315DD55}">
  <dimension ref="A1:K3001"/>
  <sheetViews>
    <sheetView topLeftCell="F1" workbookViewId="0">
      <selection sqref="A1:XFD1048576"/>
    </sheetView>
  </sheetViews>
  <sheetFormatPr defaultRowHeight="14.4" x14ac:dyDescent="0.3"/>
  <cols>
    <col min="1" max="1" width="11.44140625" bestFit="1" customWidth="1"/>
    <col min="2" max="2" width="18.21875" bestFit="1" customWidth="1"/>
    <col min="3" max="3" width="14.77734375" bestFit="1" customWidth="1"/>
    <col min="4" max="4" width="19.77734375" customWidth="1"/>
    <col min="5" max="5" width="16.33203125" bestFit="1" customWidth="1"/>
    <col min="6" max="6" width="17.6640625" bestFit="1" customWidth="1"/>
    <col min="7" max="7" width="14.21875" bestFit="1" customWidth="1"/>
    <col min="8" max="8" width="17.33203125" bestFit="1" customWidth="1"/>
    <col min="9" max="9" width="13.88671875" bestFit="1" customWidth="1"/>
    <col min="10" max="10" width="24.21875" bestFit="1" customWidth="1"/>
    <col min="11" max="11" width="20.77734375" bestFit="1" customWidth="1"/>
    <col min="12" max="12" width="10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1225</v>
      </c>
      <c r="C2">
        <v>11250800</v>
      </c>
      <c r="D2">
        <v>672</v>
      </c>
      <c r="E2">
        <v>187400</v>
      </c>
      <c r="F2">
        <v>226</v>
      </c>
      <c r="G2">
        <v>462800</v>
      </c>
      <c r="H2">
        <v>216</v>
      </c>
      <c r="I2">
        <v>147400</v>
      </c>
      <c r="J2">
        <v>258</v>
      </c>
      <c r="K2">
        <v>213700</v>
      </c>
    </row>
    <row r="3" spans="1:11" x14ac:dyDescent="0.3">
      <c r="A3" t="s">
        <v>12</v>
      </c>
      <c r="B3">
        <v>1225</v>
      </c>
      <c r="C3">
        <v>307000</v>
      </c>
      <c r="D3">
        <v>620</v>
      </c>
      <c r="E3">
        <v>138800</v>
      </c>
      <c r="F3">
        <v>452</v>
      </c>
      <c r="G3">
        <v>339500</v>
      </c>
      <c r="H3">
        <v>477</v>
      </c>
      <c r="I3">
        <v>85600</v>
      </c>
      <c r="J3">
        <v>485</v>
      </c>
      <c r="K3">
        <v>141400</v>
      </c>
    </row>
    <row r="4" spans="1:11" x14ac:dyDescent="0.3">
      <c r="A4" t="s">
        <v>13</v>
      </c>
      <c r="B4">
        <v>1225</v>
      </c>
      <c r="C4">
        <v>728600</v>
      </c>
      <c r="D4">
        <v>752</v>
      </c>
      <c r="E4">
        <v>273300</v>
      </c>
      <c r="F4">
        <v>677</v>
      </c>
      <c r="G4">
        <v>327300</v>
      </c>
      <c r="H4">
        <v>705</v>
      </c>
      <c r="I4">
        <v>82500</v>
      </c>
      <c r="J4">
        <v>829</v>
      </c>
      <c r="K4">
        <v>161100</v>
      </c>
    </row>
    <row r="5" spans="1:11" x14ac:dyDescent="0.3">
      <c r="A5" t="s">
        <v>14</v>
      </c>
      <c r="B5">
        <v>1225</v>
      </c>
      <c r="C5">
        <v>396200</v>
      </c>
      <c r="D5">
        <v>733</v>
      </c>
      <c r="E5">
        <v>186100</v>
      </c>
      <c r="F5">
        <v>899</v>
      </c>
      <c r="G5">
        <v>229800</v>
      </c>
      <c r="H5">
        <v>965</v>
      </c>
      <c r="I5">
        <v>85600</v>
      </c>
      <c r="J5">
        <v>1089</v>
      </c>
      <c r="K5">
        <v>108100</v>
      </c>
    </row>
    <row r="6" spans="1:11" x14ac:dyDescent="0.3">
      <c r="A6" t="s">
        <v>15</v>
      </c>
      <c r="B6">
        <v>1225</v>
      </c>
      <c r="C6">
        <v>457000</v>
      </c>
      <c r="D6">
        <v>718</v>
      </c>
      <c r="E6">
        <v>211900</v>
      </c>
      <c r="F6">
        <v>1118</v>
      </c>
      <c r="G6">
        <v>243900</v>
      </c>
      <c r="H6">
        <v>1235</v>
      </c>
      <c r="I6">
        <v>118300</v>
      </c>
      <c r="J6">
        <v>1317</v>
      </c>
      <c r="K6">
        <v>155900</v>
      </c>
    </row>
    <row r="7" spans="1:11" x14ac:dyDescent="0.3">
      <c r="A7" t="s">
        <v>16</v>
      </c>
      <c r="B7">
        <v>1225</v>
      </c>
      <c r="C7">
        <v>438300</v>
      </c>
      <c r="D7">
        <v>653</v>
      </c>
      <c r="E7">
        <v>186100</v>
      </c>
      <c r="F7">
        <v>1340</v>
      </c>
      <c r="G7">
        <v>121700</v>
      </c>
      <c r="H7">
        <v>1497</v>
      </c>
      <c r="I7">
        <v>141800</v>
      </c>
      <c r="J7">
        <v>1587</v>
      </c>
      <c r="K7">
        <v>143800</v>
      </c>
    </row>
    <row r="8" spans="1:11" x14ac:dyDescent="0.3">
      <c r="A8" t="s">
        <v>17</v>
      </c>
      <c r="B8">
        <v>1225</v>
      </c>
      <c r="C8">
        <v>408500</v>
      </c>
      <c r="D8">
        <v>562</v>
      </c>
      <c r="E8">
        <v>168900</v>
      </c>
      <c r="F8">
        <v>1560</v>
      </c>
      <c r="G8">
        <v>64400</v>
      </c>
      <c r="H8">
        <v>1784</v>
      </c>
      <c r="I8">
        <v>187900</v>
      </c>
      <c r="J8">
        <v>1843</v>
      </c>
      <c r="K8">
        <v>185900</v>
      </c>
    </row>
    <row r="9" spans="1:11" x14ac:dyDescent="0.3">
      <c r="A9" t="s">
        <v>18</v>
      </c>
      <c r="B9">
        <v>1225</v>
      </c>
      <c r="C9">
        <v>302100</v>
      </c>
      <c r="D9">
        <v>615</v>
      </c>
      <c r="E9">
        <v>120000</v>
      </c>
      <c r="F9">
        <v>1778</v>
      </c>
      <c r="G9">
        <v>99800</v>
      </c>
      <c r="H9">
        <v>2047</v>
      </c>
      <c r="I9">
        <v>81400</v>
      </c>
      <c r="J9">
        <v>2113</v>
      </c>
      <c r="K9">
        <v>92900</v>
      </c>
    </row>
    <row r="10" spans="1:11" x14ac:dyDescent="0.3">
      <c r="A10" t="s">
        <v>19</v>
      </c>
      <c r="B10">
        <v>1225</v>
      </c>
      <c r="C10">
        <v>290700</v>
      </c>
      <c r="D10">
        <v>629</v>
      </c>
      <c r="E10">
        <v>118300</v>
      </c>
      <c r="F10">
        <v>1997</v>
      </c>
      <c r="G10">
        <v>32400</v>
      </c>
      <c r="H10">
        <v>2301</v>
      </c>
      <c r="I10">
        <v>75800</v>
      </c>
      <c r="J10">
        <v>2338</v>
      </c>
      <c r="K10">
        <v>75800</v>
      </c>
    </row>
    <row r="11" spans="1:11" x14ac:dyDescent="0.3">
      <c r="A11" t="s">
        <v>20</v>
      </c>
      <c r="B11">
        <v>1225</v>
      </c>
      <c r="C11">
        <v>533700</v>
      </c>
      <c r="D11">
        <v>743</v>
      </c>
      <c r="E11">
        <v>213800</v>
      </c>
      <c r="F11">
        <v>2217</v>
      </c>
      <c r="G11">
        <v>62700</v>
      </c>
      <c r="H11">
        <v>2565</v>
      </c>
      <c r="I11">
        <v>98400</v>
      </c>
      <c r="J11">
        <v>2569</v>
      </c>
      <c r="K11">
        <v>113600</v>
      </c>
    </row>
    <row r="12" spans="1:11" x14ac:dyDescent="0.3">
      <c r="A12" t="s">
        <v>21</v>
      </c>
      <c r="B12">
        <v>1225</v>
      </c>
      <c r="C12">
        <v>436900</v>
      </c>
      <c r="D12">
        <v>687</v>
      </c>
      <c r="E12">
        <v>198700</v>
      </c>
      <c r="F12">
        <v>2437</v>
      </c>
      <c r="G12">
        <v>59400</v>
      </c>
      <c r="H12">
        <v>2813</v>
      </c>
      <c r="I12">
        <v>103200</v>
      </c>
      <c r="J12">
        <v>2828</v>
      </c>
      <c r="K12">
        <v>120600</v>
      </c>
    </row>
    <row r="13" spans="1:11" x14ac:dyDescent="0.3">
      <c r="A13" t="s">
        <v>22</v>
      </c>
      <c r="B13">
        <v>1225</v>
      </c>
      <c r="C13">
        <v>438200</v>
      </c>
      <c r="D13">
        <v>600</v>
      </c>
      <c r="E13">
        <v>173700</v>
      </c>
      <c r="F13">
        <v>2658</v>
      </c>
      <c r="G13">
        <v>76100</v>
      </c>
      <c r="H13">
        <v>3082</v>
      </c>
      <c r="I13">
        <v>105800</v>
      </c>
      <c r="J13">
        <v>3114</v>
      </c>
      <c r="K13">
        <v>110800</v>
      </c>
    </row>
    <row r="14" spans="1:11" x14ac:dyDescent="0.3">
      <c r="A14" t="s">
        <v>23</v>
      </c>
      <c r="B14">
        <v>1225</v>
      </c>
      <c r="C14">
        <v>309200</v>
      </c>
      <c r="D14">
        <v>639</v>
      </c>
      <c r="E14">
        <v>128200</v>
      </c>
      <c r="F14">
        <v>2880</v>
      </c>
      <c r="G14">
        <v>31300</v>
      </c>
      <c r="H14">
        <v>3377</v>
      </c>
      <c r="I14">
        <v>78800</v>
      </c>
      <c r="J14">
        <v>3367</v>
      </c>
      <c r="K14">
        <v>100200</v>
      </c>
    </row>
    <row r="15" spans="1:11" x14ac:dyDescent="0.3">
      <c r="A15" t="s">
        <v>24</v>
      </c>
      <c r="B15">
        <v>1225</v>
      </c>
      <c r="C15">
        <v>307900</v>
      </c>
      <c r="D15">
        <v>629</v>
      </c>
      <c r="E15">
        <v>124400</v>
      </c>
      <c r="F15">
        <v>3102</v>
      </c>
      <c r="G15">
        <v>31900</v>
      </c>
      <c r="H15">
        <v>3656</v>
      </c>
      <c r="I15">
        <v>89600</v>
      </c>
      <c r="J15">
        <v>3632</v>
      </c>
      <c r="K15">
        <v>36100</v>
      </c>
    </row>
    <row r="16" spans="1:11" x14ac:dyDescent="0.3">
      <c r="A16" t="s">
        <v>25</v>
      </c>
      <c r="B16">
        <v>1225</v>
      </c>
      <c r="C16">
        <v>297600</v>
      </c>
      <c r="D16">
        <v>670</v>
      </c>
      <c r="E16">
        <v>128500</v>
      </c>
      <c r="F16">
        <v>3324</v>
      </c>
      <c r="G16">
        <v>31200</v>
      </c>
      <c r="H16">
        <v>3875</v>
      </c>
      <c r="I16">
        <v>107000</v>
      </c>
      <c r="J16">
        <v>3958</v>
      </c>
      <c r="K16">
        <v>60200</v>
      </c>
    </row>
    <row r="17" spans="1:11" x14ac:dyDescent="0.3">
      <c r="A17" t="s">
        <v>26</v>
      </c>
      <c r="B17">
        <v>1225</v>
      </c>
      <c r="C17">
        <v>284800</v>
      </c>
      <c r="D17">
        <v>572</v>
      </c>
      <c r="E17">
        <v>115000</v>
      </c>
      <c r="F17">
        <v>3539</v>
      </c>
      <c r="G17">
        <v>32500</v>
      </c>
      <c r="H17">
        <v>4158</v>
      </c>
      <c r="I17">
        <v>12500</v>
      </c>
      <c r="J17">
        <v>4237</v>
      </c>
      <c r="K17">
        <v>20500</v>
      </c>
    </row>
    <row r="18" spans="1:11" x14ac:dyDescent="0.3">
      <c r="A18" t="s">
        <v>27</v>
      </c>
      <c r="B18">
        <v>1225</v>
      </c>
      <c r="C18">
        <v>287200</v>
      </c>
      <c r="D18">
        <v>595</v>
      </c>
      <c r="E18">
        <v>117300</v>
      </c>
      <c r="F18">
        <v>3761</v>
      </c>
      <c r="G18">
        <v>31400</v>
      </c>
      <c r="H18">
        <v>4404</v>
      </c>
      <c r="I18">
        <v>11700</v>
      </c>
      <c r="J18">
        <v>4471</v>
      </c>
      <c r="K18">
        <v>13900</v>
      </c>
    </row>
    <row r="19" spans="1:11" x14ac:dyDescent="0.3">
      <c r="A19" t="s">
        <v>28</v>
      </c>
      <c r="B19">
        <v>1225</v>
      </c>
      <c r="C19">
        <v>285800</v>
      </c>
      <c r="D19">
        <v>544</v>
      </c>
      <c r="E19">
        <v>109400</v>
      </c>
      <c r="F19">
        <v>3987</v>
      </c>
      <c r="G19">
        <v>45300</v>
      </c>
      <c r="H19">
        <v>4654</v>
      </c>
      <c r="I19">
        <v>13100</v>
      </c>
      <c r="J19">
        <v>4744</v>
      </c>
      <c r="K19">
        <v>15000</v>
      </c>
    </row>
    <row r="20" spans="1:11" x14ac:dyDescent="0.3">
      <c r="A20" t="s">
        <v>29</v>
      </c>
      <c r="B20">
        <v>1225</v>
      </c>
      <c r="C20">
        <v>306000</v>
      </c>
      <c r="D20">
        <v>653</v>
      </c>
      <c r="E20">
        <v>127400</v>
      </c>
      <c r="F20">
        <v>4207</v>
      </c>
      <c r="G20">
        <v>34700</v>
      </c>
      <c r="H20">
        <v>4875</v>
      </c>
      <c r="I20">
        <v>11400</v>
      </c>
      <c r="J20">
        <v>4961</v>
      </c>
      <c r="K20">
        <v>13100</v>
      </c>
    </row>
    <row r="21" spans="1:11" x14ac:dyDescent="0.3">
      <c r="A21" t="s">
        <v>30</v>
      </c>
      <c r="B21">
        <v>1225</v>
      </c>
      <c r="C21">
        <v>302500</v>
      </c>
      <c r="D21">
        <v>677</v>
      </c>
      <c r="E21">
        <v>136500</v>
      </c>
      <c r="F21">
        <v>4428</v>
      </c>
      <c r="G21">
        <v>32500</v>
      </c>
      <c r="H21">
        <v>5197</v>
      </c>
      <c r="I21">
        <v>13200</v>
      </c>
      <c r="J21">
        <v>5220</v>
      </c>
      <c r="K21">
        <v>15000</v>
      </c>
    </row>
    <row r="22" spans="1:11" x14ac:dyDescent="0.3">
      <c r="A22" t="s">
        <v>31</v>
      </c>
      <c r="B22">
        <v>1225</v>
      </c>
      <c r="C22">
        <v>356400</v>
      </c>
      <c r="D22">
        <v>656</v>
      </c>
      <c r="E22">
        <v>133700</v>
      </c>
      <c r="F22">
        <v>4650</v>
      </c>
      <c r="G22">
        <v>41600</v>
      </c>
      <c r="H22">
        <v>5467</v>
      </c>
      <c r="I22">
        <v>12700</v>
      </c>
      <c r="J22">
        <v>5497</v>
      </c>
      <c r="K22">
        <v>15600</v>
      </c>
    </row>
    <row r="23" spans="1:11" x14ac:dyDescent="0.3">
      <c r="A23" t="s">
        <v>32</v>
      </c>
      <c r="B23">
        <v>1225</v>
      </c>
      <c r="C23">
        <v>462700</v>
      </c>
      <c r="D23">
        <v>790</v>
      </c>
      <c r="E23">
        <v>275300</v>
      </c>
      <c r="F23">
        <v>4873</v>
      </c>
      <c r="G23">
        <v>68400</v>
      </c>
      <c r="H23">
        <v>5730</v>
      </c>
      <c r="I23">
        <v>16900</v>
      </c>
      <c r="J23">
        <v>5736</v>
      </c>
      <c r="K23">
        <v>22000</v>
      </c>
    </row>
    <row r="24" spans="1:11" x14ac:dyDescent="0.3">
      <c r="A24" t="s">
        <v>33</v>
      </c>
      <c r="B24">
        <v>1225</v>
      </c>
      <c r="C24">
        <v>339500</v>
      </c>
      <c r="D24">
        <v>657</v>
      </c>
      <c r="E24">
        <v>127200</v>
      </c>
      <c r="F24">
        <v>5095</v>
      </c>
      <c r="G24">
        <v>46500</v>
      </c>
      <c r="H24">
        <v>5994</v>
      </c>
      <c r="I24">
        <v>14000</v>
      </c>
      <c r="J24">
        <v>5992</v>
      </c>
      <c r="K24">
        <v>15700</v>
      </c>
    </row>
    <row r="25" spans="1:11" x14ac:dyDescent="0.3">
      <c r="A25" t="s">
        <v>34</v>
      </c>
      <c r="B25">
        <v>1225</v>
      </c>
      <c r="C25">
        <v>290100</v>
      </c>
      <c r="D25">
        <v>613</v>
      </c>
      <c r="E25">
        <v>119100</v>
      </c>
      <c r="F25">
        <v>5322</v>
      </c>
      <c r="G25">
        <v>32600</v>
      </c>
      <c r="H25">
        <v>6250</v>
      </c>
      <c r="I25">
        <v>13000</v>
      </c>
      <c r="J25">
        <v>6227</v>
      </c>
      <c r="K25">
        <v>14700</v>
      </c>
    </row>
    <row r="26" spans="1:11" x14ac:dyDescent="0.3">
      <c r="A26" t="s">
        <v>35</v>
      </c>
      <c r="B26">
        <v>1225</v>
      </c>
      <c r="C26">
        <v>294200</v>
      </c>
      <c r="D26">
        <v>595</v>
      </c>
      <c r="E26">
        <v>121100</v>
      </c>
      <c r="F26">
        <v>5543</v>
      </c>
      <c r="G26">
        <v>49000</v>
      </c>
      <c r="H26">
        <v>6506</v>
      </c>
      <c r="I26">
        <v>12100</v>
      </c>
      <c r="J26">
        <v>6501</v>
      </c>
      <c r="K26">
        <v>14900</v>
      </c>
    </row>
    <row r="27" spans="1:11" x14ac:dyDescent="0.3">
      <c r="A27" t="s">
        <v>36</v>
      </c>
      <c r="B27">
        <v>1225</v>
      </c>
      <c r="C27">
        <v>298200</v>
      </c>
      <c r="D27">
        <v>606</v>
      </c>
      <c r="E27">
        <v>126000</v>
      </c>
      <c r="F27">
        <v>5769</v>
      </c>
      <c r="G27">
        <v>47500</v>
      </c>
      <c r="H27">
        <v>6761</v>
      </c>
      <c r="I27">
        <v>21100</v>
      </c>
      <c r="J27">
        <v>6737</v>
      </c>
      <c r="K27">
        <v>24000</v>
      </c>
    </row>
    <row r="28" spans="1:11" x14ac:dyDescent="0.3">
      <c r="A28" t="s">
        <v>37</v>
      </c>
      <c r="B28">
        <v>1225</v>
      </c>
      <c r="C28">
        <v>374900</v>
      </c>
      <c r="D28">
        <v>682</v>
      </c>
      <c r="E28">
        <v>171100</v>
      </c>
      <c r="F28">
        <v>5994</v>
      </c>
      <c r="G28">
        <v>65700</v>
      </c>
      <c r="H28">
        <v>6995</v>
      </c>
      <c r="I28">
        <v>19800</v>
      </c>
      <c r="J28">
        <v>7038</v>
      </c>
      <c r="K28">
        <v>24800</v>
      </c>
    </row>
    <row r="29" spans="1:11" x14ac:dyDescent="0.3">
      <c r="A29" t="s">
        <v>38</v>
      </c>
      <c r="B29">
        <v>1225</v>
      </c>
      <c r="C29">
        <v>280500</v>
      </c>
      <c r="D29">
        <v>548</v>
      </c>
      <c r="E29">
        <v>117600</v>
      </c>
      <c r="F29">
        <v>6219</v>
      </c>
      <c r="G29">
        <v>32400</v>
      </c>
      <c r="H29">
        <v>7205</v>
      </c>
      <c r="I29">
        <v>11700</v>
      </c>
      <c r="J29">
        <v>7273</v>
      </c>
      <c r="K29">
        <v>13700</v>
      </c>
    </row>
    <row r="30" spans="1:11" x14ac:dyDescent="0.3">
      <c r="A30" t="s">
        <v>39</v>
      </c>
      <c r="B30">
        <v>1225</v>
      </c>
      <c r="C30">
        <v>316200</v>
      </c>
      <c r="D30">
        <v>694</v>
      </c>
      <c r="E30">
        <v>137700</v>
      </c>
      <c r="F30">
        <v>6439</v>
      </c>
      <c r="G30">
        <v>47000</v>
      </c>
      <c r="H30">
        <v>7445</v>
      </c>
      <c r="I30">
        <v>11800</v>
      </c>
      <c r="J30">
        <v>7504</v>
      </c>
      <c r="K30">
        <v>13900</v>
      </c>
    </row>
    <row r="31" spans="1:11" x14ac:dyDescent="0.3">
      <c r="A31" t="s">
        <v>40</v>
      </c>
      <c r="B31">
        <v>1225</v>
      </c>
      <c r="C31">
        <v>369900</v>
      </c>
      <c r="D31">
        <v>666</v>
      </c>
      <c r="E31">
        <v>163100</v>
      </c>
      <c r="F31">
        <v>6656</v>
      </c>
      <c r="G31">
        <v>73100</v>
      </c>
      <c r="H31">
        <v>7733</v>
      </c>
      <c r="I31">
        <v>23400</v>
      </c>
      <c r="J31">
        <v>7819</v>
      </c>
      <c r="K31">
        <v>29700</v>
      </c>
    </row>
    <row r="32" spans="1:11" x14ac:dyDescent="0.3">
      <c r="A32" t="s">
        <v>41</v>
      </c>
      <c r="B32">
        <v>1225</v>
      </c>
      <c r="C32">
        <v>369900</v>
      </c>
      <c r="D32">
        <v>577</v>
      </c>
      <c r="E32">
        <v>150700</v>
      </c>
      <c r="F32">
        <v>6885</v>
      </c>
      <c r="G32">
        <v>71300</v>
      </c>
      <c r="H32">
        <v>7953</v>
      </c>
      <c r="I32">
        <v>13200</v>
      </c>
      <c r="J32">
        <v>8050</v>
      </c>
      <c r="K32">
        <v>15100</v>
      </c>
    </row>
    <row r="33" spans="1:11" x14ac:dyDescent="0.3">
      <c r="A33" t="s">
        <v>42</v>
      </c>
      <c r="B33">
        <v>1225</v>
      </c>
      <c r="C33">
        <v>369300</v>
      </c>
      <c r="D33">
        <v>724</v>
      </c>
      <c r="E33">
        <v>183700</v>
      </c>
      <c r="F33">
        <v>7108</v>
      </c>
      <c r="G33">
        <v>47300</v>
      </c>
      <c r="H33">
        <v>8191</v>
      </c>
      <c r="I33">
        <v>14700</v>
      </c>
      <c r="J33">
        <v>8293</v>
      </c>
      <c r="K33">
        <v>18500</v>
      </c>
    </row>
    <row r="34" spans="1:11" x14ac:dyDescent="0.3">
      <c r="A34" t="s">
        <v>43</v>
      </c>
      <c r="B34">
        <v>1225</v>
      </c>
      <c r="C34">
        <v>323900</v>
      </c>
      <c r="D34">
        <v>785</v>
      </c>
      <c r="E34">
        <v>149900</v>
      </c>
      <c r="F34">
        <v>7335</v>
      </c>
      <c r="G34">
        <v>55500</v>
      </c>
      <c r="H34">
        <v>8447</v>
      </c>
      <c r="I34">
        <v>22900</v>
      </c>
      <c r="J34">
        <v>8558</v>
      </c>
      <c r="K34">
        <v>27600</v>
      </c>
    </row>
    <row r="35" spans="1:11" x14ac:dyDescent="0.3">
      <c r="A35" t="s">
        <v>44</v>
      </c>
      <c r="B35">
        <v>1225</v>
      </c>
      <c r="C35">
        <v>419900</v>
      </c>
      <c r="D35">
        <v>578</v>
      </c>
      <c r="E35">
        <v>170400</v>
      </c>
      <c r="F35">
        <v>7553</v>
      </c>
      <c r="G35">
        <v>73100</v>
      </c>
      <c r="H35">
        <v>8681</v>
      </c>
      <c r="I35">
        <v>22400</v>
      </c>
      <c r="J35">
        <v>8808</v>
      </c>
      <c r="K35">
        <v>26900</v>
      </c>
    </row>
    <row r="36" spans="1:11" x14ac:dyDescent="0.3">
      <c r="A36" t="s">
        <v>45</v>
      </c>
      <c r="B36">
        <v>1225</v>
      </c>
      <c r="C36">
        <v>638000</v>
      </c>
      <c r="D36">
        <v>681</v>
      </c>
      <c r="E36">
        <v>250300</v>
      </c>
      <c r="F36">
        <v>7774</v>
      </c>
      <c r="G36">
        <v>58900</v>
      </c>
      <c r="H36">
        <v>8915</v>
      </c>
      <c r="I36">
        <v>20500</v>
      </c>
      <c r="J36">
        <v>9042</v>
      </c>
      <c r="K36">
        <v>25000</v>
      </c>
    </row>
    <row r="37" spans="1:11" x14ac:dyDescent="0.3">
      <c r="A37" t="s">
        <v>46</v>
      </c>
      <c r="B37">
        <v>1225</v>
      </c>
      <c r="C37">
        <v>310800</v>
      </c>
      <c r="D37">
        <v>668</v>
      </c>
      <c r="E37">
        <v>132100</v>
      </c>
      <c r="F37">
        <v>7990</v>
      </c>
      <c r="G37">
        <v>32300</v>
      </c>
      <c r="H37">
        <v>9208</v>
      </c>
      <c r="I37">
        <v>13300</v>
      </c>
      <c r="J37">
        <v>9295</v>
      </c>
      <c r="K37">
        <v>15300</v>
      </c>
    </row>
    <row r="38" spans="1:11" x14ac:dyDescent="0.3">
      <c r="A38" t="s">
        <v>47</v>
      </c>
      <c r="B38">
        <v>1225</v>
      </c>
      <c r="C38">
        <v>437100</v>
      </c>
      <c r="D38">
        <v>693</v>
      </c>
      <c r="E38">
        <v>196000</v>
      </c>
      <c r="F38">
        <v>8213</v>
      </c>
      <c r="G38">
        <v>61100</v>
      </c>
      <c r="H38">
        <v>9462</v>
      </c>
      <c r="I38">
        <v>26200</v>
      </c>
      <c r="J38">
        <v>9531</v>
      </c>
      <c r="K38">
        <v>24400</v>
      </c>
    </row>
    <row r="39" spans="1:11" x14ac:dyDescent="0.3">
      <c r="A39" t="s">
        <v>48</v>
      </c>
      <c r="B39">
        <v>1225</v>
      </c>
      <c r="C39">
        <v>517700</v>
      </c>
      <c r="D39">
        <v>736</v>
      </c>
      <c r="E39">
        <v>193200</v>
      </c>
      <c r="F39">
        <v>8434</v>
      </c>
      <c r="G39">
        <v>56300</v>
      </c>
      <c r="H39">
        <v>9766</v>
      </c>
      <c r="I39">
        <v>26200</v>
      </c>
      <c r="J39">
        <v>9794</v>
      </c>
      <c r="K39">
        <v>26800</v>
      </c>
    </row>
    <row r="40" spans="1:11" x14ac:dyDescent="0.3">
      <c r="A40" t="s">
        <v>49</v>
      </c>
      <c r="B40">
        <v>1225</v>
      </c>
      <c r="C40">
        <v>405600</v>
      </c>
      <c r="D40">
        <v>699</v>
      </c>
      <c r="E40">
        <v>187900</v>
      </c>
      <c r="F40">
        <v>8655</v>
      </c>
      <c r="G40">
        <v>69100</v>
      </c>
      <c r="H40">
        <v>10052</v>
      </c>
      <c r="I40">
        <v>31100</v>
      </c>
      <c r="J40">
        <v>10095</v>
      </c>
      <c r="K40">
        <v>28500</v>
      </c>
    </row>
    <row r="41" spans="1:11" x14ac:dyDescent="0.3">
      <c r="A41" t="s">
        <v>50</v>
      </c>
      <c r="B41">
        <v>1225</v>
      </c>
      <c r="C41">
        <v>315200</v>
      </c>
      <c r="D41">
        <v>715</v>
      </c>
      <c r="E41">
        <v>142000</v>
      </c>
      <c r="F41">
        <v>8877</v>
      </c>
      <c r="G41">
        <v>43600</v>
      </c>
      <c r="H41">
        <v>10350</v>
      </c>
      <c r="I41">
        <v>14200</v>
      </c>
      <c r="J41">
        <v>10413</v>
      </c>
      <c r="K41">
        <v>16500</v>
      </c>
    </row>
    <row r="42" spans="1:11" x14ac:dyDescent="0.3">
      <c r="A42" t="s">
        <v>51</v>
      </c>
      <c r="B42">
        <v>1225</v>
      </c>
      <c r="C42">
        <v>318300</v>
      </c>
      <c r="D42">
        <v>694</v>
      </c>
      <c r="E42">
        <v>134700</v>
      </c>
      <c r="F42">
        <v>9100</v>
      </c>
      <c r="G42">
        <v>29600</v>
      </c>
      <c r="H42">
        <v>10685</v>
      </c>
      <c r="I42">
        <v>15300</v>
      </c>
      <c r="J42">
        <v>10625</v>
      </c>
      <c r="K42">
        <v>12900</v>
      </c>
    </row>
    <row r="43" spans="1:11" x14ac:dyDescent="0.3">
      <c r="A43" t="s">
        <v>52</v>
      </c>
      <c r="B43">
        <v>1225</v>
      </c>
      <c r="C43">
        <v>303600</v>
      </c>
      <c r="D43">
        <v>628</v>
      </c>
      <c r="E43">
        <v>121800</v>
      </c>
      <c r="F43">
        <v>9319</v>
      </c>
      <c r="G43">
        <v>29300</v>
      </c>
      <c r="H43">
        <v>10958</v>
      </c>
      <c r="I43">
        <v>11700</v>
      </c>
      <c r="J43">
        <v>10845</v>
      </c>
      <c r="K43">
        <v>12600</v>
      </c>
    </row>
    <row r="44" spans="1:11" x14ac:dyDescent="0.3">
      <c r="A44" t="s">
        <v>53</v>
      </c>
      <c r="B44">
        <v>1225</v>
      </c>
      <c r="C44">
        <v>310900</v>
      </c>
      <c r="D44">
        <v>706</v>
      </c>
      <c r="E44">
        <v>142700</v>
      </c>
      <c r="F44">
        <v>9548</v>
      </c>
      <c r="G44">
        <v>33800</v>
      </c>
      <c r="H44">
        <v>11191</v>
      </c>
      <c r="I44">
        <v>16800</v>
      </c>
      <c r="J44">
        <v>11077</v>
      </c>
      <c r="K44">
        <v>14500</v>
      </c>
    </row>
    <row r="45" spans="1:11" x14ac:dyDescent="0.3">
      <c r="A45" t="s">
        <v>54</v>
      </c>
      <c r="B45">
        <v>1225</v>
      </c>
      <c r="C45">
        <v>310200</v>
      </c>
      <c r="D45">
        <v>699</v>
      </c>
      <c r="E45">
        <v>136000</v>
      </c>
      <c r="F45">
        <v>9765</v>
      </c>
      <c r="G45">
        <v>30000</v>
      </c>
      <c r="H45">
        <v>11458</v>
      </c>
      <c r="I45">
        <v>12300</v>
      </c>
      <c r="J45">
        <v>11325</v>
      </c>
      <c r="K45">
        <v>17200</v>
      </c>
    </row>
    <row r="46" spans="1:11" x14ac:dyDescent="0.3">
      <c r="A46" t="s">
        <v>55</v>
      </c>
      <c r="B46">
        <v>1225</v>
      </c>
      <c r="C46">
        <v>320700</v>
      </c>
      <c r="D46">
        <v>720</v>
      </c>
      <c r="E46">
        <v>141500</v>
      </c>
      <c r="F46">
        <v>9982</v>
      </c>
      <c r="G46">
        <v>30300</v>
      </c>
      <c r="H46">
        <v>11692</v>
      </c>
      <c r="I46">
        <v>11900</v>
      </c>
      <c r="J46">
        <v>11689</v>
      </c>
      <c r="K46">
        <v>17300</v>
      </c>
    </row>
    <row r="47" spans="1:11" x14ac:dyDescent="0.3">
      <c r="A47" t="s">
        <v>56</v>
      </c>
      <c r="B47">
        <v>1225</v>
      </c>
      <c r="C47">
        <v>441300</v>
      </c>
      <c r="D47">
        <v>636</v>
      </c>
      <c r="E47">
        <v>181100</v>
      </c>
      <c r="F47">
        <v>10203</v>
      </c>
      <c r="G47">
        <v>61800</v>
      </c>
      <c r="H47">
        <v>11984</v>
      </c>
      <c r="I47">
        <v>25400</v>
      </c>
      <c r="J47">
        <v>11929</v>
      </c>
      <c r="K47">
        <v>27400</v>
      </c>
    </row>
    <row r="48" spans="1:11" x14ac:dyDescent="0.3">
      <c r="A48" t="s">
        <v>57</v>
      </c>
      <c r="B48">
        <v>1225</v>
      </c>
      <c r="C48">
        <v>575200</v>
      </c>
      <c r="D48">
        <v>721</v>
      </c>
      <c r="E48">
        <v>206900</v>
      </c>
      <c r="F48">
        <v>10426</v>
      </c>
      <c r="G48">
        <v>62600</v>
      </c>
      <c r="H48">
        <v>12238</v>
      </c>
      <c r="I48">
        <v>45400</v>
      </c>
      <c r="J48">
        <v>12203</v>
      </c>
      <c r="K48">
        <v>18500</v>
      </c>
    </row>
    <row r="49" spans="1:11" x14ac:dyDescent="0.3">
      <c r="A49" t="s">
        <v>58</v>
      </c>
      <c r="B49">
        <v>1225</v>
      </c>
      <c r="C49">
        <v>352700</v>
      </c>
      <c r="D49">
        <v>734</v>
      </c>
      <c r="E49">
        <v>145300</v>
      </c>
      <c r="F49">
        <v>10646</v>
      </c>
      <c r="G49">
        <v>91500</v>
      </c>
      <c r="H49">
        <v>12483</v>
      </c>
      <c r="I49">
        <v>18900</v>
      </c>
      <c r="J49">
        <v>12431</v>
      </c>
      <c r="K49">
        <v>21700</v>
      </c>
    </row>
    <row r="50" spans="1:11" x14ac:dyDescent="0.3">
      <c r="A50" t="s">
        <v>59</v>
      </c>
      <c r="B50">
        <v>1225</v>
      </c>
      <c r="C50">
        <v>294900</v>
      </c>
      <c r="D50">
        <v>649</v>
      </c>
      <c r="E50">
        <v>130700</v>
      </c>
      <c r="F50">
        <v>10871</v>
      </c>
      <c r="G50">
        <v>31000</v>
      </c>
      <c r="H50">
        <v>12788</v>
      </c>
      <c r="I50">
        <v>13300</v>
      </c>
      <c r="J50">
        <v>12653</v>
      </c>
      <c r="K50">
        <v>13800</v>
      </c>
    </row>
    <row r="51" spans="1:11" x14ac:dyDescent="0.3">
      <c r="A51" t="s">
        <v>60</v>
      </c>
      <c r="B51">
        <v>1225</v>
      </c>
      <c r="C51">
        <v>122800</v>
      </c>
      <c r="D51">
        <v>633</v>
      </c>
      <c r="E51">
        <v>123100</v>
      </c>
      <c r="F51">
        <v>11090</v>
      </c>
      <c r="G51">
        <v>39900</v>
      </c>
      <c r="H51">
        <v>13035</v>
      </c>
      <c r="I51">
        <v>14300</v>
      </c>
      <c r="J51">
        <v>12931</v>
      </c>
      <c r="K51">
        <v>16900</v>
      </c>
    </row>
    <row r="52" spans="1:11" x14ac:dyDescent="0.3">
      <c r="A52" t="s">
        <v>61</v>
      </c>
      <c r="B52">
        <v>1225</v>
      </c>
      <c r="C52">
        <v>83300</v>
      </c>
      <c r="D52">
        <v>646</v>
      </c>
      <c r="E52">
        <v>223600</v>
      </c>
      <c r="F52">
        <v>11315</v>
      </c>
      <c r="G52">
        <v>54600</v>
      </c>
      <c r="H52">
        <v>13335</v>
      </c>
      <c r="I52">
        <v>26600</v>
      </c>
      <c r="J52">
        <v>13176</v>
      </c>
      <c r="K52">
        <v>28000</v>
      </c>
    </row>
    <row r="53" spans="1:11" x14ac:dyDescent="0.3">
      <c r="A53" t="s">
        <v>62</v>
      </c>
      <c r="B53">
        <v>1225</v>
      </c>
      <c r="C53">
        <v>44200</v>
      </c>
      <c r="D53">
        <v>573</v>
      </c>
      <c r="E53">
        <v>107800</v>
      </c>
      <c r="F53">
        <v>11529</v>
      </c>
      <c r="G53">
        <v>33300</v>
      </c>
      <c r="H53">
        <v>13600</v>
      </c>
      <c r="I53">
        <v>15800</v>
      </c>
      <c r="J53">
        <v>13424</v>
      </c>
      <c r="K53">
        <v>14200</v>
      </c>
    </row>
    <row r="54" spans="1:11" x14ac:dyDescent="0.3">
      <c r="A54" t="s">
        <v>63</v>
      </c>
      <c r="B54">
        <v>1225</v>
      </c>
      <c r="C54">
        <v>44000</v>
      </c>
      <c r="D54">
        <v>593</v>
      </c>
      <c r="E54">
        <v>115800</v>
      </c>
      <c r="F54">
        <v>11751</v>
      </c>
      <c r="G54">
        <v>31000</v>
      </c>
      <c r="H54">
        <v>13846</v>
      </c>
      <c r="I54">
        <v>12400</v>
      </c>
      <c r="J54">
        <v>13652</v>
      </c>
      <c r="K54">
        <v>13500</v>
      </c>
    </row>
    <row r="55" spans="1:11" x14ac:dyDescent="0.3">
      <c r="A55" t="s">
        <v>64</v>
      </c>
      <c r="B55">
        <v>1225</v>
      </c>
      <c r="C55">
        <v>47000</v>
      </c>
      <c r="D55">
        <v>658</v>
      </c>
      <c r="E55">
        <v>124600</v>
      </c>
      <c r="F55">
        <v>11975</v>
      </c>
      <c r="G55">
        <v>37300</v>
      </c>
      <c r="H55">
        <v>14129</v>
      </c>
      <c r="I55">
        <v>13100</v>
      </c>
      <c r="J55">
        <v>13904</v>
      </c>
      <c r="K55">
        <v>15900</v>
      </c>
    </row>
    <row r="56" spans="1:11" x14ac:dyDescent="0.3">
      <c r="A56" t="s">
        <v>65</v>
      </c>
      <c r="B56">
        <v>1225</v>
      </c>
      <c r="C56">
        <v>49200</v>
      </c>
      <c r="D56">
        <v>662</v>
      </c>
      <c r="E56">
        <v>128900</v>
      </c>
      <c r="F56">
        <v>12199</v>
      </c>
      <c r="G56">
        <v>38700</v>
      </c>
      <c r="H56">
        <v>14347</v>
      </c>
      <c r="I56">
        <v>11300</v>
      </c>
      <c r="J56">
        <v>14215</v>
      </c>
      <c r="K56">
        <v>16500</v>
      </c>
    </row>
    <row r="57" spans="1:11" x14ac:dyDescent="0.3">
      <c r="A57" t="s">
        <v>66</v>
      </c>
      <c r="B57">
        <v>1225</v>
      </c>
      <c r="C57">
        <v>44900</v>
      </c>
      <c r="D57">
        <v>605</v>
      </c>
      <c r="E57">
        <v>116900</v>
      </c>
      <c r="F57">
        <v>12417</v>
      </c>
      <c r="G57">
        <v>44800</v>
      </c>
      <c r="H57">
        <v>14614</v>
      </c>
      <c r="I57">
        <v>12500</v>
      </c>
      <c r="J57">
        <v>14462</v>
      </c>
      <c r="K57">
        <v>14900</v>
      </c>
    </row>
    <row r="58" spans="1:11" x14ac:dyDescent="0.3">
      <c r="A58" t="s">
        <v>67</v>
      </c>
      <c r="B58">
        <v>1225</v>
      </c>
      <c r="C58">
        <v>48400</v>
      </c>
      <c r="D58">
        <v>769</v>
      </c>
      <c r="E58">
        <v>142800</v>
      </c>
      <c r="F58">
        <v>12641</v>
      </c>
      <c r="G58">
        <v>51100</v>
      </c>
      <c r="H58">
        <v>14877</v>
      </c>
      <c r="I58">
        <v>12400</v>
      </c>
      <c r="J58">
        <v>14723</v>
      </c>
      <c r="K58">
        <v>14100</v>
      </c>
    </row>
    <row r="59" spans="1:11" x14ac:dyDescent="0.3">
      <c r="A59" t="s">
        <v>68</v>
      </c>
      <c r="B59">
        <v>1225</v>
      </c>
      <c r="C59">
        <v>84000</v>
      </c>
      <c r="D59">
        <v>622</v>
      </c>
      <c r="E59">
        <v>176600</v>
      </c>
      <c r="F59">
        <v>12861</v>
      </c>
      <c r="G59">
        <v>60300</v>
      </c>
      <c r="H59">
        <v>15131</v>
      </c>
      <c r="I59">
        <v>22000</v>
      </c>
      <c r="J59">
        <v>14973</v>
      </c>
      <c r="K59">
        <v>25900</v>
      </c>
    </row>
    <row r="60" spans="1:11" x14ac:dyDescent="0.3">
      <c r="A60" t="s">
        <v>69</v>
      </c>
      <c r="B60">
        <v>1225</v>
      </c>
      <c r="C60">
        <v>87000</v>
      </c>
      <c r="D60">
        <v>615</v>
      </c>
      <c r="E60">
        <v>177900</v>
      </c>
      <c r="F60">
        <v>13087</v>
      </c>
      <c r="G60">
        <v>102200</v>
      </c>
      <c r="H60">
        <v>15409</v>
      </c>
      <c r="I60">
        <v>24800</v>
      </c>
      <c r="J60">
        <v>15187</v>
      </c>
      <c r="K60">
        <v>33400</v>
      </c>
    </row>
    <row r="61" spans="1:11" x14ac:dyDescent="0.3">
      <c r="A61" t="s">
        <v>70</v>
      </c>
      <c r="B61">
        <v>1225</v>
      </c>
      <c r="C61">
        <v>85300</v>
      </c>
      <c r="D61">
        <v>622</v>
      </c>
      <c r="E61">
        <v>183000</v>
      </c>
      <c r="F61">
        <v>13300</v>
      </c>
      <c r="G61">
        <v>63900</v>
      </c>
      <c r="H61">
        <v>15640</v>
      </c>
      <c r="I61">
        <v>22700</v>
      </c>
      <c r="J61">
        <v>15430</v>
      </c>
      <c r="K61">
        <v>27800</v>
      </c>
    </row>
    <row r="62" spans="1:11" x14ac:dyDescent="0.3">
      <c r="A62" t="s">
        <v>71</v>
      </c>
      <c r="B62">
        <v>1225</v>
      </c>
      <c r="C62">
        <v>54800</v>
      </c>
      <c r="D62">
        <v>724</v>
      </c>
      <c r="E62">
        <v>138400</v>
      </c>
      <c r="F62">
        <v>13519</v>
      </c>
      <c r="G62">
        <v>32400</v>
      </c>
      <c r="H62">
        <v>15893</v>
      </c>
      <c r="I62">
        <v>12200</v>
      </c>
      <c r="J62">
        <v>15693</v>
      </c>
      <c r="K62">
        <v>15900</v>
      </c>
    </row>
    <row r="63" spans="1:11" x14ac:dyDescent="0.3">
      <c r="A63" t="s">
        <v>72</v>
      </c>
      <c r="B63">
        <v>1225</v>
      </c>
      <c r="C63">
        <v>48100</v>
      </c>
      <c r="D63">
        <v>634</v>
      </c>
      <c r="E63">
        <v>120200</v>
      </c>
      <c r="F63">
        <v>13743</v>
      </c>
      <c r="G63">
        <v>49600</v>
      </c>
      <c r="H63">
        <v>16160</v>
      </c>
      <c r="I63">
        <v>13600</v>
      </c>
      <c r="J63">
        <v>15920</v>
      </c>
      <c r="K63">
        <v>13900</v>
      </c>
    </row>
    <row r="64" spans="1:11" x14ac:dyDescent="0.3">
      <c r="A64" t="s">
        <v>73</v>
      </c>
      <c r="B64">
        <v>1225</v>
      </c>
      <c r="C64">
        <v>48200</v>
      </c>
      <c r="D64">
        <v>707</v>
      </c>
      <c r="E64">
        <v>140300</v>
      </c>
      <c r="F64">
        <v>13969</v>
      </c>
      <c r="G64">
        <v>63900</v>
      </c>
      <c r="H64">
        <v>16418</v>
      </c>
      <c r="I64">
        <v>12100</v>
      </c>
      <c r="J64">
        <v>16181</v>
      </c>
      <c r="K64">
        <v>15200</v>
      </c>
    </row>
    <row r="65" spans="1:11" x14ac:dyDescent="0.3">
      <c r="A65" t="s">
        <v>74</v>
      </c>
      <c r="B65">
        <v>1225</v>
      </c>
      <c r="C65">
        <v>81600</v>
      </c>
      <c r="D65">
        <v>665</v>
      </c>
      <c r="E65">
        <v>187500</v>
      </c>
      <c r="F65">
        <v>14185</v>
      </c>
      <c r="G65">
        <v>57800</v>
      </c>
      <c r="H65">
        <v>16655</v>
      </c>
      <c r="I65">
        <v>19700</v>
      </c>
      <c r="J65">
        <v>16469</v>
      </c>
      <c r="K65">
        <v>27000</v>
      </c>
    </row>
    <row r="66" spans="1:11" x14ac:dyDescent="0.3">
      <c r="A66" t="s">
        <v>75</v>
      </c>
      <c r="B66">
        <v>1225</v>
      </c>
      <c r="C66">
        <v>58000</v>
      </c>
      <c r="D66">
        <v>733</v>
      </c>
      <c r="E66">
        <v>164100</v>
      </c>
      <c r="F66">
        <v>14416</v>
      </c>
      <c r="G66">
        <v>53000</v>
      </c>
      <c r="H66">
        <v>16914</v>
      </c>
      <c r="I66">
        <v>13300</v>
      </c>
      <c r="J66">
        <v>16742</v>
      </c>
      <c r="K66">
        <v>15000</v>
      </c>
    </row>
    <row r="67" spans="1:11" x14ac:dyDescent="0.3">
      <c r="A67" t="s">
        <v>76</v>
      </c>
      <c r="B67">
        <v>1225</v>
      </c>
      <c r="C67">
        <v>82100</v>
      </c>
      <c r="D67">
        <v>618</v>
      </c>
      <c r="E67">
        <v>177600</v>
      </c>
      <c r="F67">
        <v>14637</v>
      </c>
      <c r="G67">
        <v>57500</v>
      </c>
      <c r="H67">
        <v>17157</v>
      </c>
      <c r="I67">
        <v>22200</v>
      </c>
      <c r="J67">
        <v>17001</v>
      </c>
      <c r="K67">
        <v>26400</v>
      </c>
    </row>
    <row r="68" spans="1:11" x14ac:dyDescent="0.3">
      <c r="A68" t="s">
        <v>77</v>
      </c>
      <c r="B68">
        <v>1225</v>
      </c>
      <c r="C68">
        <v>46500</v>
      </c>
      <c r="D68">
        <v>665</v>
      </c>
      <c r="E68">
        <v>131000</v>
      </c>
      <c r="F68">
        <v>14862</v>
      </c>
      <c r="G68">
        <v>33700</v>
      </c>
      <c r="H68">
        <v>17502</v>
      </c>
      <c r="I68">
        <v>17300</v>
      </c>
      <c r="J68">
        <v>17243</v>
      </c>
      <c r="K68">
        <v>39000</v>
      </c>
    </row>
    <row r="69" spans="1:11" x14ac:dyDescent="0.3">
      <c r="A69" t="s">
        <v>78</v>
      </c>
      <c r="B69">
        <v>1225</v>
      </c>
      <c r="C69">
        <v>60000</v>
      </c>
      <c r="D69">
        <v>822</v>
      </c>
      <c r="E69">
        <v>189800</v>
      </c>
      <c r="F69">
        <v>15084</v>
      </c>
      <c r="G69">
        <v>37100</v>
      </c>
      <c r="H69">
        <v>17722</v>
      </c>
      <c r="I69">
        <v>34100</v>
      </c>
      <c r="J69">
        <v>17488</v>
      </c>
      <c r="K69">
        <v>18400</v>
      </c>
    </row>
    <row r="70" spans="1:11" x14ac:dyDescent="0.3">
      <c r="A70" t="s">
        <v>79</v>
      </c>
      <c r="B70">
        <v>1225</v>
      </c>
      <c r="C70">
        <v>78300</v>
      </c>
      <c r="D70">
        <v>664</v>
      </c>
      <c r="E70">
        <v>164200</v>
      </c>
      <c r="F70">
        <v>15303</v>
      </c>
      <c r="G70">
        <v>44100</v>
      </c>
      <c r="H70">
        <v>17992</v>
      </c>
      <c r="I70">
        <v>26300</v>
      </c>
      <c r="J70">
        <v>17774</v>
      </c>
      <c r="K70">
        <v>55600</v>
      </c>
    </row>
    <row r="71" spans="1:11" x14ac:dyDescent="0.3">
      <c r="A71" t="s">
        <v>80</v>
      </c>
      <c r="B71">
        <v>1225</v>
      </c>
      <c r="C71">
        <v>66400</v>
      </c>
      <c r="D71">
        <v>640</v>
      </c>
      <c r="E71">
        <v>175300</v>
      </c>
      <c r="F71">
        <v>15527</v>
      </c>
      <c r="G71">
        <v>55000</v>
      </c>
      <c r="H71">
        <v>18292</v>
      </c>
      <c r="I71">
        <v>26800</v>
      </c>
      <c r="J71">
        <v>18113</v>
      </c>
      <c r="K71">
        <v>29500</v>
      </c>
    </row>
    <row r="72" spans="1:11" x14ac:dyDescent="0.3">
      <c r="A72" t="s">
        <v>81</v>
      </c>
      <c r="B72">
        <v>1225</v>
      </c>
      <c r="C72">
        <v>44600</v>
      </c>
      <c r="D72">
        <v>619</v>
      </c>
      <c r="E72">
        <v>116900</v>
      </c>
      <c r="F72">
        <v>15750</v>
      </c>
      <c r="G72">
        <v>29800</v>
      </c>
      <c r="H72">
        <v>18592</v>
      </c>
      <c r="I72">
        <v>13300</v>
      </c>
      <c r="J72">
        <v>18349</v>
      </c>
      <c r="K72">
        <v>13200</v>
      </c>
    </row>
    <row r="73" spans="1:11" x14ac:dyDescent="0.3">
      <c r="A73" t="s">
        <v>82</v>
      </c>
      <c r="B73">
        <v>1225</v>
      </c>
      <c r="C73">
        <v>81100</v>
      </c>
      <c r="D73">
        <v>716</v>
      </c>
      <c r="E73">
        <v>198900</v>
      </c>
      <c r="F73">
        <v>15978</v>
      </c>
      <c r="G73">
        <v>55600</v>
      </c>
      <c r="H73">
        <v>18826</v>
      </c>
      <c r="I73">
        <v>26700</v>
      </c>
      <c r="J73">
        <v>18575</v>
      </c>
      <c r="K73">
        <v>22200</v>
      </c>
    </row>
    <row r="74" spans="1:11" x14ac:dyDescent="0.3">
      <c r="A74" t="s">
        <v>83</v>
      </c>
      <c r="B74">
        <v>1225</v>
      </c>
      <c r="C74">
        <v>99800</v>
      </c>
      <c r="D74">
        <v>647</v>
      </c>
      <c r="E74">
        <v>217700</v>
      </c>
      <c r="F74">
        <v>16209</v>
      </c>
      <c r="G74">
        <v>84000</v>
      </c>
      <c r="H74">
        <v>19085</v>
      </c>
      <c r="I74">
        <v>37000</v>
      </c>
      <c r="J74">
        <v>18809</v>
      </c>
      <c r="K74">
        <v>24500</v>
      </c>
    </row>
    <row r="75" spans="1:11" x14ac:dyDescent="0.3">
      <c r="A75" t="s">
        <v>84</v>
      </c>
      <c r="B75">
        <v>1225</v>
      </c>
      <c r="C75">
        <v>48500</v>
      </c>
      <c r="D75">
        <v>626</v>
      </c>
      <c r="E75">
        <v>118600</v>
      </c>
      <c r="F75">
        <v>16429</v>
      </c>
      <c r="G75">
        <v>30100</v>
      </c>
      <c r="H75">
        <v>19319</v>
      </c>
      <c r="I75">
        <v>12000</v>
      </c>
      <c r="J75">
        <v>19069</v>
      </c>
      <c r="K75">
        <v>13100</v>
      </c>
    </row>
    <row r="76" spans="1:11" x14ac:dyDescent="0.3">
      <c r="A76" t="s">
        <v>85</v>
      </c>
      <c r="B76">
        <v>1225</v>
      </c>
      <c r="C76">
        <v>47100</v>
      </c>
      <c r="D76">
        <v>697</v>
      </c>
      <c r="E76">
        <v>134500</v>
      </c>
      <c r="F76">
        <v>16655</v>
      </c>
      <c r="G76">
        <v>29800</v>
      </c>
      <c r="H76">
        <v>19570</v>
      </c>
      <c r="I76">
        <v>11200</v>
      </c>
      <c r="J76">
        <v>19323</v>
      </c>
      <c r="K76">
        <v>16900</v>
      </c>
    </row>
    <row r="77" spans="1:11" x14ac:dyDescent="0.3">
      <c r="A77" t="s">
        <v>86</v>
      </c>
      <c r="B77">
        <v>1225</v>
      </c>
      <c r="C77">
        <v>48900</v>
      </c>
      <c r="D77">
        <v>774</v>
      </c>
      <c r="E77">
        <v>145100</v>
      </c>
      <c r="F77">
        <v>16876</v>
      </c>
      <c r="G77">
        <v>43700</v>
      </c>
      <c r="H77">
        <v>19798</v>
      </c>
      <c r="I77">
        <v>10800</v>
      </c>
      <c r="J77">
        <v>19564</v>
      </c>
      <c r="K77">
        <v>30300</v>
      </c>
    </row>
    <row r="78" spans="1:11" x14ac:dyDescent="0.3">
      <c r="A78" t="s">
        <v>87</v>
      </c>
      <c r="B78">
        <v>1225</v>
      </c>
      <c r="C78">
        <v>43900</v>
      </c>
      <c r="D78">
        <v>599</v>
      </c>
      <c r="E78">
        <v>113400</v>
      </c>
      <c r="F78">
        <v>17098</v>
      </c>
      <c r="G78">
        <v>29100</v>
      </c>
      <c r="H78">
        <v>20053</v>
      </c>
      <c r="I78">
        <v>13100</v>
      </c>
      <c r="J78">
        <v>19800</v>
      </c>
      <c r="K78">
        <v>12500</v>
      </c>
    </row>
    <row r="79" spans="1:11" x14ac:dyDescent="0.3">
      <c r="A79" t="s">
        <v>88</v>
      </c>
      <c r="B79">
        <v>1225</v>
      </c>
      <c r="C79">
        <v>44900</v>
      </c>
      <c r="D79">
        <v>620</v>
      </c>
      <c r="E79">
        <v>122500</v>
      </c>
      <c r="F79">
        <v>17324</v>
      </c>
      <c r="G79">
        <v>1316100</v>
      </c>
      <c r="H79">
        <v>20311</v>
      </c>
      <c r="I79">
        <v>13700</v>
      </c>
      <c r="J79">
        <v>20050</v>
      </c>
      <c r="K79">
        <v>15100</v>
      </c>
    </row>
    <row r="80" spans="1:11" x14ac:dyDescent="0.3">
      <c r="A80" t="s">
        <v>89</v>
      </c>
      <c r="B80">
        <v>1225</v>
      </c>
      <c r="C80">
        <v>74500</v>
      </c>
      <c r="D80">
        <v>703</v>
      </c>
      <c r="E80">
        <v>173400</v>
      </c>
      <c r="F80">
        <v>17545</v>
      </c>
      <c r="G80">
        <v>177300</v>
      </c>
      <c r="H80">
        <v>20530</v>
      </c>
      <c r="I80">
        <v>16700</v>
      </c>
      <c r="J80">
        <v>20301</v>
      </c>
      <c r="K80">
        <v>20400</v>
      </c>
    </row>
    <row r="81" spans="1:11" x14ac:dyDescent="0.3">
      <c r="A81" t="s">
        <v>90</v>
      </c>
      <c r="B81">
        <v>1225</v>
      </c>
      <c r="C81">
        <v>81800</v>
      </c>
      <c r="D81">
        <v>611</v>
      </c>
      <c r="E81">
        <v>198900</v>
      </c>
      <c r="F81">
        <v>17768</v>
      </c>
      <c r="G81">
        <v>230000</v>
      </c>
      <c r="H81">
        <v>20781</v>
      </c>
      <c r="I81">
        <v>19500</v>
      </c>
      <c r="J81">
        <v>20542</v>
      </c>
      <c r="K81">
        <v>20300</v>
      </c>
    </row>
    <row r="82" spans="1:11" x14ac:dyDescent="0.3">
      <c r="A82" t="s">
        <v>91</v>
      </c>
      <c r="B82">
        <v>1225</v>
      </c>
      <c r="C82">
        <v>80400</v>
      </c>
      <c r="D82">
        <v>796</v>
      </c>
      <c r="E82">
        <v>197400</v>
      </c>
      <c r="F82">
        <v>17991</v>
      </c>
      <c r="G82">
        <v>187900</v>
      </c>
      <c r="H82">
        <v>21029</v>
      </c>
      <c r="I82">
        <v>18500</v>
      </c>
      <c r="J82">
        <v>20856</v>
      </c>
      <c r="K82">
        <v>24200</v>
      </c>
    </row>
    <row r="83" spans="1:11" x14ac:dyDescent="0.3">
      <c r="A83" t="s">
        <v>92</v>
      </c>
      <c r="B83">
        <v>1225</v>
      </c>
      <c r="C83">
        <v>70800</v>
      </c>
      <c r="D83">
        <v>637</v>
      </c>
      <c r="E83">
        <v>157600</v>
      </c>
      <c r="F83">
        <v>18211</v>
      </c>
      <c r="G83">
        <v>188400</v>
      </c>
      <c r="H83">
        <v>21270</v>
      </c>
      <c r="I83">
        <v>201200</v>
      </c>
      <c r="J83">
        <v>21151</v>
      </c>
      <c r="K83">
        <v>21000</v>
      </c>
    </row>
    <row r="84" spans="1:11" x14ac:dyDescent="0.3">
      <c r="A84" t="s">
        <v>93</v>
      </c>
      <c r="B84">
        <v>1225</v>
      </c>
      <c r="C84">
        <v>70800</v>
      </c>
      <c r="D84">
        <v>633</v>
      </c>
      <c r="E84">
        <v>152600</v>
      </c>
      <c r="F84">
        <v>18435</v>
      </c>
      <c r="G84">
        <v>182000</v>
      </c>
      <c r="H84">
        <v>21531</v>
      </c>
      <c r="I84">
        <v>88700</v>
      </c>
      <c r="J84">
        <v>21438</v>
      </c>
      <c r="K84">
        <v>22500</v>
      </c>
    </row>
    <row r="85" spans="1:11" x14ac:dyDescent="0.3">
      <c r="A85" t="s">
        <v>94</v>
      </c>
      <c r="B85">
        <v>1225</v>
      </c>
      <c r="C85">
        <v>43800</v>
      </c>
      <c r="D85">
        <v>596</v>
      </c>
      <c r="E85">
        <v>114500</v>
      </c>
      <c r="F85">
        <v>18655</v>
      </c>
      <c r="G85">
        <v>150400</v>
      </c>
      <c r="H85">
        <v>21822</v>
      </c>
      <c r="I85">
        <v>108800</v>
      </c>
      <c r="J85">
        <v>21671</v>
      </c>
      <c r="K85">
        <v>13000</v>
      </c>
    </row>
    <row r="86" spans="1:11" x14ac:dyDescent="0.3">
      <c r="A86" t="s">
        <v>95</v>
      </c>
      <c r="B86">
        <v>1225</v>
      </c>
      <c r="C86">
        <v>45300</v>
      </c>
      <c r="D86">
        <v>656</v>
      </c>
      <c r="E86">
        <v>123800</v>
      </c>
      <c r="F86">
        <v>18875</v>
      </c>
      <c r="G86">
        <v>145800</v>
      </c>
      <c r="H86">
        <v>22092</v>
      </c>
      <c r="I86">
        <v>72800</v>
      </c>
      <c r="J86">
        <v>21907</v>
      </c>
      <c r="K86">
        <v>13300</v>
      </c>
    </row>
    <row r="87" spans="1:11" x14ac:dyDescent="0.3">
      <c r="A87" t="s">
        <v>96</v>
      </c>
      <c r="B87">
        <v>1225</v>
      </c>
      <c r="C87">
        <v>51100</v>
      </c>
      <c r="D87">
        <v>651</v>
      </c>
      <c r="E87">
        <v>124800</v>
      </c>
      <c r="F87">
        <v>19098</v>
      </c>
      <c r="G87">
        <v>140500</v>
      </c>
      <c r="H87">
        <v>22394</v>
      </c>
      <c r="I87">
        <v>76900</v>
      </c>
      <c r="J87">
        <v>22142</v>
      </c>
      <c r="K87">
        <v>12800</v>
      </c>
    </row>
    <row r="88" spans="1:11" x14ac:dyDescent="0.3">
      <c r="A88" t="s">
        <v>97</v>
      </c>
      <c r="B88">
        <v>1225</v>
      </c>
      <c r="C88">
        <v>65400</v>
      </c>
      <c r="D88">
        <v>669</v>
      </c>
      <c r="E88">
        <v>127800</v>
      </c>
      <c r="F88">
        <v>19316</v>
      </c>
      <c r="G88">
        <v>156400</v>
      </c>
      <c r="H88">
        <v>22662</v>
      </c>
      <c r="I88">
        <v>75100</v>
      </c>
      <c r="J88">
        <v>22446</v>
      </c>
      <c r="K88">
        <v>15100</v>
      </c>
    </row>
    <row r="89" spans="1:11" x14ac:dyDescent="0.3">
      <c r="A89" t="s">
        <v>98</v>
      </c>
      <c r="B89">
        <v>1225</v>
      </c>
      <c r="C89">
        <v>46100</v>
      </c>
      <c r="D89">
        <v>662</v>
      </c>
      <c r="E89">
        <v>124500</v>
      </c>
      <c r="F89">
        <v>19527</v>
      </c>
      <c r="G89">
        <v>155700</v>
      </c>
      <c r="H89">
        <v>22898</v>
      </c>
      <c r="I89">
        <v>67600</v>
      </c>
      <c r="J89">
        <v>22680</v>
      </c>
      <c r="K89">
        <v>13300</v>
      </c>
    </row>
    <row r="90" spans="1:11" x14ac:dyDescent="0.3">
      <c r="A90" t="s">
        <v>99</v>
      </c>
      <c r="B90">
        <v>1225</v>
      </c>
      <c r="C90">
        <v>74700</v>
      </c>
      <c r="D90">
        <v>646</v>
      </c>
      <c r="E90">
        <v>168600</v>
      </c>
      <c r="F90">
        <v>19753</v>
      </c>
      <c r="G90">
        <v>181900</v>
      </c>
      <c r="H90">
        <v>23148</v>
      </c>
      <c r="I90">
        <v>87800</v>
      </c>
      <c r="J90">
        <v>22972</v>
      </c>
      <c r="K90">
        <v>21200</v>
      </c>
    </row>
    <row r="91" spans="1:11" x14ac:dyDescent="0.3">
      <c r="A91" t="s">
        <v>100</v>
      </c>
      <c r="B91">
        <v>1225</v>
      </c>
      <c r="C91">
        <v>74300</v>
      </c>
      <c r="D91">
        <v>640</v>
      </c>
      <c r="E91">
        <v>168600</v>
      </c>
      <c r="F91">
        <v>19971</v>
      </c>
      <c r="G91">
        <v>200200</v>
      </c>
      <c r="H91">
        <v>23436</v>
      </c>
      <c r="I91">
        <v>84700</v>
      </c>
      <c r="J91">
        <v>23240</v>
      </c>
      <c r="K91">
        <v>225800</v>
      </c>
    </row>
    <row r="92" spans="1:11" x14ac:dyDescent="0.3">
      <c r="A92" t="s">
        <v>101</v>
      </c>
      <c r="B92">
        <v>1225</v>
      </c>
      <c r="C92">
        <v>47300</v>
      </c>
      <c r="D92">
        <v>670</v>
      </c>
      <c r="E92">
        <v>123700</v>
      </c>
      <c r="F92">
        <v>20193</v>
      </c>
      <c r="G92">
        <v>146100</v>
      </c>
      <c r="H92">
        <v>23678</v>
      </c>
      <c r="I92">
        <v>76400</v>
      </c>
      <c r="J92">
        <v>23495</v>
      </c>
      <c r="K92">
        <v>14600</v>
      </c>
    </row>
    <row r="93" spans="1:11" x14ac:dyDescent="0.3">
      <c r="A93" t="s">
        <v>102</v>
      </c>
      <c r="B93">
        <v>1225</v>
      </c>
      <c r="C93">
        <v>57200</v>
      </c>
      <c r="D93">
        <v>712</v>
      </c>
      <c r="E93">
        <v>162400</v>
      </c>
      <c r="F93">
        <v>20414</v>
      </c>
      <c r="G93">
        <v>165400</v>
      </c>
      <c r="H93">
        <v>23965</v>
      </c>
      <c r="I93">
        <v>79900</v>
      </c>
      <c r="J93">
        <v>23718</v>
      </c>
      <c r="K93">
        <v>13600</v>
      </c>
    </row>
    <row r="94" spans="1:11" x14ac:dyDescent="0.3">
      <c r="A94" t="s">
        <v>103</v>
      </c>
      <c r="B94">
        <v>1225</v>
      </c>
      <c r="C94">
        <v>54900</v>
      </c>
      <c r="D94">
        <v>618</v>
      </c>
      <c r="E94">
        <v>121100</v>
      </c>
      <c r="F94">
        <v>20637</v>
      </c>
      <c r="G94">
        <v>144700</v>
      </c>
      <c r="H94">
        <v>24285</v>
      </c>
      <c r="I94">
        <v>82400</v>
      </c>
      <c r="J94">
        <v>24040</v>
      </c>
      <c r="K94">
        <v>16700</v>
      </c>
    </row>
    <row r="95" spans="1:11" x14ac:dyDescent="0.3">
      <c r="A95" t="s">
        <v>104</v>
      </c>
      <c r="B95">
        <v>1225</v>
      </c>
      <c r="C95">
        <v>45000</v>
      </c>
      <c r="D95">
        <v>649</v>
      </c>
      <c r="E95">
        <v>164600</v>
      </c>
      <c r="F95">
        <v>20860</v>
      </c>
      <c r="G95">
        <v>144000</v>
      </c>
      <c r="H95">
        <v>24577</v>
      </c>
      <c r="I95">
        <v>78200</v>
      </c>
      <c r="J95">
        <v>24268</v>
      </c>
      <c r="K95">
        <v>12500</v>
      </c>
    </row>
    <row r="96" spans="1:11" x14ac:dyDescent="0.3">
      <c r="A96" t="s">
        <v>105</v>
      </c>
      <c r="B96">
        <v>1225</v>
      </c>
      <c r="C96">
        <v>44200</v>
      </c>
      <c r="D96">
        <v>599</v>
      </c>
      <c r="E96">
        <v>72800</v>
      </c>
      <c r="F96">
        <v>21088</v>
      </c>
      <c r="G96">
        <v>142800</v>
      </c>
      <c r="H96">
        <v>24846</v>
      </c>
      <c r="I96">
        <v>68000</v>
      </c>
      <c r="J96">
        <v>24512</v>
      </c>
      <c r="K96">
        <v>14200</v>
      </c>
    </row>
    <row r="97" spans="1:11" x14ac:dyDescent="0.3">
      <c r="A97" t="s">
        <v>106</v>
      </c>
      <c r="B97">
        <v>1225</v>
      </c>
      <c r="C97">
        <v>48600</v>
      </c>
      <c r="D97">
        <v>761</v>
      </c>
      <c r="E97">
        <v>22900</v>
      </c>
      <c r="F97">
        <v>21314</v>
      </c>
      <c r="G97">
        <v>148700</v>
      </c>
      <c r="H97">
        <v>25080</v>
      </c>
      <c r="I97">
        <v>62700</v>
      </c>
      <c r="J97">
        <v>24751</v>
      </c>
      <c r="K97">
        <v>160100</v>
      </c>
    </row>
    <row r="98" spans="1:11" x14ac:dyDescent="0.3">
      <c r="A98" t="s">
        <v>107</v>
      </c>
      <c r="B98">
        <v>1225</v>
      </c>
      <c r="C98">
        <v>43100</v>
      </c>
      <c r="D98">
        <v>554</v>
      </c>
      <c r="E98">
        <v>17100</v>
      </c>
      <c r="F98">
        <v>21540</v>
      </c>
      <c r="G98">
        <v>144000</v>
      </c>
      <c r="H98">
        <v>25325</v>
      </c>
      <c r="I98">
        <v>73900</v>
      </c>
      <c r="J98">
        <v>24992</v>
      </c>
      <c r="K98">
        <v>70600</v>
      </c>
    </row>
    <row r="99" spans="1:11" x14ac:dyDescent="0.3">
      <c r="A99" t="s">
        <v>108</v>
      </c>
      <c r="B99">
        <v>1225</v>
      </c>
      <c r="C99">
        <v>45700</v>
      </c>
      <c r="D99">
        <v>653</v>
      </c>
      <c r="E99">
        <v>19400</v>
      </c>
      <c r="F99">
        <v>21758</v>
      </c>
      <c r="G99">
        <v>156700</v>
      </c>
      <c r="H99">
        <v>25574</v>
      </c>
      <c r="I99">
        <v>70900</v>
      </c>
      <c r="J99">
        <v>25262</v>
      </c>
      <c r="K99">
        <v>75200</v>
      </c>
    </row>
    <row r="100" spans="1:11" x14ac:dyDescent="0.3">
      <c r="A100" t="s">
        <v>109</v>
      </c>
      <c r="B100">
        <v>1225</v>
      </c>
      <c r="C100">
        <v>43800</v>
      </c>
      <c r="D100">
        <v>596</v>
      </c>
      <c r="E100">
        <v>18000</v>
      </c>
      <c r="F100">
        <v>21978</v>
      </c>
      <c r="G100">
        <v>148100</v>
      </c>
      <c r="H100">
        <v>25812</v>
      </c>
      <c r="I100">
        <v>66000</v>
      </c>
      <c r="J100">
        <v>25538</v>
      </c>
      <c r="K100">
        <v>79500</v>
      </c>
    </row>
    <row r="101" spans="1:11" x14ac:dyDescent="0.3">
      <c r="A101" t="s">
        <v>110</v>
      </c>
      <c r="B101">
        <v>1225</v>
      </c>
      <c r="C101">
        <v>108400</v>
      </c>
      <c r="D101">
        <v>599</v>
      </c>
      <c r="E101">
        <v>42600</v>
      </c>
      <c r="F101">
        <v>22200</v>
      </c>
      <c r="G101">
        <v>288200</v>
      </c>
      <c r="H101">
        <v>26083</v>
      </c>
      <c r="I101">
        <v>131700</v>
      </c>
      <c r="J101">
        <v>25814</v>
      </c>
      <c r="K101">
        <v>153800</v>
      </c>
    </row>
    <row r="102" spans="1:11" x14ac:dyDescent="0.3">
      <c r="A102" t="s">
        <v>111</v>
      </c>
      <c r="B102">
        <v>4950</v>
      </c>
      <c r="C102">
        <v>351900</v>
      </c>
      <c r="D102">
        <v>2639</v>
      </c>
      <c r="E102">
        <v>143200</v>
      </c>
      <c r="F102">
        <v>22744</v>
      </c>
      <c r="G102">
        <v>379700</v>
      </c>
      <c r="H102">
        <v>26734</v>
      </c>
      <c r="I102">
        <v>163400</v>
      </c>
      <c r="J102">
        <v>26491</v>
      </c>
      <c r="K102">
        <v>154900</v>
      </c>
    </row>
    <row r="103" spans="1:11" x14ac:dyDescent="0.3">
      <c r="A103" t="s">
        <v>112</v>
      </c>
      <c r="B103">
        <v>4950</v>
      </c>
      <c r="C103">
        <v>325000</v>
      </c>
      <c r="D103">
        <v>2481</v>
      </c>
      <c r="E103">
        <v>134500</v>
      </c>
      <c r="F103">
        <v>23287</v>
      </c>
      <c r="G103">
        <v>464100</v>
      </c>
      <c r="H103">
        <v>27371</v>
      </c>
      <c r="I103">
        <v>212000</v>
      </c>
      <c r="J103">
        <v>27148</v>
      </c>
      <c r="K103">
        <v>241900</v>
      </c>
    </row>
    <row r="104" spans="1:11" x14ac:dyDescent="0.3">
      <c r="A104" t="s">
        <v>113</v>
      </c>
      <c r="B104">
        <v>4950</v>
      </c>
      <c r="C104">
        <v>213100</v>
      </c>
      <c r="D104">
        <v>2684</v>
      </c>
      <c r="E104">
        <v>90700</v>
      </c>
      <c r="F104">
        <v>23828</v>
      </c>
      <c r="G104">
        <v>389700</v>
      </c>
      <c r="H104">
        <v>27973</v>
      </c>
      <c r="I104">
        <v>199300</v>
      </c>
      <c r="J104">
        <v>27828</v>
      </c>
      <c r="K104">
        <v>217800</v>
      </c>
    </row>
    <row r="105" spans="1:11" x14ac:dyDescent="0.3">
      <c r="A105" t="s">
        <v>114</v>
      </c>
      <c r="B105">
        <v>4950</v>
      </c>
      <c r="C105">
        <v>182400</v>
      </c>
      <c r="D105">
        <v>2603</v>
      </c>
      <c r="E105">
        <v>73100</v>
      </c>
      <c r="F105">
        <v>24372</v>
      </c>
      <c r="G105">
        <v>330500</v>
      </c>
      <c r="H105">
        <v>28623</v>
      </c>
      <c r="I105">
        <v>34200</v>
      </c>
      <c r="J105">
        <v>28493</v>
      </c>
      <c r="K105">
        <v>181800</v>
      </c>
    </row>
    <row r="106" spans="1:11" x14ac:dyDescent="0.3">
      <c r="A106" t="s">
        <v>115</v>
      </c>
      <c r="B106">
        <v>4950</v>
      </c>
      <c r="C106">
        <v>365900</v>
      </c>
      <c r="D106">
        <v>2946</v>
      </c>
      <c r="E106">
        <v>166600</v>
      </c>
      <c r="F106">
        <v>24913</v>
      </c>
      <c r="G106">
        <v>479900</v>
      </c>
      <c r="H106">
        <v>29315</v>
      </c>
      <c r="I106">
        <v>15700</v>
      </c>
      <c r="J106">
        <v>29198</v>
      </c>
      <c r="K106">
        <v>274500</v>
      </c>
    </row>
    <row r="107" spans="1:11" x14ac:dyDescent="0.3">
      <c r="A107" t="s">
        <v>116</v>
      </c>
      <c r="B107">
        <v>4950</v>
      </c>
      <c r="C107">
        <v>318900</v>
      </c>
      <c r="D107">
        <v>2325</v>
      </c>
      <c r="E107">
        <v>132400</v>
      </c>
      <c r="F107">
        <v>25451</v>
      </c>
      <c r="G107">
        <v>445100</v>
      </c>
      <c r="H107">
        <v>29992</v>
      </c>
      <c r="I107">
        <v>13000</v>
      </c>
      <c r="J107">
        <v>29809</v>
      </c>
      <c r="K107">
        <v>157300</v>
      </c>
    </row>
    <row r="108" spans="1:11" x14ac:dyDescent="0.3">
      <c r="A108" t="s">
        <v>117</v>
      </c>
      <c r="B108">
        <v>4950</v>
      </c>
      <c r="C108">
        <v>336100</v>
      </c>
      <c r="D108">
        <v>2399</v>
      </c>
      <c r="E108">
        <v>133600</v>
      </c>
      <c r="F108">
        <v>25989</v>
      </c>
      <c r="G108">
        <v>478200</v>
      </c>
      <c r="H108">
        <v>30664</v>
      </c>
      <c r="I108">
        <v>18000</v>
      </c>
      <c r="J108">
        <v>30406</v>
      </c>
      <c r="K108">
        <v>251400</v>
      </c>
    </row>
    <row r="109" spans="1:11" x14ac:dyDescent="0.3">
      <c r="A109" t="s">
        <v>118</v>
      </c>
      <c r="B109">
        <v>4950</v>
      </c>
      <c r="C109">
        <v>217200</v>
      </c>
      <c r="D109">
        <v>2583</v>
      </c>
      <c r="E109">
        <v>90100</v>
      </c>
      <c r="F109">
        <v>26529</v>
      </c>
      <c r="G109">
        <v>48600</v>
      </c>
      <c r="H109">
        <v>31304</v>
      </c>
      <c r="I109">
        <v>12400</v>
      </c>
      <c r="J109">
        <v>31056</v>
      </c>
      <c r="K109">
        <v>176200</v>
      </c>
    </row>
    <row r="110" spans="1:11" x14ac:dyDescent="0.3">
      <c r="A110" t="s">
        <v>119</v>
      </c>
      <c r="B110">
        <v>4950</v>
      </c>
      <c r="C110">
        <v>178400</v>
      </c>
      <c r="D110">
        <v>2559</v>
      </c>
      <c r="E110">
        <v>71700</v>
      </c>
      <c r="F110">
        <v>27069</v>
      </c>
      <c r="G110">
        <v>44100</v>
      </c>
      <c r="H110">
        <v>31903</v>
      </c>
      <c r="I110">
        <v>9900</v>
      </c>
      <c r="J110">
        <v>31763</v>
      </c>
      <c r="K110">
        <v>166500</v>
      </c>
    </row>
    <row r="111" spans="1:11" x14ac:dyDescent="0.3">
      <c r="A111" t="s">
        <v>120</v>
      </c>
      <c r="B111">
        <v>4950</v>
      </c>
      <c r="C111">
        <v>335500</v>
      </c>
      <c r="D111">
        <v>2616</v>
      </c>
      <c r="E111">
        <v>141900</v>
      </c>
      <c r="F111">
        <v>27608</v>
      </c>
      <c r="G111">
        <v>53200</v>
      </c>
      <c r="H111">
        <v>32515</v>
      </c>
      <c r="I111">
        <v>14000</v>
      </c>
      <c r="J111">
        <v>32539</v>
      </c>
      <c r="K111">
        <v>69800</v>
      </c>
    </row>
    <row r="112" spans="1:11" x14ac:dyDescent="0.3">
      <c r="A112" t="s">
        <v>121</v>
      </c>
      <c r="B112">
        <v>4950</v>
      </c>
      <c r="C112">
        <v>270900</v>
      </c>
      <c r="D112">
        <v>2802</v>
      </c>
      <c r="E112">
        <v>151000</v>
      </c>
      <c r="F112">
        <v>28154</v>
      </c>
      <c r="G112">
        <v>51600</v>
      </c>
      <c r="H112">
        <v>33247</v>
      </c>
      <c r="I112">
        <v>12500</v>
      </c>
      <c r="J112">
        <v>33349</v>
      </c>
      <c r="K112">
        <v>17100</v>
      </c>
    </row>
    <row r="113" spans="1:11" x14ac:dyDescent="0.3">
      <c r="A113" t="s">
        <v>122</v>
      </c>
      <c r="B113">
        <v>4950</v>
      </c>
      <c r="C113">
        <v>615300</v>
      </c>
      <c r="D113">
        <v>2506</v>
      </c>
      <c r="E113">
        <v>138000</v>
      </c>
      <c r="F113">
        <v>28692</v>
      </c>
      <c r="G113">
        <v>51500</v>
      </c>
      <c r="H113">
        <v>33917</v>
      </c>
      <c r="I113">
        <v>16000</v>
      </c>
      <c r="J113">
        <v>34135</v>
      </c>
      <c r="K113">
        <v>21700</v>
      </c>
    </row>
    <row r="114" spans="1:11" x14ac:dyDescent="0.3">
      <c r="A114" t="s">
        <v>123</v>
      </c>
      <c r="B114">
        <v>4950</v>
      </c>
      <c r="C114">
        <v>209300</v>
      </c>
      <c r="D114">
        <v>2402</v>
      </c>
      <c r="E114">
        <v>81600</v>
      </c>
      <c r="F114">
        <v>29239</v>
      </c>
      <c r="G114">
        <v>36700</v>
      </c>
      <c r="H114">
        <v>34591</v>
      </c>
      <c r="I114">
        <v>10400</v>
      </c>
      <c r="J114">
        <v>34772</v>
      </c>
      <c r="K114">
        <v>13000</v>
      </c>
    </row>
    <row r="115" spans="1:11" x14ac:dyDescent="0.3">
      <c r="A115" t="s">
        <v>124</v>
      </c>
      <c r="B115">
        <v>4950</v>
      </c>
      <c r="C115">
        <v>400400</v>
      </c>
      <c r="D115">
        <v>2825</v>
      </c>
      <c r="E115">
        <v>81400</v>
      </c>
      <c r="F115">
        <v>29786</v>
      </c>
      <c r="G115">
        <v>45200</v>
      </c>
      <c r="H115">
        <v>35273</v>
      </c>
      <c r="I115">
        <v>10600</v>
      </c>
      <c r="J115">
        <v>35468</v>
      </c>
      <c r="K115">
        <v>12700</v>
      </c>
    </row>
    <row r="116" spans="1:11" x14ac:dyDescent="0.3">
      <c r="A116" t="s">
        <v>125</v>
      </c>
      <c r="B116">
        <v>4950</v>
      </c>
      <c r="C116">
        <v>180600</v>
      </c>
      <c r="D116">
        <v>2488</v>
      </c>
      <c r="E116">
        <v>69500</v>
      </c>
      <c r="F116">
        <v>30325</v>
      </c>
      <c r="G116">
        <v>33500</v>
      </c>
      <c r="H116">
        <v>36035</v>
      </c>
      <c r="I116">
        <v>32200</v>
      </c>
      <c r="J116">
        <v>36078</v>
      </c>
      <c r="K116">
        <v>30200</v>
      </c>
    </row>
    <row r="117" spans="1:11" x14ac:dyDescent="0.3">
      <c r="A117" t="s">
        <v>126</v>
      </c>
      <c r="B117">
        <v>4950</v>
      </c>
      <c r="C117">
        <v>378400</v>
      </c>
      <c r="D117">
        <v>2582</v>
      </c>
      <c r="E117">
        <v>72100</v>
      </c>
      <c r="F117">
        <v>30868</v>
      </c>
      <c r="G117">
        <v>31000</v>
      </c>
      <c r="H117">
        <v>36675</v>
      </c>
      <c r="I117">
        <v>9500</v>
      </c>
      <c r="J117">
        <v>36829</v>
      </c>
      <c r="K117">
        <v>12800</v>
      </c>
    </row>
    <row r="118" spans="1:11" x14ac:dyDescent="0.3">
      <c r="A118" t="s">
        <v>127</v>
      </c>
      <c r="B118">
        <v>4950</v>
      </c>
      <c r="C118">
        <v>374100</v>
      </c>
      <c r="D118">
        <v>2408</v>
      </c>
      <c r="E118">
        <v>137400</v>
      </c>
      <c r="F118">
        <v>31403</v>
      </c>
      <c r="G118">
        <v>62700</v>
      </c>
      <c r="H118">
        <v>37243</v>
      </c>
      <c r="I118">
        <v>15000</v>
      </c>
      <c r="J118">
        <v>37392</v>
      </c>
      <c r="K118">
        <v>19000</v>
      </c>
    </row>
    <row r="119" spans="1:11" x14ac:dyDescent="0.3">
      <c r="A119" t="s">
        <v>128</v>
      </c>
      <c r="B119">
        <v>4950</v>
      </c>
      <c r="C119">
        <v>547200</v>
      </c>
      <c r="D119">
        <v>2271</v>
      </c>
      <c r="E119">
        <v>136300</v>
      </c>
      <c r="F119">
        <v>31950</v>
      </c>
      <c r="G119">
        <v>52900</v>
      </c>
      <c r="H119">
        <v>37999</v>
      </c>
      <c r="I119">
        <v>16300</v>
      </c>
      <c r="J119">
        <v>37976</v>
      </c>
      <c r="K119">
        <v>20200</v>
      </c>
    </row>
    <row r="120" spans="1:11" x14ac:dyDescent="0.3">
      <c r="A120" t="s">
        <v>129</v>
      </c>
      <c r="B120">
        <v>4950</v>
      </c>
      <c r="C120">
        <v>270100</v>
      </c>
      <c r="D120">
        <v>2588</v>
      </c>
      <c r="E120">
        <v>73500</v>
      </c>
      <c r="F120">
        <v>32494</v>
      </c>
      <c r="G120">
        <v>33500</v>
      </c>
      <c r="H120">
        <v>38677</v>
      </c>
      <c r="I120">
        <v>11000</v>
      </c>
      <c r="J120">
        <v>38611</v>
      </c>
      <c r="K120">
        <v>14300</v>
      </c>
    </row>
    <row r="121" spans="1:11" x14ac:dyDescent="0.3">
      <c r="A121" t="s">
        <v>130</v>
      </c>
      <c r="B121">
        <v>4950</v>
      </c>
      <c r="C121">
        <v>566400</v>
      </c>
      <c r="D121">
        <v>2562</v>
      </c>
      <c r="E121">
        <v>139200</v>
      </c>
      <c r="F121">
        <v>33026</v>
      </c>
      <c r="G121">
        <v>66100</v>
      </c>
      <c r="H121">
        <v>39353</v>
      </c>
      <c r="I121">
        <v>14000</v>
      </c>
      <c r="J121">
        <v>39222</v>
      </c>
      <c r="K121">
        <v>18600</v>
      </c>
    </row>
    <row r="122" spans="1:11" x14ac:dyDescent="0.3">
      <c r="A122" t="s">
        <v>131</v>
      </c>
      <c r="B122">
        <v>4950</v>
      </c>
      <c r="C122">
        <v>318600</v>
      </c>
      <c r="D122">
        <v>2350</v>
      </c>
      <c r="E122">
        <v>130100</v>
      </c>
      <c r="F122">
        <v>33563</v>
      </c>
      <c r="G122">
        <v>46900</v>
      </c>
      <c r="H122">
        <v>39998</v>
      </c>
      <c r="I122">
        <v>14800</v>
      </c>
      <c r="J122">
        <v>39927</v>
      </c>
      <c r="K122">
        <v>20200</v>
      </c>
    </row>
    <row r="123" spans="1:11" x14ac:dyDescent="0.3">
      <c r="A123" t="s">
        <v>132</v>
      </c>
      <c r="B123">
        <v>4950</v>
      </c>
      <c r="C123">
        <v>40700</v>
      </c>
      <c r="D123">
        <v>2471</v>
      </c>
      <c r="E123">
        <v>83600</v>
      </c>
      <c r="F123">
        <v>34100</v>
      </c>
      <c r="G123">
        <v>39900</v>
      </c>
      <c r="H123">
        <v>40577</v>
      </c>
      <c r="I123">
        <v>15900</v>
      </c>
      <c r="J123">
        <v>40669</v>
      </c>
      <c r="K123">
        <v>16800</v>
      </c>
    </row>
    <row r="124" spans="1:11" x14ac:dyDescent="0.3">
      <c r="A124" t="s">
        <v>133</v>
      </c>
      <c r="B124">
        <v>4950</v>
      </c>
      <c r="C124">
        <v>45100</v>
      </c>
      <c r="D124">
        <v>2466</v>
      </c>
      <c r="E124">
        <v>126400</v>
      </c>
      <c r="F124">
        <v>34642</v>
      </c>
      <c r="G124">
        <v>46400</v>
      </c>
      <c r="H124">
        <v>41252</v>
      </c>
      <c r="I124">
        <v>74700</v>
      </c>
      <c r="J124">
        <v>41306</v>
      </c>
      <c r="K124">
        <v>19800</v>
      </c>
    </row>
    <row r="125" spans="1:11" x14ac:dyDescent="0.3">
      <c r="A125" t="s">
        <v>134</v>
      </c>
      <c r="B125">
        <v>4950</v>
      </c>
      <c r="C125">
        <v>46300</v>
      </c>
      <c r="D125">
        <v>2932</v>
      </c>
      <c r="E125">
        <v>190600</v>
      </c>
      <c r="F125">
        <v>35171</v>
      </c>
      <c r="G125">
        <v>69000</v>
      </c>
      <c r="H125">
        <v>41847</v>
      </c>
      <c r="I125">
        <v>14000</v>
      </c>
      <c r="J125">
        <v>42035</v>
      </c>
      <c r="K125">
        <v>19900</v>
      </c>
    </row>
    <row r="126" spans="1:11" x14ac:dyDescent="0.3">
      <c r="A126" t="s">
        <v>135</v>
      </c>
      <c r="B126">
        <v>4950</v>
      </c>
      <c r="C126">
        <v>41400</v>
      </c>
      <c r="D126">
        <v>2448</v>
      </c>
      <c r="E126">
        <v>124500</v>
      </c>
      <c r="F126">
        <v>35715</v>
      </c>
      <c r="G126">
        <v>65600</v>
      </c>
      <c r="H126">
        <v>42444</v>
      </c>
      <c r="I126">
        <v>13800</v>
      </c>
      <c r="J126">
        <v>42728</v>
      </c>
      <c r="K126">
        <v>19900</v>
      </c>
    </row>
    <row r="127" spans="1:11" x14ac:dyDescent="0.3">
      <c r="A127" t="s">
        <v>136</v>
      </c>
      <c r="B127">
        <v>4950</v>
      </c>
      <c r="C127">
        <v>43500</v>
      </c>
      <c r="D127">
        <v>2588</v>
      </c>
      <c r="E127">
        <v>145700</v>
      </c>
      <c r="F127">
        <v>36254</v>
      </c>
      <c r="G127">
        <v>49500</v>
      </c>
      <c r="H127">
        <v>43045</v>
      </c>
      <c r="I127">
        <v>13000</v>
      </c>
      <c r="J127">
        <v>43374</v>
      </c>
      <c r="K127">
        <v>19500</v>
      </c>
    </row>
    <row r="128" spans="1:11" x14ac:dyDescent="0.3">
      <c r="A128" t="s">
        <v>137</v>
      </c>
      <c r="B128">
        <v>4950</v>
      </c>
      <c r="C128">
        <v>42000</v>
      </c>
      <c r="D128">
        <v>2468</v>
      </c>
      <c r="E128">
        <v>139300</v>
      </c>
      <c r="F128">
        <v>36787</v>
      </c>
      <c r="G128">
        <v>50300</v>
      </c>
      <c r="H128">
        <v>43688</v>
      </c>
      <c r="I128">
        <v>14600</v>
      </c>
      <c r="J128">
        <v>44011</v>
      </c>
      <c r="K128">
        <v>20700</v>
      </c>
    </row>
    <row r="129" spans="1:11" x14ac:dyDescent="0.3">
      <c r="A129" t="s">
        <v>138</v>
      </c>
      <c r="B129">
        <v>4950</v>
      </c>
      <c r="C129">
        <v>48000</v>
      </c>
      <c r="D129">
        <v>2772</v>
      </c>
      <c r="E129">
        <v>155800</v>
      </c>
      <c r="F129">
        <v>37323</v>
      </c>
      <c r="G129">
        <v>75200</v>
      </c>
      <c r="H129">
        <v>44301</v>
      </c>
      <c r="I129">
        <v>17300</v>
      </c>
      <c r="J129">
        <v>44657</v>
      </c>
      <c r="K129">
        <v>24100</v>
      </c>
    </row>
    <row r="130" spans="1:11" x14ac:dyDescent="0.3">
      <c r="A130" t="s">
        <v>139</v>
      </c>
      <c r="B130">
        <v>4950</v>
      </c>
      <c r="C130">
        <v>45400</v>
      </c>
      <c r="D130">
        <v>2501</v>
      </c>
      <c r="E130">
        <v>135500</v>
      </c>
      <c r="F130">
        <v>37865</v>
      </c>
      <c r="G130">
        <v>51200</v>
      </c>
      <c r="H130">
        <v>44944</v>
      </c>
      <c r="I130">
        <v>14400</v>
      </c>
      <c r="J130">
        <v>45282</v>
      </c>
      <c r="K130">
        <v>19000</v>
      </c>
    </row>
    <row r="131" spans="1:11" x14ac:dyDescent="0.3">
      <c r="A131" t="s">
        <v>140</v>
      </c>
      <c r="B131">
        <v>4950</v>
      </c>
      <c r="C131">
        <v>42100</v>
      </c>
      <c r="D131">
        <v>2629</v>
      </c>
      <c r="E131">
        <v>95800</v>
      </c>
      <c r="F131">
        <v>38411</v>
      </c>
      <c r="G131">
        <v>42600</v>
      </c>
      <c r="H131">
        <v>45636</v>
      </c>
      <c r="I131">
        <v>12700</v>
      </c>
      <c r="J131">
        <v>45894</v>
      </c>
      <c r="K131">
        <v>15600</v>
      </c>
    </row>
    <row r="132" spans="1:11" x14ac:dyDescent="0.3">
      <c r="A132" t="s">
        <v>141</v>
      </c>
      <c r="B132">
        <v>4950</v>
      </c>
      <c r="C132">
        <v>40200</v>
      </c>
      <c r="D132">
        <v>2758</v>
      </c>
      <c r="E132">
        <v>142900</v>
      </c>
      <c r="F132">
        <v>38951</v>
      </c>
      <c r="G132">
        <v>64000</v>
      </c>
      <c r="H132">
        <v>46307</v>
      </c>
      <c r="I132">
        <v>13700</v>
      </c>
      <c r="J132">
        <v>46498</v>
      </c>
      <c r="K132">
        <v>24000</v>
      </c>
    </row>
    <row r="133" spans="1:11" x14ac:dyDescent="0.3">
      <c r="A133" t="s">
        <v>142</v>
      </c>
      <c r="B133">
        <v>4950</v>
      </c>
      <c r="C133">
        <v>45600</v>
      </c>
      <c r="D133">
        <v>2588</v>
      </c>
      <c r="E133">
        <v>135000</v>
      </c>
      <c r="F133">
        <v>39478</v>
      </c>
      <c r="G133">
        <v>49100</v>
      </c>
      <c r="H133">
        <v>46917</v>
      </c>
      <c r="I133">
        <v>13900</v>
      </c>
      <c r="J133">
        <v>47116</v>
      </c>
      <c r="K133">
        <v>66800</v>
      </c>
    </row>
    <row r="134" spans="1:11" x14ac:dyDescent="0.3">
      <c r="A134" t="s">
        <v>143</v>
      </c>
      <c r="B134">
        <v>4950</v>
      </c>
      <c r="C134">
        <v>40700</v>
      </c>
      <c r="D134">
        <v>2125</v>
      </c>
      <c r="E134">
        <v>73100</v>
      </c>
      <c r="F134">
        <v>40022</v>
      </c>
      <c r="G134">
        <v>40400</v>
      </c>
      <c r="H134">
        <v>47628</v>
      </c>
      <c r="I134">
        <v>12800</v>
      </c>
      <c r="J134">
        <v>47872</v>
      </c>
      <c r="K134">
        <v>14300</v>
      </c>
    </row>
    <row r="135" spans="1:11" x14ac:dyDescent="0.3">
      <c r="A135" t="s">
        <v>144</v>
      </c>
      <c r="B135">
        <v>4950</v>
      </c>
      <c r="C135">
        <v>44300</v>
      </c>
      <c r="D135">
        <v>2490</v>
      </c>
      <c r="E135">
        <v>142800</v>
      </c>
      <c r="F135">
        <v>40566</v>
      </c>
      <c r="G135">
        <v>49500</v>
      </c>
      <c r="H135">
        <v>48236</v>
      </c>
      <c r="I135">
        <v>13600</v>
      </c>
      <c r="J135">
        <v>48469</v>
      </c>
      <c r="K135">
        <v>15800</v>
      </c>
    </row>
    <row r="136" spans="1:11" x14ac:dyDescent="0.3">
      <c r="A136" t="s">
        <v>145</v>
      </c>
      <c r="B136">
        <v>4950</v>
      </c>
      <c r="C136">
        <v>42900</v>
      </c>
      <c r="D136">
        <v>2784</v>
      </c>
      <c r="E136">
        <v>81000</v>
      </c>
      <c r="F136">
        <v>41105</v>
      </c>
      <c r="G136">
        <v>36900</v>
      </c>
      <c r="H136">
        <v>48863</v>
      </c>
      <c r="I136">
        <v>12700</v>
      </c>
      <c r="J136">
        <v>49219</v>
      </c>
      <c r="K136">
        <v>15800</v>
      </c>
    </row>
    <row r="137" spans="1:11" x14ac:dyDescent="0.3">
      <c r="A137" t="s">
        <v>146</v>
      </c>
      <c r="B137">
        <v>4950</v>
      </c>
      <c r="C137">
        <v>52000</v>
      </c>
      <c r="D137">
        <v>2398</v>
      </c>
      <c r="E137">
        <v>133500</v>
      </c>
      <c r="F137">
        <v>41634</v>
      </c>
      <c r="G137">
        <v>69600</v>
      </c>
      <c r="H137">
        <v>49468</v>
      </c>
      <c r="I137">
        <v>13000</v>
      </c>
      <c r="J137">
        <v>49783</v>
      </c>
      <c r="K137">
        <v>14700</v>
      </c>
    </row>
    <row r="138" spans="1:11" x14ac:dyDescent="0.3">
      <c r="A138" t="s">
        <v>147</v>
      </c>
      <c r="B138">
        <v>4950</v>
      </c>
      <c r="C138">
        <v>43600</v>
      </c>
      <c r="D138">
        <v>2724</v>
      </c>
      <c r="E138">
        <v>155600</v>
      </c>
      <c r="F138">
        <v>42182</v>
      </c>
      <c r="G138">
        <v>50800</v>
      </c>
      <c r="H138">
        <v>50138</v>
      </c>
      <c r="I138">
        <v>13600</v>
      </c>
      <c r="J138">
        <v>50425</v>
      </c>
      <c r="K138">
        <v>15000</v>
      </c>
    </row>
    <row r="139" spans="1:11" x14ac:dyDescent="0.3">
      <c r="A139" t="s">
        <v>148</v>
      </c>
      <c r="B139">
        <v>4950</v>
      </c>
      <c r="C139">
        <v>44700</v>
      </c>
      <c r="D139">
        <v>2800</v>
      </c>
      <c r="E139">
        <v>154500</v>
      </c>
      <c r="F139">
        <v>42727</v>
      </c>
      <c r="G139">
        <v>50400</v>
      </c>
      <c r="H139">
        <v>50723</v>
      </c>
      <c r="I139">
        <v>12900</v>
      </c>
      <c r="J139">
        <v>51097</v>
      </c>
      <c r="K139">
        <v>15100</v>
      </c>
    </row>
    <row r="140" spans="1:11" x14ac:dyDescent="0.3">
      <c r="A140" t="s">
        <v>149</v>
      </c>
      <c r="B140">
        <v>4950</v>
      </c>
      <c r="C140">
        <v>49700</v>
      </c>
      <c r="D140">
        <v>2651</v>
      </c>
      <c r="E140">
        <v>91500</v>
      </c>
      <c r="F140">
        <v>43259</v>
      </c>
      <c r="G140">
        <v>53600</v>
      </c>
      <c r="H140">
        <v>51338</v>
      </c>
      <c r="I140">
        <v>12200</v>
      </c>
      <c r="J140">
        <v>51791</v>
      </c>
      <c r="K140">
        <v>13100</v>
      </c>
    </row>
    <row r="141" spans="1:11" x14ac:dyDescent="0.3">
      <c r="A141" t="s">
        <v>150</v>
      </c>
      <c r="B141">
        <v>4950</v>
      </c>
      <c r="C141">
        <v>43900</v>
      </c>
      <c r="D141">
        <v>2577</v>
      </c>
      <c r="E141">
        <v>366600</v>
      </c>
      <c r="F141">
        <v>43800</v>
      </c>
      <c r="G141">
        <v>33300</v>
      </c>
      <c r="H141">
        <v>51942</v>
      </c>
      <c r="I141">
        <v>9900</v>
      </c>
      <c r="J141">
        <v>52464</v>
      </c>
      <c r="K141">
        <v>11500</v>
      </c>
    </row>
    <row r="142" spans="1:11" x14ac:dyDescent="0.3">
      <c r="A142" t="s">
        <v>151</v>
      </c>
      <c r="B142">
        <v>4950</v>
      </c>
      <c r="C142">
        <v>38800</v>
      </c>
      <c r="D142">
        <v>2730</v>
      </c>
      <c r="E142">
        <v>76200</v>
      </c>
      <c r="F142">
        <v>44338</v>
      </c>
      <c r="G142">
        <v>35000</v>
      </c>
      <c r="H142">
        <v>52641</v>
      </c>
      <c r="I142">
        <v>9700</v>
      </c>
      <c r="J142">
        <v>53112</v>
      </c>
      <c r="K142">
        <v>11400</v>
      </c>
    </row>
    <row r="143" spans="1:11" x14ac:dyDescent="0.3">
      <c r="A143" t="s">
        <v>152</v>
      </c>
      <c r="B143">
        <v>4950</v>
      </c>
      <c r="C143">
        <v>49900</v>
      </c>
      <c r="D143">
        <v>2725</v>
      </c>
      <c r="E143">
        <v>147200</v>
      </c>
      <c r="F143">
        <v>44873</v>
      </c>
      <c r="G143">
        <v>66100</v>
      </c>
      <c r="H143">
        <v>53421</v>
      </c>
      <c r="I143">
        <v>11200</v>
      </c>
      <c r="J143">
        <v>53760</v>
      </c>
      <c r="K143">
        <v>11200</v>
      </c>
    </row>
    <row r="144" spans="1:11" x14ac:dyDescent="0.3">
      <c r="A144" t="s">
        <v>153</v>
      </c>
      <c r="B144">
        <v>4950</v>
      </c>
      <c r="C144">
        <v>50000</v>
      </c>
      <c r="D144">
        <v>2830</v>
      </c>
      <c r="E144">
        <v>298700</v>
      </c>
      <c r="F144">
        <v>45412</v>
      </c>
      <c r="G144">
        <v>58800</v>
      </c>
      <c r="H144">
        <v>54177</v>
      </c>
      <c r="I144">
        <v>12400</v>
      </c>
      <c r="J144">
        <v>54367</v>
      </c>
      <c r="K144">
        <v>14500</v>
      </c>
    </row>
    <row r="145" spans="1:11" x14ac:dyDescent="0.3">
      <c r="A145" t="s">
        <v>154</v>
      </c>
      <c r="B145">
        <v>4950</v>
      </c>
      <c r="C145">
        <v>50100</v>
      </c>
      <c r="D145">
        <v>2673</v>
      </c>
      <c r="E145">
        <v>305700</v>
      </c>
      <c r="F145">
        <v>45961</v>
      </c>
      <c r="G145">
        <v>50000</v>
      </c>
      <c r="H145">
        <v>54843</v>
      </c>
      <c r="I145">
        <v>14400</v>
      </c>
      <c r="J145">
        <v>55016</v>
      </c>
      <c r="K145">
        <v>15600</v>
      </c>
    </row>
    <row r="146" spans="1:11" x14ac:dyDescent="0.3">
      <c r="A146" t="s">
        <v>155</v>
      </c>
      <c r="B146">
        <v>4950</v>
      </c>
      <c r="C146">
        <v>41500</v>
      </c>
      <c r="D146">
        <v>2562</v>
      </c>
      <c r="E146">
        <v>244900</v>
      </c>
      <c r="F146">
        <v>46505</v>
      </c>
      <c r="G146">
        <v>40500</v>
      </c>
      <c r="H146">
        <v>55724</v>
      </c>
      <c r="I146">
        <v>13100</v>
      </c>
      <c r="J146">
        <v>55690</v>
      </c>
      <c r="K146">
        <v>13800</v>
      </c>
    </row>
    <row r="147" spans="1:11" x14ac:dyDescent="0.3">
      <c r="A147" t="s">
        <v>156</v>
      </c>
      <c r="B147">
        <v>4950</v>
      </c>
      <c r="C147">
        <v>47600</v>
      </c>
      <c r="D147">
        <v>2351</v>
      </c>
      <c r="E147">
        <v>299800</v>
      </c>
      <c r="F147">
        <v>47052</v>
      </c>
      <c r="G147">
        <v>53900</v>
      </c>
      <c r="H147">
        <v>56300</v>
      </c>
      <c r="I147">
        <v>13200</v>
      </c>
      <c r="J147">
        <v>56311</v>
      </c>
      <c r="K147">
        <v>15800</v>
      </c>
    </row>
    <row r="148" spans="1:11" x14ac:dyDescent="0.3">
      <c r="A148" t="s">
        <v>157</v>
      </c>
      <c r="B148">
        <v>4950</v>
      </c>
      <c r="C148">
        <v>46500</v>
      </c>
      <c r="D148">
        <v>2662</v>
      </c>
      <c r="E148">
        <v>292900</v>
      </c>
      <c r="F148">
        <v>47590</v>
      </c>
      <c r="G148">
        <v>61600</v>
      </c>
      <c r="H148">
        <v>56927</v>
      </c>
      <c r="I148">
        <v>12400</v>
      </c>
      <c r="J148">
        <v>56954</v>
      </c>
      <c r="K148">
        <v>14600</v>
      </c>
    </row>
    <row r="149" spans="1:11" x14ac:dyDescent="0.3">
      <c r="A149" t="s">
        <v>158</v>
      </c>
      <c r="B149">
        <v>4950</v>
      </c>
      <c r="C149">
        <v>45100</v>
      </c>
      <c r="D149">
        <v>2540</v>
      </c>
      <c r="E149">
        <v>285900</v>
      </c>
      <c r="F149">
        <v>48137</v>
      </c>
      <c r="G149">
        <v>33800</v>
      </c>
      <c r="H149">
        <v>57612</v>
      </c>
      <c r="I149">
        <v>10300</v>
      </c>
      <c r="J149">
        <v>57539</v>
      </c>
      <c r="K149">
        <v>11800</v>
      </c>
    </row>
    <row r="150" spans="1:11" x14ac:dyDescent="0.3">
      <c r="A150" t="s">
        <v>159</v>
      </c>
      <c r="B150">
        <v>4950</v>
      </c>
      <c r="C150">
        <v>38900</v>
      </c>
      <c r="D150">
        <v>2279</v>
      </c>
      <c r="E150">
        <v>13200</v>
      </c>
      <c r="F150">
        <v>48674</v>
      </c>
      <c r="G150">
        <v>40500</v>
      </c>
      <c r="H150">
        <v>58303</v>
      </c>
      <c r="I150">
        <v>12300</v>
      </c>
      <c r="J150">
        <v>58223</v>
      </c>
      <c r="K150">
        <v>14400</v>
      </c>
    </row>
    <row r="151" spans="1:11" x14ac:dyDescent="0.3">
      <c r="A151" t="s">
        <v>160</v>
      </c>
      <c r="B151">
        <v>4950</v>
      </c>
      <c r="C151">
        <v>36800</v>
      </c>
      <c r="D151">
        <v>2335</v>
      </c>
      <c r="E151">
        <v>11100</v>
      </c>
      <c r="F151">
        <v>49214</v>
      </c>
      <c r="G151">
        <v>46700</v>
      </c>
      <c r="H151">
        <v>59005</v>
      </c>
      <c r="I151">
        <v>9900</v>
      </c>
      <c r="J151">
        <v>58848</v>
      </c>
      <c r="K151">
        <v>11200</v>
      </c>
    </row>
    <row r="152" spans="1:11" x14ac:dyDescent="0.3">
      <c r="A152" t="s">
        <v>161</v>
      </c>
      <c r="B152">
        <v>4950</v>
      </c>
      <c r="C152">
        <v>48300</v>
      </c>
      <c r="D152">
        <v>2247</v>
      </c>
      <c r="E152">
        <v>15800</v>
      </c>
      <c r="F152">
        <v>49759</v>
      </c>
      <c r="G152">
        <v>55900</v>
      </c>
      <c r="H152">
        <v>59602</v>
      </c>
      <c r="I152">
        <v>12400</v>
      </c>
      <c r="J152">
        <v>59531</v>
      </c>
      <c r="K152">
        <v>15200</v>
      </c>
    </row>
    <row r="153" spans="1:11" x14ac:dyDescent="0.3">
      <c r="A153" t="s">
        <v>162</v>
      </c>
      <c r="B153">
        <v>4950</v>
      </c>
      <c r="C153">
        <v>43800</v>
      </c>
      <c r="D153">
        <v>2569</v>
      </c>
      <c r="E153">
        <v>16800</v>
      </c>
      <c r="F153">
        <v>50304</v>
      </c>
      <c r="G153">
        <v>44800</v>
      </c>
      <c r="H153">
        <v>60258</v>
      </c>
      <c r="I153">
        <v>12400</v>
      </c>
      <c r="J153">
        <v>60203</v>
      </c>
      <c r="K153">
        <v>14600</v>
      </c>
    </row>
    <row r="154" spans="1:11" x14ac:dyDescent="0.3">
      <c r="A154" t="s">
        <v>163</v>
      </c>
      <c r="B154">
        <v>4950</v>
      </c>
      <c r="C154">
        <v>43300</v>
      </c>
      <c r="D154">
        <v>2867</v>
      </c>
      <c r="E154">
        <v>20300</v>
      </c>
      <c r="F154">
        <v>50839</v>
      </c>
      <c r="G154">
        <v>47800</v>
      </c>
      <c r="H154">
        <v>60860</v>
      </c>
      <c r="I154">
        <v>12300</v>
      </c>
      <c r="J154">
        <v>60820</v>
      </c>
      <c r="K154">
        <v>14600</v>
      </c>
    </row>
    <row r="155" spans="1:11" x14ac:dyDescent="0.3">
      <c r="A155" t="s">
        <v>164</v>
      </c>
      <c r="B155">
        <v>4950</v>
      </c>
      <c r="C155">
        <v>45200</v>
      </c>
      <c r="D155">
        <v>2430</v>
      </c>
      <c r="E155">
        <v>18300</v>
      </c>
      <c r="F155">
        <v>51385</v>
      </c>
      <c r="G155">
        <v>48600</v>
      </c>
      <c r="H155">
        <v>61583</v>
      </c>
      <c r="I155">
        <v>12500</v>
      </c>
      <c r="J155">
        <v>61602</v>
      </c>
      <c r="K155">
        <v>15700</v>
      </c>
    </row>
    <row r="156" spans="1:11" x14ac:dyDescent="0.3">
      <c r="A156" t="s">
        <v>165</v>
      </c>
      <c r="B156">
        <v>4950</v>
      </c>
      <c r="C156">
        <v>41800</v>
      </c>
      <c r="D156">
        <v>2767</v>
      </c>
      <c r="E156">
        <v>15200</v>
      </c>
      <c r="F156">
        <v>51936</v>
      </c>
      <c r="G156">
        <v>40200</v>
      </c>
      <c r="H156">
        <v>62231</v>
      </c>
      <c r="I156">
        <v>12300</v>
      </c>
      <c r="J156">
        <v>62230</v>
      </c>
      <c r="K156">
        <v>13900</v>
      </c>
    </row>
    <row r="157" spans="1:11" x14ac:dyDescent="0.3">
      <c r="A157" t="s">
        <v>166</v>
      </c>
      <c r="B157">
        <v>4950</v>
      </c>
      <c r="C157">
        <v>50000</v>
      </c>
      <c r="D157">
        <v>2936</v>
      </c>
      <c r="E157">
        <v>20300</v>
      </c>
      <c r="F157">
        <v>52478</v>
      </c>
      <c r="G157">
        <v>51900</v>
      </c>
      <c r="H157">
        <v>62833</v>
      </c>
      <c r="I157">
        <v>12100</v>
      </c>
      <c r="J157">
        <v>63047</v>
      </c>
      <c r="K157">
        <v>15900</v>
      </c>
    </row>
    <row r="158" spans="1:11" x14ac:dyDescent="0.3">
      <c r="A158" t="s">
        <v>167</v>
      </c>
      <c r="B158">
        <v>4950</v>
      </c>
      <c r="C158">
        <v>46100</v>
      </c>
      <c r="D158">
        <v>2594</v>
      </c>
      <c r="E158">
        <v>18100</v>
      </c>
      <c r="F158">
        <v>53013</v>
      </c>
      <c r="G158">
        <v>47100</v>
      </c>
      <c r="H158">
        <v>63417</v>
      </c>
      <c r="I158">
        <v>12100</v>
      </c>
      <c r="J158">
        <v>63729</v>
      </c>
      <c r="K158">
        <v>14700</v>
      </c>
    </row>
    <row r="159" spans="1:11" x14ac:dyDescent="0.3">
      <c r="A159" t="s">
        <v>168</v>
      </c>
      <c r="B159">
        <v>4950</v>
      </c>
      <c r="C159">
        <v>50800</v>
      </c>
      <c r="D159">
        <v>2801</v>
      </c>
      <c r="E159">
        <v>19100</v>
      </c>
      <c r="F159">
        <v>53559</v>
      </c>
      <c r="G159">
        <v>64800</v>
      </c>
      <c r="H159">
        <v>64011</v>
      </c>
      <c r="I159">
        <v>13300</v>
      </c>
      <c r="J159">
        <v>64375</v>
      </c>
      <c r="K159">
        <v>15000</v>
      </c>
    </row>
    <row r="160" spans="1:11" x14ac:dyDescent="0.3">
      <c r="A160" t="s">
        <v>169</v>
      </c>
      <c r="B160">
        <v>4950</v>
      </c>
      <c r="C160">
        <v>42100</v>
      </c>
      <c r="D160">
        <v>2394</v>
      </c>
      <c r="E160">
        <v>17300</v>
      </c>
      <c r="F160">
        <v>54096</v>
      </c>
      <c r="G160">
        <v>46000</v>
      </c>
      <c r="H160">
        <v>64726</v>
      </c>
      <c r="I160">
        <v>13100</v>
      </c>
      <c r="J160">
        <v>64953</v>
      </c>
      <c r="K160">
        <v>14400</v>
      </c>
    </row>
    <row r="161" spans="1:11" x14ac:dyDescent="0.3">
      <c r="A161" t="s">
        <v>170</v>
      </c>
      <c r="B161">
        <v>4950</v>
      </c>
      <c r="C161">
        <v>46000</v>
      </c>
      <c r="D161">
        <v>2432</v>
      </c>
      <c r="E161">
        <v>16900</v>
      </c>
      <c r="F161">
        <v>54653</v>
      </c>
      <c r="G161">
        <v>48200</v>
      </c>
      <c r="H161">
        <v>65330</v>
      </c>
      <c r="I161">
        <v>12900</v>
      </c>
      <c r="J161">
        <v>65622</v>
      </c>
      <c r="K161">
        <v>14700</v>
      </c>
    </row>
    <row r="162" spans="1:11" x14ac:dyDescent="0.3">
      <c r="A162" t="s">
        <v>171</v>
      </c>
      <c r="B162">
        <v>4950</v>
      </c>
      <c r="C162">
        <v>45400</v>
      </c>
      <c r="D162">
        <v>2540</v>
      </c>
      <c r="E162">
        <v>18100</v>
      </c>
      <c r="F162">
        <v>55198</v>
      </c>
      <c r="G162">
        <v>63900</v>
      </c>
      <c r="H162">
        <v>66042</v>
      </c>
      <c r="I162">
        <v>13200</v>
      </c>
      <c r="J162">
        <v>66215</v>
      </c>
      <c r="K162">
        <v>14400</v>
      </c>
    </row>
    <row r="163" spans="1:11" x14ac:dyDescent="0.3">
      <c r="A163" t="s">
        <v>172</v>
      </c>
      <c r="B163">
        <v>4950</v>
      </c>
      <c r="C163">
        <v>83400</v>
      </c>
      <c r="D163">
        <v>2744</v>
      </c>
      <c r="E163">
        <v>38300</v>
      </c>
      <c r="F163">
        <v>55741</v>
      </c>
      <c r="G163">
        <v>37900</v>
      </c>
      <c r="H163">
        <v>66650</v>
      </c>
      <c r="I163">
        <v>11500</v>
      </c>
      <c r="J163">
        <v>66823</v>
      </c>
      <c r="K163">
        <v>13300</v>
      </c>
    </row>
    <row r="164" spans="1:11" x14ac:dyDescent="0.3">
      <c r="A164" t="s">
        <v>173</v>
      </c>
      <c r="B164">
        <v>4950</v>
      </c>
      <c r="C164">
        <v>35500</v>
      </c>
      <c r="D164">
        <v>2605</v>
      </c>
      <c r="E164">
        <v>11200</v>
      </c>
      <c r="F164">
        <v>56290</v>
      </c>
      <c r="G164">
        <v>31400</v>
      </c>
      <c r="H164">
        <v>67258</v>
      </c>
      <c r="I164">
        <v>9200</v>
      </c>
      <c r="J164">
        <v>67398</v>
      </c>
      <c r="K164">
        <v>11000</v>
      </c>
    </row>
    <row r="165" spans="1:11" x14ac:dyDescent="0.3">
      <c r="A165" t="s">
        <v>174</v>
      </c>
      <c r="B165">
        <v>4950</v>
      </c>
      <c r="C165">
        <v>34200</v>
      </c>
      <c r="D165">
        <v>2694</v>
      </c>
      <c r="E165">
        <v>11400</v>
      </c>
      <c r="F165">
        <v>56830</v>
      </c>
      <c r="G165">
        <v>30600</v>
      </c>
      <c r="H165">
        <v>67853</v>
      </c>
      <c r="I165">
        <v>9000</v>
      </c>
      <c r="J165">
        <v>68049</v>
      </c>
      <c r="K165">
        <v>11200</v>
      </c>
    </row>
    <row r="166" spans="1:11" x14ac:dyDescent="0.3">
      <c r="A166" t="s">
        <v>175</v>
      </c>
      <c r="B166">
        <v>4950</v>
      </c>
      <c r="C166">
        <v>45000</v>
      </c>
      <c r="D166">
        <v>2384</v>
      </c>
      <c r="E166">
        <v>16500</v>
      </c>
      <c r="F166">
        <v>57376</v>
      </c>
      <c r="G166">
        <v>48600</v>
      </c>
      <c r="H166">
        <v>68412</v>
      </c>
      <c r="I166">
        <v>12400</v>
      </c>
      <c r="J166">
        <v>68643</v>
      </c>
      <c r="K166">
        <v>13500</v>
      </c>
    </row>
    <row r="167" spans="1:11" x14ac:dyDescent="0.3">
      <c r="A167" t="s">
        <v>176</v>
      </c>
      <c r="B167">
        <v>4950</v>
      </c>
      <c r="C167">
        <v>40100</v>
      </c>
      <c r="D167">
        <v>2410</v>
      </c>
      <c r="E167">
        <v>11200</v>
      </c>
      <c r="F167">
        <v>57918</v>
      </c>
      <c r="G167">
        <v>39700</v>
      </c>
      <c r="H167">
        <v>69100</v>
      </c>
      <c r="I167">
        <v>11700</v>
      </c>
      <c r="J167">
        <v>69277</v>
      </c>
      <c r="K167">
        <v>14400</v>
      </c>
    </row>
    <row r="168" spans="1:11" x14ac:dyDescent="0.3">
      <c r="A168" t="s">
        <v>177</v>
      </c>
      <c r="B168">
        <v>4950</v>
      </c>
      <c r="C168">
        <v>40200</v>
      </c>
      <c r="D168">
        <v>2310</v>
      </c>
      <c r="E168">
        <v>17400</v>
      </c>
      <c r="F168">
        <v>58463</v>
      </c>
      <c r="G168">
        <v>50800</v>
      </c>
      <c r="H168">
        <v>69709</v>
      </c>
      <c r="I168">
        <v>13800</v>
      </c>
      <c r="J168">
        <v>69898</v>
      </c>
      <c r="K168">
        <v>15600</v>
      </c>
    </row>
    <row r="169" spans="1:11" x14ac:dyDescent="0.3">
      <c r="A169" t="s">
        <v>178</v>
      </c>
      <c r="B169">
        <v>4950</v>
      </c>
      <c r="C169">
        <v>37900</v>
      </c>
      <c r="D169">
        <v>2697</v>
      </c>
      <c r="E169">
        <v>17300</v>
      </c>
      <c r="F169">
        <v>58998</v>
      </c>
      <c r="G169">
        <v>45500</v>
      </c>
      <c r="H169">
        <v>70358</v>
      </c>
      <c r="I169">
        <v>13500</v>
      </c>
      <c r="J169">
        <v>70584</v>
      </c>
      <c r="K169">
        <v>11600</v>
      </c>
    </row>
    <row r="170" spans="1:11" x14ac:dyDescent="0.3">
      <c r="A170" t="s">
        <v>179</v>
      </c>
      <c r="B170">
        <v>4950</v>
      </c>
      <c r="C170">
        <v>45300</v>
      </c>
      <c r="D170">
        <v>2484</v>
      </c>
      <c r="E170">
        <v>18000</v>
      </c>
      <c r="F170">
        <v>59539</v>
      </c>
      <c r="G170">
        <v>66600</v>
      </c>
      <c r="H170">
        <v>71064</v>
      </c>
      <c r="I170">
        <v>13800</v>
      </c>
      <c r="J170">
        <v>71153</v>
      </c>
      <c r="K170">
        <v>15000</v>
      </c>
    </row>
    <row r="171" spans="1:11" x14ac:dyDescent="0.3">
      <c r="A171" t="s">
        <v>180</v>
      </c>
      <c r="B171">
        <v>4950</v>
      </c>
      <c r="C171">
        <v>42800</v>
      </c>
      <c r="D171">
        <v>2516</v>
      </c>
      <c r="E171">
        <v>13400</v>
      </c>
      <c r="F171">
        <v>60086</v>
      </c>
      <c r="G171">
        <v>41700</v>
      </c>
      <c r="H171">
        <v>71719</v>
      </c>
      <c r="I171">
        <v>12500</v>
      </c>
      <c r="J171">
        <v>71837</v>
      </c>
      <c r="K171">
        <v>14000</v>
      </c>
    </row>
    <row r="172" spans="1:11" x14ac:dyDescent="0.3">
      <c r="A172" t="s">
        <v>181</v>
      </c>
      <c r="B172">
        <v>4950</v>
      </c>
      <c r="C172">
        <v>46200</v>
      </c>
      <c r="D172">
        <v>2702</v>
      </c>
      <c r="E172">
        <v>19600</v>
      </c>
      <c r="F172">
        <v>60633</v>
      </c>
      <c r="G172">
        <v>51800</v>
      </c>
      <c r="H172">
        <v>72441</v>
      </c>
      <c r="I172">
        <v>14300</v>
      </c>
      <c r="J172">
        <v>72454</v>
      </c>
      <c r="K172">
        <v>15200</v>
      </c>
    </row>
    <row r="173" spans="1:11" x14ac:dyDescent="0.3">
      <c r="A173" t="s">
        <v>182</v>
      </c>
      <c r="B173">
        <v>4950</v>
      </c>
      <c r="C173">
        <v>40700</v>
      </c>
      <c r="D173">
        <v>2348</v>
      </c>
      <c r="E173">
        <v>13300</v>
      </c>
      <c r="F173">
        <v>61178</v>
      </c>
      <c r="G173">
        <v>60600</v>
      </c>
      <c r="H173">
        <v>73116</v>
      </c>
      <c r="I173">
        <v>11500</v>
      </c>
      <c r="J173">
        <v>73045</v>
      </c>
      <c r="K173">
        <v>13000</v>
      </c>
    </row>
    <row r="174" spans="1:11" x14ac:dyDescent="0.3">
      <c r="A174" t="s">
        <v>183</v>
      </c>
      <c r="B174">
        <v>4950</v>
      </c>
      <c r="C174">
        <v>48400</v>
      </c>
      <c r="D174">
        <v>2539</v>
      </c>
      <c r="E174">
        <v>18600</v>
      </c>
      <c r="F174">
        <v>61721</v>
      </c>
      <c r="G174">
        <v>50700</v>
      </c>
      <c r="H174">
        <v>73726</v>
      </c>
      <c r="I174">
        <v>13100</v>
      </c>
      <c r="J174">
        <v>73771</v>
      </c>
      <c r="K174">
        <v>23200</v>
      </c>
    </row>
    <row r="175" spans="1:11" x14ac:dyDescent="0.3">
      <c r="A175" t="s">
        <v>184</v>
      </c>
      <c r="B175">
        <v>4950</v>
      </c>
      <c r="C175">
        <v>44100</v>
      </c>
      <c r="D175">
        <v>3000</v>
      </c>
      <c r="E175">
        <v>12800</v>
      </c>
      <c r="F175">
        <v>62260</v>
      </c>
      <c r="G175">
        <v>44000</v>
      </c>
      <c r="H175">
        <v>74469</v>
      </c>
      <c r="I175">
        <v>10000</v>
      </c>
      <c r="J175">
        <v>74364</v>
      </c>
      <c r="K175">
        <v>15400</v>
      </c>
    </row>
    <row r="176" spans="1:11" x14ac:dyDescent="0.3">
      <c r="A176" t="s">
        <v>185</v>
      </c>
      <c r="B176">
        <v>4950</v>
      </c>
      <c r="C176">
        <v>42300</v>
      </c>
      <c r="D176">
        <v>2175</v>
      </c>
      <c r="E176">
        <v>15800</v>
      </c>
      <c r="F176">
        <v>62802</v>
      </c>
      <c r="G176">
        <v>62600</v>
      </c>
      <c r="H176">
        <v>75087</v>
      </c>
      <c r="I176">
        <v>12400</v>
      </c>
      <c r="J176">
        <v>75005</v>
      </c>
      <c r="K176">
        <v>15400</v>
      </c>
    </row>
    <row r="177" spans="1:11" x14ac:dyDescent="0.3">
      <c r="A177" t="s">
        <v>186</v>
      </c>
      <c r="B177">
        <v>4950</v>
      </c>
      <c r="C177">
        <v>45500</v>
      </c>
      <c r="D177">
        <v>2560</v>
      </c>
      <c r="E177">
        <v>14900</v>
      </c>
      <c r="F177">
        <v>63331</v>
      </c>
      <c r="G177">
        <v>34300</v>
      </c>
      <c r="H177">
        <v>75794</v>
      </c>
      <c r="I177">
        <v>10500</v>
      </c>
      <c r="J177">
        <v>75623</v>
      </c>
      <c r="K177">
        <v>10900</v>
      </c>
    </row>
    <row r="178" spans="1:11" x14ac:dyDescent="0.3">
      <c r="A178" t="s">
        <v>187</v>
      </c>
      <c r="B178">
        <v>4950</v>
      </c>
      <c r="C178">
        <v>32300</v>
      </c>
      <c r="D178">
        <v>2495</v>
      </c>
      <c r="E178">
        <v>10800</v>
      </c>
      <c r="F178">
        <v>63867</v>
      </c>
      <c r="G178">
        <v>35400</v>
      </c>
      <c r="H178">
        <v>76476</v>
      </c>
      <c r="I178">
        <v>9800</v>
      </c>
      <c r="J178">
        <v>76329</v>
      </c>
      <c r="K178">
        <v>10900</v>
      </c>
    </row>
    <row r="179" spans="1:11" x14ac:dyDescent="0.3">
      <c r="A179" t="s">
        <v>188</v>
      </c>
      <c r="B179">
        <v>4950</v>
      </c>
      <c r="C179">
        <v>43700</v>
      </c>
      <c r="D179">
        <v>2707</v>
      </c>
      <c r="E179">
        <v>18900</v>
      </c>
      <c r="F179">
        <v>64407</v>
      </c>
      <c r="G179">
        <v>48200</v>
      </c>
      <c r="H179">
        <v>77125</v>
      </c>
      <c r="I179">
        <v>12900</v>
      </c>
      <c r="J179">
        <v>76931</v>
      </c>
      <c r="K179">
        <v>15400</v>
      </c>
    </row>
    <row r="180" spans="1:11" x14ac:dyDescent="0.3">
      <c r="A180" t="s">
        <v>189</v>
      </c>
      <c r="B180">
        <v>4950</v>
      </c>
      <c r="C180">
        <v>41600</v>
      </c>
      <c r="D180">
        <v>2311</v>
      </c>
      <c r="E180">
        <v>16800</v>
      </c>
      <c r="F180">
        <v>64951</v>
      </c>
      <c r="G180">
        <v>50200</v>
      </c>
      <c r="H180">
        <v>77782</v>
      </c>
      <c r="I180">
        <v>13900</v>
      </c>
      <c r="J180">
        <v>77485</v>
      </c>
      <c r="K180">
        <v>14300</v>
      </c>
    </row>
    <row r="181" spans="1:11" x14ac:dyDescent="0.3">
      <c r="A181" t="s">
        <v>190</v>
      </c>
      <c r="B181">
        <v>4950</v>
      </c>
      <c r="C181">
        <v>40300</v>
      </c>
      <c r="D181">
        <v>2886</v>
      </c>
      <c r="E181">
        <v>20200</v>
      </c>
      <c r="F181">
        <v>65499</v>
      </c>
      <c r="G181">
        <v>63100</v>
      </c>
      <c r="H181">
        <v>78382</v>
      </c>
      <c r="I181">
        <v>12800</v>
      </c>
      <c r="J181">
        <v>78142</v>
      </c>
      <c r="K181">
        <v>14900</v>
      </c>
    </row>
    <row r="182" spans="1:11" x14ac:dyDescent="0.3">
      <c r="A182" t="s">
        <v>191</v>
      </c>
      <c r="B182">
        <v>4950</v>
      </c>
      <c r="C182">
        <v>44400</v>
      </c>
      <c r="D182">
        <v>2652</v>
      </c>
      <c r="E182">
        <v>18500</v>
      </c>
      <c r="F182">
        <v>66030</v>
      </c>
      <c r="G182">
        <v>51900</v>
      </c>
      <c r="H182">
        <v>79104</v>
      </c>
      <c r="I182">
        <v>13100</v>
      </c>
      <c r="J182">
        <v>78813</v>
      </c>
      <c r="K182">
        <v>15100</v>
      </c>
    </row>
    <row r="183" spans="1:11" x14ac:dyDescent="0.3">
      <c r="A183" t="s">
        <v>192</v>
      </c>
      <c r="B183">
        <v>4950</v>
      </c>
      <c r="C183">
        <v>44300</v>
      </c>
      <c r="D183">
        <v>2562</v>
      </c>
      <c r="E183">
        <v>18000</v>
      </c>
      <c r="F183">
        <v>66570</v>
      </c>
      <c r="G183">
        <v>68700</v>
      </c>
      <c r="H183">
        <v>79684</v>
      </c>
      <c r="I183">
        <v>13500</v>
      </c>
      <c r="J183">
        <v>79383</v>
      </c>
      <c r="K183">
        <v>15800</v>
      </c>
    </row>
    <row r="184" spans="1:11" x14ac:dyDescent="0.3">
      <c r="A184" t="s">
        <v>193</v>
      </c>
      <c r="B184">
        <v>4950</v>
      </c>
      <c r="C184">
        <v>41200</v>
      </c>
      <c r="D184">
        <v>2391</v>
      </c>
      <c r="E184">
        <v>17400</v>
      </c>
      <c r="F184">
        <v>67117</v>
      </c>
      <c r="G184">
        <v>86500</v>
      </c>
      <c r="H184">
        <v>80389</v>
      </c>
      <c r="I184">
        <v>14100</v>
      </c>
      <c r="J184">
        <v>80052</v>
      </c>
      <c r="K184">
        <v>19000</v>
      </c>
    </row>
    <row r="185" spans="1:11" x14ac:dyDescent="0.3">
      <c r="A185" t="s">
        <v>194</v>
      </c>
      <c r="B185">
        <v>4950</v>
      </c>
      <c r="C185">
        <v>47400</v>
      </c>
      <c r="D185">
        <v>2567</v>
      </c>
      <c r="E185">
        <v>18200</v>
      </c>
      <c r="F185">
        <v>67664</v>
      </c>
      <c r="G185">
        <v>50100</v>
      </c>
      <c r="H185">
        <v>80967</v>
      </c>
      <c r="I185">
        <v>13300</v>
      </c>
      <c r="J185">
        <v>80851</v>
      </c>
      <c r="K185">
        <v>15900</v>
      </c>
    </row>
    <row r="186" spans="1:11" x14ac:dyDescent="0.3">
      <c r="A186" t="s">
        <v>195</v>
      </c>
      <c r="B186">
        <v>4950</v>
      </c>
      <c r="C186">
        <v>48000</v>
      </c>
      <c r="D186">
        <v>2972</v>
      </c>
      <c r="E186">
        <v>20600</v>
      </c>
      <c r="F186">
        <v>68198</v>
      </c>
      <c r="G186">
        <v>73300</v>
      </c>
      <c r="H186">
        <v>81639</v>
      </c>
      <c r="I186">
        <v>13000</v>
      </c>
      <c r="J186">
        <v>81506</v>
      </c>
      <c r="K186">
        <v>15300</v>
      </c>
    </row>
    <row r="187" spans="1:11" x14ac:dyDescent="0.3">
      <c r="A187" t="s">
        <v>196</v>
      </c>
      <c r="B187">
        <v>4950</v>
      </c>
      <c r="C187">
        <v>44400</v>
      </c>
      <c r="D187">
        <v>2553</v>
      </c>
      <c r="E187">
        <v>19000</v>
      </c>
      <c r="F187">
        <v>68738</v>
      </c>
      <c r="G187">
        <v>50300</v>
      </c>
      <c r="H187">
        <v>82237</v>
      </c>
      <c r="I187">
        <v>12800</v>
      </c>
      <c r="J187">
        <v>82213</v>
      </c>
      <c r="K187">
        <v>15400</v>
      </c>
    </row>
    <row r="188" spans="1:11" x14ac:dyDescent="0.3">
      <c r="A188" t="s">
        <v>197</v>
      </c>
      <c r="B188">
        <v>4950</v>
      </c>
      <c r="C188">
        <v>42100</v>
      </c>
      <c r="D188">
        <v>2483</v>
      </c>
      <c r="E188">
        <v>17600</v>
      </c>
      <c r="F188">
        <v>69272</v>
      </c>
      <c r="G188">
        <v>65700</v>
      </c>
      <c r="H188">
        <v>82935</v>
      </c>
      <c r="I188">
        <v>13100</v>
      </c>
      <c r="J188">
        <v>82889</v>
      </c>
      <c r="K188">
        <v>14800</v>
      </c>
    </row>
    <row r="189" spans="1:11" x14ac:dyDescent="0.3">
      <c r="A189" t="s">
        <v>198</v>
      </c>
      <c r="B189">
        <v>4950</v>
      </c>
      <c r="C189">
        <v>38200</v>
      </c>
      <c r="D189">
        <v>2458</v>
      </c>
      <c r="E189">
        <v>17900</v>
      </c>
      <c r="F189">
        <v>69819</v>
      </c>
      <c r="G189">
        <v>50000</v>
      </c>
      <c r="H189">
        <v>83618</v>
      </c>
      <c r="I189">
        <v>13800</v>
      </c>
      <c r="J189">
        <v>83468</v>
      </c>
      <c r="K189">
        <v>14900</v>
      </c>
    </row>
    <row r="190" spans="1:11" x14ac:dyDescent="0.3">
      <c r="A190" t="s">
        <v>199</v>
      </c>
      <c r="B190">
        <v>4950</v>
      </c>
      <c r="C190">
        <v>45300</v>
      </c>
      <c r="D190">
        <v>2404</v>
      </c>
      <c r="E190">
        <v>17600</v>
      </c>
      <c r="F190">
        <v>70357</v>
      </c>
      <c r="G190">
        <v>55500</v>
      </c>
      <c r="H190">
        <v>84227</v>
      </c>
      <c r="I190">
        <v>12600</v>
      </c>
      <c r="J190">
        <v>84186</v>
      </c>
      <c r="K190">
        <v>15900</v>
      </c>
    </row>
    <row r="191" spans="1:11" x14ac:dyDescent="0.3">
      <c r="A191" t="s">
        <v>200</v>
      </c>
      <c r="B191">
        <v>4950</v>
      </c>
      <c r="C191">
        <v>45900</v>
      </c>
      <c r="D191">
        <v>2439</v>
      </c>
      <c r="E191">
        <v>13300</v>
      </c>
      <c r="F191">
        <v>70905</v>
      </c>
      <c r="G191">
        <v>252800</v>
      </c>
      <c r="H191">
        <v>84929</v>
      </c>
      <c r="I191">
        <v>15600</v>
      </c>
      <c r="J191">
        <v>84835</v>
      </c>
      <c r="K191">
        <v>14000</v>
      </c>
    </row>
    <row r="192" spans="1:11" x14ac:dyDescent="0.3">
      <c r="A192" t="s">
        <v>201</v>
      </c>
      <c r="B192">
        <v>4950</v>
      </c>
      <c r="C192">
        <v>44700</v>
      </c>
      <c r="D192">
        <v>2781</v>
      </c>
      <c r="E192">
        <v>19800</v>
      </c>
      <c r="F192">
        <v>71453</v>
      </c>
      <c r="G192">
        <v>81900</v>
      </c>
      <c r="H192">
        <v>85536</v>
      </c>
      <c r="I192">
        <v>12800</v>
      </c>
      <c r="J192">
        <v>85521</v>
      </c>
      <c r="K192">
        <v>15500</v>
      </c>
    </row>
    <row r="193" spans="1:11" x14ac:dyDescent="0.3">
      <c r="A193" t="s">
        <v>202</v>
      </c>
      <c r="B193">
        <v>4950</v>
      </c>
      <c r="C193">
        <v>43700</v>
      </c>
      <c r="D193">
        <v>2524</v>
      </c>
      <c r="E193">
        <v>18300</v>
      </c>
      <c r="F193">
        <v>71992</v>
      </c>
      <c r="G193">
        <v>55500</v>
      </c>
      <c r="H193">
        <v>86137</v>
      </c>
      <c r="I193">
        <v>13900</v>
      </c>
      <c r="J193">
        <v>86129</v>
      </c>
      <c r="K193">
        <v>16100</v>
      </c>
    </row>
    <row r="194" spans="1:11" x14ac:dyDescent="0.3">
      <c r="A194" t="s">
        <v>203</v>
      </c>
      <c r="B194">
        <v>4950</v>
      </c>
      <c r="C194">
        <v>41300</v>
      </c>
      <c r="D194">
        <v>2449</v>
      </c>
      <c r="E194">
        <v>13300</v>
      </c>
      <c r="F194">
        <v>72531</v>
      </c>
      <c r="G194">
        <v>41100</v>
      </c>
      <c r="H194">
        <v>86832</v>
      </c>
      <c r="I194">
        <v>14400</v>
      </c>
      <c r="J194">
        <v>86673</v>
      </c>
      <c r="K194">
        <v>13200</v>
      </c>
    </row>
    <row r="195" spans="1:11" x14ac:dyDescent="0.3">
      <c r="A195" t="s">
        <v>204</v>
      </c>
      <c r="B195">
        <v>4950</v>
      </c>
      <c r="C195">
        <v>46500</v>
      </c>
      <c r="D195">
        <v>2955</v>
      </c>
      <c r="E195">
        <v>21200</v>
      </c>
      <c r="F195">
        <v>73075</v>
      </c>
      <c r="G195">
        <v>65400</v>
      </c>
      <c r="H195">
        <v>87536</v>
      </c>
      <c r="I195">
        <v>12600</v>
      </c>
      <c r="J195">
        <v>87540</v>
      </c>
      <c r="K195">
        <v>17600</v>
      </c>
    </row>
    <row r="196" spans="1:11" x14ac:dyDescent="0.3">
      <c r="A196" t="s">
        <v>205</v>
      </c>
      <c r="B196">
        <v>4950</v>
      </c>
      <c r="C196">
        <v>38200</v>
      </c>
      <c r="D196">
        <v>2256</v>
      </c>
      <c r="E196">
        <v>16700</v>
      </c>
      <c r="F196">
        <v>73610</v>
      </c>
      <c r="G196">
        <v>50000</v>
      </c>
      <c r="H196">
        <v>88244</v>
      </c>
      <c r="I196">
        <v>13200</v>
      </c>
      <c r="J196">
        <v>88120</v>
      </c>
      <c r="K196">
        <v>14900</v>
      </c>
    </row>
    <row r="197" spans="1:11" x14ac:dyDescent="0.3">
      <c r="A197" t="s">
        <v>206</v>
      </c>
      <c r="B197">
        <v>4950</v>
      </c>
      <c r="C197">
        <v>46100</v>
      </c>
      <c r="D197">
        <v>2499</v>
      </c>
      <c r="E197">
        <v>18100</v>
      </c>
      <c r="F197">
        <v>74154</v>
      </c>
      <c r="G197">
        <v>65800</v>
      </c>
      <c r="H197">
        <v>88833</v>
      </c>
      <c r="I197">
        <v>13200</v>
      </c>
      <c r="J197">
        <v>88888</v>
      </c>
      <c r="K197">
        <v>15700</v>
      </c>
    </row>
    <row r="198" spans="1:11" x14ac:dyDescent="0.3">
      <c r="A198" t="s">
        <v>207</v>
      </c>
      <c r="B198">
        <v>4950</v>
      </c>
      <c r="C198">
        <v>52800</v>
      </c>
      <c r="D198">
        <v>2769</v>
      </c>
      <c r="E198">
        <v>22600</v>
      </c>
      <c r="F198">
        <v>74691</v>
      </c>
      <c r="G198">
        <v>58900</v>
      </c>
      <c r="H198">
        <v>89627</v>
      </c>
      <c r="I198">
        <v>15900</v>
      </c>
      <c r="J198">
        <v>89506</v>
      </c>
      <c r="K198">
        <v>15700</v>
      </c>
    </row>
    <row r="199" spans="1:11" x14ac:dyDescent="0.3">
      <c r="A199" t="s">
        <v>208</v>
      </c>
      <c r="B199">
        <v>4950</v>
      </c>
      <c r="C199">
        <v>45900</v>
      </c>
      <c r="D199">
        <v>2646</v>
      </c>
      <c r="E199">
        <v>11400</v>
      </c>
      <c r="F199">
        <v>75230</v>
      </c>
      <c r="G199">
        <v>48200</v>
      </c>
      <c r="H199">
        <v>90272</v>
      </c>
      <c r="I199">
        <v>20100</v>
      </c>
      <c r="J199">
        <v>90135</v>
      </c>
      <c r="K199">
        <v>14900</v>
      </c>
    </row>
    <row r="200" spans="1:11" x14ac:dyDescent="0.3">
      <c r="A200" t="s">
        <v>209</v>
      </c>
      <c r="B200">
        <v>4950</v>
      </c>
      <c r="C200">
        <v>43900</v>
      </c>
      <c r="D200">
        <v>2562</v>
      </c>
      <c r="E200">
        <v>18800</v>
      </c>
      <c r="F200">
        <v>75768</v>
      </c>
      <c r="G200">
        <v>50200</v>
      </c>
      <c r="H200">
        <v>90882</v>
      </c>
      <c r="I200">
        <v>13400</v>
      </c>
      <c r="J200">
        <v>90764</v>
      </c>
      <c r="K200">
        <v>16600</v>
      </c>
    </row>
    <row r="201" spans="1:11" x14ac:dyDescent="0.3">
      <c r="A201" t="s">
        <v>210</v>
      </c>
      <c r="B201">
        <v>4950</v>
      </c>
      <c r="C201">
        <v>41600</v>
      </c>
      <c r="D201">
        <v>2322</v>
      </c>
      <c r="E201">
        <v>16200</v>
      </c>
      <c r="F201">
        <v>76305</v>
      </c>
      <c r="G201">
        <v>49000</v>
      </c>
      <c r="H201">
        <v>91469</v>
      </c>
      <c r="I201">
        <v>12300</v>
      </c>
      <c r="J201">
        <v>91442</v>
      </c>
      <c r="K201">
        <v>15700</v>
      </c>
    </row>
    <row r="202" spans="1:11" x14ac:dyDescent="0.3">
      <c r="A202" t="s">
        <v>211</v>
      </c>
      <c r="B202">
        <v>11175</v>
      </c>
      <c r="C202">
        <v>92000</v>
      </c>
      <c r="D202">
        <v>5541</v>
      </c>
      <c r="E202">
        <v>36500</v>
      </c>
      <c r="F202">
        <v>77203</v>
      </c>
      <c r="G202">
        <v>95000</v>
      </c>
      <c r="H202">
        <v>92464</v>
      </c>
      <c r="I202">
        <v>20200</v>
      </c>
      <c r="J202">
        <v>92400</v>
      </c>
      <c r="K202">
        <v>23300</v>
      </c>
    </row>
    <row r="203" spans="1:11" x14ac:dyDescent="0.3">
      <c r="A203" t="s">
        <v>212</v>
      </c>
      <c r="B203">
        <v>11175</v>
      </c>
      <c r="C203">
        <v>94500</v>
      </c>
      <c r="D203">
        <v>5611</v>
      </c>
      <c r="E203">
        <v>38400</v>
      </c>
      <c r="F203">
        <v>78104</v>
      </c>
      <c r="G203">
        <v>95800</v>
      </c>
      <c r="H203">
        <v>93521</v>
      </c>
      <c r="I203">
        <v>20300</v>
      </c>
      <c r="J203">
        <v>93628</v>
      </c>
      <c r="K203">
        <v>24800</v>
      </c>
    </row>
    <row r="204" spans="1:11" x14ac:dyDescent="0.3">
      <c r="A204" t="s">
        <v>213</v>
      </c>
      <c r="B204">
        <v>11175</v>
      </c>
      <c r="C204">
        <v>91600</v>
      </c>
      <c r="D204">
        <v>5605</v>
      </c>
      <c r="E204">
        <v>37400</v>
      </c>
      <c r="F204">
        <v>79006</v>
      </c>
      <c r="G204">
        <v>77300</v>
      </c>
      <c r="H204">
        <v>94553</v>
      </c>
      <c r="I204">
        <v>27600</v>
      </c>
      <c r="J204">
        <v>94713</v>
      </c>
      <c r="K204">
        <v>24200</v>
      </c>
    </row>
    <row r="205" spans="1:11" x14ac:dyDescent="0.3">
      <c r="A205" t="s">
        <v>214</v>
      </c>
      <c r="B205">
        <v>11175</v>
      </c>
      <c r="C205">
        <v>68600</v>
      </c>
      <c r="D205">
        <v>5805</v>
      </c>
      <c r="E205">
        <v>24600</v>
      </c>
      <c r="F205">
        <v>79890</v>
      </c>
      <c r="G205">
        <v>61800</v>
      </c>
      <c r="H205">
        <v>95982</v>
      </c>
      <c r="I205">
        <v>19700</v>
      </c>
      <c r="J205">
        <v>95636</v>
      </c>
      <c r="K205">
        <v>19700</v>
      </c>
    </row>
    <row r="206" spans="1:11" x14ac:dyDescent="0.3">
      <c r="A206" t="s">
        <v>215</v>
      </c>
      <c r="B206">
        <v>11175</v>
      </c>
      <c r="C206">
        <v>98400</v>
      </c>
      <c r="D206">
        <v>6082</v>
      </c>
      <c r="E206">
        <v>28900</v>
      </c>
      <c r="F206">
        <v>80804</v>
      </c>
      <c r="G206">
        <v>68200</v>
      </c>
      <c r="H206">
        <v>96969</v>
      </c>
      <c r="I206">
        <v>18400</v>
      </c>
      <c r="J206">
        <v>96724</v>
      </c>
      <c r="K206">
        <v>21100</v>
      </c>
    </row>
    <row r="207" spans="1:11" x14ac:dyDescent="0.3">
      <c r="A207" t="s">
        <v>216</v>
      </c>
      <c r="B207">
        <v>11175</v>
      </c>
      <c r="C207">
        <v>89300</v>
      </c>
      <c r="D207">
        <v>5575</v>
      </c>
      <c r="E207">
        <v>27100</v>
      </c>
      <c r="F207">
        <v>81695</v>
      </c>
      <c r="G207">
        <v>76500</v>
      </c>
      <c r="H207">
        <v>98023</v>
      </c>
      <c r="I207">
        <v>18500</v>
      </c>
      <c r="J207">
        <v>97738</v>
      </c>
      <c r="K207">
        <v>20800</v>
      </c>
    </row>
    <row r="208" spans="1:11" x14ac:dyDescent="0.3">
      <c r="A208" t="s">
        <v>217</v>
      </c>
      <c r="B208">
        <v>11175</v>
      </c>
      <c r="C208">
        <v>88800</v>
      </c>
      <c r="D208">
        <v>5382</v>
      </c>
      <c r="E208">
        <v>26700</v>
      </c>
      <c r="F208">
        <v>82596</v>
      </c>
      <c r="G208">
        <v>77100</v>
      </c>
      <c r="H208">
        <v>99018</v>
      </c>
      <c r="I208">
        <v>18900</v>
      </c>
      <c r="J208">
        <v>98759</v>
      </c>
      <c r="K208">
        <v>21400</v>
      </c>
    </row>
    <row r="209" spans="1:11" x14ac:dyDescent="0.3">
      <c r="A209" t="s">
        <v>218</v>
      </c>
      <c r="B209">
        <v>11175</v>
      </c>
      <c r="C209">
        <v>87600</v>
      </c>
      <c r="D209">
        <v>5473</v>
      </c>
      <c r="E209">
        <v>28700</v>
      </c>
      <c r="F209">
        <v>83490</v>
      </c>
      <c r="G209">
        <v>58300</v>
      </c>
      <c r="H209">
        <v>100315</v>
      </c>
      <c r="I209">
        <v>19000</v>
      </c>
      <c r="J209">
        <v>99731</v>
      </c>
      <c r="K209">
        <v>19800</v>
      </c>
    </row>
    <row r="210" spans="1:11" x14ac:dyDescent="0.3">
      <c r="A210" t="s">
        <v>219</v>
      </c>
      <c r="B210">
        <v>11175</v>
      </c>
      <c r="C210">
        <v>67100</v>
      </c>
      <c r="D210">
        <v>5209</v>
      </c>
      <c r="E210">
        <v>24600</v>
      </c>
      <c r="F210">
        <v>84388</v>
      </c>
      <c r="G210">
        <v>51300</v>
      </c>
      <c r="H210">
        <v>101423</v>
      </c>
      <c r="I210">
        <v>14200</v>
      </c>
      <c r="J210">
        <v>101181</v>
      </c>
      <c r="K210">
        <v>17900</v>
      </c>
    </row>
    <row r="211" spans="1:11" x14ac:dyDescent="0.3">
      <c r="A211" t="s">
        <v>220</v>
      </c>
      <c r="B211">
        <v>11175</v>
      </c>
      <c r="C211">
        <v>231700</v>
      </c>
      <c r="D211">
        <v>5177</v>
      </c>
      <c r="E211">
        <v>35600</v>
      </c>
      <c r="F211">
        <v>85302</v>
      </c>
      <c r="G211">
        <v>81600</v>
      </c>
      <c r="H211">
        <v>102488</v>
      </c>
      <c r="I211">
        <v>21400</v>
      </c>
      <c r="J211">
        <v>102225</v>
      </c>
      <c r="K211">
        <v>23700</v>
      </c>
    </row>
    <row r="212" spans="1:11" x14ac:dyDescent="0.3">
      <c r="A212" t="s">
        <v>221</v>
      </c>
      <c r="B212">
        <v>11175</v>
      </c>
      <c r="C212">
        <v>97400</v>
      </c>
      <c r="D212">
        <v>6018</v>
      </c>
      <c r="E212">
        <v>41300</v>
      </c>
      <c r="F212">
        <v>86199</v>
      </c>
      <c r="G212">
        <v>73700</v>
      </c>
      <c r="H212">
        <v>103517</v>
      </c>
      <c r="I212">
        <v>22100</v>
      </c>
      <c r="J212">
        <v>103332</v>
      </c>
      <c r="K212">
        <v>24900</v>
      </c>
    </row>
    <row r="213" spans="1:11" x14ac:dyDescent="0.3">
      <c r="A213" t="s">
        <v>222</v>
      </c>
      <c r="B213">
        <v>11175</v>
      </c>
      <c r="C213">
        <v>73100</v>
      </c>
      <c r="D213">
        <v>5933</v>
      </c>
      <c r="E213">
        <v>23400</v>
      </c>
      <c r="F213">
        <v>87101</v>
      </c>
      <c r="G213">
        <v>79400</v>
      </c>
      <c r="H213">
        <v>104545</v>
      </c>
      <c r="I213">
        <v>14800</v>
      </c>
      <c r="J213">
        <v>104391</v>
      </c>
      <c r="K213">
        <v>23500</v>
      </c>
    </row>
    <row r="214" spans="1:11" x14ac:dyDescent="0.3">
      <c r="A214" t="s">
        <v>223</v>
      </c>
      <c r="B214">
        <v>11175</v>
      </c>
      <c r="C214">
        <v>67800</v>
      </c>
      <c r="D214">
        <v>5887</v>
      </c>
      <c r="E214">
        <v>29000</v>
      </c>
      <c r="F214">
        <v>88004</v>
      </c>
      <c r="G214">
        <v>103200</v>
      </c>
      <c r="H214">
        <v>105573</v>
      </c>
      <c r="I214">
        <v>15000</v>
      </c>
      <c r="J214">
        <v>105551</v>
      </c>
      <c r="K214">
        <v>17000</v>
      </c>
    </row>
    <row r="215" spans="1:11" x14ac:dyDescent="0.3">
      <c r="A215" t="s">
        <v>224</v>
      </c>
      <c r="B215">
        <v>11175</v>
      </c>
      <c r="C215">
        <v>91600</v>
      </c>
      <c r="D215">
        <v>5933</v>
      </c>
      <c r="E215">
        <v>28400</v>
      </c>
      <c r="F215">
        <v>88893</v>
      </c>
      <c r="G215">
        <v>60400</v>
      </c>
      <c r="H215">
        <v>106647</v>
      </c>
      <c r="I215">
        <v>18700</v>
      </c>
      <c r="J215">
        <v>106634</v>
      </c>
      <c r="K215">
        <v>20300</v>
      </c>
    </row>
    <row r="216" spans="1:11" x14ac:dyDescent="0.3">
      <c r="A216" t="s">
        <v>225</v>
      </c>
      <c r="B216">
        <v>11175</v>
      </c>
      <c r="C216">
        <v>109300</v>
      </c>
      <c r="D216">
        <v>5636</v>
      </c>
      <c r="E216">
        <v>29000</v>
      </c>
      <c r="F216">
        <v>89795</v>
      </c>
      <c r="G216">
        <v>63700</v>
      </c>
      <c r="H216">
        <v>107686</v>
      </c>
      <c r="I216">
        <v>18800</v>
      </c>
      <c r="J216">
        <v>107691</v>
      </c>
      <c r="K216">
        <v>21400</v>
      </c>
    </row>
    <row r="217" spans="1:11" x14ac:dyDescent="0.3">
      <c r="A217" t="s">
        <v>226</v>
      </c>
      <c r="B217">
        <v>11175</v>
      </c>
      <c r="C217">
        <v>87700</v>
      </c>
      <c r="D217">
        <v>5778</v>
      </c>
      <c r="E217">
        <v>27400</v>
      </c>
      <c r="F217">
        <v>90686</v>
      </c>
      <c r="G217">
        <v>61700</v>
      </c>
      <c r="H217">
        <v>108801</v>
      </c>
      <c r="I217">
        <v>18300</v>
      </c>
      <c r="J217">
        <v>108802</v>
      </c>
      <c r="K217">
        <v>20800</v>
      </c>
    </row>
    <row r="218" spans="1:11" x14ac:dyDescent="0.3">
      <c r="A218" t="s">
        <v>227</v>
      </c>
      <c r="B218">
        <v>11175</v>
      </c>
      <c r="C218">
        <v>98900</v>
      </c>
      <c r="D218">
        <v>5558</v>
      </c>
      <c r="E218">
        <v>41900</v>
      </c>
      <c r="F218">
        <v>91589</v>
      </c>
      <c r="G218">
        <v>101700</v>
      </c>
      <c r="H218">
        <v>109752</v>
      </c>
      <c r="I218">
        <v>20000</v>
      </c>
      <c r="J218">
        <v>109825</v>
      </c>
      <c r="K218">
        <v>23400</v>
      </c>
    </row>
    <row r="219" spans="1:11" x14ac:dyDescent="0.3">
      <c r="A219" t="s">
        <v>228</v>
      </c>
      <c r="B219">
        <v>11175</v>
      </c>
      <c r="C219">
        <v>89900</v>
      </c>
      <c r="D219">
        <v>5886</v>
      </c>
      <c r="E219">
        <v>27900</v>
      </c>
      <c r="F219">
        <v>92486</v>
      </c>
      <c r="G219">
        <v>76800</v>
      </c>
      <c r="H219">
        <v>110947</v>
      </c>
      <c r="I219">
        <v>19200</v>
      </c>
      <c r="J219">
        <v>110847</v>
      </c>
      <c r="K219">
        <v>21500</v>
      </c>
    </row>
    <row r="220" spans="1:11" x14ac:dyDescent="0.3">
      <c r="A220" t="s">
        <v>229</v>
      </c>
      <c r="B220">
        <v>11175</v>
      </c>
      <c r="C220">
        <v>74100</v>
      </c>
      <c r="D220">
        <v>5590</v>
      </c>
      <c r="E220">
        <v>23400</v>
      </c>
      <c r="F220">
        <v>93372</v>
      </c>
      <c r="G220">
        <v>52700</v>
      </c>
      <c r="H220">
        <v>112010</v>
      </c>
      <c r="I220">
        <v>16100</v>
      </c>
      <c r="J220">
        <v>111953</v>
      </c>
      <c r="K220">
        <v>18400</v>
      </c>
    </row>
    <row r="221" spans="1:11" x14ac:dyDescent="0.3">
      <c r="A221" t="s">
        <v>230</v>
      </c>
      <c r="B221">
        <v>11175</v>
      </c>
      <c r="C221">
        <v>95200</v>
      </c>
      <c r="D221">
        <v>5619</v>
      </c>
      <c r="E221">
        <v>27800</v>
      </c>
      <c r="F221">
        <v>94268</v>
      </c>
      <c r="G221">
        <v>60300</v>
      </c>
      <c r="H221">
        <v>113100</v>
      </c>
      <c r="I221">
        <v>19200</v>
      </c>
      <c r="J221">
        <v>113097</v>
      </c>
      <c r="K221">
        <v>21600</v>
      </c>
    </row>
    <row r="222" spans="1:11" x14ac:dyDescent="0.3">
      <c r="A222" t="s">
        <v>231</v>
      </c>
      <c r="B222">
        <v>11175</v>
      </c>
      <c r="C222">
        <v>73800</v>
      </c>
      <c r="D222">
        <v>5715</v>
      </c>
      <c r="E222">
        <v>22900</v>
      </c>
      <c r="F222">
        <v>95171</v>
      </c>
      <c r="G222">
        <v>71500</v>
      </c>
      <c r="H222">
        <v>114357</v>
      </c>
      <c r="I222">
        <v>15100</v>
      </c>
      <c r="J222">
        <v>114129</v>
      </c>
      <c r="K222">
        <v>17600</v>
      </c>
    </row>
    <row r="223" spans="1:11" x14ac:dyDescent="0.3">
      <c r="A223" t="s">
        <v>232</v>
      </c>
      <c r="B223">
        <v>11175</v>
      </c>
      <c r="C223">
        <v>71300</v>
      </c>
      <c r="D223">
        <v>5121</v>
      </c>
      <c r="E223">
        <v>20900</v>
      </c>
      <c r="F223">
        <v>96066</v>
      </c>
      <c r="G223">
        <v>58300</v>
      </c>
      <c r="H223">
        <v>115312</v>
      </c>
      <c r="I223">
        <v>22800</v>
      </c>
      <c r="J223">
        <v>115330</v>
      </c>
      <c r="K223">
        <v>18000</v>
      </c>
    </row>
    <row r="224" spans="1:11" x14ac:dyDescent="0.3">
      <c r="A224" t="s">
        <v>233</v>
      </c>
      <c r="B224">
        <v>11175</v>
      </c>
      <c r="C224">
        <v>86200</v>
      </c>
      <c r="D224">
        <v>5515</v>
      </c>
      <c r="E224">
        <v>26800</v>
      </c>
      <c r="F224">
        <v>96960</v>
      </c>
      <c r="G224">
        <v>74800</v>
      </c>
      <c r="H224">
        <v>116632</v>
      </c>
      <c r="I224">
        <v>22000</v>
      </c>
      <c r="J224">
        <v>116378</v>
      </c>
      <c r="K224">
        <v>25900</v>
      </c>
    </row>
    <row r="225" spans="1:11" x14ac:dyDescent="0.3">
      <c r="A225" t="s">
        <v>234</v>
      </c>
      <c r="B225">
        <v>11175</v>
      </c>
      <c r="C225">
        <v>76300</v>
      </c>
      <c r="D225">
        <v>5635</v>
      </c>
      <c r="E225">
        <v>37300</v>
      </c>
      <c r="F225">
        <v>97848</v>
      </c>
      <c r="G225">
        <v>82200</v>
      </c>
      <c r="H225">
        <v>117877</v>
      </c>
      <c r="I225">
        <v>20900</v>
      </c>
      <c r="J225">
        <v>117283</v>
      </c>
      <c r="K225">
        <v>20700</v>
      </c>
    </row>
    <row r="226" spans="1:11" x14ac:dyDescent="0.3">
      <c r="A226" t="s">
        <v>235</v>
      </c>
      <c r="B226">
        <v>11175</v>
      </c>
      <c r="C226">
        <v>83200</v>
      </c>
      <c r="D226">
        <v>5242</v>
      </c>
      <c r="E226">
        <v>21500</v>
      </c>
      <c r="F226">
        <v>98741</v>
      </c>
      <c r="G226">
        <v>273400</v>
      </c>
      <c r="H226">
        <v>118930</v>
      </c>
      <c r="I226">
        <v>16200</v>
      </c>
      <c r="J226">
        <v>118382</v>
      </c>
      <c r="K226">
        <v>26100</v>
      </c>
    </row>
    <row r="227" spans="1:11" x14ac:dyDescent="0.3">
      <c r="A227" t="s">
        <v>236</v>
      </c>
      <c r="B227">
        <v>11175</v>
      </c>
      <c r="C227">
        <v>90700</v>
      </c>
      <c r="D227">
        <v>5536</v>
      </c>
      <c r="E227">
        <v>26800</v>
      </c>
      <c r="F227">
        <v>99640</v>
      </c>
      <c r="G227">
        <v>60700</v>
      </c>
      <c r="H227">
        <v>120013</v>
      </c>
      <c r="I227">
        <v>18700</v>
      </c>
      <c r="J227">
        <v>119471</v>
      </c>
      <c r="K227">
        <v>20500</v>
      </c>
    </row>
    <row r="228" spans="1:11" x14ac:dyDescent="0.3">
      <c r="A228" t="s">
        <v>237</v>
      </c>
      <c r="B228">
        <v>11175</v>
      </c>
      <c r="C228">
        <v>80100</v>
      </c>
      <c r="D228">
        <v>5609</v>
      </c>
      <c r="E228">
        <v>26900</v>
      </c>
      <c r="F228">
        <v>100551</v>
      </c>
      <c r="G228">
        <v>60600</v>
      </c>
      <c r="H228">
        <v>121062</v>
      </c>
      <c r="I228">
        <v>18900</v>
      </c>
      <c r="J228">
        <v>120602</v>
      </c>
      <c r="K228">
        <v>20300</v>
      </c>
    </row>
    <row r="229" spans="1:11" x14ac:dyDescent="0.3">
      <c r="A229" t="s">
        <v>238</v>
      </c>
      <c r="B229">
        <v>11175</v>
      </c>
      <c r="C229">
        <v>84100</v>
      </c>
      <c r="D229">
        <v>5795</v>
      </c>
      <c r="E229">
        <v>27800</v>
      </c>
      <c r="F229">
        <v>101448</v>
      </c>
      <c r="G229">
        <v>60500</v>
      </c>
      <c r="H229">
        <v>122005</v>
      </c>
      <c r="I229">
        <v>18100</v>
      </c>
      <c r="J229">
        <v>121544</v>
      </c>
      <c r="K229">
        <v>20400</v>
      </c>
    </row>
    <row r="230" spans="1:11" x14ac:dyDescent="0.3">
      <c r="A230" t="s">
        <v>239</v>
      </c>
      <c r="B230">
        <v>11175</v>
      </c>
      <c r="C230">
        <v>71400</v>
      </c>
      <c r="D230">
        <v>5760</v>
      </c>
      <c r="E230">
        <v>23100</v>
      </c>
      <c r="F230">
        <v>102356</v>
      </c>
      <c r="G230">
        <v>62500</v>
      </c>
      <c r="H230">
        <v>123184</v>
      </c>
      <c r="I230">
        <v>16500</v>
      </c>
      <c r="J230">
        <v>122675</v>
      </c>
      <c r="K230">
        <v>17900</v>
      </c>
    </row>
    <row r="231" spans="1:11" x14ac:dyDescent="0.3">
      <c r="A231" t="s">
        <v>240</v>
      </c>
      <c r="B231">
        <v>11175</v>
      </c>
      <c r="C231">
        <v>79100</v>
      </c>
      <c r="D231">
        <v>6190</v>
      </c>
      <c r="E231">
        <v>24300</v>
      </c>
      <c r="F231">
        <v>103246</v>
      </c>
      <c r="G231">
        <v>62800</v>
      </c>
      <c r="H231">
        <v>124299</v>
      </c>
      <c r="I231">
        <v>15900</v>
      </c>
      <c r="J231">
        <v>123712</v>
      </c>
      <c r="K231">
        <v>23300</v>
      </c>
    </row>
    <row r="232" spans="1:11" x14ac:dyDescent="0.3">
      <c r="A232" t="s">
        <v>241</v>
      </c>
      <c r="B232">
        <v>11175</v>
      </c>
      <c r="C232">
        <v>77600</v>
      </c>
      <c r="D232">
        <v>5315</v>
      </c>
      <c r="E232">
        <v>25800</v>
      </c>
      <c r="F232">
        <v>104139</v>
      </c>
      <c r="G232">
        <v>60600</v>
      </c>
      <c r="H232">
        <v>125508</v>
      </c>
      <c r="I232">
        <v>19500</v>
      </c>
      <c r="J232">
        <v>124768</v>
      </c>
      <c r="K232">
        <v>20500</v>
      </c>
    </row>
    <row r="233" spans="1:11" x14ac:dyDescent="0.3">
      <c r="A233" t="s">
        <v>242</v>
      </c>
      <c r="B233">
        <v>11175</v>
      </c>
      <c r="C233">
        <v>72500</v>
      </c>
      <c r="D233">
        <v>5568</v>
      </c>
      <c r="E233">
        <v>22600</v>
      </c>
      <c r="F233">
        <v>105034</v>
      </c>
      <c r="G233">
        <v>51000</v>
      </c>
      <c r="H233">
        <v>126547</v>
      </c>
      <c r="I233">
        <v>15500</v>
      </c>
      <c r="J233">
        <v>125879</v>
      </c>
      <c r="K233">
        <v>19600</v>
      </c>
    </row>
    <row r="234" spans="1:11" x14ac:dyDescent="0.3">
      <c r="A234" t="s">
        <v>243</v>
      </c>
      <c r="B234">
        <v>11175</v>
      </c>
      <c r="C234">
        <v>88000</v>
      </c>
      <c r="D234">
        <v>5489</v>
      </c>
      <c r="E234">
        <v>26600</v>
      </c>
      <c r="F234">
        <v>105922</v>
      </c>
      <c r="G234">
        <v>59000</v>
      </c>
      <c r="H234">
        <v>127601</v>
      </c>
      <c r="I234">
        <v>18300</v>
      </c>
      <c r="J234">
        <v>126981</v>
      </c>
      <c r="K234">
        <v>21300</v>
      </c>
    </row>
    <row r="235" spans="1:11" x14ac:dyDescent="0.3">
      <c r="A235" t="s">
        <v>244</v>
      </c>
      <c r="B235">
        <v>11175</v>
      </c>
      <c r="C235">
        <v>82300</v>
      </c>
      <c r="D235">
        <v>5400</v>
      </c>
      <c r="E235">
        <v>26100</v>
      </c>
      <c r="F235">
        <v>106821</v>
      </c>
      <c r="G235">
        <v>74900</v>
      </c>
      <c r="H235">
        <v>128615</v>
      </c>
      <c r="I235">
        <v>18600</v>
      </c>
      <c r="J235">
        <v>127991</v>
      </c>
      <c r="K235">
        <v>20700</v>
      </c>
    </row>
    <row r="236" spans="1:11" x14ac:dyDescent="0.3">
      <c r="A236" t="s">
        <v>245</v>
      </c>
      <c r="B236">
        <v>11175</v>
      </c>
      <c r="C236">
        <v>81800</v>
      </c>
      <c r="D236">
        <v>5698</v>
      </c>
      <c r="E236">
        <v>26900</v>
      </c>
      <c r="F236">
        <v>107723</v>
      </c>
      <c r="G236">
        <v>74200</v>
      </c>
      <c r="H236">
        <v>129963</v>
      </c>
      <c r="I236">
        <v>19100</v>
      </c>
      <c r="J236">
        <v>129170</v>
      </c>
      <c r="K236">
        <v>21000</v>
      </c>
    </row>
    <row r="237" spans="1:11" x14ac:dyDescent="0.3">
      <c r="A237" t="s">
        <v>246</v>
      </c>
      <c r="B237">
        <v>11175</v>
      </c>
      <c r="C237">
        <v>79500</v>
      </c>
      <c r="D237">
        <v>5503</v>
      </c>
      <c r="E237">
        <v>24100</v>
      </c>
      <c r="F237">
        <v>108609</v>
      </c>
      <c r="G237">
        <v>50600</v>
      </c>
      <c r="H237">
        <v>130998</v>
      </c>
      <c r="I237">
        <v>15500</v>
      </c>
      <c r="J237">
        <v>130255</v>
      </c>
      <c r="K237">
        <v>17600</v>
      </c>
    </row>
    <row r="238" spans="1:11" x14ac:dyDescent="0.3">
      <c r="A238" t="s">
        <v>247</v>
      </c>
      <c r="B238">
        <v>11175</v>
      </c>
      <c r="C238">
        <v>90000</v>
      </c>
      <c r="D238">
        <v>5580</v>
      </c>
      <c r="E238">
        <v>26800</v>
      </c>
      <c r="F238">
        <v>109499</v>
      </c>
      <c r="G238">
        <v>60500</v>
      </c>
      <c r="H238">
        <v>131955</v>
      </c>
      <c r="I238">
        <v>18500</v>
      </c>
      <c r="J238">
        <v>131333</v>
      </c>
      <c r="K238">
        <v>20100</v>
      </c>
    </row>
    <row r="239" spans="1:11" x14ac:dyDescent="0.3">
      <c r="A239" t="s">
        <v>248</v>
      </c>
      <c r="B239">
        <v>11175</v>
      </c>
      <c r="C239">
        <v>81200</v>
      </c>
      <c r="D239">
        <v>5076</v>
      </c>
      <c r="E239">
        <v>25400</v>
      </c>
      <c r="F239">
        <v>110402</v>
      </c>
      <c r="G239">
        <v>60900</v>
      </c>
      <c r="H239">
        <v>132975</v>
      </c>
      <c r="I239">
        <v>17600</v>
      </c>
      <c r="J239">
        <v>132369</v>
      </c>
      <c r="K239">
        <v>21000</v>
      </c>
    </row>
    <row r="240" spans="1:11" x14ac:dyDescent="0.3">
      <c r="A240" t="s">
        <v>249</v>
      </c>
      <c r="B240">
        <v>11175</v>
      </c>
      <c r="C240">
        <v>72000</v>
      </c>
      <c r="D240">
        <v>5843</v>
      </c>
      <c r="E240">
        <v>23100</v>
      </c>
      <c r="F240">
        <v>111314</v>
      </c>
      <c r="G240">
        <v>54200</v>
      </c>
      <c r="H240">
        <v>133935</v>
      </c>
      <c r="I240">
        <v>15200</v>
      </c>
      <c r="J240">
        <v>133409</v>
      </c>
      <c r="K240">
        <v>19700</v>
      </c>
    </row>
    <row r="241" spans="1:11" x14ac:dyDescent="0.3">
      <c r="A241" t="s">
        <v>250</v>
      </c>
      <c r="B241">
        <v>11175</v>
      </c>
      <c r="C241">
        <v>86500</v>
      </c>
      <c r="D241">
        <v>5792</v>
      </c>
      <c r="E241">
        <v>27700</v>
      </c>
      <c r="F241">
        <v>112213</v>
      </c>
      <c r="G241">
        <v>74600</v>
      </c>
      <c r="H241">
        <v>134942</v>
      </c>
      <c r="I241">
        <v>17600</v>
      </c>
      <c r="J241">
        <v>134429</v>
      </c>
      <c r="K241">
        <v>20800</v>
      </c>
    </row>
    <row r="242" spans="1:11" x14ac:dyDescent="0.3">
      <c r="A242" t="s">
        <v>251</v>
      </c>
      <c r="B242">
        <v>11175</v>
      </c>
      <c r="C242">
        <v>87500</v>
      </c>
      <c r="D242">
        <v>5807</v>
      </c>
      <c r="E242">
        <v>28500</v>
      </c>
      <c r="F242">
        <v>113123</v>
      </c>
      <c r="G242">
        <v>73800</v>
      </c>
      <c r="H242">
        <v>135977</v>
      </c>
      <c r="I242">
        <v>17900</v>
      </c>
      <c r="J242">
        <v>135399</v>
      </c>
      <c r="K242">
        <v>20400</v>
      </c>
    </row>
    <row r="243" spans="1:11" x14ac:dyDescent="0.3">
      <c r="A243" t="s">
        <v>252</v>
      </c>
      <c r="B243">
        <v>11175</v>
      </c>
      <c r="C243">
        <v>73500</v>
      </c>
      <c r="D243">
        <v>5693</v>
      </c>
      <c r="E243">
        <v>22700</v>
      </c>
      <c r="F243">
        <v>114016</v>
      </c>
      <c r="G243">
        <v>50200</v>
      </c>
      <c r="H243">
        <v>136990</v>
      </c>
      <c r="I243">
        <v>15700</v>
      </c>
      <c r="J243">
        <v>136349</v>
      </c>
      <c r="K243">
        <v>16900</v>
      </c>
    </row>
    <row r="244" spans="1:11" x14ac:dyDescent="0.3">
      <c r="A244" t="s">
        <v>253</v>
      </c>
      <c r="B244">
        <v>11175</v>
      </c>
      <c r="C244">
        <v>68200</v>
      </c>
      <c r="D244">
        <v>5758</v>
      </c>
      <c r="E244">
        <v>23300</v>
      </c>
      <c r="F244">
        <v>114920</v>
      </c>
      <c r="G244">
        <v>50500</v>
      </c>
      <c r="H244">
        <v>138090</v>
      </c>
      <c r="I244">
        <v>15400</v>
      </c>
      <c r="J244">
        <v>137435</v>
      </c>
      <c r="K244">
        <v>17300</v>
      </c>
    </row>
    <row r="245" spans="1:11" x14ac:dyDescent="0.3">
      <c r="A245" t="s">
        <v>254</v>
      </c>
      <c r="B245">
        <v>11175</v>
      </c>
      <c r="C245">
        <v>85600</v>
      </c>
      <c r="D245">
        <v>5668</v>
      </c>
      <c r="E245">
        <v>27700</v>
      </c>
      <c r="F245">
        <v>115816</v>
      </c>
      <c r="G245">
        <v>60400</v>
      </c>
      <c r="H245">
        <v>139105</v>
      </c>
      <c r="I245">
        <v>18100</v>
      </c>
      <c r="J245">
        <v>138424</v>
      </c>
      <c r="K245">
        <v>17600</v>
      </c>
    </row>
    <row r="246" spans="1:11" x14ac:dyDescent="0.3">
      <c r="A246" t="s">
        <v>255</v>
      </c>
      <c r="B246">
        <v>11175</v>
      </c>
      <c r="C246">
        <v>88600</v>
      </c>
      <c r="D246">
        <v>6310</v>
      </c>
      <c r="E246">
        <v>29600</v>
      </c>
      <c r="F246">
        <v>116719</v>
      </c>
      <c r="G246">
        <v>74300</v>
      </c>
      <c r="H246">
        <v>140182</v>
      </c>
      <c r="I246">
        <v>18600</v>
      </c>
      <c r="J246">
        <v>139735</v>
      </c>
      <c r="K246">
        <v>21900</v>
      </c>
    </row>
    <row r="247" spans="1:11" x14ac:dyDescent="0.3">
      <c r="A247" t="s">
        <v>256</v>
      </c>
      <c r="B247">
        <v>11175</v>
      </c>
      <c r="C247">
        <v>96300</v>
      </c>
      <c r="D247">
        <v>5434</v>
      </c>
      <c r="E247">
        <v>32200</v>
      </c>
      <c r="F247">
        <v>117617</v>
      </c>
      <c r="G247">
        <v>98000</v>
      </c>
      <c r="H247">
        <v>141203</v>
      </c>
      <c r="I247">
        <v>19500</v>
      </c>
      <c r="J247">
        <v>140739</v>
      </c>
      <c r="K247">
        <v>22000</v>
      </c>
    </row>
    <row r="248" spans="1:11" x14ac:dyDescent="0.3">
      <c r="A248" t="s">
        <v>257</v>
      </c>
      <c r="B248">
        <v>11175</v>
      </c>
      <c r="C248">
        <v>88900</v>
      </c>
      <c r="D248">
        <v>5453</v>
      </c>
      <c r="E248">
        <v>26700</v>
      </c>
      <c r="F248">
        <v>118515</v>
      </c>
      <c r="G248">
        <v>60300</v>
      </c>
      <c r="H248">
        <v>142282</v>
      </c>
      <c r="I248">
        <v>17100</v>
      </c>
      <c r="J248">
        <v>141754</v>
      </c>
      <c r="K248">
        <v>21100</v>
      </c>
    </row>
    <row r="249" spans="1:11" x14ac:dyDescent="0.3">
      <c r="A249" t="s">
        <v>258</v>
      </c>
      <c r="B249">
        <v>11175</v>
      </c>
      <c r="C249">
        <v>89600</v>
      </c>
      <c r="D249">
        <v>5834</v>
      </c>
      <c r="E249">
        <v>28000</v>
      </c>
      <c r="F249">
        <v>119400</v>
      </c>
      <c r="G249">
        <v>60400</v>
      </c>
      <c r="H249">
        <v>143321</v>
      </c>
      <c r="I249">
        <v>17900</v>
      </c>
      <c r="J249">
        <v>142882</v>
      </c>
      <c r="K249">
        <v>21500</v>
      </c>
    </row>
    <row r="250" spans="1:11" x14ac:dyDescent="0.3">
      <c r="A250" t="s">
        <v>259</v>
      </c>
      <c r="B250">
        <v>11175</v>
      </c>
      <c r="C250">
        <v>87400</v>
      </c>
      <c r="D250">
        <v>6023</v>
      </c>
      <c r="E250">
        <v>28500</v>
      </c>
      <c r="F250">
        <v>120293</v>
      </c>
      <c r="G250">
        <v>60300</v>
      </c>
      <c r="H250">
        <v>144453</v>
      </c>
      <c r="I250">
        <v>19100</v>
      </c>
      <c r="J250">
        <v>143966</v>
      </c>
      <c r="K250">
        <v>20700</v>
      </c>
    </row>
    <row r="251" spans="1:11" x14ac:dyDescent="0.3">
      <c r="A251" t="s">
        <v>260</v>
      </c>
      <c r="B251">
        <v>11175</v>
      </c>
      <c r="C251">
        <v>110300</v>
      </c>
      <c r="D251">
        <v>5311</v>
      </c>
      <c r="E251">
        <v>43000</v>
      </c>
      <c r="F251">
        <v>121180</v>
      </c>
      <c r="G251">
        <v>88600</v>
      </c>
      <c r="H251">
        <v>145445</v>
      </c>
      <c r="I251">
        <v>23700</v>
      </c>
      <c r="J251">
        <v>145058</v>
      </c>
      <c r="K251">
        <v>21500</v>
      </c>
    </row>
    <row r="252" spans="1:11" x14ac:dyDescent="0.3">
      <c r="A252" t="s">
        <v>261</v>
      </c>
      <c r="B252">
        <v>11175</v>
      </c>
      <c r="C252">
        <v>90200</v>
      </c>
      <c r="D252">
        <v>6019</v>
      </c>
      <c r="E252">
        <v>28500</v>
      </c>
      <c r="F252">
        <v>122080</v>
      </c>
      <c r="G252">
        <v>85000</v>
      </c>
      <c r="H252">
        <v>146558</v>
      </c>
      <c r="I252">
        <v>17400</v>
      </c>
      <c r="J252">
        <v>146051</v>
      </c>
      <c r="K252">
        <v>19900</v>
      </c>
    </row>
    <row r="253" spans="1:11" x14ac:dyDescent="0.3">
      <c r="A253" t="s">
        <v>262</v>
      </c>
      <c r="B253">
        <v>11175</v>
      </c>
      <c r="C253">
        <v>70200</v>
      </c>
      <c r="D253">
        <v>5638</v>
      </c>
      <c r="E253">
        <v>22600</v>
      </c>
      <c r="F253">
        <v>122989</v>
      </c>
      <c r="G253">
        <v>62900</v>
      </c>
      <c r="H253">
        <v>147532</v>
      </c>
      <c r="I253">
        <v>15200</v>
      </c>
      <c r="J253">
        <v>147072</v>
      </c>
      <c r="K253">
        <v>17700</v>
      </c>
    </row>
    <row r="254" spans="1:11" x14ac:dyDescent="0.3">
      <c r="A254" t="s">
        <v>263</v>
      </c>
      <c r="B254">
        <v>11175</v>
      </c>
      <c r="C254">
        <v>107300</v>
      </c>
      <c r="D254">
        <v>5700</v>
      </c>
      <c r="E254">
        <v>33300</v>
      </c>
      <c r="F254">
        <v>123888</v>
      </c>
      <c r="G254">
        <v>70700</v>
      </c>
      <c r="H254">
        <v>148555</v>
      </c>
      <c r="I254">
        <v>19600</v>
      </c>
      <c r="J254">
        <v>148125</v>
      </c>
      <c r="K254">
        <v>22000</v>
      </c>
    </row>
    <row r="255" spans="1:11" x14ac:dyDescent="0.3">
      <c r="A255" t="s">
        <v>264</v>
      </c>
      <c r="B255">
        <v>11175</v>
      </c>
      <c r="C255">
        <v>99600</v>
      </c>
      <c r="D255">
        <v>5913</v>
      </c>
      <c r="E255">
        <v>28500</v>
      </c>
      <c r="F255">
        <v>124779</v>
      </c>
      <c r="G255">
        <v>60800</v>
      </c>
      <c r="H255">
        <v>149820</v>
      </c>
      <c r="I255">
        <v>19100</v>
      </c>
      <c r="J255">
        <v>149285</v>
      </c>
      <c r="K255">
        <v>20800</v>
      </c>
    </row>
    <row r="256" spans="1:11" x14ac:dyDescent="0.3">
      <c r="A256" t="s">
        <v>265</v>
      </c>
      <c r="B256">
        <v>11175</v>
      </c>
      <c r="C256">
        <v>82900</v>
      </c>
      <c r="D256">
        <v>5953</v>
      </c>
      <c r="E256">
        <v>28500</v>
      </c>
      <c r="F256">
        <v>125672</v>
      </c>
      <c r="G256">
        <v>61100</v>
      </c>
      <c r="H256">
        <v>150951</v>
      </c>
      <c r="I256">
        <v>18000</v>
      </c>
      <c r="J256">
        <v>150578</v>
      </c>
      <c r="K256">
        <v>21900</v>
      </c>
    </row>
    <row r="257" spans="1:11" x14ac:dyDescent="0.3">
      <c r="A257" t="s">
        <v>266</v>
      </c>
      <c r="B257">
        <v>11175</v>
      </c>
      <c r="C257">
        <v>90800</v>
      </c>
      <c r="D257">
        <v>5748</v>
      </c>
      <c r="E257">
        <v>28400</v>
      </c>
      <c r="F257">
        <v>126575</v>
      </c>
      <c r="G257">
        <v>79700</v>
      </c>
      <c r="H257">
        <v>151983</v>
      </c>
      <c r="I257">
        <v>32000</v>
      </c>
      <c r="J257">
        <v>151647</v>
      </c>
      <c r="K257">
        <v>18800</v>
      </c>
    </row>
    <row r="258" spans="1:11" x14ac:dyDescent="0.3">
      <c r="A258" t="s">
        <v>267</v>
      </c>
      <c r="B258">
        <v>11175</v>
      </c>
      <c r="C258">
        <v>84600</v>
      </c>
      <c r="D258">
        <v>5631</v>
      </c>
      <c r="E258">
        <v>27300</v>
      </c>
      <c r="F258">
        <v>127461</v>
      </c>
      <c r="G258">
        <v>107800</v>
      </c>
      <c r="H258">
        <v>153060</v>
      </c>
      <c r="I258">
        <v>46700</v>
      </c>
      <c r="J258">
        <v>152709</v>
      </c>
      <c r="K258">
        <v>22300</v>
      </c>
    </row>
    <row r="259" spans="1:11" x14ac:dyDescent="0.3">
      <c r="A259" t="s">
        <v>268</v>
      </c>
      <c r="B259">
        <v>11175</v>
      </c>
      <c r="C259">
        <v>72400</v>
      </c>
      <c r="D259">
        <v>5260</v>
      </c>
      <c r="E259">
        <v>21700</v>
      </c>
      <c r="F259">
        <v>128379</v>
      </c>
      <c r="G259">
        <v>59400</v>
      </c>
      <c r="H259">
        <v>154139</v>
      </c>
      <c r="I259">
        <v>14200</v>
      </c>
      <c r="J259">
        <v>153722</v>
      </c>
      <c r="K259">
        <v>19200</v>
      </c>
    </row>
    <row r="260" spans="1:11" x14ac:dyDescent="0.3">
      <c r="A260" t="s">
        <v>269</v>
      </c>
      <c r="B260">
        <v>11175</v>
      </c>
      <c r="C260">
        <v>94700</v>
      </c>
      <c r="D260">
        <v>5816</v>
      </c>
      <c r="E260">
        <v>34500</v>
      </c>
      <c r="F260">
        <v>129272</v>
      </c>
      <c r="G260">
        <v>65900</v>
      </c>
      <c r="H260">
        <v>155130</v>
      </c>
      <c r="I260">
        <v>17700</v>
      </c>
      <c r="J260">
        <v>154649</v>
      </c>
      <c r="K260">
        <v>24700</v>
      </c>
    </row>
    <row r="261" spans="1:11" x14ac:dyDescent="0.3">
      <c r="A261" t="s">
        <v>270</v>
      </c>
      <c r="B261">
        <v>11175</v>
      </c>
      <c r="C261">
        <v>99300</v>
      </c>
      <c r="D261">
        <v>5464</v>
      </c>
      <c r="E261">
        <v>26500</v>
      </c>
      <c r="F261">
        <v>130177</v>
      </c>
      <c r="G261">
        <v>94900</v>
      </c>
      <c r="H261">
        <v>156082</v>
      </c>
      <c r="I261">
        <v>17600</v>
      </c>
      <c r="J261">
        <v>155729</v>
      </c>
      <c r="K261">
        <v>24100</v>
      </c>
    </row>
    <row r="262" spans="1:11" x14ac:dyDescent="0.3">
      <c r="A262" t="s">
        <v>271</v>
      </c>
      <c r="B262">
        <v>11175</v>
      </c>
      <c r="C262">
        <v>90000</v>
      </c>
      <c r="D262">
        <v>5868</v>
      </c>
      <c r="E262">
        <v>28200</v>
      </c>
      <c r="F262">
        <v>131078</v>
      </c>
      <c r="G262">
        <v>58300</v>
      </c>
      <c r="H262">
        <v>157141</v>
      </c>
      <c r="I262">
        <v>18000</v>
      </c>
      <c r="J262">
        <v>156774</v>
      </c>
      <c r="K262">
        <v>23200</v>
      </c>
    </row>
    <row r="263" spans="1:11" x14ac:dyDescent="0.3">
      <c r="A263" t="s">
        <v>272</v>
      </c>
      <c r="B263">
        <v>11175</v>
      </c>
      <c r="C263">
        <v>77100</v>
      </c>
      <c r="D263">
        <v>5735</v>
      </c>
      <c r="E263">
        <v>22700</v>
      </c>
      <c r="F263">
        <v>131966</v>
      </c>
      <c r="G263">
        <v>58500</v>
      </c>
      <c r="H263">
        <v>158236</v>
      </c>
      <c r="I263">
        <v>15000</v>
      </c>
      <c r="J263">
        <v>157812</v>
      </c>
      <c r="K263">
        <v>18500</v>
      </c>
    </row>
    <row r="264" spans="1:11" x14ac:dyDescent="0.3">
      <c r="A264" t="s">
        <v>273</v>
      </c>
      <c r="B264">
        <v>11175</v>
      </c>
      <c r="C264">
        <v>77200</v>
      </c>
      <c r="D264">
        <v>5517</v>
      </c>
      <c r="E264">
        <v>21600</v>
      </c>
      <c r="F264">
        <v>132869</v>
      </c>
      <c r="G264">
        <v>55300</v>
      </c>
      <c r="H264">
        <v>159291</v>
      </c>
      <c r="I264">
        <v>14400</v>
      </c>
      <c r="J264">
        <v>158921</v>
      </c>
      <c r="K264">
        <v>17600</v>
      </c>
    </row>
    <row r="265" spans="1:11" x14ac:dyDescent="0.3">
      <c r="A265" t="s">
        <v>274</v>
      </c>
      <c r="B265">
        <v>11175</v>
      </c>
      <c r="C265">
        <v>80600</v>
      </c>
      <c r="D265">
        <v>5888</v>
      </c>
      <c r="E265">
        <v>22600</v>
      </c>
      <c r="F265">
        <v>133768</v>
      </c>
      <c r="G265">
        <v>44500</v>
      </c>
      <c r="H265">
        <v>160274</v>
      </c>
      <c r="I265">
        <v>13500</v>
      </c>
      <c r="J265">
        <v>159958</v>
      </c>
      <c r="K265">
        <v>17000</v>
      </c>
    </row>
    <row r="266" spans="1:11" x14ac:dyDescent="0.3">
      <c r="A266" t="s">
        <v>275</v>
      </c>
      <c r="B266">
        <v>11175</v>
      </c>
      <c r="C266">
        <v>93900</v>
      </c>
      <c r="D266">
        <v>5697</v>
      </c>
      <c r="E266">
        <v>40700</v>
      </c>
      <c r="F266">
        <v>134664</v>
      </c>
      <c r="G266">
        <v>71900</v>
      </c>
      <c r="H266">
        <v>161310</v>
      </c>
      <c r="I266">
        <v>19000</v>
      </c>
      <c r="J266">
        <v>160990</v>
      </c>
      <c r="K266">
        <v>24700</v>
      </c>
    </row>
    <row r="267" spans="1:11" x14ac:dyDescent="0.3">
      <c r="A267" t="s">
        <v>276</v>
      </c>
      <c r="B267">
        <v>11175</v>
      </c>
      <c r="C267">
        <v>100200</v>
      </c>
      <c r="D267">
        <v>6011</v>
      </c>
      <c r="E267">
        <v>47600</v>
      </c>
      <c r="F267">
        <v>135559</v>
      </c>
      <c r="G267">
        <v>89400</v>
      </c>
      <c r="H267">
        <v>162417</v>
      </c>
      <c r="I267">
        <v>22300</v>
      </c>
      <c r="J267">
        <v>162079</v>
      </c>
      <c r="K267">
        <v>39300</v>
      </c>
    </row>
    <row r="268" spans="1:11" x14ac:dyDescent="0.3">
      <c r="A268" t="s">
        <v>277</v>
      </c>
      <c r="B268">
        <v>11175</v>
      </c>
      <c r="C268">
        <v>83300</v>
      </c>
      <c r="D268">
        <v>5855</v>
      </c>
      <c r="E268">
        <v>39500</v>
      </c>
      <c r="F268">
        <v>136466</v>
      </c>
      <c r="G268">
        <v>67900</v>
      </c>
      <c r="H268">
        <v>163579</v>
      </c>
      <c r="I268">
        <v>15200</v>
      </c>
      <c r="J268">
        <v>163231</v>
      </c>
      <c r="K268">
        <v>19100</v>
      </c>
    </row>
    <row r="269" spans="1:11" x14ac:dyDescent="0.3">
      <c r="A269" t="s">
        <v>278</v>
      </c>
      <c r="B269">
        <v>11175</v>
      </c>
      <c r="C269">
        <v>70900</v>
      </c>
      <c r="D269">
        <v>5664</v>
      </c>
      <c r="E269">
        <v>22000</v>
      </c>
      <c r="F269">
        <v>137362</v>
      </c>
      <c r="G269">
        <v>56900</v>
      </c>
      <c r="H269">
        <v>164693</v>
      </c>
      <c r="I269">
        <v>14600</v>
      </c>
      <c r="J269">
        <v>164420</v>
      </c>
      <c r="K269">
        <v>17900</v>
      </c>
    </row>
    <row r="270" spans="1:11" x14ac:dyDescent="0.3">
      <c r="A270" t="s">
        <v>279</v>
      </c>
      <c r="B270">
        <v>11175</v>
      </c>
      <c r="C270">
        <v>89800</v>
      </c>
      <c r="D270">
        <v>5722</v>
      </c>
      <c r="E270">
        <v>33200</v>
      </c>
      <c r="F270">
        <v>138257</v>
      </c>
      <c r="G270">
        <v>80800</v>
      </c>
      <c r="H270">
        <v>165788</v>
      </c>
      <c r="I270">
        <v>19100</v>
      </c>
      <c r="J270">
        <v>165426</v>
      </c>
      <c r="K270">
        <v>23000</v>
      </c>
    </row>
    <row r="271" spans="1:11" x14ac:dyDescent="0.3">
      <c r="A271" t="s">
        <v>280</v>
      </c>
      <c r="B271">
        <v>11175</v>
      </c>
      <c r="C271">
        <v>85600</v>
      </c>
      <c r="D271">
        <v>5394</v>
      </c>
      <c r="E271">
        <v>32200</v>
      </c>
      <c r="F271">
        <v>139168</v>
      </c>
      <c r="G271">
        <v>64400</v>
      </c>
      <c r="H271">
        <v>166777</v>
      </c>
      <c r="I271">
        <v>17200</v>
      </c>
      <c r="J271">
        <v>166563</v>
      </c>
      <c r="K271">
        <v>24100</v>
      </c>
    </row>
    <row r="272" spans="1:11" x14ac:dyDescent="0.3">
      <c r="A272" t="s">
        <v>281</v>
      </c>
      <c r="B272">
        <v>11175</v>
      </c>
      <c r="C272">
        <v>97800</v>
      </c>
      <c r="D272">
        <v>5738</v>
      </c>
      <c r="E272">
        <v>32500</v>
      </c>
      <c r="F272">
        <v>140061</v>
      </c>
      <c r="G272">
        <v>64500</v>
      </c>
      <c r="H272">
        <v>168027</v>
      </c>
      <c r="I272">
        <v>18300</v>
      </c>
      <c r="J272">
        <v>167700</v>
      </c>
      <c r="K272">
        <v>21300</v>
      </c>
    </row>
    <row r="273" spans="1:11" x14ac:dyDescent="0.3">
      <c r="A273" t="s">
        <v>282</v>
      </c>
      <c r="B273">
        <v>11175</v>
      </c>
      <c r="C273">
        <v>96100</v>
      </c>
      <c r="D273">
        <v>5824</v>
      </c>
      <c r="E273">
        <v>27900</v>
      </c>
      <c r="F273">
        <v>140961</v>
      </c>
      <c r="G273">
        <v>57100</v>
      </c>
      <c r="H273">
        <v>169091</v>
      </c>
      <c r="I273">
        <v>17700</v>
      </c>
      <c r="J273">
        <v>168837</v>
      </c>
      <c r="K273">
        <v>23700</v>
      </c>
    </row>
    <row r="274" spans="1:11" x14ac:dyDescent="0.3">
      <c r="A274" t="s">
        <v>283</v>
      </c>
      <c r="B274">
        <v>11175</v>
      </c>
      <c r="C274">
        <v>73400</v>
      </c>
      <c r="D274">
        <v>5664</v>
      </c>
      <c r="E274">
        <v>22400</v>
      </c>
      <c r="F274">
        <v>141861</v>
      </c>
      <c r="G274">
        <v>60800</v>
      </c>
      <c r="H274">
        <v>170020</v>
      </c>
      <c r="I274">
        <v>13900</v>
      </c>
      <c r="J274">
        <v>169863</v>
      </c>
      <c r="K274">
        <v>18700</v>
      </c>
    </row>
    <row r="275" spans="1:11" x14ac:dyDescent="0.3">
      <c r="A275" t="s">
        <v>284</v>
      </c>
      <c r="B275">
        <v>11175</v>
      </c>
      <c r="C275">
        <v>73600</v>
      </c>
      <c r="D275">
        <v>5996</v>
      </c>
      <c r="E275">
        <v>23200</v>
      </c>
      <c r="F275">
        <v>142767</v>
      </c>
      <c r="G275">
        <v>54400</v>
      </c>
      <c r="H275">
        <v>171053</v>
      </c>
      <c r="I275">
        <v>14300</v>
      </c>
      <c r="J275">
        <v>171180</v>
      </c>
      <c r="K275">
        <v>18400</v>
      </c>
    </row>
    <row r="276" spans="1:11" x14ac:dyDescent="0.3">
      <c r="A276" t="s">
        <v>285</v>
      </c>
      <c r="B276">
        <v>11175</v>
      </c>
      <c r="C276">
        <v>91900</v>
      </c>
      <c r="D276">
        <v>6072</v>
      </c>
      <c r="E276">
        <v>36100</v>
      </c>
      <c r="F276">
        <v>143658</v>
      </c>
      <c r="G276">
        <v>68200</v>
      </c>
      <c r="H276">
        <v>172113</v>
      </c>
      <c r="I276">
        <v>18400</v>
      </c>
      <c r="J276">
        <v>172776</v>
      </c>
      <c r="K276">
        <v>27400</v>
      </c>
    </row>
    <row r="277" spans="1:11" x14ac:dyDescent="0.3">
      <c r="A277" t="s">
        <v>286</v>
      </c>
      <c r="B277">
        <v>11175</v>
      </c>
      <c r="C277">
        <v>85700</v>
      </c>
      <c r="D277">
        <v>5120</v>
      </c>
      <c r="E277">
        <v>25500</v>
      </c>
      <c r="F277">
        <v>144557</v>
      </c>
      <c r="G277">
        <v>58000</v>
      </c>
      <c r="H277">
        <v>173082</v>
      </c>
      <c r="I277">
        <v>17700</v>
      </c>
      <c r="J277">
        <v>173825</v>
      </c>
      <c r="K277">
        <v>23100</v>
      </c>
    </row>
    <row r="278" spans="1:11" x14ac:dyDescent="0.3">
      <c r="A278" t="s">
        <v>287</v>
      </c>
      <c r="B278">
        <v>11175</v>
      </c>
      <c r="C278">
        <v>81800</v>
      </c>
      <c r="D278">
        <v>5375</v>
      </c>
      <c r="E278">
        <v>25600</v>
      </c>
      <c r="F278">
        <v>145454</v>
      </c>
      <c r="G278">
        <v>55900</v>
      </c>
      <c r="H278">
        <v>174065</v>
      </c>
      <c r="I278">
        <v>17100</v>
      </c>
      <c r="J278">
        <v>175027</v>
      </c>
      <c r="K278">
        <v>23400</v>
      </c>
    </row>
    <row r="279" spans="1:11" x14ac:dyDescent="0.3">
      <c r="A279" t="s">
        <v>288</v>
      </c>
      <c r="B279">
        <v>11175</v>
      </c>
      <c r="C279">
        <v>67600</v>
      </c>
      <c r="D279">
        <v>5522</v>
      </c>
      <c r="E279">
        <v>21700</v>
      </c>
      <c r="F279">
        <v>146351</v>
      </c>
      <c r="G279">
        <v>45700</v>
      </c>
      <c r="H279">
        <v>175104</v>
      </c>
      <c r="I279">
        <v>13900</v>
      </c>
      <c r="J279">
        <v>176100</v>
      </c>
      <c r="K279">
        <v>18300</v>
      </c>
    </row>
    <row r="280" spans="1:11" x14ac:dyDescent="0.3">
      <c r="A280" t="s">
        <v>289</v>
      </c>
      <c r="B280">
        <v>11175</v>
      </c>
      <c r="C280">
        <v>85400</v>
      </c>
      <c r="D280">
        <v>6030</v>
      </c>
      <c r="E280">
        <v>23100</v>
      </c>
      <c r="F280">
        <v>147251</v>
      </c>
      <c r="G280">
        <v>55300</v>
      </c>
      <c r="H280">
        <v>176193</v>
      </c>
      <c r="I280">
        <v>14100</v>
      </c>
      <c r="J280">
        <v>177120</v>
      </c>
      <c r="K280">
        <v>18400</v>
      </c>
    </row>
    <row r="281" spans="1:11" x14ac:dyDescent="0.3">
      <c r="A281" t="s">
        <v>290</v>
      </c>
      <c r="B281">
        <v>11175</v>
      </c>
      <c r="C281">
        <v>66500</v>
      </c>
      <c r="D281">
        <v>5392</v>
      </c>
      <c r="E281">
        <v>21600</v>
      </c>
      <c r="F281">
        <v>148153</v>
      </c>
      <c r="G281">
        <v>60000</v>
      </c>
      <c r="H281">
        <v>177239</v>
      </c>
      <c r="I281">
        <v>18300</v>
      </c>
      <c r="J281">
        <v>178152</v>
      </c>
      <c r="K281">
        <v>19400</v>
      </c>
    </row>
    <row r="282" spans="1:11" x14ac:dyDescent="0.3">
      <c r="A282" t="s">
        <v>291</v>
      </c>
      <c r="B282">
        <v>11175</v>
      </c>
      <c r="C282">
        <v>71300</v>
      </c>
      <c r="D282">
        <v>5122</v>
      </c>
      <c r="E282">
        <v>21000</v>
      </c>
      <c r="F282">
        <v>149058</v>
      </c>
      <c r="G282">
        <v>46700</v>
      </c>
      <c r="H282">
        <v>178372</v>
      </c>
      <c r="I282">
        <v>15100</v>
      </c>
      <c r="J282">
        <v>179253</v>
      </c>
      <c r="K282">
        <v>19600</v>
      </c>
    </row>
    <row r="283" spans="1:11" x14ac:dyDescent="0.3">
      <c r="A283" t="s">
        <v>292</v>
      </c>
      <c r="B283">
        <v>11175</v>
      </c>
      <c r="C283">
        <v>73200</v>
      </c>
      <c r="D283">
        <v>5533</v>
      </c>
      <c r="E283">
        <v>21800</v>
      </c>
      <c r="F283">
        <v>149957</v>
      </c>
      <c r="G283">
        <v>45100</v>
      </c>
      <c r="H283">
        <v>179335</v>
      </c>
      <c r="I283">
        <v>14100</v>
      </c>
      <c r="J283">
        <v>180287</v>
      </c>
      <c r="K283">
        <v>17600</v>
      </c>
    </row>
    <row r="284" spans="1:11" x14ac:dyDescent="0.3">
      <c r="A284" t="s">
        <v>293</v>
      </c>
      <c r="B284">
        <v>11175</v>
      </c>
      <c r="C284">
        <v>84600</v>
      </c>
      <c r="D284">
        <v>6285</v>
      </c>
      <c r="E284">
        <v>24100</v>
      </c>
      <c r="F284">
        <v>150869</v>
      </c>
      <c r="G284">
        <v>45700</v>
      </c>
      <c r="H284">
        <v>180480</v>
      </c>
      <c r="I284">
        <v>14700</v>
      </c>
      <c r="J284">
        <v>181376</v>
      </c>
      <c r="K284">
        <v>18500</v>
      </c>
    </row>
    <row r="285" spans="1:11" x14ac:dyDescent="0.3">
      <c r="A285" t="s">
        <v>294</v>
      </c>
      <c r="B285">
        <v>11175</v>
      </c>
      <c r="C285">
        <v>75300</v>
      </c>
      <c r="D285">
        <v>5318</v>
      </c>
      <c r="E285">
        <v>21000</v>
      </c>
      <c r="F285">
        <v>151773</v>
      </c>
      <c r="G285">
        <v>54700</v>
      </c>
      <c r="H285">
        <v>181726</v>
      </c>
      <c r="I285">
        <v>14500</v>
      </c>
      <c r="J285">
        <v>182573</v>
      </c>
      <c r="K285">
        <v>17600</v>
      </c>
    </row>
    <row r="286" spans="1:11" x14ac:dyDescent="0.3">
      <c r="A286" t="s">
        <v>295</v>
      </c>
      <c r="B286">
        <v>11175</v>
      </c>
      <c r="C286">
        <v>74700</v>
      </c>
      <c r="D286">
        <v>6259</v>
      </c>
      <c r="E286">
        <v>25300</v>
      </c>
      <c r="F286">
        <v>152674</v>
      </c>
      <c r="G286">
        <v>53400</v>
      </c>
      <c r="H286">
        <v>182863</v>
      </c>
      <c r="I286">
        <v>13800</v>
      </c>
      <c r="J286">
        <v>183792</v>
      </c>
      <c r="K286">
        <v>16800</v>
      </c>
    </row>
    <row r="287" spans="1:11" x14ac:dyDescent="0.3">
      <c r="A287" t="s">
        <v>296</v>
      </c>
      <c r="B287">
        <v>11175</v>
      </c>
      <c r="C287">
        <v>68400</v>
      </c>
      <c r="D287">
        <v>5728</v>
      </c>
      <c r="E287">
        <v>22300</v>
      </c>
      <c r="F287">
        <v>153576</v>
      </c>
      <c r="G287">
        <v>46300</v>
      </c>
      <c r="H287">
        <v>183998</v>
      </c>
      <c r="I287">
        <v>14600</v>
      </c>
      <c r="J287">
        <v>184782</v>
      </c>
      <c r="K287">
        <v>17300</v>
      </c>
    </row>
    <row r="288" spans="1:11" x14ac:dyDescent="0.3">
      <c r="A288" t="s">
        <v>297</v>
      </c>
      <c r="B288">
        <v>11175</v>
      </c>
      <c r="C288">
        <v>71500</v>
      </c>
      <c r="D288">
        <v>5426</v>
      </c>
      <c r="E288">
        <v>21200</v>
      </c>
      <c r="F288">
        <v>154485</v>
      </c>
      <c r="G288">
        <v>43900</v>
      </c>
      <c r="H288">
        <v>185254</v>
      </c>
      <c r="I288">
        <v>14800</v>
      </c>
      <c r="J288">
        <v>185861</v>
      </c>
      <c r="K288">
        <v>26800</v>
      </c>
    </row>
    <row r="289" spans="1:11" x14ac:dyDescent="0.3">
      <c r="A289" t="s">
        <v>298</v>
      </c>
      <c r="B289">
        <v>11175</v>
      </c>
      <c r="C289">
        <v>87700</v>
      </c>
      <c r="D289">
        <v>5819</v>
      </c>
      <c r="E289">
        <v>28300</v>
      </c>
      <c r="F289">
        <v>155398</v>
      </c>
      <c r="G289">
        <v>63500</v>
      </c>
      <c r="H289">
        <v>186300</v>
      </c>
      <c r="I289">
        <v>17900</v>
      </c>
      <c r="J289">
        <v>186837</v>
      </c>
      <c r="K289">
        <v>23500</v>
      </c>
    </row>
    <row r="290" spans="1:11" x14ac:dyDescent="0.3">
      <c r="A290" t="s">
        <v>299</v>
      </c>
      <c r="B290">
        <v>11175</v>
      </c>
      <c r="C290">
        <v>63700</v>
      </c>
      <c r="D290">
        <v>5564</v>
      </c>
      <c r="E290">
        <v>22100</v>
      </c>
      <c r="F290">
        <v>156298</v>
      </c>
      <c r="G290">
        <v>48000</v>
      </c>
      <c r="H290">
        <v>187371</v>
      </c>
      <c r="I290">
        <v>14800</v>
      </c>
      <c r="J290">
        <v>187914</v>
      </c>
      <c r="K290">
        <v>19400</v>
      </c>
    </row>
    <row r="291" spans="1:11" x14ac:dyDescent="0.3">
      <c r="A291" t="s">
        <v>300</v>
      </c>
      <c r="B291">
        <v>11175</v>
      </c>
      <c r="C291">
        <v>85600</v>
      </c>
      <c r="D291">
        <v>5753</v>
      </c>
      <c r="E291">
        <v>35500</v>
      </c>
      <c r="F291">
        <v>157184</v>
      </c>
      <c r="G291">
        <v>82400</v>
      </c>
      <c r="H291">
        <v>188522</v>
      </c>
      <c r="I291">
        <v>19000</v>
      </c>
      <c r="J291">
        <v>188937</v>
      </c>
      <c r="K291">
        <v>30000</v>
      </c>
    </row>
    <row r="292" spans="1:11" x14ac:dyDescent="0.3">
      <c r="A292" t="s">
        <v>301</v>
      </c>
      <c r="B292">
        <v>11175</v>
      </c>
      <c r="C292">
        <v>100300</v>
      </c>
      <c r="D292">
        <v>5915</v>
      </c>
      <c r="E292">
        <v>39400</v>
      </c>
      <c r="F292">
        <v>158082</v>
      </c>
      <c r="G292">
        <v>87300</v>
      </c>
      <c r="H292">
        <v>189600</v>
      </c>
      <c r="I292">
        <v>19000</v>
      </c>
      <c r="J292">
        <v>189854</v>
      </c>
      <c r="K292">
        <v>24600</v>
      </c>
    </row>
    <row r="293" spans="1:11" x14ac:dyDescent="0.3">
      <c r="A293" t="s">
        <v>302</v>
      </c>
      <c r="B293">
        <v>11175</v>
      </c>
      <c r="C293">
        <v>91100</v>
      </c>
      <c r="D293">
        <v>5261</v>
      </c>
      <c r="E293">
        <v>25600</v>
      </c>
      <c r="F293">
        <v>158972</v>
      </c>
      <c r="G293">
        <v>57600</v>
      </c>
      <c r="H293">
        <v>190587</v>
      </c>
      <c r="I293">
        <v>16800</v>
      </c>
      <c r="J293">
        <v>190930</v>
      </c>
      <c r="K293">
        <v>23000</v>
      </c>
    </row>
    <row r="294" spans="1:11" x14ac:dyDescent="0.3">
      <c r="A294" t="s">
        <v>303</v>
      </c>
      <c r="B294">
        <v>11175</v>
      </c>
      <c r="C294">
        <v>88500</v>
      </c>
      <c r="D294">
        <v>5551</v>
      </c>
      <c r="E294">
        <v>22100</v>
      </c>
      <c r="F294">
        <v>159875</v>
      </c>
      <c r="G294">
        <v>45600</v>
      </c>
      <c r="H294">
        <v>191831</v>
      </c>
      <c r="I294">
        <v>15600</v>
      </c>
      <c r="J294">
        <v>191957</v>
      </c>
      <c r="K294">
        <v>18900</v>
      </c>
    </row>
    <row r="295" spans="1:11" x14ac:dyDescent="0.3">
      <c r="A295" t="s">
        <v>304</v>
      </c>
      <c r="B295">
        <v>11175</v>
      </c>
      <c r="C295">
        <v>96600</v>
      </c>
      <c r="D295">
        <v>5346</v>
      </c>
      <c r="E295">
        <v>32200</v>
      </c>
      <c r="F295">
        <v>160768</v>
      </c>
      <c r="G295">
        <v>64600</v>
      </c>
      <c r="H295">
        <v>193192</v>
      </c>
      <c r="I295">
        <v>18000</v>
      </c>
      <c r="J295">
        <v>193130</v>
      </c>
      <c r="K295">
        <v>23500</v>
      </c>
    </row>
    <row r="296" spans="1:11" x14ac:dyDescent="0.3">
      <c r="A296" t="s">
        <v>305</v>
      </c>
      <c r="B296">
        <v>11175</v>
      </c>
      <c r="C296">
        <v>73800</v>
      </c>
      <c r="D296">
        <v>5980</v>
      </c>
      <c r="E296">
        <v>23600</v>
      </c>
      <c r="F296">
        <v>161676</v>
      </c>
      <c r="G296">
        <v>47800</v>
      </c>
      <c r="H296">
        <v>194332</v>
      </c>
      <c r="I296">
        <v>14800</v>
      </c>
      <c r="J296">
        <v>194144</v>
      </c>
      <c r="K296">
        <v>24000</v>
      </c>
    </row>
    <row r="297" spans="1:11" x14ac:dyDescent="0.3">
      <c r="A297" t="s">
        <v>306</v>
      </c>
      <c r="B297">
        <v>11175</v>
      </c>
      <c r="C297">
        <v>75600</v>
      </c>
      <c r="D297">
        <v>5995</v>
      </c>
      <c r="E297">
        <v>24400</v>
      </c>
      <c r="F297">
        <v>162589</v>
      </c>
      <c r="G297">
        <v>57900</v>
      </c>
      <c r="H297">
        <v>195399</v>
      </c>
      <c r="I297">
        <v>14300</v>
      </c>
      <c r="J297">
        <v>195185</v>
      </c>
      <c r="K297">
        <v>19600</v>
      </c>
    </row>
    <row r="298" spans="1:11" x14ac:dyDescent="0.3">
      <c r="A298" t="s">
        <v>307</v>
      </c>
      <c r="B298">
        <v>11175</v>
      </c>
      <c r="C298">
        <v>77400</v>
      </c>
      <c r="D298">
        <v>5981</v>
      </c>
      <c r="E298">
        <v>23200</v>
      </c>
      <c r="F298">
        <v>163491</v>
      </c>
      <c r="G298">
        <v>55100</v>
      </c>
      <c r="H298">
        <v>196482</v>
      </c>
      <c r="I298">
        <v>14200</v>
      </c>
      <c r="J298">
        <v>196316</v>
      </c>
      <c r="K298">
        <v>18600</v>
      </c>
    </row>
    <row r="299" spans="1:11" x14ac:dyDescent="0.3">
      <c r="A299" t="s">
        <v>308</v>
      </c>
      <c r="B299">
        <v>11175</v>
      </c>
      <c r="C299">
        <v>89700</v>
      </c>
      <c r="D299">
        <v>5929</v>
      </c>
      <c r="E299">
        <v>33400</v>
      </c>
      <c r="F299">
        <v>164389</v>
      </c>
      <c r="G299">
        <v>67300</v>
      </c>
      <c r="H299">
        <v>197485</v>
      </c>
      <c r="I299">
        <v>17900</v>
      </c>
      <c r="J299">
        <v>197352</v>
      </c>
      <c r="K299">
        <v>23600</v>
      </c>
    </row>
    <row r="300" spans="1:11" x14ac:dyDescent="0.3">
      <c r="A300" t="s">
        <v>309</v>
      </c>
      <c r="B300">
        <v>11175</v>
      </c>
      <c r="C300">
        <v>86700</v>
      </c>
      <c r="D300">
        <v>5439</v>
      </c>
      <c r="E300">
        <v>26900</v>
      </c>
      <c r="F300">
        <v>165278</v>
      </c>
      <c r="G300">
        <v>76500</v>
      </c>
      <c r="H300">
        <v>198611</v>
      </c>
      <c r="I300">
        <v>17200</v>
      </c>
      <c r="J300">
        <v>198391</v>
      </c>
      <c r="K300">
        <v>25100</v>
      </c>
    </row>
    <row r="301" spans="1:11" x14ac:dyDescent="0.3">
      <c r="A301" t="s">
        <v>310</v>
      </c>
      <c r="B301">
        <v>11175</v>
      </c>
      <c r="C301">
        <v>85800</v>
      </c>
      <c r="D301">
        <v>5125</v>
      </c>
      <c r="E301">
        <v>21000</v>
      </c>
      <c r="F301">
        <v>166170</v>
      </c>
      <c r="G301">
        <v>55700</v>
      </c>
      <c r="H301">
        <v>199706</v>
      </c>
      <c r="I301">
        <v>15200</v>
      </c>
      <c r="J301">
        <v>199621</v>
      </c>
      <c r="K301">
        <v>24000</v>
      </c>
    </row>
    <row r="302" spans="1:11" x14ac:dyDescent="0.3">
      <c r="A302" t="s">
        <v>311</v>
      </c>
      <c r="B302">
        <v>19900</v>
      </c>
      <c r="C302">
        <v>164800</v>
      </c>
      <c r="D302">
        <v>9705</v>
      </c>
      <c r="E302">
        <v>55200</v>
      </c>
      <c r="F302">
        <v>167451</v>
      </c>
      <c r="G302">
        <v>91600</v>
      </c>
      <c r="H302">
        <v>201247</v>
      </c>
      <c r="I302">
        <v>26500</v>
      </c>
      <c r="J302">
        <v>201425</v>
      </c>
      <c r="K302">
        <v>31500</v>
      </c>
    </row>
    <row r="303" spans="1:11" x14ac:dyDescent="0.3">
      <c r="A303" t="s">
        <v>312</v>
      </c>
      <c r="B303">
        <v>19900</v>
      </c>
      <c r="C303">
        <v>148300</v>
      </c>
      <c r="D303">
        <v>10519</v>
      </c>
      <c r="E303">
        <v>49400</v>
      </c>
      <c r="F303">
        <v>168743</v>
      </c>
      <c r="G303">
        <v>77600</v>
      </c>
      <c r="H303">
        <v>202692</v>
      </c>
      <c r="I303">
        <v>24800</v>
      </c>
      <c r="J303">
        <v>203031</v>
      </c>
      <c r="K303">
        <v>29200</v>
      </c>
    </row>
    <row r="304" spans="1:11" x14ac:dyDescent="0.3">
      <c r="A304" t="s">
        <v>313</v>
      </c>
      <c r="B304">
        <v>19900</v>
      </c>
      <c r="C304">
        <v>161100</v>
      </c>
      <c r="D304">
        <v>10462</v>
      </c>
      <c r="E304">
        <v>61400</v>
      </c>
      <c r="F304">
        <v>170016</v>
      </c>
      <c r="G304">
        <v>87700</v>
      </c>
      <c r="H304">
        <v>204341</v>
      </c>
      <c r="I304">
        <v>25600</v>
      </c>
      <c r="J304">
        <v>204504</v>
      </c>
      <c r="K304">
        <v>30300</v>
      </c>
    </row>
    <row r="305" spans="1:11" x14ac:dyDescent="0.3">
      <c r="A305" t="s">
        <v>314</v>
      </c>
      <c r="B305">
        <v>19900</v>
      </c>
      <c r="C305">
        <v>400100</v>
      </c>
      <c r="D305">
        <v>9662</v>
      </c>
      <c r="E305">
        <v>37000</v>
      </c>
      <c r="F305">
        <v>171306</v>
      </c>
      <c r="G305">
        <v>65400</v>
      </c>
      <c r="H305">
        <v>205907</v>
      </c>
      <c r="I305">
        <v>20600</v>
      </c>
      <c r="J305">
        <v>205975</v>
      </c>
      <c r="K305">
        <v>25300</v>
      </c>
    </row>
    <row r="306" spans="1:11" x14ac:dyDescent="0.3">
      <c r="A306" t="s">
        <v>315</v>
      </c>
      <c r="B306">
        <v>19900</v>
      </c>
      <c r="C306">
        <v>138000</v>
      </c>
      <c r="D306">
        <v>10441</v>
      </c>
      <c r="E306">
        <v>39200</v>
      </c>
      <c r="F306">
        <v>172590</v>
      </c>
      <c r="G306">
        <v>75300</v>
      </c>
      <c r="H306">
        <v>207376</v>
      </c>
      <c r="I306">
        <v>19600</v>
      </c>
      <c r="J306">
        <v>207480</v>
      </c>
      <c r="K306">
        <v>25500</v>
      </c>
    </row>
    <row r="307" spans="1:11" x14ac:dyDescent="0.3">
      <c r="A307" t="s">
        <v>316</v>
      </c>
      <c r="B307">
        <v>19900</v>
      </c>
      <c r="C307">
        <v>141300</v>
      </c>
      <c r="D307">
        <v>9629</v>
      </c>
      <c r="E307">
        <v>37300</v>
      </c>
      <c r="F307">
        <v>173882</v>
      </c>
      <c r="G307">
        <v>70500</v>
      </c>
      <c r="H307">
        <v>209242</v>
      </c>
      <c r="I307">
        <v>20700</v>
      </c>
      <c r="J307">
        <v>208903</v>
      </c>
      <c r="K307">
        <v>23500</v>
      </c>
    </row>
    <row r="308" spans="1:11" x14ac:dyDescent="0.3">
      <c r="A308" t="s">
        <v>317</v>
      </c>
      <c r="B308">
        <v>19900</v>
      </c>
      <c r="C308">
        <v>126200</v>
      </c>
      <c r="D308">
        <v>10117</v>
      </c>
      <c r="E308">
        <v>38000</v>
      </c>
      <c r="F308">
        <v>175164</v>
      </c>
      <c r="G308">
        <v>71500</v>
      </c>
      <c r="H308">
        <v>210831</v>
      </c>
      <c r="I308">
        <v>19300</v>
      </c>
      <c r="J308">
        <v>210453</v>
      </c>
      <c r="K308">
        <v>23400</v>
      </c>
    </row>
    <row r="309" spans="1:11" x14ac:dyDescent="0.3">
      <c r="A309" t="s">
        <v>318</v>
      </c>
      <c r="B309">
        <v>19900</v>
      </c>
      <c r="C309">
        <v>121600</v>
      </c>
      <c r="D309">
        <v>9876</v>
      </c>
      <c r="E309">
        <v>37000</v>
      </c>
      <c r="F309">
        <v>176446</v>
      </c>
      <c r="G309">
        <v>79300</v>
      </c>
      <c r="H309">
        <v>212491</v>
      </c>
      <c r="I309">
        <v>19800</v>
      </c>
      <c r="J309">
        <v>212067</v>
      </c>
      <c r="K309">
        <v>24500</v>
      </c>
    </row>
    <row r="310" spans="1:11" x14ac:dyDescent="0.3">
      <c r="A310" t="s">
        <v>319</v>
      </c>
      <c r="B310">
        <v>19900</v>
      </c>
      <c r="C310">
        <v>162200</v>
      </c>
      <c r="D310">
        <v>9443</v>
      </c>
      <c r="E310">
        <v>55700</v>
      </c>
      <c r="F310">
        <v>177731</v>
      </c>
      <c r="G310">
        <v>107000</v>
      </c>
      <c r="H310">
        <v>213964</v>
      </c>
      <c r="I310">
        <v>30700</v>
      </c>
      <c r="J310">
        <v>213570</v>
      </c>
      <c r="K310">
        <v>38100</v>
      </c>
    </row>
    <row r="311" spans="1:11" x14ac:dyDescent="0.3">
      <c r="A311" t="s">
        <v>320</v>
      </c>
      <c r="B311">
        <v>19900</v>
      </c>
      <c r="C311">
        <v>150200</v>
      </c>
      <c r="D311">
        <v>10400</v>
      </c>
      <c r="E311">
        <v>39700</v>
      </c>
      <c r="F311">
        <v>179009</v>
      </c>
      <c r="G311">
        <v>63800</v>
      </c>
      <c r="H311">
        <v>215745</v>
      </c>
      <c r="I311">
        <v>19000</v>
      </c>
      <c r="J311">
        <v>215159</v>
      </c>
      <c r="K311">
        <v>25400</v>
      </c>
    </row>
    <row r="312" spans="1:11" x14ac:dyDescent="0.3">
      <c r="A312" t="s">
        <v>321</v>
      </c>
      <c r="B312">
        <v>19900</v>
      </c>
      <c r="C312">
        <v>189600</v>
      </c>
      <c r="D312">
        <v>10004</v>
      </c>
      <c r="E312">
        <v>57300</v>
      </c>
      <c r="F312">
        <v>180288</v>
      </c>
      <c r="G312">
        <v>93800</v>
      </c>
      <c r="H312">
        <v>217423</v>
      </c>
      <c r="I312">
        <v>25300</v>
      </c>
      <c r="J312">
        <v>216578</v>
      </c>
      <c r="K312">
        <v>30700</v>
      </c>
    </row>
    <row r="313" spans="1:11" x14ac:dyDescent="0.3">
      <c r="A313" t="s">
        <v>322</v>
      </c>
      <c r="B313">
        <v>19900</v>
      </c>
      <c r="C313">
        <v>151100</v>
      </c>
      <c r="D313">
        <v>9977</v>
      </c>
      <c r="E313">
        <v>46000</v>
      </c>
      <c r="F313">
        <v>181566</v>
      </c>
      <c r="G313">
        <v>78000</v>
      </c>
      <c r="H313">
        <v>218821</v>
      </c>
      <c r="I313">
        <v>24500</v>
      </c>
      <c r="J313">
        <v>218023</v>
      </c>
      <c r="K313">
        <v>30600</v>
      </c>
    </row>
    <row r="314" spans="1:11" x14ac:dyDescent="0.3">
      <c r="A314" t="s">
        <v>323</v>
      </c>
      <c r="B314">
        <v>19900</v>
      </c>
      <c r="C314">
        <v>175200</v>
      </c>
      <c r="D314">
        <v>11123</v>
      </c>
      <c r="E314">
        <v>61500</v>
      </c>
      <c r="F314">
        <v>182849</v>
      </c>
      <c r="G314">
        <v>92300</v>
      </c>
      <c r="H314">
        <v>220505</v>
      </c>
      <c r="I314">
        <v>24900</v>
      </c>
      <c r="J314">
        <v>219578</v>
      </c>
      <c r="K314">
        <v>30600</v>
      </c>
    </row>
    <row r="315" spans="1:11" x14ac:dyDescent="0.3">
      <c r="A315" t="s">
        <v>324</v>
      </c>
      <c r="B315">
        <v>19900</v>
      </c>
      <c r="C315">
        <v>153500</v>
      </c>
      <c r="D315">
        <v>9898</v>
      </c>
      <c r="E315">
        <v>64100</v>
      </c>
      <c r="F315">
        <v>184126</v>
      </c>
      <c r="G315">
        <v>126500</v>
      </c>
      <c r="H315">
        <v>221933</v>
      </c>
      <c r="I315">
        <v>31500</v>
      </c>
      <c r="J315">
        <v>221127</v>
      </c>
      <c r="K315">
        <v>42200</v>
      </c>
    </row>
    <row r="316" spans="1:11" x14ac:dyDescent="0.3">
      <c r="A316" t="s">
        <v>325</v>
      </c>
      <c r="B316">
        <v>19900</v>
      </c>
      <c r="C316">
        <v>162600</v>
      </c>
      <c r="D316">
        <v>9991</v>
      </c>
      <c r="E316">
        <v>57200</v>
      </c>
      <c r="F316">
        <v>185397</v>
      </c>
      <c r="G316">
        <v>106100</v>
      </c>
      <c r="H316">
        <v>223499</v>
      </c>
      <c r="I316">
        <v>25500</v>
      </c>
      <c r="J316">
        <v>222858</v>
      </c>
      <c r="K316">
        <v>33100</v>
      </c>
    </row>
    <row r="317" spans="1:11" x14ac:dyDescent="0.3">
      <c r="A317" t="s">
        <v>326</v>
      </c>
      <c r="B317">
        <v>19900</v>
      </c>
      <c r="C317">
        <v>168100</v>
      </c>
      <c r="D317">
        <v>10152</v>
      </c>
      <c r="E317">
        <v>46100</v>
      </c>
      <c r="F317">
        <v>186682</v>
      </c>
      <c r="G317">
        <v>91400</v>
      </c>
      <c r="H317">
        <v>225129</v>
      </c>
      <c r="I317">
        <v>25100</v>
      </c>
      <c r="J317">
        <v>224402</v>
      </c>
      <c r="K317">
        <v>32300</v>
      </c>
    </row>
    <row r="318" spans="1:11" x14ac:dyDescent="0.3">
      <c r="A318" t="s">
        <v>327</v>
      </c>
      <c r="B318">
        <v>19900</v>
      </c>
      <c r="C318">
        <v>158300</v>
      </c>
      <c r="D318">
        <v>10026</v>
      </c>
      <c r="E318">
        <v>59800</v>
      </c>
      <c r="F318">
        <v>187971</v>
      </c>
      <c r="G318">
        <v>101500</v>
      </c>
      <c r="H318">
        <v>226574</v>
      </c>
      <c r="I318">
        <v>24300</v>
      </c>
      <c r="J318">
        <v>225964</v>
      </c>
      <c r="K318">
        <v>32100</v>
      </c>
    </row>
    <row r="319" spans="1:11" x14ac:dyDescent="0.3">
      <c r="A319" t="s">
        <v>328</v>
      </c>
      <c r="B319">
        <v>19900</v>
      </c>
      <c r="C319">
        <v>196900</v>
      </c>
      <c r="D319">
        <v>10237</v>
      </c>
      <c r="E319">
        <v>64500</v>
      </c>
      <c r="F319">
        <v>189252</v>
      </c>
      <c r="G319">
        <v>96000</v>
      </c>
      <c r="H319">
        <v>228081</v>
      </c>
      <c r="I319">
        <v>27100</v>
      </c>
      <c r="J319">
        <v>227370</v>
      </c>
      <c r="K319">
        <v>32200</v>
      </c>
    </row>
    <row r="320" spans="1:11" x14ac:dyDescent="0.3">
      <c r="A320" t="s">
        <v>329</v>
      </c>
      <c r="B320">
        <v>19900</v>
      </c>
      <c r="C320">
        <v>128900</v>
      </c>
      <c r="D320">
        <v>10321</v>
      </c>
      <c r="E320">
        <v>39400</v>
      </c>
      <c r="F320">
        <v>190535</v>
      </c>
      <c r="G320">
        <v>71600</v>
      </c>
      <c r="H320">
        <v>229884</v>
      </c>
      <c r="I320">
        <v>27900</v>
      </c>
      <c r="J320">
        <v>228816</v>
      </c>
      <c r="K320">
        <v>33300</v>
      </c>
    </row>
    <row r="321" spans="1:11" x14ac:dyDescent="0.3">
      <c r="A321" t="s">
        <v>330</v>
      </c>
      <c r="B321">
        <v>19900</v>
      </c>
      <c r="C321">
        <v>130800</v>
      </c>
      <c r="D321">
        <v>10401</v>
      </c>
      <c r="E321">
        <v>40000</v>
      </c>
      <c r="F321">
        <v>191826</v>
      </c>
      <c r="G321">
        <v>66100</v>
      </c>
      <c r="H321">
        <v>231416</v>
      </c>
      <c r="I321">
        <v>20600</v>
      </c>
      <c r="J321">
        <v>230427</v>
      </c>
      <c r="K321">
        <v>26500</v>
      </c>
    </row>
    <row r="322" spans="1:11" x14ac:dyDescent="0.3">
      <c r="A322" t="s">
        <v>331</v>
      </c>
      <c r="B322">
        <v>19900</v>
      </c>
      <c r="C322">
        <v>165800</v>
      </c>
      <c r="D322">
        <v>9707</v>
      </c>
      <c r="E322">
        <v>64500</v>
      </c>
      <c r="F322">
        <v>193093</v>
      </c>
      <c r="G322">
        <v>101700</v>
      </c>
      <c r="H322">
        <v>233133</v>
      </c>
      <c r="I322">
        <v>28700</v>
      </c>
      <c r="J322">
        <v>232189</v>
      </c>
      <c r="K322">
        <v>35000</v>
      </c>
    </row>
    <row r="323" spans="1:11" x14ac:dyDescent="0.3">
      <c r="A323" t="s">
        <v>332</v>
      </c>
      <c r="B323">
        <v>19900</v>
      </c>
      <c r="C323">
        <v>181800</v>
      </c>
      <c r="D323">
        <v>10551</v>
      </c>
      <c r="E323">
        <v>67100</v>
      </c>
      <c r="F323">
        <v>194368</v>
      </c>
      <c r="G323">
        <v>97700</v>
      </c>
      <c r="H323">
        <v>234533</v>
      </c>
      <c r="I323">
        <v>26100</v>
      </c>
      <c r="J323">
        <v>233606</v>
      </c>
      <c r="K323">
        <v>33400</v>
      </c>
    </row>
    <row r="324" spans="1:11" x14ac:dyDescent="0.3">
      <c r="A324" t="s">
        <v>333</v>
      </c>
      <c r="B324">
        <v>19900</v>
      </c>
      <c r="C324">
        <v>172100</v>
      </c>
      <c r="D324">
        <v>10132</v>
      </c>
      <c r="E324">
        <v>66600</v>
      </c>
      <c r="F324">
        <v>195651</v>
      </c>
      <c r="G324">
        <v>119800</v>
      </c>
      <c r="H324">
        <v>236100</v>
      </c>
      <c r="I324">
        <v>26800</v>
      </c>
      <c r="J324">
        <v>235220</v>
      </c>
      <c r="K324">
        <v>34700</v>
      </c>
    </row>
    <row r="325" spans="1:11" x14ac:dyDescent="0.3">
      <c r="A325" t="s">
        <v>334</v>
      </c>
      <c r="B325">
        <v>19900</v>
      </c>
      <c r="C325">
        <v>202600</v>
      </c>
      <c r="D325">
        <v>10426</v>
      </c>
      <c r="E325">
        <v>66000</v>
      </c>
      <c r="F325">
        <v>196928</v>
      </c>
      <c r="G325">
        <v>100900</v>
      </c>
      <c r="H325">
        <v>237606</v>
      </c>
      <c r="I325">
        <v>27100</v>
      </c>
      <c r="J325">
        <v>236960</v>
      </c>
      <c r="K325">
        <v>35100</v>
      </c>
    </row>
    <row r="326" spans="1:11" x14ac:dyDescent="0.3">
      <c r="A326" t="s">
        <v>335</v>
      </c>
      <c r="B326">
        <v>19900</v>
      </c>
      <c r="C326">
        <v>139400</v>
      </c>
      <c r="D326">
        <v>10139</v>
      </c>
      <c r="E326">
        <v>39800</v>
      </c>
      <c r="F326">
        <v>198212</v>
      </c>
      <c r="G326">
        <v>86200</v>
      </c>
      <c r="H326">
        <v>239093</v>
      </c>
      <c r="I326">
        <v>23500</v>
      </c>
      <c r="J326">
        <v>238540</v>
      </c>
      <c r="K326">
        <v>31100</v>
      </c>
    </row>
    <row r="327" spans="1:11" x14ac:dyDescent="0.3">
      <c r="A327" t="s">
        <v>336</v>
      </c>
      <c r="B327">
        <v>19900</v>
      </c>
      <c r="C327">
        <v>135400</v>
      </c>
      <c r="D327">
        <v>10156</v>
      </c>
      <c r="E327">
        <v>38000</v>
      </c>
      <c r="F327">
        <v>199483</v>
      </c>
      <c r="G327">
        <v>83000</v>
      </c>
      <c r="H327">
        <v>240536</v>
      </c>
      <c r="I327">
        <v>20000</v>
      </c>
      <c r="J327">
        <v>240054</v>
      </c>
      <c r="K327">
        <v>24000</v>
      </c>
    </row>
    <row r="328" spans="1:11" x14ac:dyDescent="0.3">
      <c r="A328" t="s">
        <v>337</v>
      </c>
      <c r="B328">
        <v>19900</v>
      </c>
      <c r="C328">
        <v>135800</v>
      </c>
      <c r="D328">
        <v>9730</v>
      </c>
      <c r="E328">
        <v>36900</v>
      </c>
      <c r="F328">
        <v>200753</v>
      </c>
      <c r="G328">
        <v>62800</v>
      </c>
      <c r="H328">
        <v>241991</v>
      </c>
      <c r="I328">
        <v>19200</v>
      </c>
      <c r="J328">
        <v>241722</v>
      </c>
      <c r="K328">
        <v>24000</v>
      </c>
    </row>
    <row r="329" spans="1:11" x14ac:dyDescent="0.3">
      <c r="A329" t="s">
        <v>338</v>
      </c>
      <c r="B329">
        <v>19900</v>
      </c>
      <c r="C329">
        <v>122500</v>
      </c>
      <c r="D329">
        <v>9691</v>
      </c>
      <c r="E329">
        <v>36700</v>
      </c>
      <c r="F329">
        <v>202024</v>
      </c>
      <c r="G329">
        <v>84500</v>
      </c>
      <c r="H329">
        <v>243600</v>
      </c>
      <c r="I329">
        <v>19100</v>
      </c>
      <c r="J329">
        <v>243373</v>
      </c>
      <c r="K329">
        <v>24100</v>
      </c>
    </row>
    <row r="330" spans="1:11" x14ac:dyDescent="0.3">
      <c r="A330" t="s">
        <v>339</v>
      </c>
      <c r="B330">
        <v>19900</v>
      </c>
      <c r="C330">
        <v>122600</v>
      </c>
      <c r="D330">
        <v>9942</v>
      </c>
      <c r="E330">
        <v>38600</v>
      </c>
      <c r="F330">
        <v>203315</v>
      </c>
      <c r="G330">
        <v>63600</v>
      </c>
      <c r="H330">
        <v>245110</v>
      </c>
      <c r="I330">
        <v>20300</v>
      </c>
      <c r="J330">
        <v>244826</v>
      </c>
      <c r="K330">
        <v>23300</v>
      </c>
    </row>
    <row r="331" spans="1:11" x14ac:dyDescent="0.3">
      <c r="A331" t="s">
        <v>340</v>
      </c>
      <c r="B331">
        <v>19900</v>
      </c>
      <c r="C331">
        <v>216300</v>
      </c>
      <c r="D331">
        <v>9961</v>
      </c>
      <c r="E331">
        <v>77900</v>
      </c>
      <c r="F331">
        <v>204580</v>
      </c>
      <c r="G331">
        <v>117100</v>
      </c>
      <c r="H331">
        <v>246669</v>
      </c>
      <c r="I331">
        <v>32100</v>
      </c>
      <c r="J331">
        <v>246240</v>
      </c>
      <c r="K331">
        <v>37900</v>
      </c>
    </row>
    <row r="332" spans="1:11" x14ac:dyDescent="0.3">
      <c r="A332" t="s">
        <v>341</v>
      </c>
      <c r="B332">
        <v>19900</v>
      </c>
      <c r="C332">
        <v>129400</v>
      </c>
      <c r="D332">
        <v>10569</v>
      </c>
      <c r="E332">
        <v>40700</v>
      </c>
      <c r="F332">
        <v>205875</v>
      </c>
      <c r="G332">
        <v>65200</v>
      </c>
      <c r="H332">
        <v>248244</v>
      </c>
      <c r="I332">
        <v>20700</v>
      </c>
      <c r="J332">
        <v>247810</v>
      </c>
      <c r="K332">
        <v>26600</v>
      </c>
    </row>
    <row r="333" spans="1:11" x14ac:dyDescent="0.3">
      <c r="A333" t="s">
        <v>342</v>
      </c>
      <c r="B333">
        <v>19900</v>
      </c>
      <c r="C333">
        <v>169400</v>
      </c>
      <c r="D333">
        <v>9559</v>
      </c>
      <c r="E333">
        <v>63900</v>
      </c>
      <c r="F333">
        <v>207153</v>
      </c>
      <c r="G333">
        <v>117700</v>
      </c>
      <c r="H333">
        <v>249626</v>
      </c>
      <c r="I333">
        <v>27700</v>
      </c>
      <c r="J333">
        <v>249416</v>
      </c>
      <c r="K333">
        <v>34000</v>
      </c>
    </row>
    <row r="334" spans="1:11" x14ac:dyDescent="0.3">
      <c r="A334" t="s">
        <v>343</v>
      </c>
      <c r="B334">
        <v>19900</v>
      </c>
      <c r="C334">
        <v>149000</v>
      </c>
      <c r="D334">
        <v>9754</v>
      </c>
      <c r="E334">
        <v>47000</v>
      </c>
      <c r="F334">
        <v>208441</v>
      </c>
      <c r="G334">
        <v>91600</v>
      </c>
      <c r="H334">
        <v>251243</v>
      </c>
      <c r="I334">
        <v>24700</v>
      </c>
      <c r="J334">
        <v>251013</v>
      </c>
      <c r="K334">
        <v>30000</v>
      </c>
    </row>
    <row r="335" spans="1:11" x14ac:dyDescent="0.3">
      <c r="A335" t="s">
        <v>344</v>
      </c>
      <c r="B335">
        <v>19900</v>
      </c>
      <c r="C335">
        <v>115700</v>
      </c>
      <c r="D335">
        <v>9826</v>
      </c>
      <c r="E335">
        <v>45400</v>
      </c>
      <c r="F335">
        <v>209728</v>
      </c>
      <c r="G335">
        <v>91100</v>
      </c>
      <c r="H335">
        <v>252931</v>
      </c>
      <c r="I335">
        <v>24300</v>
      </c>
      <c r="J335">
        <v>252418</v>
      </c>
      <c r="K335">
        <v>33500</v>
      </c>
    </row>
    <row r="336" spans="1:11" x14ac:dyDescent="0.3">
      <c r="A336" t="s">
        <v>345</v>
      </c>
      <c r="B336">
        <v>19900</v>
      </c>
      <c r="C336">
        <v>128900</v>
      </c>
      <c r="D336">
        <v>9699</v>
      </c>
      <c r="E336">
        <v>36700</v>
      </c>
      <c r="F336">
        <v>210999</v>
      </c>
      <c r="G336">
        <v>72400</v>
      </c>
      <c r="H336">
        <v>254352</v>
      </c>
      <c r="I336">
        <v>19700</v>
      </c>
      <c r="J336">
        <v>254156</v>
      </c>
      <c r="K336">
        <v>25100</v>
      </c>
    </row>
    <row r="337" spans="1:11" x14ac:dyDescent="0.3">
      <c r="A337" t="s">
        <v>346</v>
      </c>
      <c r="B337">
        <v>19900</v>
      </c>
      <c r="C337">
        <v>135100</v>
      </c>
      <c r="D337">
        <v>10711</v>
      </c>
      <c r="E337">
        <v>69500</v>
      </c>
      <c r="F337">
        <v>212280</v>
      </c>
      <c r="G337">
        <v>114700</v>
      </c>
      <c r="H337">
        <v>256115</v>
      </c>
      <c r="I337">
        <v>21600</v>
      </c>
      <c r="J337">
        <v>255751</v>
      </c>
      <c r="K337">
        <v>27900</v>
      </c>
    </row>
    <row r="338" spans="1:11" x14ac:dyDescent="0.3">
      <c r="A338" t="s">
        <v>347</v>
      </c>
      <c r="B338">
        <v>19900</v>
      </c>
      <c r="C338">
        <v>132200</v>
      </c>
      <c r="D338">
        <v>9360</v>
      </c>
      <c r="E338">
        <v>36700</v>
      </c>
      <c r="F338">
        <v>213564</v>
      </c>
      <c r="G338">
        <v>63800</v>
      </c>
      <c r="H338">
        <v>257764</v>
      </c>
      <c r="I338">
        <v>20800</v>
      </c>
      <c r="J338">
        <v>257454</v>
      </c>
      <c r="K338">
        <v>25500</v>
      </c>
    </row>
    <row r="339" spans="1:11" x14ac:dyDescent="0.3">
      <c r="A339" t="s">
        <v>348</v>
      </c>
      <c r="B339">
        <v>19900</v>
      </c>
      <c r="C339">
        <v>126200</v>
      </c>
      <c r="D339">
        <v>10288</v>
      </c>
      <c r="E339">
        <v>38600</v>
      </c>
      <c r="F339">
        <v>214855</v>
      </c>
      <c r="G339">
        <v>61100</v>
      </c>
      <c r="H339">
        <v>259285</v>
      </c>
      <c r="I339">
        <v>19100</v>
      </c>
      <c r="J339">
        <v>258847</v>
      </c>
      <c r="K339">
        <v>24200</v>
      </c>
    </row>
    <row r="340" spans="1:11" x14ac:dyDescent="0.3">
      <c r="A340" t="s">
        <v>349</v>
      </c>
      <c r="B340">
        <v>19900</v>
      </c>
      <c r="C340">
        <v>160300</v>
      </c>
      <c r="D340">
        <v>10354</v>
      </c>
      <c r="E340">
        <v>40400</v>
      </c>
      <c r="F340">
        <v>216141</v>
      </c>
      <c r="G340">
        <v>65800</v>
      </c>
      <c r="H340">
        <v>261020</v>
      </c>
      <c r="I340">
        <v>21300</v>
      </c>
      <c r="J340">
        <v>260452</v>
      </c>
      <c r="K340">
        <v>34000</v>
      </c>
    </row>
    <row r="341" spans="1:11" x14ac:dyDescent="0.3">
      <c r="A341" t="s">
        <v>350</v>
      </c>
      <c r="B341">
        <v>19900</v>
      </c>
      <c r="C341">
        <v>153200</v>
      </c>
      <c r="D341">
        <v>10345</v>
      </c>
      <c r="E341">
        <v>47200</v>
      </c>
      <c r="F341">
        <v>217404</v>
      </c>
      <c r="G341">
        <v>79200</v>
      </c>
      <c r="H341">
        <v>262563</v>
      </c>
      <c r="I341">
        <v>25200</v>
      </c>
      <c r="J341">
        <v>262375</v>
      </c>
      <c r="K341">
        <v>32400</v>
      </c>
    </row>
    <row r="342" spans="1:11" x14ac:dyDescent="0.3">
      <c r="A342" t="s">
        <v>351</v>
      </c>
      <c r="B342">
        <v>19900</v>
      </c>
      <c r="C342">
        <v>137900</v>
      </c>
      <c r="D342">
        <v>11132</v>
      </c>
      <c r="E342">
        <v>41400</v>
      </c>
      <c r="F342">
        <v>218699</v>
      </c>
      <c r="G342">
        <v>72100</v>
      </c>
      <c r="H342">
        <v>264001</v>
      </c>
      <c r="I342">
        <v>19000</v>
      </c>
      <c r="J342">
        <v>263935</v>
      </c>
      <c r="K342">
        <v>25100</v>
      </c>
    </row>
    <row r="343" spans="1:11" x14ac:dyDescent="0.3">
      <c r="A343" t="s">
        <v>352</v>
      </c>
      <c r="B343">
        <v>19900</v>
      </c>
      <c r="C343">
        <v>178800</v>
      </c>
      <c r="D343">
        <v>10627</v>
      </c>
      <c r="E343">
        <v>63800</v>
      </c>
      <c r="F343">
        <v>219980</v>
      </c>
      <c r="G343">
        <v>122300</v>
      </c>
      <c r="H343">
        <v>265446</v>
      </c>
      <c r="I343">
        <v>27400</v>
      </c>
      <c r="J343">
        <v>265652</v>
      </c>
      <c r="K343">
        <v>35800</v>
      </c>
    </row>
    <row r="344" spans="1:11" x14ac:dyDescent="0.3">
      <c r="A344" t="s">
        <v>353</v>
      </c>
      <c r="B344">
        <v>19900</v>
      </c>
      <c r="C344">
        <v>169200</v>
      </c>
      <c r="D344">
        <v>10848</v>
      </c>
      <c r="E344">
        <v>50100</v>
      </c>
      <c r="F344">
        <v>221269</v>
      </c>
      <c r="G344">
        <v>92700</v>
      </c>
      <c r="H344">
        <v>267087</v>
      </c>
      <c r="I344">
        <v>25800</v>
      </c>
      <c r="J344">
        <v>267039</v>
      </c>
      <c r="K344">
        <v>30800</v>
      </c>
    </row>
    <row r="345" spans="1:11" x14ac:dyDescent="0.3">
      <c r="A345" t="s">
        <v>354</v>
      </c>
      <c r="B345">
        <v>19900</v>
      </c>
      <c r="C345">
        <v>134200</v>
      </c>
      <c r="D345">
        <v>10269</v>
      </c>
      <c r="E345">
        <v>38800</v>
      </c>
      <c r="F345">
        <v>222551</v>
      </c>
      <c r="G345">
        <v>94900</v>
      </c>
      <c r="H345">
        <v>268602</v>
      </c>
      <c r="I345">
        <v>28500</v>
      </c>
      <c r="J345">
        <v>268609</v>
      </c>
      <c r="K345">
        <v>27500</v>
      </c>
    </row>
    <row r="346" spans="1:11" x14ac:dyDescent="0.3">
      <c r="A346" t="s">
        <v>355</v>
      </c>
      <c r="B346">
        <v>19900</v>
      </c>
      <c r="C346">
        <v>132100</v>
      </c>
      <c r="D346">
        <v>10405</v>
      </c>
      <c r="E346">
        <v>40600</v>
      </c>
      <c r="F346">
        <v>223837</v>
      </c>
      <c r="G346">
        <v>75700</v>
      </c>
      <c r="H346">
        <v>270149</v>
      </c>
      <c r="I346">
        <v>21000</v>
      </c>
      <c r="J346">
        <v>270171</v>
      </c>
      <c r="K346">
        <v>26100</v>
      </c>
    </row>
    <row r="347" spans="1:11" x14ac:dyDescent="0.3">
      <c r="A347" t="s">
        <v>356</v>
      </c>
      <c r="B347">
        <v>19900</v>
      </c>
      <c r="C347">
        <v>137600</v>
      </c>
      <c r="D347">
        <v>10967</v>
      </c>
      <c r="E347">
        <v>41900</v>
      </c>
      <c r="F347">
        <v>225121</v>
      </c>
      <c r="G347">
        <v>62200</v>
      </c>
      <c r="H347">
        <v>271933</v>
      </c>
      <c r="I347">
        <v>19900</v>
      </c>
      <c r="J347">
        <v>271747</v>
      </c>
      <c r="K347">
        <v>33600</v>
      </c>
    </row>
    <row r="348" spans="1:11" x14ac:dyDescent="0.3">
      <c r="A348" t="s">
        <v>357</v>
      </c>
      <c r="B348">
        <v>19900</v>
      </c>
      <c r="C348">
        <v>126500</v>
      </c>
      <c r="D348">
        <v>10493</v>
      </c>
      <c r="E348">
        <v>40700</v>
      </c>
      <c r="F348">
        <v>226388</v>
      </c>
      <c r="G348">
        <v>63000</v>
      </c>
      <c r="H348">
        <v>273343</v>
      </c>
      <c r="I348">
        <v>20200</v>
      </c>
      <c r="J348">
        <v>273305</v>
      </c>
      <c r="K348">
        <v>25500</v>
      </c>
    </row>
    <row r="349" spans="1:11" x14ac:dyDescent="0.3">
      <c r="A349" t="s">
        <v>358</v>
      </c>
      <c r="B349">
        <v>19900</v>
      </c>
      <c r="C349">
        <v>163900</v>
      </c>
      <c r="D349">
        <v>10502</v>
      </c>
      <c r="E349">
        <v>68800</v>
      </c>
      <c r="F349">
        <v>227662</v>
      </c>
      <c r="G349">
        <v>100000</v>
      </c>
      <c r="H349">
        <v>274874</v>
      </c>
      <c r="I349">
        <v>27900</v>
      </c>
      <c r="J349">
        <v>274873</v>
      </c>
      <c r="K349">
        <v>33100</v>
      </c>
    </row>
    <row r="350" spans="1:11" x14ac:dyDescent="0.3">
      <c r="A350" t="s">
        <v>359</v>
      </c>
      <c r="B350">
        <v>19900</v>
      </c>
      <c r="C350">
        <v>169200</v>
      </c>
      <c r="D350">
        <v>10589</v>
      </c>
      <c r="E350">
        <v>48400</v>
      </c>
      <c r="F350">
        <v>228956</v>
      </c>
      <c r="G350">
        <v>78900</v>
      </c>
      <c r="H350">
        <v>276285</v>
      </c>
      <c r="I350">
        <v>23600</v>
      </c>
      <c r="J350">
        <v>276492</v>
      </c>
      <c r="K350">
        <v>30900</v>
      </c>
    </row>
    <row r="351" spans="1:11" x14ac:dyDescent="0.3">
      <c r="A351" t="s">
        <v>360</v>
      </c>
      <c r="B351">
        <v>19900</v>
      </c>
      <c r="C351">
        <v>177000</v>
      </c>
      <c r="D351">
        <v>9530</v>
      </c>
      <c r="E351">
        <v>64600</v>
      </c>
      <c r="F351">
        <v>230245</v>
      </c>
      <c r="G351">
        <v>113500</v>
      </c>
      <c r="H351">
        <v>277770</v>
      </c>
      <c r="I351">
        <v>26300</v>
      </c>
      <c r="J351">
        <v>278283</v>
      </c>
      <c r="K351">
        <v>27000</v>
      </c>
    </row>
    <row r="352" spans="1:11" x14ac:dyDescent="0.3">
      <c r="A352" t="s">
        <v>361</v>
      </c>
      <c r="B352">
        <v>19900</v>
      </c>
      <c r="C352">
        <v>125000</v>
      </c>
      <c r="D352">
        <v>10015</v>
      </c>
      <c r="E352">
        <v>38300</v>
      </c>
      <c r="F352">
        <v>231527</v>
      </c>
      <c r="G352">
        <v>73800</v>
      </c>
      <c r="H352">
        <v>279285</v>
      </c>
      <c r="I352">
        <v>19500</v>
      </c>
      <c r="J352">
        <v>279814</v>
      </c>
      <c r="K352">
        <v>25100</v>
      </c>
    </row>
    <row r="353" spans="1:11" x14ac:dyDescent="0.3">
      <c r="A353" t="s">
        <v>362</v>
      </c>
      <c r="B353">
        <v>19900</v>
      </c>
      <c r="C353">
        <v>119400</v>
      </c>
      <c r="D353">
        <v>9962</v>
      </c>
      <c r="E353">
        <v>37500</v>
      </c>
      <c r="F353">
        <v>232805</v>
      </c>
      <c r="G353">
        <v>74300</v>
      </c>
      <c r="H353">
        <v>280728</v>
      </c>
      <c r="I353">
        <v>20200</v>
      </c>
      <c r="J353">
        <v>281446</v>
      </c>
      <c r="K353">
        <v>24300</v>
      </c>
    </row>
    <row r="354" spans="1:11" x14ac:dyDescent="0.3">
      <c r="A354" t="s">
        <v>363</v>
      </c>
      <c r="B354">
        <v>19900</v>
      </c>
      <c r="C354">
        <v>124600</v>
      </c>
      <c r="D354">
        <v>10399</v>
      </c>
      <c r="E354">
        <v>39600</v>
      </c>
      <c r="F354">
        <v>234095</v>
      </c>
      <c r="G354">
        <v>85300</v>
      </c>
      <c r="H354">
        <v>282221</v>
      </c>
      <c r="I354">
        <v>21600</v>
      </c>
      <c r="J354">
        <v>283077</v>
      </c>
      <c r="K354">
        <v>30600</v>
      </c>
    </row>
    <row r="355" spans="1:11" x14ac:dyDescent="0.3">
      <c r="A355" t="s">
        <v>364</v>
      </c>
      <c r="B355">
        <v>19900</v>
      </c>
      <c r="C355">
        <v>113700</v>
      </c>
      <c r="D355">
        <v>10218</v>
      </c>
      <c r="E355">
        <v>40600</v>
      </c>
      <c r="F355">
        <v>235370</v>
      </c>
      <c r="G355">
        <v>71800</v>
      </c>
      <c r="H355">
        <v>283816</v>
      </c>
      <c r="I355">
        <v>20400</v>
      </c>
      <c r="J355">
        <v>284603</v>
      </c>
      <c r="K355">
        <v>23400</v>
      </c>
    </row>
    <row r="356" spans="1:11" x14ac:dyDescent="0.3">
      <c r="A356" t="s">
        <v>365</v>
      </c>
      <c r="B356">
        <v>19900</v>
      </c>
      <c r="C356">
        <v>163100</v>
      </c>
      <c r="D356">
        <v>10283</v>
      </c>
      <c r="E356">
        <v>66900</v>
      </c>
      <c r="F356">
        <v>236643</v>
      </c>
      <c r="G356">
        <v>95300</v>
      </c>
      <c r="H356">
        <v>285294</v>
      </c>
      <c r="I356">
        <v>25700</v>
      </c>
      <c r="J356">
        <v>286006</v>
      </c>
      <c r="K356">
        <v>32800</v>
      </c>
    </row>
    <row r="357" spans="1:11" x14ac:dyDescent="0.3">
      <c r="A357" t="s">
        <v>366</v>
      </c>
      <c r="B357">
        <v>19900</v>
      </c>
      <c r="C357">
        <v>158100</v>
      </c>
      <c r="D357">
        <v>10679</v>
      </c>
      <c r="E357">
        <v>68400</v>
      </c>
      <c r="F357">
        <v>237915</v>
      </c>
      <c r="G357">
        <v>93600</v>
      </c>
      <c r="H357">
        <v>286949</v>
      </c>
      <c r="I357">
        <v>28100</v>
      </c>
      <c r="J357">
        <v>287684</v>
      </c>
      <c r="K357">
        <v>34300</v>
      </c>
    </row>
    <row r="358" spans="1:11" x14ac:dyDescent="0.3">
      <c r="A358" t="s">
        <v>367</v>
      </c>
      <c r="B358">
        <v>19900</v>
      </c>
      <c r="C358">
        <v>194900</v>
      </c>
      <c r="D358">
        <v>10258</v>
      </c>
      <c r="E358">
        <v>79700</v>
      </c>
      <c r="F358">
        <v>239201</v>
      </c>
      <c r="G358">
        <v>149900</v>
      </c>
      <c r="H358">
        <v>288559</v>
      </c>
      <c r="I358">
        <v>33800</v>
      </c>
      <c r="J358">
        <v>289361</v>
      </c>
      <c r="K358">
        <v>40000</v>
      </c>
    </row>
    <row r="359" spans="1:11" x14ac:dyDescent="0.3">
      <c r="A359" t="s">
        <v>368</v>
      </c>
      <c r="B359">
        <v>19900</v>
      </c>
      <c r="C359">
        <v>136700</v>
      </c>
      <c r="D359">
        <v>9706</v>
      </c>
      <c r="E359">
        <v>37600</v>
      </c>
      <c r="F359">
        <v>240491</v>
      </c>
      <c r="G359">
        <v>64100</v>
      </c>
      <c r="H359">
        <v>290246</v>
      </c>
      <c r="I359">
        <v>20500</v>
      </c>
      <c r="J359">
        <v>290797</v>
      </c>
      <c r="K359">
        <v>29000</v>
      </c>
    </row>
    <row r="360" spans="1:11" x14ac:dyDescent="0.3">
      <c r="A360" t="s">
        <v>369</v>
      </c>
      <c r="B360">
        <v>19900</v>
      </c>
      <c r="C360">
        <v>146000</v>
      </c>
      <c r="D360">
        <v>10791</v>
      </c>
      <c r="E360">
        <v>40300</v>
      </c>
      <c r="F360">
        <v>241764</v>
      </c>
      <c r="G360">
        <v>64100</v>
      </c>
      <c r="H360">
        <v>291821</v>
      </c>
      <c r="I360">
        <v>20200</v>
      </c>
      <c r="J360">
        <v>292457</v>
      </c>
      <c r="K360">
        <v>25700</v>
      </c>
    </row>
    <row r="361" spans="1:11" x14ac:dyDescent="0.3">
      <c r="A361" t="s">
        <v>370</v>
      </c>
      <c r="B361">
        <v>19900</v>
      </c>
      <c r="C361">
        <v>165700</v>
      </c>
      <c r="D361">
        <v>9670</v>
      </c>
      <c r="E361">
        <v>63200</v>
      </c>
      <c r="F361">
        <v>243037</v>
      </c>
      <c r="G361">
        <v>112900</v>
      </c>
      <c r="H361">
        <v>293317</v>
      </c>
      <c r="I361">
        <v>27400</v>
      </c>
      <c r="J361">
        <v>293941</v>
      </c>
      <c r="K361">
        <v>32800</v>
      </c>
    </row>
    <row r="362" spans="1:11" x14ac:dyDescent="0.3">
      <c r="A362" t="s">
        <v>371</v>
      </c>
      <c r="B362">
        <v>19900</v>
      </c>
      <c r="C362">
        <v>176200</v>
      </c>
      <c r="D362">
        <v>10307</v>
      </c>
      <c r="E362">
        <v>65200</v>
      </c>
      <c r="F362">
        <v>244316</v>
      </c>
      <c r="G362">
        <v>109100</v>
      </c>
      <c r="H362">
        <v>294785</v>
      </c>
      <c r="I362">
        <v>26000</v>
      </c>
      <c r="J362">
        <v>295491</v>
      </c>
      <c r="K362">
        <v>32200</v>
      </c>
    </row>
    <row r="363" spans="1:11" x14ac:dyDescent="0.3">
      <c r="A363" t="s">
        <v>372</v>
      </c>
      <c r="B363">
        <v>19900</v>
      </c>
      <c r="C363">
        <v>168000</v>
      </c>
      <c r="D363">
        <v>10338</v>
      </c>
      <c r="E363">
        <v>66100</v>
      </c>
      <c r="F363">
        <v>245595</v>
      </c>
      <c r="G363">
        <v>106200</v>
      </c>
      <c r="H363">
        <v>296289</v>
      </c>
      <c r="I363">
        <v>27200</v>
      </c>
      <c r="J363">
        <v>297260</v>
      </c>
      <c r="K363">
        <v>56200</v>
      </c>
    </row>
    <row r="364" spans="1:11" x14ac:dyDescent="0.3">
      <c r="A364" t="s">
        <v>373</v>
      </c>
      <c r="B364">
        <v>19900</v>
      </c>
      <c r="C364">
        <v>171100</v>
      </c>
      <c r="D364">
        <v>9108</v>
      </c>
      <c r="E364">
        <v>57300</v>
      </c>
      <c r="F364">
        <v>246872</v>
      </c>
      <c r="G364">
        <v>107800</v>
      </c>
      <c r="H364">
        <v>297822</v>
      </c>
      <c r="I364">
        <v>26100</v>
      </c>
      <c r="J364">
        <v>298769</v>
      </c>
      <c r="K364">
        <v>32900</v>
      </c>
    </row>
    <row r="365" spans="1:11" x14ac:dyDescent="0.3">
      <c r="A365" t="s">
        <v>374</v>
      </c>
      <c r="B365">
        <v>19900</v>
      </c>
      <c r="C365">
        <v>121100</v>
      </c>
      <c r="D365">
        <v>9128</v>
      </c>
      <c r="E365">
        <v>34800</v>
      </c>
      <c r="F365">
        <v>248142</v>
      </c>
      <c r="G365">
        <v>63900</v>
      </c>
      <c r="H365">
        <v>299482</v>
      </c>
      <c r="I365">
        <v>20600</v>
      </c>
      <c r="J365">
        <v>300243</v>
      </c>
      <c r="K365">
        <v>25700</v>
      </c>
    </row>
    <row r="366" spans="1:11" x14ac:dyDescent="0.3">
      <c r="A366" t="s">
        <v>375</v>
      </c>
      <c r="B366">
        <v>19900</v>
      </c>
      <c r="C366">
        <v>128400</v>
      </c>
      <c r="D366">
        <v>10047</v>
      </c>
      <c r="E366">
        <v>38200</v>
      </c>
      <c r="F366">
        <v>249418</v>
      </c>
      <c r="G366">
        <v>62300</v>
      </c>
      <c r="H366">
        <v>300984</v>
      </c>
      <c r="I366">
        <v>20100</v>
      </c>
      <c r="J366">
        <v>301636</v>
      </c>
      <c r="K366">
        <v>24000</v>
      </c>
    </row>
    <row r="367" spans="1:11" x14ac:dyDescent="0.3">
      <c r="A367" t="s">
        <v>376</v>
      </c>
      <c r="B367">
        <v>19900</v>
      </c>
      <c r="C367">
        <v>148000</v>
      </c>
      <c r="D367">
        <v>9881</v>
      </c>
      <c r="E367">
        <v>37900</v>
      </c>
      <c r="F367">
        <v>250713</v>
      </c>
      <c r="G367">
        <v>63200</v>
      </c>
      <c r="H367">
        <v>302412</v>
      </c>
      <c r="I367">
        <v>19500</v>
      </c>
      <c r="J367">
        <v>303061</v>
      </c>
      <c r="K367">
        <v>22500</v>
      </c>
    </row>
    <row r="368" spans="1:11" x14ac:dyDescent="0.3">
      <c r="A368" t="s">
        <v>377</v>
      </c>
      <c r="B368">
        <v>19900</v>
      </c>
      <c r="C368">
        <v>140500</v>
      </c>
      <c r="D368">
        <v>9497</v>
      </c>
      <c r="E368">
        <v>36900</v>
      </c>
      <c r="F368">
        <v>251993</v>
      </c>
      <c r="G368">
        <v>62200</v>
      </c>
      <c r="H368">
        <v>303916</v>
      </c>
      <c r="I368">
        <v>19900</v>
      </c>
      <c r="J368">
        <v>304676</v>
      </c>
      <c r="K368">
        <v>23100</v>
      </c>
    </row>
    <row r="369" spans="1:11" x14ac:dyDescent="0.3">
      <c r="A369" t="s">
        <v>378</v>
      </c>
      <c r="B369">
        <v>19900</v>
      </c>
      <c r="C369">
        <v>133500</v>
      </c>
      <c r="D369">
        <v>10630</v>
      </c>
      <c r="E369">
        <v>40300</v>
      </c>
      <c r="F369">
        <v>253280</v>
      </c>
      <c r="G369">
        <v>64900</v>
      </c>
      <c r="H369">
        <v>305548</v>
      </c>
      <c r="I369">
        <v>21100</v>
      </c>
      <c r="J369">
        <v>306057</v>
      </c>
      <c r="K369">
        <v>25200</v>
      </c>
    </row>
    <row r="370" spans="1:11" x14ac:dyDescent="0.3">
      <c r="A370" t="s">
        <v>379</v>
      </c>
      <c r="B370">
        <v>19900</v>
      </c>
      <c r="C370">
        <v>121800</v>
      </c>
      <c r="D370">
        <v>10072</v>
      </c>
      <c r="E370">
        <v>39400</v>
      </c>
      <c r="F370">
        <v>254552</v>
      </c>
      <c r="G370">
        <v>74100</v>
      </c>
      <c r="H370">
        <v>306987</v>
      </c>
      <c r="I370">
        <v>20200</v>
      </c>
      <c r="J370">
        <v>307517</v>
      </c>
      <c r="K370">
        <v>29600</v>
      </c>
    </row>
    <row r="371" spans="1:11" x14ac:dyDescent="0.3">
      <c r="A371" t="s">
        <v>380</v>
      </c>
      <c r="B371">
        <v>19900</v>
      </c>
      <c r="C371">
        <v>134400</v>
      </c>
      <c r="D371">
        <v>10733</v>
      </c>
      <c r="E371">
        <v>40100</v>
      </c>
      <c r="F371">
        <v>255827</v>
      </c>
      <c r="G371">
        <v>73300</v>
      </c>
      <c r="H371">
        <v>308779</v>
      </c>
      <c r="I371">
        <v>19900</v>
      </c>
      <c r="J371">
        <v>308987</v>
      </c>
      <c r="K371">
        <v>24400</v>
      </c>
    </row>
    <row r="372" spans="1:11" x14ac:dyDescent="0.3">
      <c r="A372" t="s">
        <v>381</v>
      </c>
      <c r="B372">
        <v>19900</v>
      </c>
      <c r="C372">
        <v>131500</v>
      </c>
      <c r="D372">
        <v>10017</v>
      </c>
      <c r="E372">
        <v>38100</v>
      </c>
      <c r="F372">
        <v>257114</v>
      </c>
      <c r="G372">
        <v>71500</v>
      </c>
      <c r="H372">
        <v>310283</v>
      </c>
      <c r="I372">
        <v>20300</v>
      </c>
      <c r="J372">
        <v>310631</v>
      </c>
      <c r="K372">
        <v>25300</v>
      </c>
    </row>
    <row r="373" spans="1:11" x14ac:dyDescent="0.3">
      <c r="A373" t="s">
        <v>382</v>
      </c>
      <c r="B373">
        <v>19900</v>
      </c>
      <c r="C373">
        <v>133200</v>
      </c>
      <c r="D373">
        <v>10334</v>
      </c>
      <c r="E373">
        <v>39200</v>
      </c>
      <c r="F373">
        <v>258394</v>
      </c>
      <c r="G373">
        <v>72200</v>
      </c>
      <c r="H373">
        <v>311841</v>
      </c>
      <c r="I373">
        <v>19600</v>
      </c>
      <c r="J373">
        <v>312288</v>
      </c>
      <c r="K373">
        <v>23600</v>
      </c>
    </row>
    <row r="374" spans="1:11" x14ac:dyDescent="0.3">
      <c r="A374" t="s">
        <v>383</v>
      </c>
      <c r="B374">
        <v>19900</v>
      </c>
      <c r="C374">
        <v>172300</v>
      </c>
      <c r="D374">
        <v>9746</v>
      </c>
      <c r="E374">
        <v>54000</v>
      </c>
      <c r="F374">
        <v>259690</v>
      </c>
      <c r="G374">
        <v>93100</v>
      </c>
      <c r="H374">
        <v>313362</v>
      </c>
      <c r="I374">
        <v>24700</v>
      </c>
      <c r="J374">
        <v>313764</v>
      </c>
      <c r="K374">
        <v>31800</v>
      </c>
    </row>
    <row r="375" spans="1:11" x14ac:dyDescent="0.3">
      <c r="A375" t="s">
        <v>384</v>
      </c>
      <c r="B375">
        <v>19900</v>
      </c>
      <c r="C375">
        <v>174800</v>
      </c>
      <c r="D375">
        <v>10111</v>
      </c>
      <c r="E375">
        <v>55800</v>
      </c>
      <c r="F375">
        <v>260961</v>
      </c>
      <c r="G375">
        <v>87000</v>
      </c>
      <c r="H375">
        <v>314823</v>
      </c>
      <c r="I375">
        <v>27200</v>
      </c>
      <c r="J375">
        <v>315271</v>
      </c>
      <c r="K375">
        <v>30500</v>
      </c>
    </row>
    <row r="376" spans="1:11" x14ac:dyDescent="0.3">
      <c r="A376" t="s">
        <v>385</v>
      </c>
      <c r="B376">
        <v>19900</v>
      </c>
      <c r="C376">
        <v>145600</v>
      </c>
      <c r="D376">
        <v>9917</v>
      </c>
      <c r="E376">
        <v>45900</v>
      </c>
      <c r="F376">
        <v>262239</v>
      </c>
      <c r="G376">
        <v>83500</v>
      </c>
      <c r="H376">
        <v>316312</v>
      </c>
      <c r="I376">
        <v>24500</v>
      </c>
      <c r="J376">
        <v>316676</v>
      </c>
      <c r="K376">
        <v>30600</v>
      </c>
    </row>
    <row r="377" spans="1:11" x14ac:dyDescent="0.3">
      <c r="A377" t="s">
        <v>386</v>
      </c>
      <c r="B377">
        <v>19900</v>
      </c>
      <c r="C377">
        <v>166500</v>
      </c>
      <c r="D377">
        <v>10750</v>
      </c>
      <c r="E377">
        <v>59300</v>
      </c>
      <c r="F377">
        <v>263517</v>
      </c>
      <c r="G377">
        <v>87700</v>
      </c>
      <c r="H377">
        <v>318090</v>
      </c>
      <c r="I377">
        <v>25100</v>
      </c>
      <c r="J377">
        <v>318269</v>
      </c>
      <c r="K377">
        <v>31500</v>
      </c>
    </row>
    <row r="378" spans="1:11" x14ac:dyDescent="0.3">
      <c r="A378" t="s">
        <v>387</v>
      </c>
      <c r="B378">
        <v>19900</v>
      </c>
      <c r="C378">
        <v>171200</v>
      </c>
      <c r="D378">
        <v>9734</v>
      </c>
      <c r="E378">
        <v>44900</v>
      </c>
      <c r="F378">
        <v>264795</v>
      </c>
      <c r="G378">
        <v>77900</v>
      </c>
      <c r="H378">
        <v>319678</v>
      </c>
      <c r="I378">
        <v>24800</v>
      </c>
      <c r="J378">
        <v>320028</v>
      </c>
      <c r="K378">
        <v>31800</v>
      </c>
    </row>
    <row r="379" spans="1:11" x14ac:dyDescent="0.3">
      <c r="A379" t="s">
        <v>388</v>
      </c>
      <c r="B379">
        <v>19900</v>
      </c>
      <c r="C379">
        <v>177100</v>
      </c>
      <c r="D379">
        <v>10785</v>
      </c>
      <c r="E379">
        <v>58600</v>
      </c>
      <c r="F379">
        <v>266083</v>
      </c>
      <c r="G379">
        <v>98400</v>
      </c>
      <c r="H379">
        <v>321379</v>
      </c>
      <c r="I379">
        <v>24500</v>
      </c>
      <c r="J379">
        <v>321611</v>
      </c>
      <c r="K379">
        <v>29600</v>
      </c>
    </row>
    <row r="380" spans="1:11" x14ac:dyDescent="0.3">
      <c r="A380" t="s">
        <v>389</v>
      </c>
      <c r="B380">
        <v>19900</v>
      </c>
      <c r="C380">
        <v>136600</v>
      </c>
      <c r="D380">
        <v>10237</v>
      </c>
      <c r="E380">
        <v>39000</v>
      </c>
      <c r="F380">
        <v>267373</v>
      </c>
      <c r="G380">
        <v>83000</v>
      </c>
      <c r="H380">
        <v>322758</v>
      </c>
      <c r="I380">
        <v>20200</v>
      </c>
      <c r="J380">
        <v>323081</v>
      </c>
      <c r="K380">
        <v>27400</v>
      </c>
    </row>
    <row r="381" spans="1:11" x14ac:dyDescent="0.3">
      <c r="A381" t="s">
        <v>390</v>
      </c>
      <c r="B381">
        <v>19900</v>
      </c>
      <c r="C381">
        <v>134400</v>
      </c>
      <c r="D381">
        <v>10867</v>
      </c>
      <c r="E381">
        <v>40400</v>
      </c>
      <c r="F381">
        <v>268664</v>
      </c>
      <c r="G381">
        <v>73500</v>
      </c>
      <c r="H381">
        <v>324307</v>
      </c>
      <c r="I381">
        <v>20100</v>
      </c>
      <c r="J381">
        <v>324675</v>
      </c>
      <c r="K381">
        <v>24800</v>
      </c>
    </row>
    <row r="382" spans="1:11" x14ac:dyDescent="0.3">
      <c r="A382" t="s">
        <v>391</v>
      </c>
      <c r="B382">
        <v>19900</v>
      </c>
      <c r="C382">
        <v>132800</v>
      </c>
      <c r="D382">
        <v>10599</v>
      </c>
      <c r="E382">
        <v>39700</v>
      </c>
      <c r="F382">
        <v>269933</v>
      </c>
      <c r="G382">
        <v>74600</v>
      </c>
      <c r="H382">
        <v>325793</v>
      </c>
      <c r="I382">
        <v>19700</v>
      </c>
      <c r="J382">
        <v>326110</v>
      </c>
      <c r="K382">
        <v>24200</v>
      </c>
    </row>
    <row r="383" spans="1:11" x14ac:dyDescent="0.3">
      <c r="A383" t="s">
        <v>392</v>
      </c>
      <c r="B383">
        <v>19900</v>
      </c>
      <c r="C383">
        <v>167300</v>
      </c>
      <c r="D383">
        <v>10691</v>
      </c>
      <c r="E383">
        <v>48900</v>
      </c>
      <c r="F383">
        <v>271218</v>
      </c>
      <c r="G383">
        <v>77800</v>
      </c>
      <c r="H383">
        <v>327379</v>
      </c>
      <c r="I383">
        <v>25100</v>
      </c>
      <c r="J383">
        <v>327772</v>
      </c>
      <c r="K383">
        <v>31000</v>
      </c>
    </row>
    <row r="384" spans="1:11" x14ac:dyDescent="0.3">
      <c r="A384" t="s">
        <v>393</v>
      </c>
      <c r="B384">
        <v>19900</v>
      </c>
      <c r="C384">
        <v>135700</v>
      </c>
      <c r="D384">
        <v>10260</v>
      </c>
      <c r="E384">
        <v>38800</v>
      </c>
      <c r="F384">
        <v>272519</v>
      </c>
      <c r="G384">
        <v>61600</v>
      </c>
      <c r="H384">
        <v>328864</v>
      </c>
      <c r="I384">
        <v>19400</v>
      </c>
      <c r="J384">
        <v>329358</v>
      </c>
      <c r="K384">
        <v>23800</v>
      </c>
    </row>
    <row r="385" spans="1:11" x14ac:dyDescent="0.3">
      <c r="A385" t="s">
        <v>394</v>
      </c>
      <c r="B385">
        <v>19900</v>
      </c>
      <c r="C385">
        <v>127100</v>
      </c>
      <c r="D385">
        <v>9894</v>
      </c>
      <c r="E385">
        <v>38100</v>
      </c>
      <c r="F385">
        <v>273798</v>
      </c>
      <c r="G385">
        <v>63300</v>
      </c>
      <c r="H385">
        <v>330410</v>
      </c>
      <c r="I385">
        <v>20000</v>
      </c>
      <c r="J385">
        <v>331016</v>
      </c>
      <c r="K385">
        <v>47200</v>
      </c>
    </row>
    <row r="386" spans="1:11" x14ac:dyDescent="0.3">
      <c r="A386" t="s">
        <v>395</v>
      </c>
      <c r="B386">
        <v>19900</v>
      </c>
      <c r="C386">
        <v>165500</v>
      </c>
      <c r="D386">
        <v>10249</v>
      </c>
      <c r="E386">
        <v>66900</v>
      </c>
      <c r="F386">
        <v>275080</v>
      </c>
      <c r="G386">
        <v>64800</v>
      </c>
      <c r="H386">
        <v>331928</v>
      </c>
      <c r="I386">
        <v>22000</v>
      </c>
      <c r="J386">
        <v>332528</v>
      </c>
      <c r="K386">
        <v>83300</v>
      </c>
    </row>
    <row r="387" spans="1:11" x14ac:dyDescent="0.3">
      <c r="A387" t="s">
        <v>396</v>
      </c>
      <c r="B387">
        <v>19900</v>
      </c>
      <c r="C387">
        <v>137200</v>
      </c>
      <c r="D387">
        <v>10251</v>
      </c>
      <c r="E387">
        <v>39100</v>
      </c>
      <c r="F387">
        <v>276367</v>
      </c>
      <c r="G387">
        <v>79500</v>
      </c>
      <c r="H387">
        <v>333593</v>
      </c>
      <c r="I387">
        <v>20300</v>
      </c>
      <c r="J387">
        <v>334098</v>
      </c>
      <c r="K387">
        <v>23300</v>
      </c>
    </row>
    <row r="388" spans="1:11" x14ac:dyDescent="0.3">
      <c r="A388" t="s">
        <v>397</v>
      </c>
      <c r="B388">
        <v>19900</v>
      </c>
      <c r="C388">
        <v>137600</v>
      </c>
      <c r="D388">
        <v>10475</v>
      </c>
      <c r="E388">
        <v>39400</v>
      </c>
      <c r="F388">
        <v>277648</v>
      </c>
      <c r="G388">
        <v>70600</v>
      </c>
      <c r="H388">
        <v>335140</v>
      </c>
      <c r="I388">
        <v>19900</v>
      </c>
      <c r="J388">
        <v>335631</v>
      </c>
      <c r="K388">
        <v>23900</v>
      </c>
    </row>
    <row r="389" spans="1:11" x14ac:dyDescent="0.3">
      <c r="A389" t="s">
        <v>398</v>
      </c>
      <c r="B389">
        <v>19900</v>
      </c>
      <c r="C389">
        <v>136800</v>
      </c>
      <c r="D389">
        <v>9931</v>
      </c>
      <c r="E389">
        <v>37700</v>
      </c>
      <c r="F389">
        <v>278926</v>
      </c>
      <c r="G389">
        <v>73500</v>
      </c>
      <c r="H389">
        <v>336719</v>
      </c>
      <c r="I389">
        <v>20300</v>
      </c>
      <c r="J389">
        <v>337094</v>
      </c>
      <c r="K389">
        <v>30600</v>
      </c>
    </row>
    <row r="390" spans="1:11" x14ac:dyDescent="0.3">
      <c r="A390" t="s">
        <v>399</v>
      </c>
      <c r="B390">
        <v>19900</v>
      </c>
      <c r="C390">
        <v>132400</v>
      </c>
      <c r="D390">
        <v>10214</v>
      </c>
      <c r="E390">
        <v>38600</v>
      </c>
      <c r="F390">
        <v>280214</v>
      </c>
      <c r="G390">
        <v>72400</v>
      </c>
      <c r="H390">
        <v>338300</v>
      </c>
      <c r="I390">
        <v>20200</v>
      </c>
      <c r="J390">
        <v>338723</v>
      </c>
      <c r="K390">
        <v>21900</v>
      </c>
    </row>
    <row r="391" spans="1:11" x14ac:dyDescent="0.3">
      <c r="A391" t="s">
        <v>400</v>
      </c>
      <c r="B391">
        <v>19900</v>
      </c>
      <c r="C391">
        <v>166100</v>
      </c>
      <c r="D391">
        <v>10251</v>
      </c>
      <c r="E391">
        <v>56800</v>
      </c>
      <c r="F391">
        <v>281508</v>
      </c>
      <c r="G391">
        <v>101200</v>
      </c>
      <c r="H391">
        <v>339775</v>
      </c>
      <c r="I391">
        <v>25600</v>
      </c>
      <c r="J391">
        <v>340337</v>
      </c>
      <c r="K391">
        <v>34200</v>
      </c>
    </row>
    <row r="392" spans="1:11" x14ac:dyDescent="0.3">
      <c r="A392" t="s">
        <v>401</v>
      </c>
      <c r="B392">
        <v>19900</v>
      </c>
      <c r="C392">
        <v>179100</v>
      </c>
      <c r="D392">
        <v>10412</v>
      </c>
      <c r="E392">
        <v>59200</v>
      </c>
      <c r="F392">
        <v>282791</v>
      </c>
      <c r="G392">
        <v>87100</v>
      </c>
      <c r="H392">
        <v>341497</v>
      </c>
      <c r="I392">
        <v>25900</v>
      </c>
      <c r="J392">
        <v>341891</v>
      </c>
      <c r="K392">
        <v>28100</v>
      </c>
    </row>
    <row r="393" spans="1:11" x14ac:dyDescent="0.3">
      <c r="A393" t="s">
        <v>402</v>
      </c>
      <c r="B393">
        <v>19900</v>
      </c>
      <c r="C393">
        <v>151400</v>
      </c>
      <c r="D393">
        <v>11203</v>
      </c>
      <c r="E393">
        <v>51100</v>
      </c>
      <c r="F393">
        <v>284062</v>
      </c>
      <c r="G393">
        <v>77000</v>
      </c>
      <c r="H393">
        <v>343065</v>
      </c>
      <c r="I393">
        <v>25100</v>
      </c>
      <c r="J393">
        <v>343411</v>
      </c>
      <c r="K393">
        <v>28200</v>
      </c>
    </row>
    <row r="394" spans="1:11" x14ac:dyDescent="0.3">
      <c r="A394" t="s">
        <v>403</v>
      </c>
      <c r="B394">
        <v>19900</v>
      </c>
      <c r="C394">
        <v>168600</v>
      </c>
      <c r="D394">
        <v>9479</v>
      </c>
      <c r="E394">
        <v>52700</v>
      </c>
      <c r="F394">
        <v>285335</v>
      </c>
      <c r="G394">
        <v>86900</v>
      </c>
      <c r="H394">
        <v>344677</v>
      </c>
      <c r="I394">
        <v>24300</v>
      </c>
      <c r="J394">
        <v>345168</v>
      </c>
      <c r="K394">
        <v>29200</v>
      </c>
    </row>
    <row r="395" spans="1:11" x14ac:dyDescent="0.3">
      <c r="A395" t="s">
        <v>404</v>
      </c>
      <c r="B395">
        <v>19900</v>
      </c>
      <c r="C395">
        <v>146900</v>
      </c>
      <c r="D395">
        <v>9943</v>
      </c>
      <c r="E395">
        <v>46700</v>
      </c>
      <c r="F395">
        <v>286611</v>
      </c>
      <c r="G395">
        <v>94900</v>
      </c>
      <c r="H395">
        <v>346300</v>
      </c>
      <c r="I395">
        <v>26700</v>
      </c>
      <c r="J395">
        <v>346579</v>
      </c>
      <c r="K395">
        <v>28100</v>
      </c>
    </row>
    <row r="396" spans="1:11" x14ac:dyDescent="0.3">
      <c r="A396" t="s">
        <v>405</v>
      </c>
      <c r="B396">
        <v>19900</v>
      </c>
      <c r="C396">
        <v>146500</v>
      </c>
      <c r="D396">
        <v>10078</v>
      </c>
      <c r="E396">
        <v>38200</v>
      </c>
      <c r="F396">
        <v>287887</v>
      </c>
      <c r="G396">
        <v>80000</v>
      </c>
      <c r="H396">
        <v>348250</v>
      </c>
      <c r="I396">
        <v>22200</v>
      </c>
      <c r="J396">
        <v>348248</v>
      </c>
      <c r="K396">
        <v>25100</v>
      </c>
    </row>
    <row r="397" spans="1:11" x14ac:dyDescent="0.3">
      <c r="A397" t="s">
        <v>406</v>
      </c>
      <c r="B397">
        <v>19900</v>
      </c>
      <c r="C397">
        <v>129600</v>
      </c>
      <c r="D397">
        <v>10713</v>
      </c>
      <c r="E397">
        <v>40800</v>
      </c>
      <c r="F397">
        <v>289165</v>
      </c>
      <c r="G397">
        <v>77100</v>
      </c>
      <c r="H397">
        <v>350135</v>
      </c>
      <c r="I397">
        <v>25100</v>
      </c>
      <c r="J397">
        <v>350363</v>
      </c>
      <c r="K397">
        <v>30500</v>
      </c>
    </row>
    <row r="398" spans="1:11" x14ac:dyDescent="0.3">
      <c r="A398" t="s">
        <v>407</v>
      </c>
      <c r="B398">
        <v>19900</v>
      </c>
      <c r="C398">
        <v>125100</v>
      </c>
      <c r="D398">
        <v>9375</v>
      </c>
      <c r="E398">
        <v>35800</v>
      </c>
      <c r="F398">
        <v>290449</v>
      </c>
      <c r="G398">
        <v>73300</v>
      </c>
      <c r="H398">
        <v>351923</v>
      </c>
      <c r="I398">
        <v>20300</v>
      </c>
      <c r="J398">
        <v>352024</v>
      </c>
      <c r="K398">
        <v>22900</v>
      </c>
    </row>
    <row r="399" spans="1:11" x14ac:dyDescent="0.3">
      <c r="A399" t="s">
        <v>408</v>
      </c>
      <c r="B399">
        <v>19900</v>
      </c>
      <c r="C399">
        <v>135600</v>
      </c>
      <c r="D399">
        <v>10825</v>
      </c>
      <c r="E399">
        <v>48300</v>
      </c>
      <c r="F399">
        <v>291738</v>
      </c>
      <c r="G399">
        <v>84500</v>
      </c>
      <c r="H399">
        <v>353539</v>
      </c>
      <c r="I399">
        <v>23400</v>
      </c>
      <c r="J399">
        <v>353777</v>
      </c>
      <c r="K399">
        <v>26300</v>
      </c>
    </row>
    <row r="400" spans="1:11" x14ac:dyDescent="0.3">
      <c r="A400" t="s">
        <v>409</v>
      </c>
      <c r="B400">
        <v>19900</v>
      </c>
      <c r="C400">
        <v>127900</v>
      </c>
      <c r="D400">
        <v>9889</v>
      </c>
      <c r="E400">
        <v>38200</v>
      </c>
      <c r="F400">
        <v>293006</v>
      </c>
      <c r="G400">
        <v>71000</v>
      </c>
      <c r="H400">
        <v>355056</v>
      </c>
      <c r="I400">
        <v>19800</v>
      </c>
      <c r="J400">
        <v>355630</v>
      </c>
      <c r="K400">
        <v>29000</v>
      </c>
    </row>
    <row r="401" spans="1:11" x14ac:dyDescent="0.3">
      <c r="A401" t="s">
        <v>410</v>
      </c>
      <c r="B401">
        <v>19900</v>
      </c>
      <c r="C401">
        <v>138800</v>
      </c>
      <c r="D401">
        <v>9615</v>
      </c>
      <c r="E401">
        <v>36700</v>
      </c>
      <c r="F401">
        <v>294277</v>
      </c>
      <c r="G401">
        <v>62400</v>
      </c>
      <c r="H401">
        <v>356749</v>
      </c>
      <c r="I401">
        <v>20800</v>
      </c>
      <c r="J401">
        <v>357105</v>
      </c>
      <c r="K401">
        <v>23200</v>
      </c>
    </row>
    <row r="402" spans="1:11" x14ac:dyDescent="0.3">
      <c r="A402" t="s">
        <v>411</v>
      </c>
      <c r="B402">
        <v>31125</v>
      </c>
      <c r="C402">
        <v>246500</v>
      </c>
      <c r="D402">
        <v>15435</v>
      </c>
      <c r="E402">
        <v>69000</v>
      </c>
      <c r="F402">
        <v>295965</v>
      </c>
      <c r="G402">
        <v>116600</v>
      </c>
      <c r="H402">
        <v>358596</v>
      </c>
      <c r="I402">
        <v>38200</v>
      </c>
      <c r="J402">
        <v>359095</v>
      </c>
      <c r="K402">
        <v>31400</v>
      </c>
    </row>
    <row r="403" spans="1:11" x14ac:dyDescent="0.3">
      <c r="A403" t="s">
        <v>412</v>
      </c>
      <c r="B403">
        <v>31125</v>
      </c>
      <c r="C403">
        <v>197900</v>
      </c>
      <c r="D403">
        <v>15465</v>
      </c>
      <c r="E403">
        <v>56700</v>
      </c>
      <c r="F403">
        <v>297649</v>
      </c>
      <c r="G403">
        <v>91100</v>
      </c>
      <c r="H403">
        <v>360523</v>
      </c>
      <c r="I403">
        <v>25900</v>
      </c>
      <c r="J403">
        <v>361431</v>
      </c>
      <c r="K403">
        <v>29500</v>
      </c>
    </row>
    <row r="404" spans="1:11" x14ac:dyDescent="0.3">
      <c r="A404" t="s">
        <v>413</v>
      </c>
      <c r="B404">
        <v>31125</v>
      </c>
      <c r="C404">
        <v>270600</v>
      </c>
      <c r="D404">
        <v>16012</v>
      </c>
      <c r="E404">
        <v>85900</v>
      </c>
      <c r="F404">
        <v>299332</v>
      </c>
      <c r="G404">
        <v>114000</v>
      </c>
      <c r="H404">
        <v>362809</v>
      </c>
      <c r="I404">
        <v>31400</v>
      </c>
      <c r="J404">
        <v>363293</v>
      </c>
      <c r="K404">
        <v>37700</v>
      </c>
    </row>
    <row r="405" spans="1:11" x14ac:dyDescent="0.3">
      <c r="A405" t="s">
        <v>414</v>
      </c>
      <c r="B405">
        <v>31125</v>
      </c>
      <c r="C405">
        <v>271000</v>
      </c>
      <c r="D405">
        <v>16018</v>
      </c>
      <c r="E405">
        <v>59600</v>
      </c>
      <c r="F405">
        <v>301014</v>
      </c>
      <c r="G405">
        <v>115100</v>
      </c>
      <c r="H405">
        <v>364794</v>
      </c>
      <c r="I405">
        <v>26100</v>
      </c>
      <c r="J405">
        <v>365320</v>
      </c>
      <c r="K405">
        <v>29700</v>
      </c>
    </row>
    <row r="406" spans="1:11" x14ac:dyDescent="0.3">
      <c r="A406" t="s">
        <v>415</v>
      </c>
      <c r="B406">
        <v>31125</v>
      </c>
      <c r="C406">
        <v>209600</v>
      </c>
      <c r="D406">
        <v>15035</v>
      </c>
      <c r="E406">
        <v>57100</v>
      </c>
      <c r="F406">
        <v>302693</v>
      </c>
      <c r="G406">
        <v>98800</v>
      </c>
      <c r="H406">
        <v>367056</v>
      </c>
      <c r="I406">
        <v>36300</v>
      </c>
      <c r="J406">
        <v>367286</v>
      </c>
      <c r="K406">
        <v>31500</v>
      </c>
    </row>
    <row r="407" spans="1:11" x14ac:dyDescent="0.3">
      <c r="A407" t="s">
        <v>416</v>
      </c>
      <c r="B407">
        <v>31125</v>
      </c>
      <c r="C407">
        <v>186000</v>
      </c>
      <c r="D407">
        <v>16132</v>
      </c>
      <c r="E407">
        <v>61000</v>
      </c>
      <c r="F407">
        <v>304379</v>
      </c>
      <c r="G407">
        <v>82300</v>
      </c>
      <c r="H407">
        <v>369297</v>
      </c>
      <c r="I407">
        <v>26300</v>
      </c>
      <c r="J407">
        <v>369342</v>
      </c>
      <c r="K407">
        <v>30700</v>
      </c>
    </row>
    <row r="408" spans="1:11" x14ac:dyDescent="0.3">
      <c r="A408" t="s">
        <v>417</v>
      </c>
      <c r="B408">
        <v>31125</v>
      </c>
      <c r="C408">
        <v>249300</v>
      </c>
      <c r="D408">
        <v>16365</v>
      </c>
      <c r="E408">
        <v>87800</v>
      </c>
      <c r="F408">
        <v>306050</v>
      </c>
      <c r="G408">
        <v>127000</v>
      </c>
      <c r="H408">
        <v>371620</v>
      </c>
      <c r="I408">
        <v>33300</v>
      </c>
      <c r="J408">
        <v>371588</v>
      </c>
      <c r="K408">
        <v>38000</v>
      </c>
    </row>
    <row r="409" spans="1:11" x14ac:dyDescent="0.3">
      <c r="A409" t="s">
        <v>418</v>
      </c>
      <c r="B409">
        <v>31125</v>
      </c>
      <c r="C409">
        <v>295000</v>
      </c>
      <c r="D409">
        <v>14996</v>
      </c>
      <c r="E409">
        <v>89100</v>
      </c>
      <c r="F409">
        <v>307711</v>
      </c>
      <c r="G409">
        <v>138100</v>
      </c>
      <c r="H409">
        <v>373602</v>
      </c>
      <c r="I409">
        <v>31400</v>
      </c>
      <c r="J409">
        <v>373763</v>
      </c>
      <c r="K409">
        <v>37500</v>
      </c>
    </row>
    <row r="410" spans="1:11" x14ac:dyDescent="0.3">
      <c r="A410" t="s">
        <v>419</v>
      </c>
      <c r="B410">
        <v>31125</v>
      </c>
      <c r="C410">
        <v>255400</v>
      </c>
      <c r="D410">
        <v>15589</v>
      </c>
      <c r="E410">
        <v>70000</v>
      </c>
      <c r="F410">
        <v>309392</v>
      </c>
      <c r="G410">
        <v>160300</v>
      </c>
      <c r="H410">
        <v>375565</v>
      </c>
      <c r="I410">
        <v>41100</v>
      </c>
      <c r="J410">
        <v>375739</v>
      </c>
      <c r="K410">
        <v>48000</v>
      </c>
    </row>
    <row r="411" spans="1:11" x14ac:dyDescent="0.3">
      <c r="A411" t="s">
        <v>420</v>
      </c>
      <c r="B411">
        <v>31125</v>
      </c>
      <c r="C411">
        <v>201400</v>
      </c>
      <c r="D411">
        <v>14970</v>
      </c>
      <c r="E411">
        <v>57000</v>
      </c>
      <c r="F411">
        <v>311063</v>
      </c>
      <c r="G411">
        <v>93400</v>
      </c>
      <c r="H411">
        <v>377546</v>
      </c>
      <c r="I411">
        <v>32600</v>
      </c>
      <c r="J411">
        <v>377836</v>
      </c>
      <c r="K411">
        <v>30700</v>
      </c>
    </row>
    <row r="412" spans="1:11" x14ac:dyDescent="0.3">
      <c r="A412" t="s">
        <v>421</v>
      </c>
      <c r="B412">
        <v>31125</v>
      </c>
      <c r="C412">
        <v>221100</v>
      </c>
      <c r="D412">
        <v>16217</v>
      </c>
      <c r="E412">
        <v>59100</v>
      </c>
      <c r="F412">
        <v>312737</v>
      </c>
      <c r="G412">
        <v>82300</v>
      </c>
      <c r="H412">
        <v>379548</v>
      </c>
      <c r="I412">
        <v>25200</v>
      </c>
      <c r="J412">
        <v>379779</v>
      </c>
      <c r="K412">
        <v>30200</v>
      </c>
    </row>
    <row r="413" spans="1:11" x14ac:dyDescent="0.3">
      <c r="A413" t="s">
        <v>422</v>
      </c>
      <c r="B413">
        <v>31125</v>
      </c>
      <c r="C413">
        <v>272600</v>
      </c>
      <c r="D413">
        <v>15604</v>
      </c>
      <c r="E413">
        <v>86700</v>
      </c>
      <c r="F413">
        <v>314415</v>
      </c>
      <c r="G413">
        <v>152300</v>
      </c>
      <c r="H413">
        <v>381789</v>
      </c>
      <c r="I413">
        <v>37000</v>
      </c>
      <c r="J413">
        <v>381760</v>
      </c>
      <c r="K413">
        <v>40200</v>
      </c>
    </row>
    <row r="414" spans="1:11" x14ac:dyDescent="0.3">
      <c r="A414" t="s">
        <v>423</v>
      </c>
      <c r="B414">
        <v>31125</v>
      </c>
      <c r="C414">
        <v>238400</v>
      </c>
      <c r="D414">
        <v>14948</v>
      </c>
      <c r="E414">
        <v>66700</v>
      </c>
      <c r="F414">
        <v>316075</v>
      </c>
      <c r="G414">
        <v>112900</v>
      </c>
      <c r="H414">
        <v>383921</v>
      </c>
      <c r="I414">
        <v>31400</v>
      </c>
      <c r="J414">
        <v>383889</v>
      </c>
      <c r="K414">
        <v>36700</v>
      </c>
    </row>
    <row r="415" spans="1:11" x14ac:dyDescent="0.3">
      <c r="A415" t="s">
        <v>424</v>
      </c>
      <c r="B415">
        <v>31125</v>
      </c>
      <c r="C415">
        <v>274700</v>
      </c>
      <c r="D415">
        <v>15031</v>
      </c>
      <c r="E415">
        <v>84500</v>
      </c>
      <c r="F415">
        <v>317739</v>
      </c>
      <c r="G415">
        <v>118000</v>
      </c>
      <c r="H415">
        <v>386006</v>
      </c>
      <c r="I415">
        <v>34600</v>
      </c>
      <c r="J415">
        <v>385842</v>
      </c>
      <c r="K415">
        <v>38400</v>
      </c>
    </row>
    <row r="416" spans="1:11" x14ac:dyDescent="0.3">
      <c r="A416" t="s">
        <v>425</v>
      </c>
      <c r="B416">
        <v>31125</v>
      </c>
      <c r="C416">
        <v>248400</v>
      </c>
      <c r="D416">
        <v>15593</v>
      </c>
      <c r="E416">
        <v>69100</v>
      </c>
      <c r="F416">
        <v>319405</v>
      </c>
      <c r="G416">
        <v>112300</v>
      </c>
      <c r="H416">
        <v>388065</v>
      </c>
      <c r="I416">
        <v>30600</v>
      </c>
      <c r="J416">
        <v>387845</v>
      </c>
      <c r="K416">
        <v>36000</v>
      </c>
    </row>
    <row r="417" spans="1:11" x14ac:dyDescent="0.3">
      <c r="A417" t="s">
        <v>426</v>
      </c>
      <c r="B417">
        <v>31125</v>
      </c>
      <c r="C417">
        <v>192800</v>
      </c>
      <c r="D417">
        <v>15085</v>
      </c>
      <c r="E417">
        <v>55900</v>
      </c>
      <c r="F417">
        <v>321101</v>
      </c>
      <c r="G417">
        <v>82600</v>
      </c>
      <c r="H417">
        <v>389894</v>
      </c>
      <c r="I417">
        <v>25500</v>
      </c>
      <c r="J417">
        <v>389774</v>
      </c>
      <c r="K417">
        <v>32600</v>
      </c>
    </row>
    <row r="418" spans="1:11" x14ac:dyDescent="0.3">
      <c r="A418" t="s">
        <v>427</v>
      </c>
      <c r="B418">
        <v>31125</v>
      </c>
      <c r="C418">
        <v>218400</v>
      </c>
      <c r="D418">
        <v>15943</v>
      </c>
      <c r="E418">
        <v>59200</v>
      </c>
      <c r="F418">
        <v>322777</v>
      </c>
      <c r="G418">
        <v>88800</v>
      </c>
      <c r="H418">
        <v>391897</v>
      </c>
      <c r="I418">
        <v>26300</v>
      </c>
      <c r="J418">
        <v>391795</v>
      </c>
      <c r="K418">
        <v>28500</v>
      </c>
    </row>
    <row r="419" spans="1:11" x14ac:dyDescent="0.3">
      <c r="A419" t="s">
        <v>428</v>
      </c>
      <c r="B419">
        <v>31125</v>
      </c>
      <c r="C419">
        <v>235700</v>
      </c>
      <c r="D419">
        <v>16535</v>
      </c>
      <c r="E419">
        <v>61900</v>
      </c>
      <c r="F419">
        <v>324459</v>
      </c>
      <c r="G419">
        <v>95200</v>
      </c>
      <c r="H419">
        <v>393953</v>
      </c>
      <c r="I419">
        <v>26200</v>
      </c>
      <c r="J419">
        <v>393859</v>
      </c>
      <c r="K419">
        <v>29600</v>
      </c>
    </row>
    <row r="420" spans="1:11" x14ac:dyDescent="0.3">
      <c r="A420" t="s">
        <v>429</v>
      </c>
      <c r="B420">
        <v>31125</v>
      </c>
      <c r="C420">
        <v>263400</v>
      </c>
      <c r="D420">
        <v>16058</v>
      </c>
      <c r="E420">
        <v>88900</v>
      </c>
      <c r="F420">
        <v>326121</v>
      </c>
      <c r="G420">
        <v>115500</v>
      </c>
      <c r="H420">
        <v>396035</v>
      </c>
      <c r="I420">
        <v>32600</v>
      </c>
      <c r="J420">
        <v>395814</v>
      </c>
      <c r="K420">
        <v>37800</v>
      </c>
    </row>
    <row r="421" spans="1:11" x14ac:dyDescent="0.3">
      <c r="A421" t="s">
        <v>430</v>
      </c>
      <c r="B421">
        <v>31125</v>
      </c>
      <c r="C421">
        <v>277300</v>
      </c>
      <c r="D421">
        <v>15825</v>
      </c>
      <c r="E421">
        <v>69900</v>
      </c>
      <c r="F421">
        <v>327808</v>
      </c>
      <c r="G421">
        <v>119400</v>
      </c>
      <c r="H421">
        <v>398393</v>
      </c>
      <c r="I421">
        <v>32400</v>
      </c>
      <c r="J421">
        <v>397736</v>
      </c>
      <c r="K421">
        <v>34600</v>
      </c>
    </row>
    <row r="422" spans="1:11" x14ac:dyDescent="0.3">
      <c r="A422" t="s">
        <v>431</v>
      </c>
      <c r="B422">
        <v>31125</v>
      </c>
      <c r="C422">
        <v>241600</v>
      </c>
      <c r="D422">
        <v>15711</v>
      </c>
      <c r="E422">
        <v>70800</v>
      </c>
      <c r="F422">
        <v>329482</v>
      </c>
      <c r="G422">
        <v>111600</v>
      </c>
      <c r="H422">
        <v>400277</v>
      </c>
      <c r="I422">
        <v>31500</v>
      </c>
      <c r="J422">
        <v>399644</v>
      </c>
      <c r="K422">
        <v>36400</v>
      </c>
    </row>
    <row r="423" spans="1:11" x14ac:dyDescent="0.3">
      <c r="A423" t="s">
        <v>432</v>
      </c>
      <c r="B423">
        <v>31125</v>
      </c>
      <c r="C423">
        <v>242900</v>
      </c>
      <c r="D423">
        <v>15202</v>
      </c>
      <c r="E423">
        <v>85600</v>
      </c>
      <c r="F423">
        <v>331157</v>
      </c>
      <c r="G423">
        <v>115100</v>
      </c>
      <c r="H423">
        <v>402255</v>
      </c>
      <c r="I423">
        <v>32000</v>
      </c>
      <c r="J423">
        <v>401563</v>
      </c>
      <c r="K423">
        <v>46900</v>
      </c>
    </row>
    <row r="424" spans="1:11" x14ac:dyDescent="0.3">
      <c r="A424" t="s">
        <v>433</v>
      </c>
      <c r="B424">
        <v>31125</v>
      </c>
      <c r="C424">
        <v>228400</v>
      </c>
      <c r="D424">
        <v>15728</v>
      </c>
      <c r="E424">
        <v>69400</v>
      </c>
      <c r="F424">
        <v>332833</v>
      </c>
      <c r="G424">
        <v>114100</v>
      </c>
      <c r="H424">
        <v>404433</v>
      </c>
      <c r="I424">
        <v>31200</v>
      </c>
      <c r="J424">
        <v>403666</v>
      </c>
      <c r="K424">
        <v>36300</v>
      </c>
    </row>
    <row r="425" spans="1:11" x14ac:dyDescent="0.3">
      <c r="A425" t="s">
        <v>434</v>
      </c>
      <c r="B425">
        <v>31125</v>
      </c>
      <c r="C425">
        <v>197500</v>
      </c>
      <c r="D425">
        <v>16647</v>
      </c>
      <c r="E425">
        <v>60900</v>
      </c>
      <c r="F425">
        <v>334514</v>
      </c>
      <c r="G425">
        <v>79700</v>
      </c>
      <c r="H425">
        <v>406313</v>
      </c>
      <c r="I425">
        <v>26100</v>
      </c>
      <c r="J425">
        <v>405483</v>
      </c>
      <c r="K425">
        <v>29300</v>
      </c>
    </row>
    <row r="426" spans="1:11" x14ac:dyDescent="0.3">
      <c r="A426" t="s">
        <v>435</v>
      </c>
      <c r="B426">
        <v>31125</v>
      </c>
      <c r="C426">
        <v>224400</v>
      </c>
      <c r="D426">
        <v>16042</v>
      </c>
      <c r="E426">
        <v>60700</v>
      </c>
      <c r="F426">
        <v>336191</v>
      </c>
      <c r="G426">
        <v>93600</v>
      </c>
      <c r="H426">
        <v>408420</v>
      </c>
      <c r="I426">
        <v>25500</v>
      </c>
      <c r="J426">
        <v>407370</v>
      </c>
      <c r="K426">
        <v>29300</v>
      </c>
    </row>
    <row r="427" spans="1:11" x14ac:dyDescent="0.3">
      <c r="A427" t="s">
        <v>436</v>
      </c>
      <c r="B427">
        <v>31125</v>
      </c>
      <c r="C427">
        <v>266600</v>
      </c>
      <c r="D427">
        <v>16582</v>
      </c>
      <c r="E427">
        <v>75500</v>
      </c>
      <c r="F427">
        <v>337878</v>
      </c>
      <c r="G427">
        <v>124600</v>
      </c>
      <c r="H427">
        <v>410392</v>
      </c>
      <c r="I427">
        <v>31800</v>
      </c>
      <c r="J427">
        <v>409263</v>
      </c>
      <c r="K427">
        <v>36900</v>
      </c>
    </row>
    <row r="428" spans="1:11" x14ac:dyDescent="0.3">
      <c r="A428" t="s">
        <v>437</v>
      </c>
      <c r="B428">
        <v>31125</v>
      </c>
      <c r="C428">
        <v>225300</v>
      </c>
      <c r="D428">
        <v>15537</v>
      </c>
      <c r="E428">
        <v>69300</v>
      </c>
      <c r="F428">
        <v>339549</v>
      </c>
      <c r="G428">
        <v>98900</v>
      </c>
      <c r="H428">
        <v>412414</v>
      </c>
      <c r="I428">
        <v>30900</v>
      </c>
      <c r="J428">
        <v>411215</v>
      </c>
      <c r="K428">
        <v>36000</v>
      </c>
    </row>
    <row r="429" spans="1:11" x14ac:dyDescent="0.3">
      <c r="A429" t="s">
        <v>438</v>
      </c>
      <c r="B429">
        <v>31125</v>
      </c>
      <c r="C429">
        <v>266900</v>
      </c>
      <c r="D429">
        <v>16512</v>
      </c>
      <c r="E429">
        <v>88300</v>
      </c>
      <c r="F429">
        <v>341226</v>
      </c>
      <c r="G429">
        <v>132700</v>
      </c>
      <c r="H429">
        <v>414399</v>
      </c>
      <c r="I429">
        <v>32600</v>
      </c>
      <c r="J429">
        <v>413246</v>
      </c>
      <c r="K429">
        <v>37200</v>
      </c>
    </row>
    <row r="430" spans="1:11" x14ac:dyDescent="0.3">
      <c r="A430" t="s">
        <v>439</v>
      </c>
      <c r="B430">
        <v>31125</v>
      </c>
      <c r="C430">
        <v>253300</v>
      </c>
      <c r="D430">
        <v>14963</v>
      </c>
      <c r="E430">
        <v>66800</v>
      </c>
      <c r="F430">
        <v>342907</v>
      </c>
      <c r="G430">
        <v>98800</v>
      </c>
      <c r="H430">
        <v>416720</v>
      </c>
      <c r="I430">
        <v>33400</v>
      </c>
      <c r="J430">
        <v>415171</v>
      </c>
      <c r="K430">
        <v>36200</v>
      </c>
    </row>
    <row r="431" spans="1:11" x14ac:dyDescent="0.3">
      <c r="A431" t="s">
        <v>440</v>
      </c>
      <c r="B431">
        <v>31125</v>
      </c>
      <c r="C431">
        <v>253400</v>
      </c>
      <c r="D431">
        <v>14401</v>
      </c>
      <c r="E431">
        <v>77300</v>
      </c>
      <c r="F431">
        <v>344578</v>
      </c>
      <c r="G431">
        <v>110700</v>
      </c>
      <c r="H431">
        <v>419138</v>
      </c>
      <c r="I431">
        <v>35100</v>
      </c>
      <c r="J431">
        <v>417207</v>
      </c>
      <c r="K431">
        <v>36500</v>
      </c>
    </row>
    <row r="432" spans="1:11" x14ac:dyDescent="0.3">
      <c r="A432" t="s">
        <v>441</v>
      </c>
      <c r="B432">
        <v>31125</v>
      </c>
      <c r="C432">
        <v>192300</v>
      </c>
      <c r="D432">
        <v>15509</v>
      </c>
      <c r="E432">
        <v>57000</v>
      </c>
      <c r="F432">
        <v>346251</v>
      </c>
      <c r="G432">
        <v>93500</v>
      </c>
      <c r="H432">
        <v>421443</v>
      </c>
      <c r="I432">
        <v>25600</v>
      </c>
      <c r="J432">
        <v>419058</v>
      </c>
      <c r="K432">
        <v>30700</v>
      </c>
    </row>
    <row r="433" spans="1:11" x14ac:dyDescent="0.3">
      <c r="A433" t="s">
        <v>442</v>
      </c>
      <c r="B433">
        <v>31125</v>
      </c>
      <c r="C433">
        <v>254900</v>
      </c>
      <c r="D433">
        <v>16721</v>
      </c>
      <c r="E433">
        <v>90000</v>
      </c>
      <c r="F433">
        <v>347934</v>
      </c>
      <c r="G433">
        <v>112700</v>
      </c>
      <c r="H433">
        <v>423410</v>
      </c>
      <c r="I433">
        <v>30400</v>
      </c>
      <c r="J433">
        <v>421194</v>
      </c>
      <c r="K433">
        <v>37600</v>
      </c>
    </row>
    <row r="434" spans="1:11" x14ac:dyDescent="0.3">
      <c r="A434" t="s">
        <v>443</v>
      </c>
      <c r="B434">
        <v>31125</v>
      </c>
      <c r="C434">
        <v>298800</v>
      </c>
      <c r="D434">
        <v>15741</v>
      </c>
      <c r="E434">
        <v>70500</v>
      </c>
      <c r="F434">
        <v>349621</v>
      </c>
      <c r="G434">
        <v>111700</v>
      </c>
      <c r="H434">
        <v>425359</v>
      </c>
      <c r="I434">
        <v>32400</v>
      </c>
      <c r="J434">
        <v>423149</v>
      </c>
      <c r="K434">
        <v>35500</v>
      </c>
    </row>
    <row r="435" spans="1:11" x14ac:dyDescent="0.3">
      <c r="A435" t="s">
        <v>444</v>
      </c>
      <c r="B435">
        <v>31125</v>
      </c>
      <c r="C435">
        <v>257300</v>
      </c>
      <c r="D435">
        <v>16448</v>
      </c>
      <c r="E435">
        <v>90200</v>
      </c>
      <c r="F435">
        <v>351293</v>
      </c>
      <c r="G435">
        <v>135800</v>
      </c>
      <c r="H435">
        <v>427307</v>
      </c>
      <c r="I435">
        <v>31700</v>
      </c>
      <c r="J435">
        <v>425011</v>
      </c>
      <c r="K435">
        <v>36000</v>
      </c>
    </row>
    <row r="436" spans="1:11" x14ac:dyDescent="0.3">
      <c r="A436" t="s">
        <v>445</v>
      </c>
      <c r="B436">
        <v>31125</v>
      </c>
      <c r="C436">
        <v>249000</v>
      </c>
      <c r="D436">
        <v>16195</v>
      </c>
      <c r="E436">
        <v>87300</v>
      </c>
      <c r="F436">
        <v>352967</v>
      </c>
      <c r="G436">
        <v>151500</v>
      </c>
      <c r="H436">
        <v>429432</v>
      </c>
      <c r="I436">
        <v>33400</v>
      </c>
      <c r="J436">
        <v>427091</v>
      </c>
      <c r="K436">
        <v>37200</v>
      </c>
    </row>
    <row r="437" spans="1:11" x14ac:dyDescent="0.3">
      <c r="A437" t="s">
        <v>446</v>
      </c>
      <c r="B437">
        <v>31125</v>
      </c>
      <c r="C437">
        <v>282400</v>
      </c>
      <c r="D437">
        <v>16103</v>
      </c>
      <c r="E437">
        <v>88400</v>
      </c>
      <c r="F437">
        <v>354661</v>
      </c>
      <c r="G437">
        <v>125800</v>
      </c>
      <c r="H437">
        <v>431335</v>
      </c>
      <c r="I437">
        <v>30700</v>
      </c>
      <c r="J437">
        <v>429422</v>
      </c>
      <c r="K437">
        <v>37200</v>
      </c>
    </row>
    <row r="438" spans="1:11" x14ac:dyDescent="0.3">
      <c r="A438" t="s">
        <v>447</v>
      </c>
      <c r="B438">
        <v>31125</v>
      </c>
      <c r="C438">
        <v>320000</v>
      </c>
      <c r="D438">
        <v>16733</v>
      </c>
      <c r="E438">
        <v>107400</v>
      </c>
      <c r="F438">
        <v>356337</v>
      </c>
      <c r="G438">
        <v>137300</v>
      </c>
      <c r="H438">
        <v>433596</v>
      </c>
      <c r="I438">
        <v>40500</v>
      </c>
      <c r="J438">
        <v>431414</v>
      </c>
      <c r="K438">
        <v>44100</v>
      </c>
    </row>
    <row r="439" spans="1:11" x14ac:dyDescent="0.3">
      <c r="A439" t="s">
        <v>448</v>
      </c>
      <c r="B439">
        <v>31125</v>
      </c>
      <c r="C439">
        <v>246700</v>
      </c>
      <c r="D439">
        <v>15726</v>
      </c>
      <c r="E439">
        <v>70000</v>
      </c>
      <c r="F439">
        <v>358008</v>
      </c>
      <c r="G439">
        <v>92700</v>
      </c>
      <c r="H439">
        <v>435603</v>
      </c>
      <c r="I439">
        <v>25200</v>
      </c>
      <c r="J439">
        <v>433547</v>
      </c>
      <c r="K439">
        <v>29500</v>
      </c>
    </row>
    <row r="440" spans="1:11" x14ac:dyDescent="0.3">
      <c r="A440" t="s">
        <v>449</v>
      </c>
      <c r="B440">
        <v>31125</v>
      </c>
      <c r="C440">
        <v>201700</v>
      </c>
      <c r="D440">
        <v>15080</v>
      </c>
      <c r="E440">
        <v>59300</v>
      </c>
      <c r="F440">
        <v>359680</v>
      </c>
      <c r="G440">
        <v>91900</v>
      </c>
      <c r="H440">
        <v>437783</v>
      </c>
      <c r="I440">
        <v>26700</v>
      </c>
      <c r="J440">
        <v>435554</v>
      </c>
      <c r="K440">
        <v>28800</v>
      </c>
    </row>
    <row r="441" spans="1:11" x14ac:dyDescent="0.3">
      <c r="A441" t="s">
        <v>450</v>
      </c>
      <c r="B441">
        <v>31125</v>
      </c>
      <c r="C441">
        <v>204200</v>
      </c>
      <c r="D441">
        <v>15692</v>
      </c>
      <c r="E441">
        <v>57900</v>
      </c>
      <c r="F441">
        <v>361364</v>
      </c>
      <c r="G441">
        <v>79000</v>
      </c>
      <c r="H441">
        <v>439918</v>
      </c>
      <c r="I441">
        <v>26100</v>
      </c>
      <c r="J441">
        <v>437693</v>
      </c>
      <c r="K441">
        <v>29500</v>
      </c>
    </row>
    <row r="442" spans="1:11" x14ac:dyDescent="0.3">
      <c r="A442" t="s">
        <v>451</v>
      </c>
      <c r="B442">
        <v>31125</v>
      </c>
      <c r="C442">
        <v>239000</v>
      </c>
      <c r="D442">
        <v>16094</v>
      </c>
      <c r="E442">
        <v>70700</v>
      </c>
      <c r="F442">
        <v>363051</v>
      </c>
      <c r="G442">
        <v>117600</v>
      </c>
      <c r="H442">
        <v>441758</v>
      </c>
      <c r="I442">
        <v>29900</v>
      </c>
      <c r="J442">
        <v>439558</v>
      </c>
      <c r="K442">
        <v>34600</v>
      </c>
    </row>
    <row r="443" spans="1:11" x14ac:dyDescent="0.3">
      <c r="A443" t="s">
        <v>452</v>
      </c>
      <c r="B443">
        <v>31125</v>
      </c>
      <c r="C443">
        <v>251300</v>
      </c>
      <c r="D443">
        <v>15792</v>
      </c>
      <c r="E443">
        <v>87000</v>
      </c>
      <c r="F443">
        <v>364729</v>
      </c>
      <c r="G443">
        <v>114900</v>
      </c>
      <c r="H443">
        <v>444166</v>
      </c>
      <c r="I443">
        <v>33300</v>
      </c>
      <c r="J443">
        <v>441834</v>
      </c>
      <c r="K443">
        <v>37700</v>
      </c>
    </row>
    <row r="444" spans="1:11" x14ac:dyDescent="0.3">
      <c r="A444" t="s">
        <v>453</v>
      </c>
      <c r="B444">
        <v>31125</v>
      </c>
      <c r="C444">
        <v>210400</v>
      </c>
      <c r="D444">
        <v>16884</v>
      </c>
      <c r="E444">
        <v>62200</v>
      </c>
      <c r="F444">
        <v>366408</v>
      </c>
      <c r="G444">
        <v>111200</v>
      </c>
      <c r="H444">
        <v>446149</v>
      </c>
      <c r="I444">
        <v>26000</v>
      </c>
      <c r="J444">
        <v>443722</v>
      </c>
      <c r="K444">
        <v>30000</v>
      </c>
    </row>
    <row r="445" spans="1:11" x14ac:dyDescent="0.3">
      <c r="A445" t="s">
        <v>454</v>
      </c>
      <c r="B445">
        <v>31125</v>
      </c>
      <c r="C445">
        <v>203900</v>
      </c>
      <c r="D445">
        <v>16616</v>
      </c>
      <c r="E445">
        <v>61200</v>
      </c>
      <c r="F445">
        <v>368079</v>
      </c>
      <c r="G445">
        <v>117200</v>
      </c>
      <c r="H445">
        <v>448173</v>
      </c>
      <c r="I445">
        <v>26500</v>
      </c>
      <c r="J445">
        <v>446085</v>
      </c>
      <c r="K445">
        <v>30700</v>
      </c>
    </row>
    <row r="446" spans="1:11" x14ac:dyDescent="0.3">
      <c r="A446" t="s">
        <v>455</v>
      </c>
      <c r="B446">
        <v>31125</v>
      </c>
      <c r="C446">
        <v>194400</v>
      </c>
      <c r="D446">
        <v>17070</v>
      </c>
      <c r="E446">
        <v>62800</v>
      </c>
      <c r="F446">
        <v>369743</v>
      </c>
      <c r="G446">
        <v>81400</v>
      </c>
      <c r="H446">
        <v>450248</v>
      </c>
      <c r="I446">
        <v>24800</v>
      </c>
      <c r="J446">
        <v>448476</v>
      </c>
      <c r="K446">
        <v>29500</v>
      </c>
    </row>
    <row r="447" spans="1:11" x14ac:dyDescent="0.3">
      <c r="A447" t="s">
        <v>456</v>
      </c>
      <c r="B447">
        <v>31125</v>
      </c>
      <c r="C447">
        <v>181800</v>
      </c>
      <c r="D447">
        <v>15079</v>
      </c>
      <c r="E447">
        <v>57000</v>
      </c>
      <c r="F447">
        <v>371424</v>
      </c>
      <c r="G447">
        <v>89200</v>
      </c>
      <c r="H447">
        <v>452567</v>
      </c>
      <c r="I447">
        <v>24000</v>
      </c>
      <c r="J447">
        <v>450733</v>
      </c>
      <c r="K447">
        <v>29300</v>
      </c>
    </row>
    <row r="448" spans="1:11" x14ac:dyDescent="0.3">
      <c r="A448" t="s">
        <v>457</v>
      </c>
      <c r="B448">
        <v>31125</v>
      </c>
      <c r="C448">
        <v>272900</v>
      </c>
      <c r="D448">
        <v>15734</v>
      </c>
      <c r="E448">
        <v>88000</v>
      </c>
      <c r="F448">
        <v>373091</v>
      </c>
      <c r="G448">
        <v>125400</v>
      </c>
      <c r="H448">
        <v>454617</v>
      </c>
      <c r="I448">
        <v>32200</v>
      </c>
      <c r="J448">
        <v>452515</v>
      </c>
      <c r="K448">
        <v>36000</v>
      </c>
    </row>
    <row r="449" spans="1:11" x14ac:dyDescent="0.3">
      <c r="A449" t="s">
        <v>458</v>
      </c>
      <c r="B449">
        <v>31125</v>
      </c>
      <c r="C449">
        <v>291100</v>
      </c>
      <c r="D449">
        <v>15443</v>
      </c>
      <c r="E449">
        <v>69000</v>
      </c>
      <c r="F449">
        <v>374763</v>
      </c>
      <c r="G449">
        <v>85000</v>
      </c>
      <c r="H449">
        <v>456556</v>
      </c>
      <c r="I449">
        <v>26100</v>
      </c>
      <c r="J449">
        <v>454741</v>
      </c>
      <c r="K449">
        <v>31100</v>
      </c>
    </row>
    <row r="450" spans="1:11" x14ac:dyDescent="0.3">
      <c r="A450" t="s">
        <v>459</v>
      </c>
      <c r="B450">
        <v>31125</v>
      </c>
      <c r="C450">
        <v>247800</v>
      </c>
      <c r="D450">
        <v>16035</v>
      </c>
      <c r="E450">
        <v>78500</v>
      </c>
      <c r="F450">
        <v>376442</v>
      </c>
      <c r="G450">
        <v>97200</v>
      </c>
      <c r="H450">
        <v>458588</v>
      </c>
      <c r="I450">
        <v>27200</v>
      </c>
      <c r="J450">
        <v>457007</v>
      </c>
      <c r="K450">
        <v>30700</v>
      </c>
    </row>
    <row r="451" spans="1:11" x14ac:dyDescent="0.3">
      <c r="A451" t="s">
        <v>460</v>
      </c>
      <c r="B451">
        <v>31125</v>
      </c>
      <c r="C451">
        <v>265500</v>
      </c>
      <c r="D451">
        <v>16735</v>
      </c>
      <c r="E451">
        <v>61800</v>
      </c>
      <c r="F451">
        <v>378114</v>
      </c>
      <c r="G451">
        <v>80400</v>
      </c>
      <c r="H451">
        <v>460390</v>
      </c>
      <c r="I451">
        <v>25900</v>
      </c>
      <c r="J451">
        <v>459032</v>
      </c>
      <c r="K451">
        <v>28700</v>
      </c>
    </row>
    <row r="452" spans="1:11" x14ac:dyDescent="0.3">
      <c r="A452" t="s">
        <v>461</v>
      </c>
      <c r="B452">
        <v>31125</v>
      </c>
      <c r="C452">
        <v>201200</v>
      </c>
      <c r="D452">
        <v>15173</v>
      </c>
      <c r="E452">
        <v>56100</v>
      </c>
      <c r="F452">
        <v>379795</v>
      </c>
      <c r="G452">
        <v>90800</v>
      </c>
      <c r="H452">
        <v>462395</v>
      </c>
      <c r="I452">
        <v>24900</v>
      </c>
      <c r="J452">
        <v>460928</v>
      </c>
      <c r="K452">
        <v>29600</v>
      </c>
    </row>
    <row r="453" spans="1:11" x14ac:dyDescent="0.3">
      <c r="A453" t="s">
        <v>462</v>
      </c>
      <c r="B453">
        <v>31125</v>
      </c>
      <c r="C453">
        <v>393100</v>
      </c>
      <c r="D453">
        <v>16410</v>
      </c>
      <c r="E453">
        <v>92000</v>
      </c>
      <c r="F453">
        <v>381472</v>
      </c>
      <c r="G453">
        <v>126800</v>
      </c>
      <c r="H453">
        <v>464747</v>
      </c>
      <c r="I453">
        <v>56600</v>
      </c>
      <c r="J453">
        <v>462884</v>
      </c>
      <c r="K453">
        <v>40000</v>
      </c>
    </row>
    <row r="454" spans="1:11" x14ac:dyDescent="0.3">
      <c r="A454" t="s">
        <v>463</v>
      </c>
      <c r="B454">
        <v>31125</v>
      </c>
      <c r="C454">
        <v>207400</v>
      </c>
      <c r="D454">
        <v>15482</v>
      </c>
      <c r="E454">
        <v>59000</v>
      </c>
      <c r="F454">
        <v>383148</v>
      </c>
      <c r="G454">
        <v>81700</v>
      </c>
      <c r="H454">
        <v>466740</v>
      </c>
      <c r="I454">
        <v>26200</v>
      </c>
      <c r="J454">
        <v>464856</v>
      </c>
      <c r="K454">
        <v>30900</v>
      </c>
    </row>
    <row r="455" spans="1:11" x14ac:dyDescent="0.3">
      <c r="A455" t="s">
        <v>464</v>
      </c>
      <c r="B455">
        <v>31125</v>
      </c>
      <c r="C455">
        <v>247600</v>
      </c>
      <c r="D455">
        <v>14608</v>
      </c>
      <c r="E455">
        <v>91100</v>
      </c>
      <c r="F455">
        <v>384833</v>
      </c>
      <c r="G455">
        <v>130900</v>
      </c>
      <c r="H455">
        <v>468737</v>
      </c>
      <c r="I455">
        <v>32700</v>
      </c>
      <c r="J455">
        <v>466818</v>
      </c>
      <c r="K455">
        <v>37500</v>
      </c>
    </row>
    <row r="456" spans="1:11" x14ac:dyDescent="0.3">
      <c r="A456" t="s">
        <v>465</v>
      </c>
      <c r="B456">
        <v>31125</v>
      </c>
      <c r="C456">
        <v>306000</v>
      </c>
      <c r="D456">
        <v>15820</v>
      </c>
      <c r="E456">
        <v>101600</v>
      </c>
      <c r="F456">
        <v>386501</v>
      </c>
      <c r="G456">
        <v>147200</v>
      </c>
      <c r="H456">
        <v>471072</v>
      </c>
      <c r="I456">
        <v>38500</v>
      </c>
      <c r="J456">
        <v>468781</v>
      </c>
      <c r="K456">
        <v>44600</v>
      </c>
    </row>
    <row r="457" spans="1:11" x14ac:dyDescent="0.3">
      <c r="A457" t="s">
        <v>466</v>
      </c>
      <c r="B457">
        <v>31125</v>
      </c>
      <c r="C457">
        <v>214500</v>
      </c>
      <c r="D457">
        <v>15839</v>
      </c>
      <c r="E457">
        <v>71700</v>
      </c>
      <c r="F457">
        <v>388169</v>
      </c>
      <c r="G457">
        <v>98500</v>
      </c>
      <c r="H457">
        <v>473678</v>
      </c>
      <c r="I457">
        <v>34200</v>
      </c>
      <c r="J457">
        <v>471154</v>
      </c>
      <c r="K457">
        <v>37500</v>
      </c>
    </row>
    <row r="458" spans="1:11" x14ac:dyDescent="0.3">
      <c r="A458" t="s">
        <v>467</v>
      </c>
      <c r="B458">
        <v>31125</v>
      </c>
      <c r="C458">
        <v>210200</v>
      </c>
      <c r="D458">
        <v>16137</v>
      </c>
      <c r="E458">
        <v>59900</v>
      </c>
      <c r="F458">
        <v>389857</v>
      </c>
      <c r="G458">
        <v>93700</v>
      </c>
      <c r="H458">
        <v>475709</v>
      </c>
      <c r="I458">
        <v>25900</v>
      </c>
      <c r="J458">
        <v>473355</v>
      </c>
      <c r="K458">
        <v>30200</v>
      </c>
    </row>
    <row r="459" spans="1:11" x14ac:dyDescent="0.3">
      <c r="A459" t="s">
        <v>468</v>
      </c>
      <c r="B459">
        <v>31125</v>
      </c>
      <c r="C459">
        <v>277800</v>
      </c>
      <c r="D459">
        <v>14984</v>
      </c>
      <c r="E459">
        <v>82900</v>
      </c>
      <c r="F459">
        <v>391534</v>
      </c>
      <c r="G459">
        <v>145500</v>
      </c>
      <c r="H459">
        <v>477635</v>
      </c>
      <c r="I459">
        <v>30900</v>
      </c>
      <c r="J459">
        <v>475314</v>
      </c>
      <c r="K459">
        <v>35000</v>
      </c>
    </row>
    <row r="460" spans="1:11" x14ac:dyDescent="0.3">
      <c r="A460" t="s">
        <v>469</v>
      </c>
      <c r="B460">
        <v>31125</v>
      </c>
      <c r="C460">
        <v>274800</v>
      </c>
      <c r="D460">
        <v>15590</v>
      </c>
      <c r="E460">
        <v>83300</v>
      </c>
      <c r="F460">
        <v>393221</v>
      </c>
      <c r="G460">
        <v>122400</v>
      </c>
      <c r="H460">
        <v>479740</v>
      </c>
      <c r="I460">
        <v>33000</v>
      </c>
      <c r="J460">
        <v>477313</v>
      </c>
      <c r="K460">
        <v>37500</v>
      </c>
    </row>
    <row r="461" spans="1:11" x14ac:dyDescent="0.3">
      <c r="A461" t="s">
        <v>470</v>
      </c>
      <c r="B461">
        <v>31125</v>
      </c>
      <c r="C461">
        <v>258000</v>
      </c>
      <c r="D461">
        <v>16744</v>
      </c>
      <c r="E461">
        <v>89400</v>
      </c>
      <c r="F461">
        <v>394904</v>
      </c>
      <c r="G461">
        <v>122600</v>
      </c>
      <c r="H461">
        <v>481955</v>
      </c>
      <c r="I461">
        <v>33700</v>
      </c>
      <c r="J461">
        <v>479439</v>
      </c>
      <c r="K461">
        <v>35900</v>
      </c>
    </row>
    <row r="462" spans="1:11" x14ac:dyDescent="0.3">
      <c r="A462" t="s">
        <v>471</v>
      </c>
      <c r="B462">
        <v>31125</v>
      </c>
      <c r="C462">
        <v>189000</v>
      </c>
      <c r="D462">
        <v>16082</v>
      </c>
      <c r="E462">
        <v>59900</v>
      </c>
      <c r="F462">
        <v>396585</v>
      </c>
      <c r="G462">
        <v>84600</v>
      </c>
      <c r="H462">
        <v>483968</v>
      </c>
      <c r="I462">
        <v>25700</v>
      </c>
      <c r="J462">
        <v>481461</v>
      </c>
      <c r="K462">
        <v>30700</v>
      </c>
    </row>
    <row r="463" spans="1:11" x14ac:dyDescent="0.3">
      <c r="A463" t="s">
        <v>472</v>
      </c>
      <c r="B463">
        <v>31125</v>
      </c>
      <c r="C463">
        <v>276000</v>
      </c>
      <c r="D463">
        <v>15732</v>
      </c>
      <c r="E463">
        <v>84100</v>
      </c>
      <c r="F463">
        <v>398269</v>
      </c>
      <c r="G463">
        <v>129800</v>
      </c>
      <c r="H463">
        <v>486005</v>
      </c>
      <c r="I463">
        <v>33100</v>
      </c>
      <c r="J463">
        <v>483382</v>
      </c>
      <c r="K463">
        <v>36600</v>
      </c>
    </row>
    <row r="464" spans="1:11" x14ac:dyDescent="0.3">
      <c r="A464" t="s">
        <v>473</v>
      </c>
      <c r="B464">
        <v>31125</v>
      </c>
      <c r="C464">
        <v>262400</v>
      </c>
      <c r="D464">
        <v>14807</v>
      </c>
      <c r="E464">
        <v>80200</v>
      </c>
      <c r="F464">
        <v>399959</v>
      </c>
      <c r="G464">
        <v>111000</v>
      </c>
      <c r="H464">
        <v>487940</v>
      </c>
      <c r="I464">
        <v>31200</v>
      </c>
      <c r="J464">
        <v>485670</v>
      </c>
      <c r="K464">
        <v>38200</v>
      </c>
    </row>
    <row r="465" spans="1:11" x14ac:dyDescent="0.3">
      <c r="A465" t="s">
        <v>474</v>
      </c>
      <c r="B465">
        <v>31125</v>
      </c>
      <c r="C465">
        <v>259300</v>
      </c>
      <c r="D465">
        <v>15976</v>
      </c>
      <c r="E465">
        <v>88100</v>
      </c>
      <c r="F465">
        <v>401644</v>
      </c>
      <c r="G465">
        <v>125700</v>
      </c>
      <c r="H465">
        <v>489853</v>
      </c>
      <c r="I465">
        <v>31800</v>
      </c>
      <c r="J465">
        <v>487794</v>
      </c>
      <c r="K465">
        <v>36900</v>
      </c>
    </row>
    <row r="466" spans="1:11" x14ac:dyDescent="0.3">
      <c r="A466" t="s">
        <v>475</v>
      </c>
      <c r="B466">
        <v>31125</v>
      </c>
      <c r="C466">
        <v>246700</v>
      </c>
      <c r="D466">
        <v>15995</v>
      </c>
      <c r="E466">
        <v>71100</v>
      </c>
      <c r="F466">
        <v>403331</v>
      </c>
      <c r="G466">
        <v>113000</v>
      </c>
      <c r="H466">
        <v>491800</v>
      </c>
      <c r="I466">
        <v>31600</v>
      </c>
      <c r="J466">
        <v>489678</v>
      </c>
      <c r="K466">
        <v>36100</v>
      </c>
    </row>
    <row r="467" spans="1:11" x14ac:dyDescent="0.3">
      <c r="A467" t="s">
        <v>476</v>
      </c>
      <c r="B467">
        <v>31125</v>
      </c>
      <c r="C467">
        <v>261100</v>
      </c>
      <c r="D467">
        <v>14411</v>
      </c>
      <c r="E467">
        <v>79200</v>
      </c>
      <c r="F467">
        <v>405016</v>
      </c>
      <c r="G467">
        <v>112400</v>
      </c>
      <c r="H467">
        <v>493956</v>
      </c>
      <c r="I467">
        <v>33200</v>
      </c>
      <c r="J467">
        <v>491655</v>
      </c>
      <c r="K467">
        <v>38500</v>
      </c>
    </row>
    <row r="468" spans="1:11" x14ac:dyDescent="0.3">
      <c r="A468" t="s">
        <v>477</v>
      </c>
      <c r="B468">
        <v>31125</v>
      </c>
      <c r="C468">
        <v>241400</v>
      </c>
      <c r="D468">
        <v>15858</v>
      </c>
      <c r="E468">
        <v>99400</v>
      </c>
      <c r="F468">
        <v>406696</v>
      </c>
      <c r="G468">
        <v>137200</v>
      </c>
      <c r="H468">
        <v>496109</v>
      </c>
      <c r="I468">
        <v>35900</v>
      </c>
      <c r="J468">
        <v>493824</v>
      </c>
      <c r="K468">
        <v>38300</v>
      </c>
    </row>
    <row r="469" spans="1:11" x14ac:dyDescent="0.3">
      <c r="A469" t="s">
        <v>478</v>
      </c>
      <c r="B469">
        <v>31125</v>
      </c>
      <c r="C469">
        <v>250000</v>
      </c>
      <c r="D469">
        <v>16213</v>
      </c>
      <c r="E469">
        <v>102300</v>
      </c>
      <c r="F469">
        <v>408370</v>
      </c>
      <c r="G469">
        <v>128400</v>
      </c>
      <c r="H469">
        <v>498219</v>
      </c>
      <c r="I469">
        <v>32600</v>
      </c>
      <c r="J469">
        <v>495780</v>
      </c>
      <c r="K469">
        <v>36100</v>
      </c>
    </row>
    <row r="470" spans="1:11" x14ac:dyDescent="0.3">
      <c r="A470" t="s">
        <v>479</v>
      </c>
      <c r="B470">
        <v>31125</v>
      </c>
      <c r="C470">
        <v>228600</v>
      </c>
      <c r="D470">
        <v>16236</v>
      </c>
      <c r="E470">
        <v>72100</v>
      </c>
      <c r="F470">
        <v>410039</v>
      </c>
      <c r="G470">
        <v>98400</v>
      </c>
      <c r="H470">
        <v>500283</v>
      </c>
      <c r="I470">
        <v>32100</v>
      </c>
      <c r="J470">
        <v>498011</v>
      </c>
      <c r="K470">
        <v>37800</v>
      </c>
    </row>
    <row r="471" spans="1:11" x14ac:dyDescent="0.3">
      <c r="A471" t="s">
        <v>480</v>
      </c>
      <c r="B471">
        <v>31125</v>
      </c>
      <c r="C471">
        <v>274800</v>
      </c>
      <c r="D471">
        <v>16904</v>
      </c>
      <c r="E471">
        <v>90800</v>
      </c>
      <c r="F471">
        <v>411697</v>
      </c>
      <c r="G471">
        <v>128400</v>
      </c>
      <c r="H471">
        <v>502344</v>
      </c>
      <c r="I471">
        <v>32600</v>
      </c>
      <c r="J471">
        <v>500123</v>
      </c>
      <c r="K471">
        <v>36600</v>
      </c>
    </row>
    <row r="472" spans="1:11" x14ac:dyDescent="0.3">
      <c r="A472" t="s">
        <v>481</v>
      </c>
      <c r="B472">
        <v>31125</v>
      </c>
      <c r="C472">
        <v>206100</v>
      </c>
      <c r="D472">
        <v>15020</v>
      </c>
      <c r="E472">
        <v>57100</v>
      </c>
      <c r="F472">
        <v>413381</v>
      </c>
      <c r="G472">
        <v>79800</v>
      </c>
      <c r="H472">
        <v>504523</v>
      </c>
      <c r="I472">
        <v>26100</v>
      </c>
      <c r="J472">
        <v>502105</v>
      </c>
      <c r="K472">
        <v>28800</v>
      </c>
    </row>
    <row r="473" spans="1:11" x14ac:dyDescent="0.3">
      <c r="A473" t="s">
        <v>482</v>
      </c>
      <c r="B473">
        <v>31125</v>
      </c>
      <c r="C473">
        <v>211300</v>
      </c>
      <c r="D473">
        <v>17461</v>
      </c>
      <c r="E473">
        <v>63000</v>
      </c>
      <c r="F473">
        <v>415057</v>
      </c>
      <c r="G473">
        <v>89000</v>
      </c>
      <c r="H473">
        <v>506614</v>
      </c>
      <c r="I473">
        <v>24400</v>
      </c>
      <c r="J473">
        <v>504118</v>
      </c>
      <c r="K473">
        <v>27600</v>
      </c>
    </row>
    <row r="474" spans="1:11" x14ac:dyDescent="0.3">
      <c r="A474" t="s">
        <v>483</v>
      </c>
      <c r="B474">
        <v>31125</v>
      </c>
      <c r="C474">
        <v>206300</v>
      </c>
      <c r="D474">
        <v>15487</v>
      </c>
      <c r="E474">
        <v>57900</v>
      </c>
      <c r="F474">
        <v>416746</v>
      </c>
      <c r="G474">
        <v>95600</v>
      </c>
      <c r="H474">
        <v>508552</v>
      </c>
      <c r="I474">
        <v>27000</v>
      </c>
      <c r="J474">
        <v>506075</v>
      </c>
      <c r="K474">
        <v>29500</v>
      </c>
    </row>
    <row r="475" spans="1:11" x14ac:dyDescent="0.3">
      <c r="A475" t="s">
        <v>484</v>
      </c>
      <c r="B475">
        <v>31125</v>
      </c>
      <c r="C475">
        <v>255800</v>
      </c>
      <c r="D475">
        <v>15939</v>
      </c>
      <c r="E475">
        <v>87200</v>
      </c>
      <c r="F475">
        <v>418419</v>
      </c>
      <c r="G475">
        <v>116700</v>
      </c>
      <c r="H475">
        <v>510844</v>
      </c>
      <c r="I475">
        <v>32400</v>
      </c>
      <c r="J475">
        <v>508251</v>
      </c>
      <c r="K475">
        <v>37500</v>
      </c>
    </row>
    <row r="476" spans="1:11" x14ac:dyDescent="0.3">
      <c r="A476" t="s">
        <v>485</v>
      </c>
      <c r="B476">
        <v>31125</v>
      </c>
      <c r="C476">
        <v>240300</v>
      </c>
      <c r="D476">
        <v>15766</v>
      </c>
      <c r="E476">
        <v>72200</v>
      </c>
      <c r="F476">
        <v>420096</v>
      </c>
      <c r="G476">
        <v>112500</v>
      </c>
      <c r="H476">
        <v>512858</v>
      </c>
      <c r="I476">
        <v>31400</v>
      </c>
      <c r="J476">
        <v>510287</v>
      </c>
      <c r="K476">
        <v>36000</v>
      </c>
    </row>
    <row r="477" spans="1:11" x14ac:dyDescent="0.3">
      <c r="A477" t="s">
        <v>486</v>
      </c>
      <c r="B477">
        <v>31125</v>
      </c>
      <c r="C477">
        <v>271100</v>
      </c>
      <c r="D477">
        <v>15737</v>
      </c>
      <c r="E477">
        <v>86800</v>
      </c>
      <c r="F477">
        <v>421773</v>
      </c>
      <c r="G477">
        <v>124000</v>
      </c>
      <c r="H477">
        <v>514882</v>
      </c>
      <c r="I477">
        <v>31200</v>
      </c>
      <c r="J477">
        <v>512235</v>
      </c>
      <c r="K477">
        <v>35900</v>
      </c>
    </row>
    <row r="478" spans="1:11" x14ac:dyDescent="0.3">
      <c r="A478" t="s">
        <v>487</v>
      </c>
      <c r="B478">
        <v>31125</v>
      </c>
      <c r="C478">
        <v>187200</v>
      </c>
      <c r="D478">
        <v>16965</v>
      </c>
      <c r="E478">
        <v>62500</v>
      </c>
      <c r="F478">
        <v>423462</v>
      </c>
      <c r="G478">
        <v>82900</v>
      </c>
      <c r="H478">
        <v>516749</v>
      </c>
      <c r="I478">
        <v>25300</v>
      </c>
      <c r="J478">
        <v>514113</v>
      </c>
      <c r="K478">
        <v>31900</v>
      </c>
    </row>
    <row r="479" spans="1:11" x14ac:dyDescent="0.3">
      <c r="A479" t="s">
        <v>488</v>
      </c>
      <c r="B479">
        <v>31125</v>
      </c>
      <c r="C479">
        <v>194800</v>
      </c>
      <c r="D479">
        <v>14544</v>
      </c>
      <c r="E479">
        <v>53900</v>
      </c>
      <c r="F479">
        <v>425134</v>
      </c>
      <c r="G479">
        <v>92100</v>
      </c>
      <c r="H479">
        <v>518763</v>
      </c>
      <c r="I479">
        <v>25400</v>
      </c>
      <c r="J479">
        <v>516333</v>
      </c>
      <c r="K479">
        <v>29100</v>
      </c>
    </row>
    <row r="480" spans="1:11" x14ac:dyDescent="0.3">
      <c r="A480" t="s">
        <v>489</v>
      </c>
      <c r="B480">
        <v>31125</v>
      </c>
      <c r="C480">
        <v>220500</v>
      </c>
      <c r="D480">
        <v>15694</v>
      </c>
      <c r="E480">
        <v>57600</v>
      </c>
      <c r="F480">
        <v>426809</v>
      </c>
      <c r="G480">
        <v>80600</v>
      </c>
      <c r="H480">
        <v>520746</v>
      </c>
      <c r="I480">
        <v>25500</v>
      </c>
      <c r="J480">
        <v>518219</v>
      </c>
      <c r="K480">
        <v>29100</v>
      </c>
    </row>
    <row r="481" spans="1:11" x14ac:dyDescent="0.3">
      <c r="A481" t="s">
        <v>490</v>
      </c>
      <c r="B481">
        <v>31125</v>
      </c>
      <c r="C481">
        <v>197600</v>
      </c>
      <c r="D481">
        <v>15078</v>
      </c>
      <c r="E481">
        <v>55800</v>
      </c>
      <c r="F481">
        <v>428483</v>
      </c>
      <c r="G481">
        <v>87500</v>
      </c>
      <c r="H481">
        <v>522868</v>
      </c>
      <c r="I481">
        <v>26000</v>
      </c>
      <c r="J481">
        <v>520465</v>
      </c>
      <c r="K481">
        <v>29800</v>
      </c>
    </row>
    <row r="482" spans="1:11" x14ac:dyDescent="0.3">
      <c r="A482" t="s">
        <v>491</v>
      </c>
      <c r="B482">
        <v>31125</v>
      </c>
      <c r="C482">
        <v>281400</v>
      </c>
      <c r="D482">
        <v>15866</v>
      </c>
      <c r="E482">
        <v>71000</v>
      </c>
      <c r="F482">
        <v>430153</v>
      </c>
      <c r="G482">
        <v>130000</v>
      </c>
      <c r="H482">
        <v>524745</v>
      </c>
      <c r="I482">
        <v>30900</v>
      </c>
      <c r="J482">
        <v>522545</v>
      </c>
      <c r="K482">
        <v>37200</v>
      </c>
    </row>
    <row r="483" spans="1:11" x14ac:dyDescent="0.3">
      <c r="A483" t="s">
        <v>492</v>
      </c>
      <c r="B483">
        <v>31125</v>
      </c>
      <c r="C483">
        <v>293400</v>
      </c>
      <c r="D483">
        <v>16290</v>
      </c>
      <c r="E483">
        <v>101100</v>
      </c>
      <c r="F483">
        <v>431829</v>
      </c>
      <c r="G483">
        <v>95800</v>
      </c>
      <c r="H483">
        <v>526851</v>
      </c>
      <c r="I483">
        <v>29500</v>
      </c>
      <c r="J483">
        <v>524627</v>
      </c>
      <c r="K483">
        <v>31200</v>
      </c>
    </row>
    <row r="484" spans="1:11" x14ac:dyDescent="0.3">
      <c r="A484" t="s">
        <v>493</v>
      </c>
      <c r="B484">
        <v>31125</v>
      </c>
      <c r="C484">
        <v>244000</v>
      </c>
      <c r="D484">
        <v>16258</v>
      </c>
      <c r="E484">
        <v>88600</v>
      </c>
      <c r="F484">
        <v>433501</v>
      </c>
      <c r="G484">
        <v>127700</v>
      </c>
      <c r="H484">
        <v>529148</v>
      </c>
      <c r="I484">
        <v>32600</v>
      </c>
      <c r="J484">
        <v>526621</v>
      </c>
      <c r="K484">
        <v>37100</v>
      </c>
    </row>
    <row r="485" spans="1:11" x14ac:dyDescent="0.3">
      <c r="A485" t="s">
        <v>494</v>
      </c>
      <c r="B485">
        <v>31125</v>
      </c>
      <c r="C485">
        <v>256500</v>
      </c>
      <c r="D485">
        <v>15733</v>
      </c>
      <c r="E485">
        <v>69800</v>
      </c>
      <c r="F485">
        <v>435174</v>
      </c>
      <c r="G485">
        <v>118600</v>
      </c>
      <c r="H485">
        <v>531408</v>
      </c>
      <c r="I485">
        <v>31900</v>
      </c>
      <c r="J485">
        <v>528831</v>
      </c>
      <c r="K485">
        <v>36300</v>
      </c>
    </row>
    <row r="486" spans="1:11" x14ac:dyDescent="0.3">
      <c r="A486" t="s">
        <v>495</v>
      </c>
      <c r="B486">
        <v>31125</v>
      </c>
      <c r="C486">
        <v>284800</v>
      </c>
      <c r="D486">
        <v>15445</v>
      </c>
      <c r="E486">
        <v>67600</v>
      </c>
      <c r="F486">
        <v>436863</v>
      </c>
      <c r="G486">
        <v>81600</v>
      </c>
      <c r="H486">
        <v>533420</v>
      </c>
      <c r="I486">
        <v>27300</v>
      </c>
      <c r="J486">
        <v>530788</v>
      </c>
      <c r="K486">
        <v>30000</v>
      </c>
    </row>
    <row r="487" spans="1:11" x14ac:dyDescent="0.3">
      <c r="A487" t="s">
        <v>496</v>
      </c>
      <c r="B487">
        <v>31125</v>
      </c>
      <c r="C487">
        <v>269600</v>
      </c>
      <c r="D487">
        <v>15431</v>
      </c>
      <c r="E487">
        <v>85600</v>
      </c>
      <c r="F487">
        <v>438546</v>
      </c>
      <c r="G487">
        <v>125500</v>
      </c>
      <c r="H487">
        <v>535559</v>
      </c>
      <c r="I487">
        <v>34600</v>
      </c>
      <c r="J487">
        <v>533005</v>
      </c>
      <c r="K487">
        <v>36900</v>
      </c>
    </row>
    <row r="488" spans="1:11" x14ac:dyDescent="0.3">
      <c r="A488" t="s">
        <v>497</v>
      </c>
      <c r="B488">
        <v>31125</v>
      </c>
      <c r="C488">
        <v>210000</v>
      </c>
      <c r="D488">
        <v>16931</v>
      </c>
      <c r="E488">
        <v>62200</v>
      </c>
      <c r="F488">
        <v>440234</v>
      </c>
      <c r="G488">
        <v>82600</v>
      </c>
      <c r="H488">
        <v>537745</v>
      </c>
      <c r="I488">
        <v>26400</v>
      </c>
      <c r="J488">
        <v>534821</v>
      </c>
      <c r="K488">
        <v>31100</v>
      </c>
    </row>
    <row r="489" spans="1:11" x14ac:dyDescent="0.3">
      <c r="A489" t="s">
        <v>498</v>
      </c>
      <c r="B489">
        <v>31125</v>
      </c>
      <c r="C489">
        <v>210600</v>
      </c>
      <c r="D489">
        <v>15508</v>
      </c>
      <c r="E489">
        <v>57200</v>
      </c>
      <c r="F489">
        <v>441906</v>
      </c>
      <c r="G489">
        <v>90600</v>
      </c>
      <c r="H489">
        <v>539733</v>
      </c>
      <c r="I489">
        <v>25100</v>
      </c>
      <c r="J489">
        <v>537021</v>
      </c>
      <c r="K489">
        <v>30600</v>
      </c>
    </row>
    <row r="490" spans="1:11" x14ac:dyDescent="0.3">
      <c r="A490" t="s">
        <v>499</v>
      </c>
      <c r="B490">
        <v>31125</v>
      </c>
      <c r="C490">
        <v>260200</v>
      </c>
      <c r="D490">
        <v>15657</v>
      </c>
      <c r="E490">
        <v>84700</v>
      </c>
      <c r="F490">
        <v>443592</v>
      </c>
      <c r="G490">
        <v>122800</v>
      </c>
      <c r="H490">
        <v>541780</v>
      </c>
      <c r="I490">
        <v>32100</v>
      </c>
      <c r="J490">
        <v>539012</v>
      </c>
      <c r="K490">
        <v>36200</v>
      </c>
    </row>
    <row r="491" spans="1:11" x14ac:dyDescent="0.3">
      <c r="A491" t="s">
        <v>500</v>
      </c>
      <c r="B491">
        <v>31125</v>
      </c>
      <c r="C491">
        <v>247000</v>
      </c>
      <c r="D491">
        <v>16307</v>
      </c>
      <c r="E491">
        <v>72300</v>
      </c>
      <c r="F491">
        <v>445278</v>
      </c>
      <c r="G491">
        <v>100000</v>
      </c>
      <c r="H491">
        <v>543810</v>
      </c>
      <c r="I491">
        <v>31400</v>
      </c>
      <c r="J491">
        <v>540808</v>
      </c>
      <c r="K491">
        <v>35900</v>
      </c>
    </row>
    <row r="492" spans="1:11" x14ac:dyDescent="0.3">
      <c r="A492" t="s">
        <v>501</v>
      </c>
      <c r="B492">
        <v>31125</v>
      </c>
      <c r="C492">
        <v>226000</v>
      </c>
      <c r="D492">
        <v>16106</v>
      </c>
      <c r="E492">
        <v>59300</v>
      </c>
      <c r="F492">
        <v>446944</v>
      </c>
      <c r="G492">
        <v>94700</v>
      </c>
      <c r="H492">
        <v>545840</v>
      </c>
      <c r="I492">
        <v>26500</v>
      </c>
      <c r="J492">
        <v>542798</v>
      </c>
      <c r="K492">
        <v>31200</v>
      </c>
    </row>
    <row r="493" spans="1:11" x14ac:dyDescent="0.3">
      <c r="A493" t="s">
        <v>502</v>
      </c>
      <c r="B493">
        <v>31125</v>
      </c>
      <c r="C493">
        <v>208800</v>
      </c>
      <c r="D493">
        <v>15478</v>
      </c>
      <c r="E493">
        <v>57100</v>
      </c>
      <c r="F493">
        <v>448620</v>
      </c>
      <c r="G493">
        <v>78600</v>
      </c>
      <c r="H493">
        <v>547939</v>
      </c>
      <c r="I493">
        <v>25100</v>
      </c>
      <c r="J493">
        <v>545006</v>
      </c>
      <c r="K493">
        <v>29000</v>
      </c>
    </row>
    <row r="494" spans="1:11" x14ac:dyDescent="0.3">
      <c r="A494" t="s">
        <v>503</v>
      </c>
      <c r="B494">
        <v>31125</v>
      </c>
      <c r="C494">
        <v>218700</v>
      </c>
      <c r="D494">
        <v>16179</v>
      </c>
      <c r="E494">
        <v>58500</v>
      </c>
      <c r="F494">
        <v>450304</v>
      </c>
      <c r="G494">
        <v>89400</v>
      </c>
      <c r="H494">
        <v>549825</v>
      </c>
      <c r="I494">
        <v>26000</v>
      </c>
      <c r="J494">
        <v>547265</v>
      </c>
      <c r="K494">
        <v>29600</v>
      </c>
    </row>
    <row r="495" spans="1:11" x14ac:dyDescent="0.3">
      <c r="A495" t="s">
        <v>504</v>
      </c>
      <c r="B495">
        <v>31125</v>
      </c>
      <c r="C495">
        <v>224400</v>
      </c>
      <c r="D495">
        <v>16062</v>
      </c>
      <c r="E495">
        <v>59300</v>
      </c>
      <c r="F495">
        <v>451986</v>
      </c>
      <c r="G495">
        <v>89400</v>
      </c>
      <c r="H495">
        <v>551733</v>
      </c>
      <c r="I495">
        <v>24700</v>
      </c>
      <c r="J495">
        <v>549358</v>
      </c>
      <c r="K495">
        <v>30100</v>
      </c>
    </row>
    <row r="496" spans="1:11" x14ac:dyDescent="0.3">
      <c r="A496" t="s">
        <v>505</v>
      </c>
      <c r="B496">
        <v>31125</v>
      </c>
      <c r="C496">
        <v>250100</v>
      </c>
      <c r="D496">
        <v>15641</v>
      </c>
      <c r="E496">
        <v>69700</v>
      </c>
      <c r="F496">
        <v>453666</v>
      </c>
      <c r="G496">
        <v>101500</v>
      </c>
      <c r="H496">
        <v>553831</v>
      </c>
      <c r="I496">
        <v>31200</v>
      </c>
      <c r="J496">
        <v>551352</v>
      </c>
      <c r="K496">
        <v>36800</v>
      </c>
    </row>
    <row r="497" spans="1:11" x14ac:dyDescent="0.3">
      <c r="A497" t="s">
        <v>506</v>
      </c>
      <c r="B497">
        <v>31125</v>
      </c>
      <c r="C497">
        <v>258400</v>
      </c>
      <c r="D497">
        <v>15257</v>
      </c>
      <c r="E497">
        <v>93400</v>
      </c>
      <c r="F497">
        <v>455347</v>
      </c>
      <c r="G497">
        <v>140300</v>
      </c>
      <c r="H497">
        <v>555928</v>
      </c>
      <c r="I497">
        <v>34800</v>
      </c>
      <c r="J497">
        <v>553132</v>
      </c>
      <c r="K497">
        <v>39600</v>
      </c>
    </row>
    <row r="498" spans="1:11" x14ac:dyDescent="0.3">
      <c r="A498" t="s">
        <v>507</v>
      </c>
      <c r="B498">
        <v>31125</v>
      </c>
      <c r="C498">
        <v>329400</v>
      </c>
      <c r="D498">
        <v>16511</v>
      </c>
      <c r="E498">
        <v>128100</v>
      </c>
      <c r="F498">
        <v>457014</v>
      </c>
      <c r="G498">
        <v>135200</v>
      </c>
      <c r="H498">
        <v>558382</v>
      </c>
      <c r="I498">
        <v>41800</v>
      </c>
      <c r="J498">
        <v>555137</v>
      </c>
      <c r="K498">
        <v>50200</v>
      </c>
    </row>
    <row r="499" spans="1:11" x14ac:dyDescent="0.3">
      <c r="A499" t="s">
        <v>508</v>
      </c>
      <c r="B499">
        <v>31125</v>
      </c>
      <c r="C499">
        <v>218000</v>
      </c>
      <c r="D499">
        <v>16455</v>
      </c>
      <c r="E499">
        <v>74900</v>
      </c>
      <c r="F499">
        <v>458694</v>
      </c>
      <c r="G499">
        <v>111200</v>
      </c>
      <c r="H499">
        <v>560454</v>
      </c>
      <c r="I499">
        <v>32100</v>
      </c>
      <c r="J499">
        <v>557041</v>
      </c>
      <c r="K499">
        <v>35600</v>
      </c>
    </row>
    <row r="500" spans="1:11" x14ac:dyDescent="0.3">
      <c r="A500" t="s">
        <v>509</v>
      </c>
      <c r="B500">
        <v>31125</v>
      </c>
      <c r="C500">
        <v>260600</v>
      </c>
      <c r="D500">
        <v>15879</v>
      </c>
      <c r="E500">
        <v>70600</v>
      </c>
      <c r="F500">
        <v>460368</v>
      </c>
      <c r="G500">
        <v>116600</v>
      </c>
      <c r="H500">
        <v>562553</v>
      </c>
      <c r="I500">
        <v>33000</v>
      </c>
      <c r="J500">
        <v>559373</v>
      </c>
      <c r="K500">
        <v>38100</v>
      </c>
    </row>
    <row r="501" spans="1:11" x14ac:dyDescent="0.3">
      <c r="A501" t="s">
        <v>510</v>
      </c>
      <c r="B501">
        <v>31125</v>
      </c>
      <c r="C501">
        <v>234400</v>
      </c>
      <c r="D501">
        <v>16856</v>
      </c>
      <c r="E501">
        <v>61800</v>
      </c>
      <c r="F501">
        <v>462029</v>
      </c>
      <c r="G501">
        <v>82300</v>
      </c>
      <c r="H501">
        <v>564793</v>
      </c>
      <c r="I501">
        <v>26600</v>
      </c>
      <c r="J501">
        <v>561366</v>
      </c>
      <c r="K501">
        <v>30400</v>
      </c>
    </row>
    <row r="502" spans="1:11" x14ac:dyDescent="0.3">
      <c r="A502" t="s">
        <v>511</v>
      </c>
      <c r="B502">
        <v>44850</v>
      </c>
      <c r="C502">
        <v>322700</v>
      </c>
      <c r="D502">
        <v>22584</v>
      </c>
      <c r="E502">
        <v>82200</v>
      </c>
      <c r="F502">
        <v>464143</v>
      </c>
      <c r="G502">
        <v>134400</v>
      </c>
      <c r="H502">
        <v>567304</v>
      </c>
      <c r="I502">
        <v>32300</v>
      </c>
      <c r="J502">
        <v>564055</v>
      </c>
      <c r="K502">
        <v>38700</v>
      </c>
    </row>
    <row r="503" spans="1:11" x14ac:dyDescent="0.3">
      <c r="A503" t="s">
        <v>512</v>
      </c>
      <c r="B503">
        <v>44850</v>
      </c>
      <c r="C503">
        <v>391600</v>
      </c>
      <c r="D503">
        <v>23364</v>
      </c>
      <c r="E503">
        <v>152800</v>
      </c>
      <c r="F503">
        <v>466258</v>
      </c>
      <c r="G503">
        <v>173600</v>
      </c>
      <c r="H503">
        <v>570202</v>
      </c>
      <c r="I503">
        <v>45800</v>
      </c>
      <c r="J503">
        <v>566485</v>
      </c>
      <c r="K503">
        <v>49800</v>
      </c>
    </row>
    <row r="504" spans="1:11" x14ac:dyDescent="0.3">
      <c r="A504" t="s">
        <v>513</v>
      </c>
      <c r="B504">
        <v>44850</v>
      </c>
      <c r="C504">
        <v>405800</v>
      </c>
      <c r="D504">
        <v>21434</v>
      </c>
      <c r="E504">
        <v>134700</v>
      </c>
      <c r="F504">
        <v>468356</v>
      </c>
      <c r="G504">
        <v>192400</v>
      </c>
      <c r="H504">
        <v>572905</v>
      </c>
      <c r="I504">
        <v>51800</v>
      </c>
      <c r="J504">
        <v>569031</v>
      </c>
      <c r="K504">
        <v>48400</v>
      </c>
    </row>
    <row r="505" spans="1:11" x14ac:dyDescent="0.3">
      <c r="A505" t="s">
        <v>514</v>
      </c>
      <c r="B505">
        <v>44850</v>
      </c>
      <c r="C505">
        <v>426000</v>
      </c>
      <c r="D505">
        <v>23893</v>
      </c>
      <c r="E505">
        <v>173000</v>
      </c>
      <c r="F505">
        <v>470462</v>
      </c>
      <c r="G505">
        <v>141800</v>
      </c>
      <c r="H505">
        <v>575685</v>
      </c>
      <c r="I505">
        <v>31800</v>
      </c>
      <c r="J505">
        <v>571510</v>
      </c>
      <c r="K505">
        <v>37000</v>
      </c>
    </row>
    <row r="506" spans="1:11" x14ac:dyDescent="0.3">
      <c r="A506" t="s">
        <v>515</v>
      </c>
      <c r="B506">
        <v>44850</v>
      </c>
      <c r="C506">
        <v>366200</v>
      </c>
      <c r="D506">
        <v>23208</v>
      </c>
      <c r="E506">
        <v>101200</v>
      </c>
      <c r="F506">
        <v>472550</v>
      </c>
      <c r="G506">
        <v>122000</v>
      </c>
      <c r="H506">
        <v>578184</v>
      </c>
      <c r="I506">
        <v>32200</v>
      </c>
      <c r="J506">
        <v>574030</v>
      </c>
      <c r="K506">
        <v>36600</v>
      </c>
    </row>
    <row r="507" spans="1:11" x14ac:dyDescent="0.3">
      <c r="A507" t="s">
        <v>516</v>
      </c>
      <c r="B507">
        <v>44850</v>
      </c>
      <c r="C507">
        <v>428500</v>
      </c>
      <c r="D507">
        <v>23152</v>
      </c>
      <c r="E507">
        <v>150500</v>
      </c>
      <c r="F507">
        <v>474651</v>
      </c>
      <c r="G507">
        <v>158900</v>
      </c>
      <c r="H507">
        <v>580524</v>
      </c>
      <c r="I507">
        <v>44400</v>
      </c>
      <c r="J507">
        <v>576412</v>
      </c>
      <c r="K507">
        <v>51400</v>
      </c>
    </row>
    <row r="508" spans="1:11" x14ac:dyDescent="0.3">
      <c r="A508" t="s">
        <v>517</v>
      </c>
      <c r="B508">
        <v>44850</v>
      </c>
      <c r="C508">
        <v>390300</v>
      </c>
      <c r="D508">
        <v>22190</v>
      </c>
      <c r="E508">
        <v>88200</v>
      </c>
      <c r="F508">
        <v>476753</v>
      </c>
      <c r="G508">
        <v>113700</v>
      </c>
      <c r="H508">
        <v>583113</v>
      </c>
      <c r="I508">
        <v>32000</v>
      </c>
      <c r="J508">
        <v>579439</v>
      </c>
      <c r="K508">
        <v>38400</v>
      </c>
    </row>
    <row r="509" spans="1:11" x14ac:dyDescent="0.3">
      <c r="A509" t="s">
        <v>518</v>
      </c>
      <c r="B509">
        <v>44850</v>
      </c>
      <c r="C509">
        <v>384400</v>
      </c>
      <c r="D509">
        <v>22598</v>
      </c>
      <c r="E509">
        <v>96300</v>
      </c>
      <c r="F509">
        <v>478852</v>
      </c>
      <c r="G509">
        <v>112100</v>
      </c>
      <c r="H509">
        <v>585850</v>
      </c>
      <c r="I509">
        <v>34200</v>
      </c>
      <c r="J509">
        <v>581894</v>
      </c>
      <c r="K509">
        <v>38100</v>
      </c>
    </row>
    <row r="510" spans="1:11" x14ac:dyDescent="0.3">
      <c r="A510" t="s">
        <v>519</v>
      </c>
      <c r="B510">
        <v>44850</v>
      </c>
      <c r="C510">
        <v>282300</v>
      </c>
      <c r="D510">
        <v>22309</v>
      </c>
      <c r="E510">
        <v>82800</v>
      </c>
      <c r="F510">
        <v>480948</v>
      </c>
      <c r="G510">
        <v>100100</v>
      </c>
      <c r="H510">
        <v>588303</v>
      </c>
      <c r="I510">
        <v>32300</v>
      </c>
      <c r="J510">
        <v>584753</v>
      </c>
      <c r="K510">
        <v>38400</v>
      </c>
    </row>
    <row r="511" spans="1:11" x14ac:dyDescent="0.3">
      <c r="A511" t="s">
        <v>520</v>
      </c>
      <c r="B511">
        <v>44850</v>
      </c>
      <c r="C511">
        <v>276700</v>
      </c>
      <c r="D511">
        <v>22936</v>
      </c>
      <c r="E511">
        <v>205000</v>
      </c>
      <c r="F511">
        <v>483047</v>
      </c>
      <c r="G511">
        <v>161200</v>
      </c>
      <c r="H511">
        <v>590932</v>
      </c>
      <c r="I511">
        <v>46600</v>
      </c>
      <c r="J511">
        <v>587243</v>
      </c>
      <c r="K511">
        <v>52500</v>
      </c>
    </row>
    <row r="512" spans="1:11" x14ac:dyDescent="0.3">
      <c r="A512" t="s">
        <v>521</v>
      </c>
      <c r="B512">
        <v>44850</v>
      </c>
      <c r="C512">
        <v>280700</v>
      </c>
      <c r="D512">
        <v>21691</v>
      </c>
      <c r="E512">
        <v>80800</v>
      </c>
      <c r="F512">
        <v>485142</v>
      </c>
      <c r="G512">
        <v>131500</v>
      </c>
      <c r="H512">
        <v>593138</v>
      </c>
      <c r="I512">
        <v>30900</v>
      </c>
      <c r="J512">
        <v>589886</v>
      </c>
      <c r="K512">
        <v>37000</v>
      </c>
    </row>
    <row r="513" spans="1:11" x14ac:dyDescent="0.3">
      <c r="A513" t="s">
        <v>522</v>
      </c>
      <c r="B513">
        <v>44850</v>
      </c>
      <c r="C513">
        <v>290500</v>
      </c>
      <c r="D513">
        <v>23477</v>
      </c>
      <c r="E513">
        <v>85100</v>
      </c>
      <c r="F513">
        <v>487244</v>
      </c>
      <c r="G513">
        <v>100000</v>
      </c>
      <c r="H513">
        <v>595565</v>
      </c>
      <c r="I513">
        <v>33500</v>
      </c>
      <c r="J513">
        <v>592306</v>
      </c>
      <c r="K513">
        <v>38000</v>
      </c>
    </row>
    <row r="514" spans="1:11" x14ac:dyDescent="0.3">
      <c r="A514" t="s">
        <v>523</v>
      </c>
      <c r="B514">
        <v>44850</v>
      </c>
      <c r="C514">
        <v>308900</v>
      </c>
      <c r="D514">
        <v>22293</v>
      </c>
      <c r="E514">
        <v>81100</v>
      </c>
      <c r="F514">
        <v>489339</v>
      </c>
      <c r="G514">
        <v>112800</v>
      </c>
      <c r="H514">
        <v>598061</v>
      </c>
      <c r="I514">
        <v>32100</v>
      </c>
      <c r="J514">
        <v>594678</v>
      </c>
      <c r="K514">
        <v>37100</v>
      </c>
    </row>
    <row r="515" spans="1:11" x14ac:dyDescent="0.3">
      <c r="A515" t="s">
        <v>524</v>
      </c>
      <c r="B515">
        <v>44850</v>
      </c>
      <c r="C515">
        <v>474800</v>
      </c>
      <c r="D515">
        <v>23527</v>
      </c>
      <c r="E515">
        <v>141000</v>
      </c>
      <c r="F515">
        <v>491426</v>
      </c>
      <c r="G515">
        <v>220300</v>
      </c>
      <c r="H515">
        <v>600733</v>
      </c>
      <c r="I515">
        <v>38600</v>
      </c>
      <c r="J515">
        <v>597164</v>
      </c>
      <c r="K515">
        <v>44600</v>
      </c>
    </row>
    <row r="516" spans="1:11" x14ac:dyDescent="0.3">
      <c r="A516" t="s">
        <v>525</v>
      </c>
      <c r="B516">
        <v>44850</v>
      </c>
      <c r="C516">
        <v>335300</v>
      </c>
      <c r="D516">
        <v>23952</v>
      </c>
      <c r="E516">
        <v>86900</v>
      </c>
      <c r="F516">
        <v>493506</v>
      </c>
      <c r="G516">
        <v>100900</v>
      </c>
      <c r="H516">
        <v>603200</v>
      </c>
      <c r="I516">
        <v>32300</v>
      </c>
      <c r="J516">
        <v>599988</v>
      </c>
      <c r="K516">
        <v>36000</v>
      </c>
    </row>
    <row r="517" spans="1:11" x14ac:dyDescent="0.3">
      <c r="A517" t="s">
        <v>526</v>
      </c>
      <c r="B517">
        <v>44850</v>
      </c>
      <c r="C517">
        <v>317100</v>
      </c>
      <c r="D517">
        <v>22500</v>
      </c>
      <c r="E517">
        <v>81800</v>
      </c>
      <c r="F517">
        <v>495595</v>
      </c>
      <c r="G517">
        <v>112100</v>
      </c>
      <c r="H517">
        <v>605505</v>
      </c>
      <c r="I517">
        <v>32500</v>
      </c>
      <c r="J517">
        <v>602738</v>
      </c>
      <c r="K517">
        <v>37100</v>
      </c>
    </row>
    <row r="518" spans="1:11" x14ac:dyDescent="0.3">
      <c r="A518" t="s">
        <v>527</v>
      </c>
      <c r="B518">
        <v>44850</v>
      </c>
      <c r="C518">
        <v>307000</v>
      </c>
      <c r="D518">
        <v>22466</v>
      </c>
      <c r="E518">
        <v>81900</v>
      </c>
      <c r="F518">
        <v>497701</v>
      </c>
      <c r="G518">
        <v>113000</v>
      </c>
      <c r="H518">
        <v>607824</v>
      </c>
      <c r="I518">
        <v>32500</v>
      </c>
      <c r="J518">
        <v>605351</v>
      </c>
      <c r="K518">
        <v>37300</v>
      </c>
    </row>
    <row r="519" spans="1:11" x14ac:dyDescent="0.3">
      <c r="A519" t="s">
        <v>528</v>
      </c>
      <c r="B519">
        <v>44850</v>
      </c>
      <c r="C519">
        <v>394100</v>
      </c>
      <c r="D519">
        <v>23507</v>
      </c>
      <c r="E519">
        <v>106600</v>
      </c>
      <c r="F519">
        <v>499809</v>
      </c>
      <c r="G519">
        <v>120800</v>
      </c>
      <c r="H519">
        <v>610284</v>
      </c>
      <c r="I519">
        <v>41800</v>
      </c>
      <c r="J519">
        <v>608239</v>
      </c>
      <c r="K519">
        <v>52400</v>
      </c>
    </row>
    <row r="520" spans="1:11" x14ac:dyDescent="0.3">
      <c r="A520" t="s">
        <v>529</v>
      </c>
      <c r="B520">
        <v>44850</v>
      </c>
      <c r="C520">
        <v>302300</v>
      </c>
      <c r="D520">
        <v>23008</v>
      </c>
      <c r="E520">
        <v>92400</v>
      </c>
      <c r="F520">
        <v>501900</v>
      </c>
      <c r="G520">
        <v>133600</v>
      </c>
      <c r="H520">
        <v>613478</v>
      </c>
      <c r="I520">
        <v>40700</v>
      </c>
      <c r="J520">
        <v>611297</v>
      </c>
      <c r="K520">
        <v>46000</v>
      </c>
    </row>
    <row r="521" spans="1:11" x14ac:dyDescent="0.3">
      <c r="A521" t="s">
        <v>530</v>
      </c>
      <c r="B521">
        <v>44850</v>
      </c>
      <c r="C521">
        <v>291900</v>
      </c>
      <c r="D521">
        <v>22185</v>
      </c>
      <c r="E521">
        <v>80900</v>
      </c>
      <c r="F521">
        <v>504002</v>
      </c>
      <c r="G521">
        <v>112900</v>
      </c>
      <c r="H521">
        <v>615813</v>
      </c>
      <c r="I521">
        <v>32300</v>
      </c>
      <c r="J521">
        <v>613867</v>
      </c>
      <c r="K521">
        <v>37600</v>
      </c>
    </row>
    <row r="522" spans="1:11" x14ac:dyDescent="0.3">
      <c r="A522" t="s">
        <v>531</v>
      </c>
      <c r="B522">
        <v>44850</v>
      </c>
      <c r="C522">
        <v>262800</v>
      </c>
      <c r="D522">
        <v>21328</v>
      </c>
      <c r="E522">
        <v>77700</v>
      </c>
      <c r="F522">
        <v>506091</v>
      </c>
      <c r="G522">
        <v>102000</v>
      </c>
      <c r="H522">
        <v>618275</v>
      </c>
      <c r="I522">
        <v>33400</v>
      </c>
      <c r="J522">
        <v>616461</v>
      </c>
      <c r="K522">
        <v>35900</v>
      </c>
    </row>
    <row r="523" spans="1:11" x14ac:dyDescent="0.3">
      <c r="A523" t="s">
        <v>532</v>
      </c>
      <c r="B523">
        <v>44850</v>
      </c>
      <c r="C523">
        <v>449600</v>
      </c>
      <c r="D523">
        <v>22256</v>
      </c>
      <c r="E523">
        <v>113500</v>
      </c>
      <c r="F523">
        <v>508177</v>
      </c>
      <c r="G523">
        <v>134600</v>
      </c>
      <c r="H523">
        <v>620607</v>
      </c>
      <c r="I523">
        <v>38100</v>
      </c>
      <c r="J523">
        <v>618974</v>
      </c>
      <c r="K523">
        <v>43900</v>
      </c>
    </row>
    <row r="524" spans="1:11" x14ac:dyDescent="0.3">
      <c r="A524" t="s">
        <v>533</v>
      </c>
      <c r="B524">
        <v>44850</v>
      </c>
      <c r="C524">
        <v>276000</v>
      </c>
      <c r="D524">
        <v>23156</v>
      </c>
      <c r="E524">
        <v>84900</v>
      </c>
      <c r="F524">
        <v>510276</v>
      </c>
      <c r="G524">
        <v>135500</v>
      </c>
      <c r="H524">
        <v>623023</v>
      </c>
      <c r="I524">
        <v>31700</v>
      </c>
      <c r="J524">
        <v>621618</v>
      </c>
      <c r="K524">
        <v>36800</v>
      </c>
    </row>
    <row r="525" spans="1:11" x14ac:dyDescent="0.3">
      <c r="A525" t="s">
        <v>534</v>
      </c>
      <c r="B525">
        <v>44850</v>
      </c>
      <c r="C525">
        <v>290500</v>
      </c>
      <c r="D525">
        <v>22936</v>
      </c>
      <c r="E525">
        <v>83300</v>
      </c>
      <c r="F525">
        <v>512393</v>
      </c>
      <c r="G525">
        <v>97600</v>
      </c>
      <c r="H525">
        <v>625553</v>
      </c>
      <c r="I525">
        <v>30700</v>
      </c>
      <c r="J525">
        <v>624148</v>
      </c>
      <c r="K525">
        <v>36700</v>
      </c>
    </row>
    <row r="526" spans="1:11" x14ac:dyDescent="0.3">
      <c r="A526" t="s">
        <v>535</v>
      </c>
      <c r="B526">
        <v>44850</v>
      </c>
      <c r="C526">
        <v>302700</v>
      </c>
      <c r="D526">
        <v>22285</v>
      </c>
      <c r="E526">
        <v>80200</v>
      </c>
      <c r="F526">
        <v>514494</v>
      </c>
      <c r="G526">
        <v>109100</v>
      </c>
      <c r="H526">
        <v>628510</v>
      </c>
      <c r="I526">
        <v>32900</v>
      </c>
      <c r="J526">
        <v>626902</v>
      </c>
      <c r="K526">
        <v>36200</v>
      </c>
    </row>
    <row r="527" spans="1:11" x14ac:dyDescent="0.3">
      <c r="A527" t="s">
        <v>536</v>
      </c>
      <c r="B527">
        <v>44850</v>
      </c>
      <c r="C527">
        <v>318300</v>
      </c>
      <c r="D527">
        <v>22868</v>
      </c>
      <c r="E527">
        <v>138800</v>
      </c>
      <c r="F527">
        <v>516598</v>
      </c>
      <c r="G527">
        <v>147700</v>
      </c>
      <c r="H527">
        <v>631122</v>
      </c>
      <c r="I527">
        <v>42800</v>
      </c>
      <c r="J527">
        <v>629634</v>
      </c>
      <c r="K527">
        <v>47100</v>
      </c>
    </row>
    <row r="528" spans="1:11" x14ac:dyDescent="0.3">
      <c r="A528" t="s">
        <v>537</v>
      </c>
      <c r="B528">
        <v>44850</v>
      </c>
      <c r="C528">
        <v>326200</v>
      </c>
      <c r="D528">
        <v>23921</v>
      </c>
      <c r="E528">
        <v>101800</v>
      </c>
      <c r="F528">
        <v>518698</v>
      </c>
      <c r="G528">
        <v>110800</v>
      </c>
      <c r="H528">
        <v>634068</v>
      </c>
      <c r="I528">
        <v>32400</v>
      </c>
      <c r="J528">
        <v>632044</v>
      </c>
      <c r="K528">
        <v>36500</v>
      </c>
    </row>
    <row r="529" spans="1:11" x14ac:dyDescent="0.3">
      <c r="A529" t="s">
        <v>538</v>
      </c>
      <c r="B529">
        <v>44850</v>
      </c>
      <c r="C529">
        <v>275900</v>
      </c>
      <c r="D529">
        <v>22043</v>
      </c>
      <c r="E529">
        <v>82400</v>
      </c>
      <c r="F529">
        <v>520795</v>
      </c>
      <c r="G529">
        <v>99000</v>
      </c>
      <c r="H529">
        <v>636997</v>
      </c>
      <c r="I529">
        <v>33300</v>
      </c>
      <c r="J529">
        <v>634467</v>
      </c>
      <c r="K529">
        <v>36200</v>
      </c>
    </row>
    <row r="530" spans="1:11" x14ac:dyDescent="0.3">
      <c r="A530" t="s">
        <v>539</v>
      </c>
      <c r="B530">
        <v>44850</v>
      </c>
      <c r="C530">
        <v>287300</v>
      </c>
      <c r="D530">
        <v>23345</v>
      </c>
      <c r="E530">
        <v>87100</v>
      </c>
      <c r="F530">
        <v>522894</v>
      </c>
      <c r="G530">
        <v>100000</v>
      </c>
      <c r="H530">
        <v>639510</v>
      </c>
      <c r="I530">
        <v>31100</v>
      </c>
      <c r="J530">
        <v>636796</v>
      </c>
      <c r="K530">
        <v>35000</v>
      </c>
    </row>
    <row r="531" spans="1:11" x14ac:dyDescent="0.3">
      <c r="A531" t="s">
        <v>540</v>
      </c>
      <c r="B531">
        <v>44850</v>
      </c>
      <c r="C531">
        <v>311500</v>
      </c>
      <c r="D531">
        <v>21600</v>
      </c>
      <c r="E531">
        <v>81900</v>
      </c>
      <c r="F531">
        <v>524993</v>
      </c>
      <c r="G531">
        <v>115800</v>
      </c>
      <c r="H531">
        <v>641984</v>
      </c>
      <c r="I531">
        <v>32500</v>
      </c>
      <c r="J531">
        <v>639422</v>
      </c>
      <c r="K531">
        <v>46500</v>
      </c>
    </row>
    <row r="532" spans="1:11" x14ac:dyDescent="0.3">
      <c r="A532" t="s">
        <v>541</v>
      </c>
      <c r="B532">
        <v>44850</v>
      </c>
      <c r="C532">
        <v>273700</v>
      </c>
      <c r="D532">
        <v>22064</v>
      </c>
      <c r="E532">
        <v>80200</v>
      </c>
      <c r="F532">
        <v>527098</v>
      </c>
      <c r="G532">
        <v>112100</v>
      </c>
      <c r="H532">
        <v>644397</v>
      </c>
      <c r="I532">
        <v>31200</v>
      </c>
      <c r="J532">
        <v>641775</v>
      </c>
      <c r="K532">
        <v>36500</v>
      </c>
    </row>
    <row r="533" spans="1:11" x14ac:dyDescent="0.3">
      <c r="A533" t="s">
        <v>542</v>
      </c>
      <c r="B533">
        <v>44850</v>
      </c>
      <c r="C533">
        <v>284800</v>
      </c>
      <c r="D533">
        <v>22143</v>
      </c>
      <c r="E533">
        <v>80600</v>
      </c>
      <c r="F533">
        <v>529215</v>
      </c>
      <c r="G533">
        <v>106400</v>
      </c>
      <c r="H533">
        <v>646923</v>
      </c>
      <c r="I533">
        <v>30900</v>
      </c>
      <c r="J533">
        <v>644574</v>
      </c>
      <c r="K533">
        <v>36300</v>
      </c>
    </row>
    <row r="534" spans="1:11" x14ac:dyDescent="0.3">
      <c r="A534" t="s">
        <v>543</v>
      </c>
      <c r="B534">
        <v>44850</v>
      </c>
      <c r="C534">
        <v>278800</v>
      </c>
      <c r="D534">
        <v>21943</v>
      </c>
      <c r="E534">
        <v>79200</v>
      </c>
      <c r="F534">
        <v>531325</v>
      </c>
      <c r="G534">
        <v>108800</v>
      </c>
      <c r="H534">
        <v>649451</v>
      </c>
      <c r="I534">
        <v>30600</v>
      </c>
      <c r="J534">
        <v>647194</v>
      </c>
      <c r="K534">
        <v>34600</v>
      </c>
    </row>
    <row r="535" spans="1:11" x14ac:dyDescent="0.3">
      <c r="A535" t="s">
        <v>544</v>
      </c>
      <c r="B535">
        <v>44850</v>
      </c>
      <c r="C535">
        <v>298500</v>
      </c>
      <c r="D535">
        <v>21523</v>
      </c>
      <c r="E535">
        <v>79800</v>
      </c>
      <c r="F535">
        <v>533427</v>
      </c>
      <c r="G535">
        <v>109400</v>
      </c>
      <c r="H535">
        <v>652022</v>
      </c>
      <c r="I535">
        <v>31100</v>
      </c>
      <c r="J535">
        <v>649676</v>
      </c>
      <c r="K535">
        <v>34700</v>
      </c>
    </row>
    <row r="536" spans="1:11" x14ac:dyDescent="0.3">
      <c r="A536" t="s">
        <v>545</v>
      </c>
      <c r="B536">
        <v>44850</v>
      </c>
      <c r="C536">
        <v>322400</v>
      </c>
      <c r="D536">
        <v>22151</v>
      </c>
      <c r="E536">
        <v>88600</v>
      </c>
      <c r="F536">
        <v>535526</v>
      </c>
      <c r="G536">
        <v>116400</v>
      </c>
      <c r="H536">
        <v>654584</v>
      </c>
      <c r="I536">
        <v>33200</v>
      </c>
      <c r="J536">
        <v>652261</v>
      </c>
      <c r="K536">
        <v>38400</v>
      </c>
    </row>
    <row r="537" spans="1:11" x14ac:dyDescent="0.3">
      <c r="A537" t="s">
        <v>546</v>
      </c>
      <c r="B537">
        <v>44850</v>
      </c>
      <c r="C537">
        <v>267600</v>
      </c>
      <c r="D537">
        <v>21335</v>
      </c>
      <c r="E537">
        <v>80500</v>
      </c>
      <c r="F537">
        <v>537611</v>
      </c>
      <c r="G537">
        <v>111700</v>
      </c>
      <c r="H537">
        <v>656994</v>
      </c>
      <c r="I537">
        <v>32200</v>
      </c>
      <c r="J537">
        <v>654843</v>
      </c>
      <c r="K537">
        <v>37300</v>
      </c>
    </row>
    <row r="538" spans="1:11" x14ac:dyDescent="0.3">
      <c r="A538" t="s">
        <v>547</v>
      </c>
      <c r="B538">
        <v>44850</v>
      </c>
      <c r="C538">
        <v>289000</v>
      </c>
      <c r="D538">
        <v>23796</v>
      </c>
      <c r="E538">
        <v>86600</v>
      </c>
      <c r="F538">
        <v>539690</v>
      </c>
      <c r="G538">
        <v>100100</v>
      </c>
      <c r="H538">
        <v>659651</v>
      </c>
      <c r="I538">
        <v>31800</v>
      </c>
      <c r="J538">
        <v>657447</v>
      </c>
      <c r="K538">
        <v>38100</v>
      </c>
    </row>
    <row r="539" spans="1:11" x14ac:dyDescent="0.3">
      <c r="A539" t="s">
        <v>548</v>
      </c>
      <c r="B539">
        <v>44850</v>
      </c>
      <c r="C539">
        <v>273400</v>
      </c>
      <c r="D539">
        <v>23562</v>
      </c>
      <c r="E539">
        <v>86200</v>
      </c>
      <c r="F539">
        <v>541777</v>
      </c>
      <c r="G539">
        <v>100800</v>
      </c>
      <c r="H539">
        <v>662685</v>
      </c>
      <c r="I539">
        <v>32300</v>
      </c>
      <c r="J539">
        <v>660080</v>
      </c>
      <c r="K539">
        <v>37700</v>
      </c>
    </row>
    <row r="540" spans="1:11" x14ac:dyDescent="0.3">
      <c r="A540" t="s">
        <v>549</v>
      </c>
      <c r="B540">
        <v>44850</v>
      </c>
      <c r="C540">
        <v>275700</v>
      </c>
      <c r="D540">
        <v>21853</v>
      </c>
      <c r="E540">
        <v>79700</v>
      </c>
      <c r="F540">
        <v>543889</v>
      </c>
      <c r="G540">
        <v>110800</v>
      </c>
      <c r="H540">
        <v>665339</v>
      </c>
      <c r="I540">
        <v>32500</v>
      </c>
      <c r="J540">
        <v>662497</v>
      </c>
      <c r="K540">
        <v>35500</v>
      </c>
    </row>
    <row r="541" spans="1:11" x14ac:dyDescent="0.3">
      <c r="A541" t="s">
        <v>550</v>
      </c>
      <c r="B541">
        <v>44850</v>
      </c>
      <c r="C541">
        <v>290200</v>
      </c>
      <c r="D541">
        <v>22531</v>
      </c>
      <c r="E541">
        <v>82300</v>
      </c>
      <c r="F541">
        <v>545996</v>
      </c>
      <c r="G541">
        <v>146300</v>
      </c>
      <c r="H541">
        <v>667878</v>
      </c>
      <c r="I541">
        <v>32600</v>
      </c>
      <c r="J541">
        <v>665200</v>
      </c>
      <c r="K541">
        <v>37900</v>
      </c>
    </row>
    <row r="542" spans="1:11" x14ac:dyDescent="0.3">
      <c r="A542" t="s">
        <v>551</v>
      </c>
      <c r="B542">
        <v>44850</v>
      </c>
      <c r="C542">
        <v>298600</v>
      </c>
      <c r="D542">
        <v>23689</v>
      </c>
      <c r="E542">
        <v>88700</v>
      </c>
      <c r="F542">
        <v>548073</v>
      </c>
      <c r="G542">
        <v>113200</v>
      </c>
      <c r="H542">
        <v>670606</v>
      </c>
      <c r="I542">
        <v>30700</v>
      </c>
      <c r="J542">
        <v>667514</v>
      </c>
      <c r="K542">
        <v>37000</v>
      </c>
    </row>
    <row r="543" spans="1:11" x14ac:dyDescent="0.3">
      <c r="A543" t="s">
        <v>552</v>
      </c>
      <c r="B543">
        <v>44850</v>
      </c>
      <c r="C543">
        <v>330500</v>
      </c>
      <c r="D543">
        <v>22260</v>
      </c>
      <c r="E543">
        <v>83500</v>
      </c>
      <c r="F543">
        <v>550173</v>
      </c>
      <c r="G543">
        <v>115200</v>
      </c>
      <c r="H543">
        <v>673076</v>
      </c>
      <c r="I543">
        <v>33300</v>
      </c>
      <c r="J543">
        <v>670291</v>
      </c>
      <c r="K543">
        <v>37600</v>
      </c>
    </row>
    <row r="544" spans="1:11" x14ac:dyDescent="0.3">
      <c r="A544" t="s">
        <v>553</v>
      </c>
      <c r="B544">
        <v>44850</v>
      </c>
      <c r="C544">
        <v>311300</v>
      </c>
      <c r="D544">
        <v>21739</v>
      </c>
      <c r="E544">
        <v>81700</v>
      </c>
      <c r="F544">
        <v>552271</v>
      </c>
      <c r="G544">
        <v>112400</v>
      </c>
      <c r="H544">
        <v>675497</v>
      </c>
      <c r="I544">
        <v>31000</v>
      </c>
      <c r="J544">
        <v>672780</v>
      </c>
      <c r="K544">
        <v>36800</v>
      </c>
    </row>
    <row r="545" spans="1:11" x14ac:dyDescent="0.3">
      <c r="A545" t="s">
        <v>554</v>
      </c>
      <c r="B545">
        <v>44850</v>
      </c>
      <c r="C545">
        <v>421700</v>
      </c>
      <c r="D545">
        <v>24033</v>
      </c>
      <c r="E545">
        <v>145000</v>
      </c>
      <c r="F545">
        <v>554358</v>
      </c>
      <c r="G545">
        <v>152100</v>
      </c>
      <c r="H545">
        <v>678207</v>
      </c>
      <c r="I545">
        <v>32900</v>
      </c>
      <c r="J545">
        <v>675178</v>
      </c>
      <c r="K545">
        <v>36500</v>
      </c>
    </row>
    <row r="546" spans="1:11" x14ac:dyDescent="0.3">
      <c r="A546" t="s">
        <v>555</v>
      </c>
      <c r="B546">
        <v>44850</v>
      </c>
      <c r="C546">
        <v>375800</v>
      </c>
      <c r="D546">
        <v>23557</v>
      </c>
      <c r="E546">
        <v>102300</v>
      </c>
      <c r="F546">
        <v>556438</v>
      </c>
      <c r="G546">
        <v>134200</v>
      </c>
      <c r="H546">
        <v>681210</v>
      </c>
      <c r="I546">
        <v>39600</v>
      </c>
      <c r="J546">
        <v>677946</v>
      </c>
      <c r="K546">
        <v>46000</v>
      </c>
    </row>
    <row r="547" spans="1:11" x14ac:dyDescent="0.3">
      <c r="A547" t="s">
        <v>556</v>
      </c>
      <c r="B547">
        <v>44850</v>
      </c>
      <c r="C547">
        <v>286300</v>
      </c>
      <c r="D547">
        <v>21308</v>
      </c>
      <c r="E547">
        <v>79000</v>
      </c>
      <c r="F547">
        <v>558526</v>
      </c>
      <c r="G547">
        <v>99900</v>
      </c>
      <c r="H547">
        <v>683946</v>
      </c>
      <c r="I547">
        <v>33500</v>
      </c>
      <c r="J547">
        <v>680442</v>
      </c>
      <c r="K547">
        <v>36600</v>
      </c>
    </row>
    <row r="548" spans="1:11" x14ac:dyDescent="0.3">
      <c r="A548" t="s">
        <v>557</v>
      </c>
      <c r="B548">
        <v>44850</v>
      </c>
      <c r="C548">
        <v>310700</v>
      </c>
      <c r="D548">
        <v>23434</v>
      </c>
      <c r="E548">
        <v>93700</v>
      </c>
      <c r="F548">
        <v>560614</v>
      </c>
      <c r="G548">
        <v>99800</v>
      </c>
      <c r="H548">
        <v>686442</v>
      </c>
      <c r="I548">
        <v>32400</v>
      </c>
      <c r="J548">
        <v>683004</v>
      </c>
      <c r="K548">
        <v>36700</v>
      </c>
    </row>
    <row r="549" spans="1:11" x14ac:dyDescent="0.3">
      <c r="A549" t="s">
        <v>558</v>
      </c>
      <c r="B549">
        <v>44850</v>
      </c>
      <c r="C549">
        <v>317700</v>
      </c>
      <c r="D549">
        <v>22851</v>
      </c>
      <c r="E549">
        <v>85300</v>
      </c>
      <c r="F549">
        <v>562711</v>
      </c>
      <c r="G549">
        <v>101000</v>
      </c>
      <c r="H549">
        <v>688812</v>
      </c>
      <c r="I549">
        <v>31600</v>
      </c>
      <c r="J549">
        <v>685858</v>
      </c>
      <c r="K549">
        <v>36100</v>
      </c>
    </row>
    <row r="550" spans="1:11" x14ac:dyDescent="0.3">
      <c r="A550" t="s">
        <v>559</v>
      </c>
      <c r="B550">
        <v>44850</v>
      </c>
      <c r="C550">
        <v>313300</v>
      </c>
      <c r="D550">
        <v>24642</v>
      </c>
      <c r="E550">
        <v>89000</v>
      </c>
      <c r="F550">
        <v>564800</v>
      </c>
      <c r="G550">
        <v>110800</v>
      </c>
      <c r="H550">
        <v>691794</v>
      </c>
      <c r="I550">
        <v>33000</v>
      </c>
      <c r="J550">
        <v>688363</v>
      </c>
      <c r="K550">
        <v>36600</v>
      </c>
    </row>
    <row r="551" spans="1:11" x14ac:dyDescent="0.3">
      <c r="A551" t="s">
        <v>560</v>
      </c>
      <c r="B551">
        <v>44850</v>
      </c>
      <c r="C551">
        <v>309400</v>
      </c>
      <c r="D551">
        <v>22542</v>
      </c>
      <c r="E551">
        <v>85400</v>
      </c>
      <c r="F551">
        <v>566890</v>
      </c>
      <c r="G551">
        <v>117200</v>
      </c>
      <c r="H551">
        <v>694103</v>
      </c>
      <c r="I551">
        <v>33600</v>
      </c>
      <c r="J551">
        <v>690777</v>
      </c>
      <c r="K551">
        <v>37500</v>
      </c>
    </row>
    <row r="552" spans="1:11" x14ac:dyDescent="0.3">
      <c r="A552" t="s">
        <v>561</v>
      </c>
      <c r="B552">
        <v>44850</v>
      </c>
      <c r="C552">
        <v>299600</v>
      </c>
      <c r="D552">
        <v>22593</v>
      </c>
      <c r="E552">
        <v>82200</v>
      </c>
      <c r="F552">
        <v>568993</v>
      </c>
      <c r="G552">
        <v>113600</v>
      </c>
      <c r="H552">
        <v>696772</v>
      </c>
      <c r="I552">
        <v>31000</v>
      </c>
      <c r="J552">
        <v>693630</v>
      </c>
      <c r="K552">
        <v>38300</v>
      </c>
    </row>
    <row r="553" spans="1:11" x14ac:dyDescent="0.3">
      <c r="A553" t="s">
        <v>562</v>
      </c>
      <c r="B553">
        <v>44850</v>
      </c>
      <c r="C553">
        <v>278300</v>
      </c>
      <c r="D553">
        <v>22196</v>
      </c>
      <c r="E553">
        <v>80700</v>
      </c>
      <c r="F553">
        <v>571081</v>
      </c>
      <c r="G553">
        <v>111900</v>
      </c>
      <c r="H553">
        <v>699368</v>
      </c>
      <c r="I553">
        <v>32100</v>
      </c>
      <c r="J553">
        <v>696179</v>
      </c>
      <c r="K553">
        <v>36600</v>
      </c>
    </row>
    <row r="554" spans="1:11" x14ac:dyDescent="0.3">
      <c r="A554" t="s">
        <v>563</v>
      </c>
      <c r="B554">
        <v>44850</v>
      </c>
      <c r="C554">
        <v>302500</v>
      </c>
      <c r="D554">
        <v>22992</v>
      </c>
      <c r="E554">
        <v>83700</v>
      </c>
      <c r="F554">
        <v>573180</v>
      </c>
      <c r="G554">
        <v>113800</v>
      </c>
      <c r="H554">
        <v>702008</v>
      </c>
      <c r="I554">
        <v>31600</v>
      </c>
      <c r="J554">
        <v>698936</v>
      </c>
      <c r="K554">
        <v>38200</v>
      </c>
    </row>
    <row r="555" spans="1:11" x14ac:dyDescent="0.3">
      <c r="A555" t="s">
        <v>564</v>
      </c>
      <c r="B555">
        <v>44850</v>
      </c>
      <c r="C555">
        <v>285300</v>
      </c>
      <c r="D555">
        <v>22187</v>
      </c>
      <c r="E555">
        <v>84300</v>
      </c>
      <c r="F555">
        <v>575282</v>
      </c>
      <c r="G555">
        <v>117200</v>
      </c>
      <c r="H555">
        <v>704308</v>
      </c>
      <c r="I555">
        <v>32900</v>
      </c>
      <c r="J555">
        <v>701721</v>
      </c>
      <c r="K555">
        <v>39500</v>
      </c>
    </row>
    <row r="556" spans="1:11" x14ac:dyDescent="0.3">
      <c r="A556" t="s">
        <v>565</v>
      </c>
      <c r="B556">
        <v>44850</v>
      </c>
      <c r="C556">
        <v>368300</v>
      </c>
      <c r="D556">
        <v>24069</v>
      </c>
      <c r="E556">
        <v>106800</v>
      </c>
      <c r="F556">
        <v>577388</v>
      </c>
      <c r="G556">
        <v>113700</v>
      </c>
      <c r="H556">
        <v>706955</v>
      </c>
      <c r="I556">
        <v>32500</v>
      </c>
      <c r="J556">
        <v>704421</v>
      </c>
      <c r="K556">
        <v>36800</v>
      </c>
    </row>
    <row r="557" spans="1:11" x14ac:dyDescent="0.3">
      <c r="A557" t="s">
        <v>566</v>
      </c>
      <c r="B557">
        <v>44850</v>
      </c>
      <c r="C557">
        <v>343100</v>
      </c>
      <c r="D557">
        <v>22578</v>
      </c>
      <c r="E557">
        <v>98100</v>
      </c>
      <c r="F557">
        <v>579499</v>
      </c>
      <c r="G557">
        <v>120500</v>
      </c>
      <c r="H557">
        <v>709303</v>
      </c>
      <c r="I557">
        <v>38200</v>
      </c>
      <c r="J557">
        <v>706906</v>
      </c>
      <c r="K557">
        <v>43600</v>
      </c>
    </row>
    <row r="558" spans="1:11" x14ac:dyDescent="0.3">
      <c r="A558" t="s">
        <v>567</v>
      </c>
      <c r="B558">
        <v>44850</v>
      </c>
      <c r="C558">
        <v>299300</v>
      </c>
      <c r="D558">
        <v>21948</v>
      </c>
      <c r="E558">
        <v>80200</v>
      </c>
      <c r="F558">
        <v>581618</v>
      </c>
      <c r="G558">
        <v>181400</v>
      </c>
      <c r="H558">
        <v>711869</v>
      </c>
      <c r="I558">
        <v>38900</v>
      </c>
      <c r="J558">
        <v>709485</v>
      </c>
      <c r="K558">
        <v>46200</v>
      </c>
    </row>
    <row r="559" spans="1:11" x14ac:dyDescent="0.3">
      <c r="A559" t="s">
        <v>568</v>
      </c>
      <c r="B559">
        <v>44850</v>
      </c>
      <c r="C559">
        <v>303500</v>
      </c>
      <c r="D559">
        <v>22148</v>
      </c>
      <c r="E559">
        <v>83800</v>
      </c>
      <c r="F559">
        <v>583715</v>
      </c>
      <c r="G559">
        <v>112200</v>
      </c>
      <c r="H559">
        <v>714367</v>
      </c>
      <c r="I559">
        <v>36700</v>
      </c>
      <c r="J559">
        <v>712058</v>
      </c>
      <c r="K559">
        <v>38600</v>
      </c>
    </row>
    <row r="560" spans="1:11" x14ac:dyDescent="0.3">
      <c r="A560" t="s">
        <v>569</v>
      </c>
      <c r="B560">
        <v>44850</v>
      </c>
      <c r="C560">
        <v>294100</v>
      </c>
      <c r="D560">
        <v>22063</v>
      </c>
      <c r="E560">
        <v>80200</v>
      </c>
      <c r="F560">
        <v>585811</v>
      </c>
      <c r="G560">
        <v>111800</v>
      </c>
      <c r="H560">
        <v>716903</v>
      </c>
      <c r="I560">
        <v>31500</v>
      </c>
      <c r="J560">
        <v>714412</v>
      </c>
      <c r="K560">
        <v>36800</v>
      </c>
    </row>
    <row r="561" spans="1:11" x14ac:dyDescent="0.3">
      <c r="A561" t="s">
        <v>570</v>
      </c>
      <c r="B561">
        <v>44850</v>
      </c>
      <c r="C561">
        <v>264200</v>
      </c>
      <c r="D561">
        <v>23288</v>
      </c>
      <c r="E561">
        <v>84500</v>
      </c>
      <c r="F561">
        <v>587898</v>
      </c>
      <c r="G561">
        <v>111800</v>
      </c>
      <c r="H561">
        <v>719562</v>
      </c>
      <c r="I561">
        <v>31900</v>
      </c>
      <c r="J561">
        <v>716957</v>
      </c>
      <c r="K561">
        <v>36800</v>
      </c>
    </row>
    <row r="562" spans="1:11" x14ac:dyDescent="0.3">
      <c r="A562" t="s">
        <v>571</v>
      </c>
      <c r="B562">
        <v>44850</v>
      </c>
      <c r="C562">
        <v>284200</v>
      </c>
      <c r="D562">
        <v>21788</v>
      </c>
      <c r="E562">
        <v>80900</v>
      </c>
      <c r="F562">
        <v>589996</v>
      </c>
      <c r="G562">
        <v>116300</v>
      </c>
      <c r="H562">
        <v>722403</v>
      </c>
      <c r="I562">
        <v>32400</v>
      </c>
      <c r="J562">
        <v>719410</v>
      </c>
      <c r="K562">
        <v>35500</v>
      </c>
    </row>
    <row r="563" spans="1:11" x14ac:dyDescent="0.3">
      <c r="A563" t="s">
        <v>572</v>
      </c>
      <c r="B563">
        <v>44850</v>
      </c>
      <c r="C563">
        <v>295500</v>
      </c>
      <c r="D563">
        <v>23256</v>
      </c>
      <c r="E563">
        <v>84700</v>
      </c>
      <c r="F563">
        <v>592094</v>
      </c>
      <c r="G563">
        <v>111800</v>
      </c>
      <c r="H563">
        <v>725193</v>
      </c>
      <c r="I563">
        <v>32600</v>
      </c>
      <c r="J563">
        <v>721845</v>
      </c>
      <c r="K563">
        <v>36300</v>
      </c>
    </row>
    <row r="564" spans="1:11" x14ac:dyDescent="0.3">
      <c r="A564" t="s">
        <v>573</v>
      </c>
      <c r="B564">
        <v>44850</v>
      </c>
      <c r="C564">
        <v>308300</v>
      </c>
      <c r="D564">
        <v>23105</v>
      </c>
      <c r="E564">
        <v>83100</v>
      </c>
      <c r="F564">
        <v>594168</v>
      </c>
      <c r="G564">
        <v>111500</v>
      </c>
      <c r="H564">
        <v>727733</v>
      </c>
      <c r="I564">
        <v>31800</v>
      </c>
      <c r="J564">
        <v>724244</v>
      </c>
      <c r="K564">
        <v>36100</v>
      </c>
    </row>
    <row r="565" spans="1:11" x14ac:dyDescent="0.3">
      <c r="A565" t="s">
        <v>574</v>
      </c>
      <c r="B565">
        <v>44850</v>
      </c>
      <c r="C565">
        <v>281400</v>
      </c>
      <c r="D565">
        <v>23062</v>
      </c>
      <c r="E565">
        <v>83500</v>
      </c>
      <c r="F565">
        <v>596259</v>
      </c>
      <c r="G565">
        <v>111000</v>
      </c>
      <c r="H565">
        <v>730440</v>
      </c>
      <c r="I565">
        <v>32600</v>
      </c>
      <c r="J565">
        <v>727006</v>
      </c>
      <c r="K565">
        <v>39400</v>
      </c>
    </row>
    <row r="566" spans="1:11" x14ac:dyDescent="0.3">
      <c r="A566" t="s">
        <v>575</v>
      </c>
      <c r="B566">
        <v>44850</v>
      </c>
      <c r="C566">
        <v>370200</v>
      </c>
      <c r="D566">
        <v>22392</v>
      </c>
      <c r="E566">
        <v>97500</v>
      </c>
      <c r="F566">
        <v>598358</v>
      </c>
      <c r="G566">
        <v>125400</v>
      </c>
      <c r="H566">
        <v>732803</v>
      </c>
      <c r="I566">
        <v>39200</v>
      </c>
      <c r="J566">
        <v>729413</v>
      </c>
      <c r="K566">
        <v>45300</v>
      </c>
    </row>
    <row r="567" spans="1:11" x14ac:dyDescent="0.3">
      <c r="A567" t="s">
        <v>576</v>
      </c>
      <c r="B567">
        <v>44850</v>
      </c>
      <c r="C567">
        <v>331400</v>
      </c>
      <c r="D567">
        <v>23857</v>
      </c>
      <c r="E567">
        <v>103900</v>
      </c>
      <c r="F567">
        <v>600445</v>
      </c>
      <c r="G567">
        <v>120300</v>
      </c>
      <c r="H567">
        <v>735650</v>
      </c>
      <c r="I567">
        <v>38100</v>
      </c>
      <c r="J567">
        <v>732298</v>
      </c>
      <c r="K567">
        <v>44800</v>
      </c>
    </row>
    <row r="568" spans="1:11" x14ac:dyDescent="0.3">
      <c r="A568" t="s">
        <v>577</v>
      </c>
      <c r="B568">
        <v>44850</v>
      </c>
      <c r="C568">
        <v>306700</v>
      </c>
      <c r="D568">
        <v>22070</v>
      </c>
      <c r="E568">
        <v>80000</v>
      </c>
      <c r="F568">
        <v>602557</v>
      </c>
      <c r="G568">
        <v>110200</v>
      </c>
      <c r="H568">
        <v>738131</v>
      </c>
      <c r="I568">
        <v>32100</v>
      </c>
      <c r="J568">
        <v>734978</v>
      </c>
      <c r="K568">
        <v>36400</v>
      </c>
    </row>
    <row r="569" spans="1:11" x14ac:dyDescent="0.3">
      <c r="A569" t="s">
        <v>578</v>
      </c>
      <c r="B569">
        <v>44850</v>
      </c>
      <c r="C569">
        <v>293900</v>
      </c>
      <c r="D569">
        <v>22334</v>
      </c>
      <c r="E569">
        <v>81300</v>
      </c>
      <c r="F569">
        <v>604666</v>
      </c>
      <c r="G569">
        <v>112500</v>
      </c>
      <c r="H569">
        <v>740767</v>
      </c>
      <c r="I569">
        <v>32500</v>
      </c>
      <c r="J569">
        <v>737601</v>
      </c>
      <c r="K569">
        <v>38400</v>
      </c>
    </row>
    <row r="570" spans="1:11" x14ac:dyDescent="0.3">
      <c r="A570" t="s">
        <v>579</v>
      </c>
      <c r="B570">
        <v>44850</v>
      </c>
      <c r="C570">
        <v>308600</v>
      </c>
      <c r="D570">
        <v>22725</v>
      </c>
      <c r="E570">
        <v>84800</v>
      </c>
      <c r="F570">
        <v>606763</v>
      </c>
      <c r="G570">
        <v>112300</v>
      </c>
      <c r="H570">
        <v>743387</v>
      </c>
      <c r="I570">
        <v>32700</v>
      </c>
      <c r="J570">
        <v>740238</v>
      </c>
      <c r="K570">
        <v>35800</v>
      </c>
    </row>
    <row r="571" spans="1:11" x14ac:dyDescent="0.3">
      <c r="A571" t="s">
        <v>580</v>
      </c>
      <c r="B571">
        <v>44850</v>
      </c>
      <c r="C571">
        <v>291200</v>
      </c>
      <c r="D571">
        <v>22144</v>
      </c>
      <c r="E571">
        <v>81200</v>
      </c>
      <c r="F571">
        <v>608861</v>
      </c>
      <c r="G571">
        <v>112500</v>
      </c>
      <c r="H571">
        <v>745938</v>
      </c>
      <c r="I571">
        <v>31300</v>
      </c>
      <c r="J571">
        <v>743159</v>
      </c>
      <c r="K571">
        <v>39700</v>
      </c>
    </row>
    <row r="572" spans="1:11" x14ac:dyDescent="0.3">
      <c r="A572" t="s">
        <v>581</v>
      </c>
      <c r="B572">
        <v>44850</v>
      </c>
      <c r="C572">
        <v>271000</v>
      </c>
      <c r="D572">
        <v>23475</v>
      </c>
      <c r="E572">
        <v>90100</v>
      </c>
      <c r="F572">
        <v>610954</v>
      </c>
      <c r="G572">
        <v>122100</v>
      </c>
      <c r="H572">
        <v>748713</v>
      </c>
      <c r="I572">
        <v>31200</v>
      </c>
      <c r="J572">
        <v>745383</v>
      </c>
      <c r="K572">
        <v>36900</v>
      </c>
    </row>
    <row r="573" spans="1:11" x14ac:dyDescent="0.3">
      <c r="A573" t="s">
        <v>582</v>
      </c>
      <c r="B573">
        <v>44850</v>
      </c>
      <c r="C573">
        <v>358400</v>
      </c>
      <c r="D573">
        <v>21605</v>
      </c>
      <c r="E573">
        <v>94100</v>
      </c>
      <c r="F573">
        <v>613048</v>
      </c>
      <c r="G573">
        <v>133300</v>
      </c>
      <c r="H573">
        <v>751277</v>
      </c>
      <c r="I573">
        <v>38500</v>
      </c>
      <c r="J573">
        <v>747993</v>
      </c>
      <c r="K573">
        <v>44700</v>
      </c>
    </row>
    <row r="574" spans="1:11" x14ac:dyDescent="0.3">
      <c r="A574" t="s">
        <v>583</v>
      </c>
      <c r="B574">
        <v>44850</v>
      </c>
      <c r="C574">
        <v>325400</v>
      </c>
      <c r="D574">
        <v>22717</v>
      </c>
      <c r="E574">
        <v>84600</v>
      </c>
      <c r="F574">
        <v>615162</v>
      </c>
      <c r="G574">
        <v>106200</v>
      </c>
      <c r="H574">
        <v>753607</v>
      </c>
      <c r="I574">
        <v>31400</v>
      </c>
      <c r="J574">
        <v>750492</v>
      </c>
      <c r="K574">
        <v>36400</v>
      </c>
    </row>
    <row r="575" spans="1:11" x14ac:dyDescent="0.3">
      <c r="A575" t="s">
        <v>584</v>
      </c>
      <c r="B575">
        <v>44850</v>
      </c>
      <c r="C575">
        <v>285000</v>
      </c>
      <c r="D575">
        <v>23143</v>
      </c>
      <c r="E575">
        <v>83200</v>
      </c>
      <c r="F575">
        <v>617273</v>
      </c>
      <c r="G575">
        <v>127800</v>
      </c>
      <c r="H575">
        <v>756292</v>
      </c>
      <c r="I575">
        <v>32100</v>
      </c>
      <c r="J575">
        <v>753384</v>
      </c>
      <c r="K575">
        <v>36100</v>
      </c>
    </row>
    <row r="576" spans="1:11" x14ac:dyDescent="0.3">
      <c r="A576" t="s">
        <v>585</v>
      </c>
      <c r="B576">
        <v>44850</v>
      </c>
      <c r="C576">
        <v>284400</v>
      </c>
      <c r="D576">
        <v>22407</v>
      </c>
      <c r="E576">
        <v>81500</v>
      </c>
      <c r="F576">
        <v>619372</v>
      </c>
      <c r="G576">
        <v>101700</v>
      </c>
      <c r="H576">
        <v>758995</v>
      </c>
      <c r="I576">
        <v>32800</v>
      </c>
      <c r="J576">
        <v>755979</v>
      </c>
      <c r="K576">
        <v>36200</v>
      </c>
    </row>
    <row r="577" spans="1:11" x14ac:dyDescent="0.3">
      <c r="A577" t="s">
        <v>586</v>
      </c>
      <c r="B577">
        <v>44850</v>
      </c>
      <c r="C577">
        <v>266700</v>
      </c>
      <c r="D577">
        <v>21842</v>
      </c>
      <c r="E577">
        <v>81400</v>
      </c>
      <c r="F577">
        <v>621484</v>
      </c>
      <c r="G577">
        <v>114100</v>
      </c>
      <c r="H577">
        <v>761611</v>
      </c>
      <c r="I577">
        <v>32900</v>
      </c>
      <c r="J577">
        <v>758544</v>
      </c>
      <c r="K577">
        <v>36000</v>
      </c>
    </row>
    <row r="578" spans="1:11" x14ac:dyDescent="0.3">
      <c r="A578" t="s">
        <v>587</v>
      </c>
      <c r="B578">
        <v>44850</v>
      </c>
      <c r="C578">
        <v>265000</v>
      </c>
      <c r="D578">
        <v>22117</v>
      </c>
      <c r="E578">
        <v>79700</v>
      </c>
      <c r="F578">
        <v>623593</v>
      </c>
      <c r="G578">
        <v>107400</v>
      </c>
      <c r="H578">
        <v>764179</v>
      </c>
      <c r="I578">
        <v>31100</v>
      </c>
      <c r="J578">
        <v>761157</v>
      </c>
      <c r="K578">
        <v>37200</v>
      </c>
    </row>
    <row r="579" spans="1:11" x14ac:dyDescent="0.3">
      <c r="A579" t="s">
        <v>588</v>
      </c>
      <c r="B579">
        <v>44850</v>
      </c>
      <c r="C579">
        <v>274800</v>
      </c>
      <c r="D579">
        <v>22999</v>
      </c>
      <c r="E579">
        <v>92700</v>
      </c>
      <c r="F579">
        <v>625694</v>
      </c>
      <c r="G579">
        <v>159100</v>
      </c>
      <c r="H579">
        <v>766639</v>
      </c>
      <c r="I579">
        <v>38200</v>
      </c>
      <c r="J579">
        <v>763656</v>
      </c>
      <c r="K579">
        <v>48600</v>
      </c>
    </row>
    <row r="580" spans="1:11" x14ac:dyDescent="0.3">
      <c r="A580" t="s">
        <v>589</v>
      </c>
      <c r="B580">
        <v>44850</v>
      </c>
      <c r="C580">
        <v>295100</v>
      </c>
      <c r="D580">
        <v>23685</v>
      </c>
      <c r="E580">
        <v>85900</v>
      </c>
      <c r="F580">
        <v>627772</v>
      </c>
      <c r="G580">
        <v>110900</v>
      </c>
      <c r="H580">
        <v>769443</v>
      </c>
      <c r="I580">
        <v>32900</v>
      </c>
      <c r="J580">
        <v>766248</v>
      </c>
      <c r="K580">
        <v>36400</v>
      </c>
    </row>
    <row r="581" spans="1:11" x14ac:dyDescent="0.3">
      <c r="A581" t="s">
        <v>590</v>
      </c>
      <c r="B581">
        <v>44850</v>
      </c>
      <c r="C581">
        <v>413700</v>
      </c>
      <c r="D581">
        <v>21028</v>
      </c>
      <c r="E581">
        <v>84600</v>
      </c>
      <c r="F581">
        <v>629876</v>
      </c>
      <c r="G581">
        <v>123700</v>
      </c>
      <c r="H581">
        <v>771956</v>
      </c>
      <c r="I581">
        <v>33000</v>
      </c>
      <c r="J581">
        <v>768804</v>
      </c>
      <c r="K581">
        <v>37400</v>
      </c>
    </row>
    <row r="582" spans="1:11" x14ac:dyDescent="0.3">
      <c r="A582" t="s">
        <v>591</v>
      </c>
      <c r="B582">
        <v>44850</v>
      </c>
      <c r="C582">
        <v>294800</v>
      </c>
      <c r="D582">
        <v>24311</v>
      </c>
      <c r="E582">
        <v>88200</v>
      </c>
      <c r="F582">
        <v>631976</v>
      </c>
      <c r="G582">
        <v>111800</v>
      </c>
      <c r="H582">
        <v>774374</v>
      </c>
      <c r="I582">
        <v>31000</v>
      </c>
      <c r="J582">
        <v>771296</v>
      </c>
      <c r="K582">
        <v>36000</v>
      </c>
    </row>
    <row r="583" spans="1:11" x14ac:dyDescent="0.3">
      <c r="A583" t="s">
        <v>592</v>
      </c>
      <c r="B583">
        <v>44850</v>
      </c>
      <c r="C583">
        <v>295000</v>
      </c>
      <c r="D583">
        <v>24356</v>
      </c>
      <c r="E583">
        <v>93600</v>
      </c>
      <c r="F583">
        <v>634089</v>
      </c>
      <c r="G583">
        <v>117300</v>
      </c>
      <c r="H583">
        <v>777110</v>
      </c>
      <c r="I583">
        <v>39600</v>
      </c>
      <c r="J583">
        <v>773796</v>
      </c>
      <c r="K583">
        <v>48700</v>
      </c>
    </row>
    <row r="584" spans="1:11" x14ac:dyDescent="0.3">
      <c r="A584" t="s">
        <v>593</v>
      </c>
      <c r="B584">
        <v>44850</v>
      </c>
      <c r="C584">
        <v>320700</v>
      </c>
      <c r="D584">
        <v>22503</v>
      </c>
      <c r="E584">
        <v>81800</v>
      </c>
      <c r="F584">
        <v>636173</v>
      </c>
      <c r="G584">
        <v>99400</v>
      </c>
      <c r="H584">
        <v>779781</v>
      </c>
      <c r="I584">
        <v>31800</v>
      </c>
      <c r="J584">
        <v>776154</v>
      </c>
      <c r="K584">
        <v>36500</v>
      </c>
    </row>
    <row r="585" spans="1:11" x14ac:dyDescent="0.3">
      <c r="A585" t="s">
        <v>594</v>
      </c>
      <c r="B585">
        <v>44850</v>
      </c>
      <c r="C585">
        <v>359200</v>
      </c>
      <c r="D585">
        <v>21172</v>
      </c>
      <c r="E585">
        <v>93200</v>
      </c>
      <c r="F585">
        <v>638286</v>
      </c>
      <c r="G585">
        <v>99500</v>
      </c>
      <c r="H585">
        <v>782395</v>
      </c>
      <c r="I585">
        <v>32700</v>
      </c>
      <c r="J585">
        <v>778683</v>
      </c>
      <c r="K585">
        <v>36000</v>
      </c>
    </row>
    <row r="586" spans="1:11" x14ac:dyDescent="0.3">
      <c r="A586" t="s">
        <v>595</v>
      </c>
      <c r="B586">
        <v>44850</v>
      </c>
      <c r="C586">
        <v>300200</v>
      </c>
      <c r="D586">
        <v>23458</v>
      </c>
      <c r="E586">
        <v>85100</v>
      </c>
      <c r="F586">
        <v>640379</v>
      </c>
      <c r="G586">
        <v>111800</v>
      </c>
      <c r="H586">
        <v>784863</v>
      </c>
      <c r="I586">
        <v>32600</v>
      </c>
      <c r="J586">
        <v>781347</v>
      </c>
      <c r="K586">
        <v>38200</v>
      </c>
    </row>
    <row r="587" spans="1:11" x14ac:dyDescent="0.3">
      <c r="A587" t="s">
        <v>596</v>
      </c>
      <c r="B587">
        <v>44850</v>
      </c>
      <c r="C587">
        <v>270800</v>
      </c>
      <c r="D587">
        <v>21426</v>
      </c>
      <c r="E587">
        <v>78200</v>
      </c>
      <c r="F587">
        <v>642471</v>
      </c>
      <c r="G587">
        <v>122000</v>
      </c>
      <c r="H587">
        <v>787069</v>
      </c>
      <c r="I587">
        <v>32000</v>
      </c>
      <c r="J587">
        <v>783719</v>
      </c>
      <c r="K587">
        <v>35100</v>
      </c>
    </row>
    <row r="588" spans="1:11" x14ac:dyDescent="0.3">
      <c r="A588" t="s">
        <v>597</v>
      </c>
      <c r="B588">
        <v>44850</v>
      </c>
      <c r="C588">
        <v>334800</v>
      </c>
      <c r="D588">
        <v>23301</v>
      </c>
      <c r="E588">
        <v>85400</v>
      </c>
      <c r="F588">
        <v>644551</v>
      </c>
      <c r="G588">
        <v>112800</v>
      </c>
      <c r="H588">
        <v>789406</v>
      </c>
      <c r="I588">
        <v>31600</v>
      </c>
      <c r="J588">
        <v>786215</v>
      </c>
      <c r="K588">
        <v>35800</v>
      </c>
    </row>
    <row r="589" spans="1:11" x14ac:dyDescent="0.3">
      <c r="A589" t="s">
        <v>598</v>
      </c>
      <c r="B589">
        <v>44850</v>
      </c>
      <c r="C589">
        <v>351100</v>
      </c>
      <c r="D589">
        <v>20801</v>
      </c>
      <c r="E589">
        <v>95800</v>
      </c>
      <c r="F589">
        <v>646644</v>
      </c>
      <c r="G589">
        <v>139900</v>
      </c>
      <c r="H589">
        <v>791853</v>
      </c>
      <c r="I589">
        <v>38600</v>
      </c>
      <c r="J589">
        <v>789227</v>
      </c>
      <c r="K589">
        <v>47300</v>
      </c>
    </row>
    <row r="590" spans="1:11" x14ac:dyDescent="0.3">
      <c r="A590" t="s">
        <v>599</v>
      </c>
      <c r="B590">
        <v>44850</v>
      </c>
      <c r="C590">
        <v>280600</v>
      </c>
      <c r="D590">
        <v>23978</v>
      </c>
      <c r="E590">
        <v>88600</v>
      </c>
      <c r="F590">
        <v>648744</v>
      </c>
      <c r="G590">
        <v>110700</v>
      </c>
      <c r="H590">
        <v>794447</v>
      </c>
      <c r="I590">
        <v>33200</v>
      </c>
      <c r="J590">
        <v>791507</v>
      </c>
      <c r="K590">
        <v>35800</v>
      </c>
    </row>
    <row r="591" spans="1:11" x14ac:dyDescent="0.3">
      <c r="A591" t="s">
        <v>600</v>
      </c>
      <c r="B591">
        <v>44850</v>
      </c>
      <c r="C591">
        <v>292500</v>
      </c>
      <c r="D591">
        <v>21372</v>
      </c>
      <c r="E591">
        <v>80000</v>
      </c>
      <c r="F591">
        <v>650834</v>
      </c>
      <c r="G591">
        <v>110700</v>
      </c>
      <c r="H591">
        <v>796919</v>
      </c>
      <c r="I591">
        <v>32700</v>
      </c>
      <c r="J591">
        <v>794268</v>
      </c>
      <c r="K591">
        <v>42800</v>
      </c>
    </row>
    <row r="592" spans="1:11" x14ac:dyDescent="0.3">
      <c r="A592" t="s">
        <v>601</v>
      </c>
      <c r="B592">
        <v>44850</v>
      </c>
      <c r="C592">
        <v>393200</v>
      </c>
      <c r="D592">
        <v>23903</v>
      </c>
      <c r="E592">
        <v>88900</v>
      </c>
      <c r="F592">
        <v>652927</v>
      </c>
      <c r="G592">
        <v>138300</v>
      </c>
      <c r="H592">
        <v>799422</v>
      </c>
      <c r="I592">
        <v>33000</v>
      </c>
      <c r="J592">
        <v>796812</v>
      </c>
      <c r="K592">
        <v>37900</v>
      </c>
    </row>
    <row r="593" spans="1:11" x14ac:dyDescent="0.3">
      <c r="A593" t="s">
        <v>602</v>
      </c>
      <c r="B593">
        <v>44850</v>
      </c>
      <c r="C593">
        <v>315300</v>
      </c>
      <c r="D593">
        <v>23268</v>
      </c>
      <c r="E593">
        <v>101200</v>
      </c>
      <c r="F593">
        <v>655033</v>
      </c>
      <c r="G593">
        <v>119500</v>
      </c>
      <c r="H593">
        <v>801809</v>
      </c>
      <c r="I593">
        <v>39200</v>
      </c>
      <c r="J593">
        <v>799131</v>
      </c>
      <c r="K593">
        <v>44300</v>
      </c>
    </row>
    <row r="594" spans="1:11" x14ac:dyDescent="0.3">
      <c r="A594" t="s">
        <v>603</v>
      </c>
      <c r="B594">
        <v>44850</v>
      </c>
      <c r="C594">
        <v>299400</v>
      </c>
      <c r="D594">
        <v>23619</v>
      </c>
      <c r="E594">
        <v>88100</v>
      </c>
      <c r="F594">
        <v>657142</v>
      </c>
      <c r="G594">
        <v>100700</v>
      </c>
      <c r="H594">
        <v>804388</v>
      </c>
      <c r="I594">
        <v>32300</v>
      </c>
      <c r="J594">
        <v>801597</v>
      </c>
      <c r="K594">
        <v>36900</v>
      </c>
    </row>
    <row r="595" spans="1:11" x14ac:dyDescent="0.3">
      <c r="A595" t="s">
        <v>604</v>
      </c>
      <c r="B595">
        <v>44850</v>
      </c>
      <c r="C595">
        <v>286600</v>
      </c>
      <c r="D595">
        <v>20943</v>
      </c>
      <c r="E595">
        <v>81700</v>
      </c>
      <c r="F595">
        <v>659245</v>
      </c>
      <c r="G595">
        <v>124900</v>
      </c>
      <c r="H595">
        <v>806819</v>
      </c>
      <c r="I595">
        <v>44300</v>
      </c>
      <c r="J595">
        <v>804101</v>
      </c>
      <c r="K595">
        <v>67100</v>
      </c>
    </row>
    <row r="596" spans="1:11" x14ac:dyDescent="0.3">
      <c r="A596" t="s">
        <v>605</v>
      </c>
      <c r="B596">
        <v>44850</v>
      </c>
      <c r="C596">
        <v>278800</v>
      </c>
      <c r="D596">
        <v>24160</v>
      </c>
      <c r="E596">
        <v>87900</v>
      </c>
      <c r="F596">
        <v>661349</v>
      </c>
      <c r="G596">
        <v>111800</v>
      </c>
      <c r="H596">
        <v>809499</v>
      </c>
      <c r="I596">
        <v>32500</v>
      </c>
      <c r="J596">
        <v>806362</v>
      </c>
      <c r="K596">
        <v>37100</v>
      </c>
    </row>
    <row r="597" spans="1:11" x14ac:dyDescent="0.3">
      <c r="A597" t="s">
        <v>606</v>
      </c>
      <c r="B597">
        <v>44850</v>
      </c>
      <c r="C597">
        <v>298600</v>
      </c>
      <c r="D597">
        <v>23747</v>
      </c>
      <c r="E597">
        <v>86000</v>
      </c>
      <c r="F597">
        <v>663423</v>
      </c>
      <c r="G597">
        <v>108000</v>
      </c>
      <c r="H597">
        <v>811936</v>
      </c>
      <c r="I597">
        <v>31800</v>
      </c>
      <c r="J597">
        <v>808898</v>
      </c>
      <c r="K597">
        <v>36600</v>
      </c>
    </row>
    <row r="598" spans="1:11" x14ac:dyDescent="0.3">
      <c r="A598" t="s">
        <v>607</v>
      </c>
      <c r="B598">
        <v>44850</v>
      </c>
      <c r="C598">
        <v>292400</v>
      </c>
      <c r="D598">
        <v>23599</v>
      </c>
      <c r="E598">
        <v>84800</v>
      </c>
      <c r="F598">
        <v>665528</v>
      </c>
      <c r="G598">
        <v>106100</v>
      </c>
      <c r="H598">
        <v>814361</v>
      </c>
      <c r="I598">
        <v>31500</v>
      </c>
      <c r="J598">
        <v>811832</v>
      </c>
      <c r="K598">
        <v>36600</v>
      </c>
    </row>
    <row r="599" spans="1:11" x14ac:dyDescent="0.3">
      <c r="A599" t="s">
        <v>608</v>
      </c>
      <c r="B599">
        <v>44850</v>
      </c>
      <c r="C599">
        <v>301900</v>
      </c>
      <c r="D599">
        <v>21557</v>
      </c>
      <c r="E599">
        <v>79600</v>
      </c>
      <c r="F599">
        <v>667612</v>
      </c>
      <c r="G599">
        <v>103200</v>
      </c>
      <c r="H599">
        <v>817300</v>
      </c>
      <c r="I599">
        <v>32600</v>
      </c>
      <c r="J599">
        <v>814443</v>
      </c>
      <c r="K599">
        <v>36100</v>
      </c>
    </row>
    <row r="600" spans="1:11" x14ac:dyDescent="0.3">
      <c r="A600" t="s">
        <v>609</v>
      </c>
      <c r="B600">
        <v>44850</v>
      </c>
      <c r="C600">
        <v>282500</v>
      </c>
      <c r="D600">
        <v>23088</v>
      </c>
      <c r="E600">
        <v>83700</v>
      </c>
      <c r="F600">
        <v>669707</v>
      </c>
      <c r="G600">
        <v>111400</v>
      </c>
      <c r="H600">
        <v>819794</v>
      </c>
      <c r="I600">
        <v>30700</v>
      </c>
      <c r="J600">
        <v>817103</v>
      </c>
      <c r="K600">
        <v>36600</v>
      </c>
    </row>
    <row r="601" spans="1:11" x14ac:dyDescent="0.3">
      <c r="A601" t="s">
        <v>610</v>
      </c>
      <c r="B601">
        <v>44850</v>
      </c>
      <c r="C601">
        <v>299900</v>
      </c>
      <c r="D601">
        <v>24355</v>
      </c>
      <c r="E601">
        <v>87100</v>
      </c>
      <c r="F601">
        <v>671818</v>
      </c>
      <c r="G601">
        <v>107800</v>
      </c>
      <c r="H601">
        <v>822349</v>
      </c>
      <c r="I601">
        <v>31200</v>
      </c>
      <c r="J601">
        <v>819426</v>
      </c>
      <c r="K601">
        <v>36100</v>
      </c>
    </row>
    <row r="602" spans="1:11" x14ac:dyDescent="0.3">
      <c r="A602" t="s">
        <v>611</v>
      </c>
      <c r="B602">
        <v>61075</v>
      </c>
      <c r="C602">
        <v>382700</v>
      </c>
      <c r="D602">
        <v>31314</v>
      </c>
      <c r="E602">
        <v>111600</v>
      </c>
      <c r="F602">
        <v>674352</v>
      </c>
      <c r="G602">
        <v>124200</v>
      </c>
      <c r="H602">
        <v>825560</v>
      </c>
      <c r="I602">
        <v>37300</v>
      </c>
      <c r="J602">
        <v>822255</v>
      </c>
      <c r="K602">
        <v>39600</v>
      </c>
    </row>
    <row r="603" spans="1:11" x14ac:dyDescent="0.3">
      <c r="A603" t="s">
        <v>612</v>
      </c>
      <c r="B603">
        <v>61075</v>
      </c>
      <c r="C603">
        <v>430200</v>
      </c>
      <c r="D603">
        <v>30217</v>
      </c>
      <c r="E603">
        <v>110700</v>
      </c>
      <c r="F603">
        <v>676882</v>
      </c>
      <c r="G603">
        <v>121800</v>
      </c>
      <c r="H603">
        <v>828585</v>
      </c>
      <c r="I603">
        <v>36900</v>
      </c>
      <c r="J603">
        <v>825486</v>
      </c>
      <c r="K603">
        <v>42500</v>
      </c>
    </row>
    <row r="604" spans="1:11" x14ac:dyDescent="0.3">
      <c r="A604" t="s">
        <v>613</v>
      </c>
      <c r="B604">
        <v>61075</v>
      </c>
      <c r="C604">
        <v>507300</v>
      </c>
      <c r="D604">
        <v>30550</v>
      </c>
      <c r="E604">
        <v>139200</v>
      </c>
      <c r="F604">
        <v>679397</v>
      </c>
      <c r="G604">
        <v>129500</v>
      </c>
      <c r="H604">
        <v>831932</v>
      </c>
      <c r="I604">
        <v>36000</v>
      </c>
      <c r="J604">
        <v>828469</v>
      </c>
      <c r="K604">
        <v>47100</v>
      </c>
    </row>
    <row r="605" spans="1:11" x14ac:dyDescent="0.3">
      <c r="A605" t="s">
        <v>614</v>
      </c>
      <c r="B605">
        <v>61075</v>
      </c>
      <c r="C605">
        <v>420600</v>
      </c>
      <c r="D605">
        <v>32260</v>
      </c>
      <c r="E605">
        <v>115200</v>
      </c>
      <c r="F605">
        <v>681923</v>
      </c>
      <c r="G605">
        <v>118100</v>
      </c>
      <c r="H605">
        <v>835459</v>
      </c>
      <c r="I605">
        <v>38600</v>
      </c>
      <c r="J605">
        <v>831412</v>
      </c>
      <c r="K605">
        <v>43800</v>
      </c>
    </row>
    <row r="606" spans="1:11" x14ac:dyDescent="0.3">
      <c r="A606" t="s">
        <v>615</v>
      </c>
      <c r="B606">
        <v>61075</v>
      </c>
      <c r="C606">
        <v>457300</v>
      </c>
      <c r="D606">
        <v>29451</v>
      </c>
      <c r="E606">
        <v>126800</v>
      </c>
      <c r="F606">
        <v>684440</v>
      </c>
      <c r="G606">
        <v>156100</v>
      </c>
      <c r="H606">
        <v>838880</v>
      </c>
      <c r="I606">
        <v>46200</v>
      </c>
      <c r="J606">
        <v>834520</v>
      </c>
      <c r="K606">
        <v>50700</v>
      </c>
    </row>
    <row r="607" spans="1:11" x14ac:dyDescent="0.3">
      <c r="A607" t="s">
        <v>616</v>
      </c>
      <c r="B607">
        <v>61075</v>
      </c>
      <c r="C607">
        <v>442600</v>
      </c>
      <c r="D607">
        <v>31745</v>
      </c>
      <c r="E607">
        <v>136300</v>
      </c>
      <c r="F607">
        <v>686961</v>
      </c>
      <c r="G607">
        <v>160300</v>
      </c>
      <c r="H607">
        <v>842530</v>
      </c>
      <c r="I607">
        <v>47800</v>
      </c>
      <c r="J607">
        <v>837518</v>
      </c>
      <c r="K607">
        <v>52600</v>
      </c>
    </row>
    <row r="608" spans="1:11" x14ac:dyDescent="0.3">
      <c r="A608" t="s">
        <v>617</v>
      </c>
      <c r="B608">
        <v>61075</v>
      </c>
      <c r="C608">
        <v>491000</v>
      </c>
      <c r="D608">
        <v>30577</v>
      </c>
      <c r="E608">
        <v>117000</v>
      </c>
      <c r="F608">
        <v>689488</v>
      </c>
      <c r="G608">
        <v>134100</v>
      </c>
      <c r="H608">
        <v>845678</v>
      </c>
      <c r="I608">
        <v>43800</v>
      </c>
      <c r="J608">
        <v>840846</v>
      </c>
      <c r="K608">
        <v>44000</v>
      </c>
    </row>
    <row r="609" spans="1:11" x14ac:dyDescent="0.3">
      <c r="A609" t="s">
        <v>618</v>
      </c>
      <c r="B609">
        <v>61075</v>
      </c>
      <c r="C609">
        <v>443900</v>
      </c>
      <c r="D609">
        <v>31203</v>
      </c>
      <c r="E609">
        <v>113600</v>
      </c>
      <c r="F609">
        <v>691985</v>
      </c>
      <c r="G609">
        <v>122800</v>
      </c>
      <c r="H609">
        <v>848533</v>
      </c>
      <c r="I609">
        <v>36200</v>
      </c>
      <c r="J609">
        <v>843843</v>
      </c>
      <c r="K609">
        <v>41500</v>
      </c>
    </row>
    <row r="610" spans="1:11" x14ac:dyDescent="0.3">
      <c r="A610" t="s">
        <v>619</v>
      </c>
      <c r="B610">
        <v>61075</v>
      </c>
      <c r="C610">
        <v>406200</v>
      </c>
      <c r="D610">
        <v>32006</v>
      </c>
      <c r="E610">
        <v>113500</v>
      </c>
      <c r="F610">
        <v>694493</v>
      </c>
      <c r="G610">
        <v>122500</v>
      </c>
      <c r="H610">
        <v>851343</v>
      </c>
      <c r="I610">
        <v>36300</v>
      </c>
      <c r="J610">
        <v>846855</v>
      </c>
      <c r="K610">
        <v>42600</v>
      </c>
    </row>
    <row r="611" spans="1:11" x14ac:dyDescent="0.3">
      <c r="A611" t="s">
        <v>620</v>
      </c>
      <c r="B611">
        <v>61075</v>
      </c>
      <c r="C611">
        <v>423500</v>
      </c>
      <c r="D611">
        <v>33111</v>
      </c>
      <c r="E611">
        <v>117600</v>
      </c>
      <c r="F611">
        <v>697035</v>
      </c>
      <c r="G611">
        <v>123200</v>
      </c>
      <c r="H611">
        <v>854431</v>
      </c>
      <c r="I611">
        <v>37400</v>
      </c>
      <c r="J611">
        <v>850077</v>
      </c>
      <c r="K611">
        <v>43200</v>
      </c>
    </row>
    <row r="612" spans="1:11" x14ac:dyDescent="0.3">
      <c r="A612" t="s">
        <v>621</v>
      </c>
      <c r="B612">
        <v>61075</v>
      </c>
      <c r="C612">
        <v>375200</v>
      </c>
      <c r="D612">
        <v>31033</v>
      </c>
      <c r="E612">
        <v>110600</v>
      </c>
      <c r="F612">
        <v>699552</v>
      </c>
      <c r="G612">
        <v>128300</v>
      </c>
      <c r="H612">
        <v>858196</v>
      </c>
      <c r="I612">
        <v>38000</v>
      </c>
      <c r="J612">
        <v>853250</v>
      </c>
      <c r="K612">
        <v>42800</v>
      </c>
    </row>
    <row r="613" spans="1:11" x14ac:dyDescent="0.3">
      <c r="A613" t="s">
        <v>622</v>
      </c>
      <c r="B613">
        <v>61075</v>
      </c>
      <c r="C613">
        <v>416500</v>
      </c>
      <c r="D613">
        <v>31440</v>
      </c>
      <c r="E613">
        <v>112000</v>
      </c>
      <c r="F613">
        <v>702083</v>
      </c>
      <c r="G613">
        <v>123700</v>
      </c>
      <c r="H613">
        <v>861145</v>
      </c>
      <c r="I613">
        <v>38000</v>
      </c>
      <c r="J613">
        <v>856459</v>
      </c>
      <c r="K613">
        <v>42600</v>
      </c>
    </row>
    <row r="614" spans="1:11" x14ac:dyDescent="0.3">
      <c r="A614" t="s">
        <v>623</v>
      </c>
      <c r="B614">
        <v>61075</v>
      </c>
      <c r="C614">
        <v>412700</v>
      </c>
      <c r="D614">
        <v>30008</v>
      </c>
      <c r="E614">
        <v>109600</v>
      </c>
      <c r="F614">
        <v>704608</v>
      </c>
      <c r="G614">
        <v>115100</v>
      </c>
      <c r="H614">
        <v>864128</v>
      </c>
      <c r="I614">
        <v>37500</v>
      </c>
      <c r="J614">
        <v>859812</v>
      </c>
      <c r="K614">
        <v>42500</v>
      </c>
    </row>
    <row r="615" spans="1:11" x14ac:dyDescent="0.3">
      <c r="A615" t="s">
        <v>624</v>
      </c>
      <c r="B615">
        <v>61075</v>
      </c>
      <c r="C615">
        <v>426400</v>
      </c>
      <c r="D615">
        <v>30958</v>
      </c>
      <c r="E615">
        <v>113600</v>
      </c>
      <c r="F615">
        <v>707149</v>
      </c>
      <c r="G615">
        <v>124200</v>
      </c>
      <c r="H615">
        <v>867021</v>
      </c>
      <c r="I615">
        <v>36200</v>
      </c>
      <c r="J615">
        <v>862825</v>
      </c>
      <c r="K615">
        <v>42000</v>
      </c>
    </row>
    <row r="616" spans="1:11" x14ac:dyDescent="0.3">
      <c r="A616" t="s">
        <v>625</v>
      </c>
      <c r="B616">
        <v>61075</v>
      </c>
      <c r="C616">
        <v>370100</v>
      </c>
      <c r="D616">
        <v>33354</v>
      </c>
      <c r="E616">
        <v>121200</v>
      </c>
      <c r="F616">
        <v>709678</v>
      </c>
      <c r="G616">
        <v>139800</v>
      </c>
      <c r="H616">
        <v>869775</v>
      </c>
      <c r="I616">
        <v>36300</v>
      </c>
      <c r="J616">
        <v>865704</v>
      </c>
      <c r="K616">
        <v>42900</v>
      </c>
    </row>
    <row r="617" spans="1:11" x14ac:dyDescent="0.3">
      <c r="A617" t="s">
        <v>626</v>
      </c>
      <c r="B617">
        <v>61075</v>
      </c>
      <c r="C617">
        <v>398600</v>
      </c>
      <c r="D617">
        <v>31248</v>
      </c>
      <c r="E617">
        <v>111400</v>
      </c>
      <c r="F617">
        <v>712208</v>
      </c>
      <c r="G617">
        <v>123100</v>
      </c>
      <c r="H617">
        <v>872735</v>
      </c>
      <c r="I617">
        <v>37300</v>
      </c>
      <c r="J617">
        <v>868881</v>
      </c>
      <c r="K617">
        <v>41900</v>
      </c>
    </row>
    <row r="618" spans="1:11" x14ac:dyDescent="0.3">
      <c r="A618" t="s">
        <v>627</v>
      </c>
      <c r="B618">
        <v>61075</v>
      </c>
      <c r="C618">
        <v>394000</v>
      </c>
      <c r="D618">
        <v>32480</v>
      </c>
      <c r="E618">
        <v>115400</v>
      </c>
      <c r="F618">
        <v>714729</v>
      </c>
      <c r="G618">
        <v>122900</v>
      </c>
      <c r="H618">
        <v>876688</v>
      </c>
      <c r="I618">
        <v>39300</v>
      </c>
      <c r="J618">
        <v>871885</v>
      </c>
      <c r="K618">
        <v>42300</v>
      </c>
    </row>
    <row r="619" spans="1:11" x14ac:dyDescent="0.3">
      <c r="A619" t="s">
        <v>628</v>
      </c>
      <c r="B619">
        <v>61075</v>
      </c>
      <c r="C619">
        <v>485000</v>
      </c>
      <c r="D619">
        <v>30764</v>
      </c>
      <c r="E619">
        <v>132200</v>
      </c>
      <c r="F619">
        <v>717274</v>
      </c>
      <c r="G619">
        <v>153700</v>
      </c>
      <c r="H619">
        <v>879637</v>
      </c>
      <c r="I619">
        <v>45100</v>
      </c>
      <c r="J619">
        <v>874933</v>
      </c>
      <c r="K619">
        <v>52200</v>
      </c>
    </row>
    <row r="620" spans="1:11" x14ac:dyDescent="0.3">
      <c r="A620" t="s">
        <v>629</v>
      </c>
      <c r="B620">
        <v>61075</v>
      </c>
      <c r="C620">
        <v>390700</v>
      </c>
      <c r="D620">
        <v>31130</v>
      </c>
      <c r="E620">
        <v>111500</v>
      </c>
      <c r="F620">
        <v>719798</v>
      </c>
      <c r="G620">
        <v>128600</v>
      </c>
      <c r="H620">
        <v>882646</v>
      </c>
      <c r="I620">
        <v>37900</v>
      </c>
      <c r="J620">
        <v>877959</v>
      </c>
      <c r="K620">
        <v>44500</v>
      </c>
    </row>
    <row r="621" spans="1:11" x14ac:dyDescent="0.3">
      <c r="A621" t="s">
        <v>630</v>
      </c>
      <c r="B621">
        <v>61075</v>
      </c>
      <c r="C621">
        <v>522500</v>
      </c>
      <c r="D621">
        <v>29645</v>
      </c>
      <c r="E621">
        <v>124400</v>
      </c>
      <c r="F621">
        <v>722323</v>
      </c>
      <c r="G621">
        <v>128800</v>
      </c>
      <c r="H621">
        <v>885825</v>
      </c>
      <c r="I621">
        <v>36400</v>
      </c>
      <c r="J621">
        <v>880756</v>
      </c>
      <c r="K621">
        <v>43300</v>
      </c>
    </row>
    <row r="622" spans="1:11" x14ac:dyDescent="0.3">
      <c r="A622" t="s">
        <v>631</v>
      </c>
      <c r="B622">
        <v>61075</v>
      </c>
      <c r="C622">
        <v>431400</v>
      </c>
      <c r="D622">
        <v>30151</v>
      </c>
      <c r="E622">
        <v>111400</v>
      </c>
      <c r="F622">
        <v>724851</v>
      </c>
      <c r="G622">
        <v>148700</v>
      </c>
      <c r="H622">
        <v>888700</v>
      </c>
      <c r="I622">
        <v>37400</v>
      </c>
      <c r="J622">
        <v>884019</v>
      </c>
      <c r="K622">
        <v>43400</v>
      </c>
    </row>
    <row r="623" spans="1:11" x14ac:dyDescent="0.3">
      <c r="A623" t="s">
        <v>632</v>
      </c>
      <c r="B623">
        <v>61075</v>
      </c>
      <c r="C623">
        <v>563900</v>
      </c>
      <c r="D623">
        <v>30479</v>
      </c>
      <c r="E623">
        <v>190100</v>
      </c>
      <c r="F623">
        <v>727384</v>
      </c>
      <c r="G623">
        <v>142000</v>
      </c>
      <c r="H623">
        <v>891950</v>
      </c>
      <c r="I623">
        <v>38900</v>
      </c>
      <c r="J623">
        <v>887267</v>
      </c>
      <c r="K623">
        <v>44000</v>
      </c>
    </row>
    <row r="624" spans="1:11" x14ac:dyDescent="0.3">
      <c r="A624" t="s">
        <v>633</v>
      </c>
      <c r="B624">
        <v>61075</v>
      </c>
      <c r="C624">
        <v>407100</v>
      </c>
      <c r="D624">
        <v>30035</v>
      </c>
      <c r="E624">
        <v>107300</v>
      </c>
      <c r="F624">
        <v>729895</v>
      </c>
      <c r="G624">
        <v>124800</v>
      </c>
      <c r="H624">
        <v>894807</v>
      </c>
      <c r="I624">
        <v>36200</v>
      </c>
      <c r="J624">
        <v>890197</v>
      </c>
      <c r="K624">
        <v>43000</v>
      </c>
    </row>
    <row r="625" spans="1:11" x14ac:dyDescent="0.3">
      <c r="A625" t="s">
        <v>634</v>
      </c>
      <c r="B625">
        <v>61075</v>
      </c>
      <c r="C625">
        <v>378100</v>
      </c>
      <c r="D625">
        <v>30339</v>
      </c>
      <c r="E625">
        <v>110600</v>
      </c>
      <c r="F625">
        <v>732418</v>
      </c>
      <c r="G625">
        <v>122400</v>
      </c>
      <c r="H625">
        <v>898296</v>
      </c>
      <c r="I625">
        <v>39300</v>
      </c>
      <c r="J625">
        <v>893040</v>
      </c>
      <c r="K625">
        <v>41900</v>
      </c>
    </row>
    <row r="626" spans="1:11" x14ac:dyDescent="0.3">
      <c r="A626" t="s">
        <v>635</v>
      </c>
      <c r="B626">
        <v>61075</v>
      </c>
      <c r="C626">
        <v>412900</v>
      </c>
      <c r="D626">
        <v>31900</v>
      </c>
      <c r="E626">
        <v>113200</v>
      </c>
      <c r="F626">
        <v>734916</v>
      </c>
      <c r="G626">
        <v>123500</v>
      </c>
      <c r="H626">
        <v>901412</v>
      </c>
      <c r="I626">
        <v>36100</v>
      </c>
      <c r="J626">
        <v>896417</v>
      </c>
      <c r="K626">
        <v>44200</v>
      </c>
    </row>
    <row r="627" spans="1:11" x14ac:dyDescent="0.3">
      <c r="A627" t="s">
        <v>636</v>
      </c>
      <c r="B627">
        <v>61075</v>
      </c>
      <c r="C627">
        <v>430300</v>
      </c>
      <c r="D627">
        <v>27982</v>
      </c>
      <c r="E627">
        <v>106900</v>
      </c>
      <c r="F627">
        <v>737430</v>
      </c>
      <c r="G627">
        <v>115800</v>
      </c>
      <c r="H627">
        <v>904354</v>
      </c>
      <c r="I627">
        <v>37000</v>
      </c>
      <c r="J627">
        <v>899733</v>
      </c>
      <c r="K627">
        <v>47000</v>
      </c>
    </row>
    <row r="628" spans="1:11" x14ac:dyDescent="0.3">
      <c r="A628" t="s">
        <v>637</v>
      </c>
      <c r="B628">
        <v>61075</v>
      </c>
      <c r="C628">
        <v>431300</v>
      </c>
      <c r="D628">
        <v>31609</v>
      </c>
      <c r="E628">
        <v>112600</v>
      </c>
      <c r="F628">
        <v>739938</v>
      </c>
      <c r="G628">
        <v>126200</v>
      </c>
      <c r="H628">
        <v>907651</v>
      </c>
      <c r="I628">
        <v>38100</v>
      </c>
      <c r="J628">
        <v>902636</v>
      </c>
      <c r="K628">
        <v>41800</v>
      </c>
    </row>
    <row r="629" spans="1:11" x14ac:dyDescent="0.3">
      <c r="A629" t="s">
        <v>638</v>
      </c>
      <c r="B629">
        <v>61075</v>
      </c>
      <c r="C629">
        <v>385300</v>
      </c>
      <c r="D629">
        <v>30334</v>
      </c>
      <c r="E629">
        <v>110300</v>
      </c>
      <c r="F629">
        <v>742471</v>
      </c>
      <c r="G629">
        <v>122700</v>
      </c>
      <c r="H629">
        <v>910992</v>
      </c>
      <c r="I629">
        <v>36000</v>
      </c>
      <c r="J629">
        <v>905673</v>
      </c>
      <c r="K629">
        <v>41600</v>
      </c>
    </row>
    <row r="630" spans="1:11" x14ac:dyDescent="0.3">
      <c r="A630" t="s">
        <v>639</v>
      </c>
      <c r="B630">
        <v>61075</v>
      </c>
      <c r="C630">
        <v>435700</v>
      </c>
      <c r="D630">
        <v>29980</v>
      </c>
      <c r="E630">
        <v>109500</v>
      </c>
      <c r="F630">
        <v>745007</v>
      </c>
      <c r="G630">
        <v>123600</v>
      </c>
      <c r="H630">
        <v>913819</v>
      </c>
      <c r="I630">
        <v>36400</v>
      </c>
      <c r="J630">
        <v>908762</v>
      </c>
      <c r="K630">
        <v>42600</v>
      </c>
    </row>
    <row r="631" spans="1:11" x14ac:dyDescent="0.3">
      <c r="A631" t="s">
        <v>640</v>
      </c>
      <c r="B631">
        <v>61075</v>
      </c>
      <c r="C631">
        <v>421800</v>
      </c>
      <c r="D631">
        <v>28634</v>
      </c>
      <c r="E631">
        <v>102500</v>
      </c>
      <c r="F631">
        <v>747518</v>
      </c>
      <c r="G631">
        <v>132300</v>
      </c>
      <c r="H631">
        <v>916728</v>
      </c>
      <c r="I631">
        <v>38200</v>
      </c>
      <c r="J631">
        <v>911991</v>
      </c>
      <c r="K631">
        <v>42600</v>
      </c>
    </row>
    <row r="632" spans="1:11" x14ac:dyDescent="0.3">
      <c r="A632" t="s">
        <v>641</v>
      </c>
      <c r="B632">
        <v>61075</v>
      </c>
      <c r="C632">
        <v>392700</v>
      </c>
      <c r="D632">
        <v>29805</v>
      </c>
      <c r="E632">
        <v>106500</v>
      </c>
      <c r="F632">
        <v>750060</v>
      </c>
      <c r="G632">
        <v>126700</v>
      </c>
      <c r="H632">
        <v>920368</v>
      </c>
      <c r="I632">
        <v>38000</v>
      </c>
      <c r="J632">
        <v>915000</v>
      </c>
      <c r="K632">
        <v>41200</v>
      </c>
    </row>
    <row r="633" spans="1:11" x14ac:dyDescent="0.3">
      <c r="A633" t="s">
        <v>642</v>
      </c>
      <c r="B633">
        <v>61075</v>
      </c>
      <c r="C633">
        <v>424400</v>
      </c>
      <c r="D633">
        <v>29586</v>
      </c>
      <c r="E633">
        <v>105600</v>
      </c>
      <c r="F633">
        <v>752594</v>
      </c>
      <c r="G633">
        <v>121900</v>
      </c>
      <c r="H633">
        <v>923262</v>
      </c>
      <c r="I633">
        <v>37300</v>
      </c>
      <c r="J633">
        <v>918029</v>
      </c>
      <c r="K633">
        <v>42100</v>
      </c>
    </row>
    <row r="634" spans="1:11" x14ac:dyDescent="0.3">
      <c r="A634" t="s">
        <v>643</v>
      </c>
      <c r="B634">
        <v>61075</v>
      </c>
      <c r="C634">
        <v>424800</v>
      </c>
      <c r="D634">
        <v>30532</v>
      </c>
      <c r="E634">
        <v>131600</v>
      </c>
      <c r="F634">
        <v>755125</v>
      </c>
      <c r="G634">
        <v>153000</v>
      </c>
      <c r="H634">
        <v>926650</v>
      </c>
      <c r="I634">
        <v>43900</v>
      </c>
      <c r="J634">
        <v>920884</v>
      </c>
      <c r="K634">
        <v>51900</v>
      </c>
    </row>
    <row r="635" spans="1:11" x14ac:dyDescent="0.3">
      <c r="A635" t="s">
        <v>644</v>
      </c>
      <c r="B635">
        <v>61075</v>
      </c>
      <c r="C635">
        <v>507300</v>
      </c>
      <c r="D635">
        <v>30595</v>
      </c>
      <c r="E635">
        <v>188500</v>
      </c>
      <c r="F635">
        <v>757656</v>
      </c>
      <c r="G635">
        <v>200400</v>
      </c>
      <c r="H635">
        <v>929720</v>
      </c>
      <c r="I635">
        <v>42800</v>
      </c>
      <c r="J635">
        <v>923958</v>
      </c>
      <c r="K635">
        <v>43500</v>
      </c>
    </row>
    <row r="636" spans="1:11" x14ac:dyDescent="0.3">
      <c r="A636" t="s">
        <v>645</v>
      </c>
      <c r="B636">
        <v>61075</v>
      </c>
      <c r="C636">
        <v>398300</v>
      </c>
      <c r="D636">
        <v>30831</v>
      </c>
      <c r="E636">
        <v>113600</v>
      </c>
      <c r="F636">
        <v>760178</v>
      </c>
      <c r="G636">
        <v>115600</v>
      </c>
      <c r="H636">
        <v>932782</v>
      </c>
      <c r="I636">
        <v>36500</v>
      </c>
      <c r="J636">
        <v>926953</v>
      </c>
      <c r="K636">
        <v>42300</v>
      </c>
    </row>
    <row r="637" spans="1:11" x14ac:dyDescent="0.3">
      <c r="A637" t="s">
        <v>646</v>
      </c>
      <c r="B637">
        <v>61075</v>
      </c>
      <c r="C637">
        <v>488000</v>
      </c>
      <c r="D637">
        <v>30931</v>
      </c>
      <c r="E637">
        <v>132700</v>
      </c>
      <c r="F637">
        <v>762698</v>
      </c>
      <c r="G637">
        <v>154600</v>
      </c>
      <c r="H637">
        <v>936042</v>
      </c>
      <c r="I637">
        <v>46800</v>
      </c>
      <c r="J637">
        <v>929909</v>
      </c>
      <c r="K637">
        <v>57700</v>
      </c>
    </row>
    <row r="638" spans="1:11" x14ac:dyDescent="0.3">
      <c r="A638" t="s">
        <v>647</v>
      </c>
      <c r="B638">
        <v>61075</v>
      </c>
      <c r="C638">
        <v>424500</v>
      </c>
      <c r="D638">
        <v>29362</v>
      </c>
      <c r="E638">
        <v>108200</v>
      </c>
      <c r="F638">
        <v>765239</v>
      </c>
      <c r="G638">
        <v>126300</v>
      </c>
      <c r="H638">
        <v>939155</v>
      </c>
      <c r="I638">
        <v>36300</v>
      </c>
      <c r="J638">
        <v>932912</v>
      </c>
      <c r="K638">
        <v>43300</v>
      </c>
    </row>
    <row r="639" spans="1:11" x14ac:dyDescent="0.3">
      <c r="A639" t="s">
        <v>648</v>
      </c>
      <c r="B639">
        <v>61075</v>
      </c>
      <c r="C639">
        <v>412400</v>
      </c>
      <c r="D639">
        <v>32602</v>
      </c>
      <c r="E639">
        <v>117000</v>
      </c>
      <c r="F639">
        <v>767768</v>
      </c>
      <c r="G639">
        <v>131100</v>
      </c>
      <c r="H639">
        <v>942059</v>
      </c>
      <c r="I639">
        <v>36700</v>
      </c>
      <c r="J639">
        <v>935955</v>
      </c>
      <c r="K639">
        <v>45300</v>
      </c>
    </row>
    <row r="640" spans="1:11" x14ac:dyDescent="0.3">
      <c r="A640" t="s">
        <v>649</v>
      </c>
      <c r="B640">
        <v>61075</v>
      </c>
      <c r="C640">
        <v>470400</v>
      </c>
      <c r="D640">
        <v>30100</v>
      </c>
      <c r="E640">
        <v>129900</v>
      </c>
      <c r="F640">
        <v>770302</v>
      </c>
      <c r="G640">
        <v>157100</v>
      </c>
      <c r="H640">
        <v>945142</v>
      </c>
      <c r="I640">
        <v>44200</v>
      </c>
      <c r="J640">
        <v>939000</v>
      </c>
      <c r="K640">
        <v>53900</v>
      </c>
    </row>
    <row r="641" spans="1:11" x14ac:dyDescent="0.3">
      <c r="A641" t="s">
        <v>650</v>
      </c>
      <c r="B641">
        <v>61075</v>
      </c>
      <c r="C641">
        <v>415200</v>
      </c>
      <c r="D641">
        <v>31042</v>
      </c>
      <c r="E641">
        <v>110500</v>
      </c>
      <c r="F641">
        <v>772817</v>
      </c>
      <c r="G641">
        <v>124800</v>
      </c>
      <c r="H641">
        <v>948697</v>
      </c>
      <c r="I641">
        <v>39800</v>
      </c>
      <c r="J641">
        <v>942452</v>
      </c>
      <c r="K641">
        <v>44200</v>
      </c>
    </row>
    <row r="642" spans="1:11" x14ac:dyDescent="0.3">
      <c r="A642" t="s">
        <v>651</v>
      </c>
      <c r="B642">
        <v>61075</v>
      </c>
      <c r="C642">
        <v>372700</v>
      </c>
      <c r="D642">
        <v>30026</v>
      </c>
      <c r="E642">
        <v>154700</v>
      </c>
      <c r="F642">
        <v>775333</v>
      </c>
      <c r="G642">
        <v>194100</v>
      </c>
      <c r="H642">
        <v>951797</v>
      </c>
      <c r="I642">
        <v>50900</v>
      </c>
      <c r="J642">
        <v>945411</v>
      </c>
      <c r="K642">
        <v>63200</v>
      </c>
    </row>
    <row r="643" spans="1:11" x14ac:dyDescent="0.3">
      <c r="A643" t="s">
        <v>652</v>
      </c>
      <c r="B643">
        <v>61075</v>
      </c>
      <c r="C643">
        <v>431600</v>
      </c>
      <c r="D643">
        <v>31174</v>
      </c>
      <c r="E643">
        <v>130500</v>
      </c>
      <c r="F643">
        <v>777855</v>
      </c>
      <c r="G643">
        <v>129200</v>
      </c>
      <c r="H643">
        <v>954817</v>
      </c>
      <c r="I643">
        <v>37800</v>
      </c>
      <c r="J643">
        <v>948454</v>
      </c>
      <c r="K643">
        <v>43200</v>
      </c>
    </row>
    <row r="644" spans="1:11" x14ac:dyDescent="0.3">
      <c r="A644" t="s">
        <v>653</v>
      </c>
      <c r="B644">
        <v>61075</v>
      </c>
      <c r="C644">
        <v>468800</v>
      </c>
      <c r="D644">
        <v>29845</v>
      </c>
      <c r="E644">
        <v>129000</v>
      </c>
      <c r="F644">
        <v>780379</v>
      </c>
      <c r="G644">
        <v>155500</v>
      </c>
      <c r="H644">
        <v>957617</v>
      </c>
      <c r="I644">
        <v>44400</v>
      </c>
      <c r="J644">
        <v>951649</v>
      </c>
      <c r="K644">
        <v>52900</v>
      </c>
    </row>
    <row r="645" spans="1:11" x14ac:dyDescent="0.3">
      <c r="A645" t="s">
        <v>654</v>
      </c>
      <c r="B645">
        <v>61075</v>
      </c>
      <c r="C645">
        <v>459600</v>
      </c>
      <c r="D645">
        <v>31777</v>
      </c>
      <c r="E645">
        <v>113600</v>
      </c>
      <c r="F645">
        <v>782920</v>
      </c>
      <c r="G645">
        <v>116200</v>
      </c>
      <c r="H645">
        <v>960635</v>
      </c>
      <c r="I645">
        <v>38400</v>
      </c>
      <c r="J645">
        <v>955043</v>
      </c>
      <c r="K645">
        <v>41900</v>
      </c>
    </row>
    <row r="646" spans="1:11" x14ac:dyDescent="0.3">
      <c r="A646" t="s">
        <v>655</v>
      </c>
      <c r="B646">
        <v>61075</v>
      </c>
      <c r="C646">
        <v>495600</v>
      </c>
      <c r="D646">
        <v>31540</v>
      </c>
      <c r="E646">
        <v>196200</v>
      </c>
      <c r="F646">
        <v>785454</v>
      </c>
      <c r="G646">
        <v>153000</v>
      </c>
      <c r="H646">
        <v>963704</v>
      </c>
      <c r="I646">
        <v>37300</v>
      </c>
      <c r="J646">
        <v>958013</v>
      </c>
      <c r="K646">
        <v>43000</v>
      </c>
    </row>
    <row r="647" spans="1:11" x14ac:dyDescent="0.3">
      <c r="A647" t="s">
        <v>656</v>
      </c>
      <c r="B647">
        <v>61075</v>
      </c>
      <c r="C647">
        <v>426600</v>
      </c>
      <c r="D647">
        <v>30456</v>
      </c>
      <c r="E647">
        <v>133800</v>
      </c>
      <c r="F647">
        <v>787992</v>
      </c>
      <c r="G647">
        <v>144200</v>
      </c>
      <c r="H647">
        <v>966736</v>
      </c>
      <c r="I647">
        <v>38300</v>
      </c>
      <c r="J647">
        <v>960920</v>
      </c>
      <c r="K647">
        <v>44100</v>
      </c>
    </row>
    <row r="648" spans="1:11" x14ac:dyDescent="0.3">
      <c r="A648" t="s">
        <v>657</v>
      </c>
      <c r="B648">
        <v>61075</v>
      </c>
      <c r="C648">
        <v>466800</v>
      </c>
      <c r="D648">
        <v>30233</v>
      </c>
      <c r="E648">
        <v>130200</v>
      </c>
      <c r="F648">
        <v>790514</v>
      </c>
      <c r="G648">
        <v>154200</v>
      </c>
      <c r="H648">
        <v>969608</v>
      </c>
      <c r="I648">
        <v>45700</v>
      </c>
      <c r="J648">
        <v>963902</v>
      </c>
      <c r="K648">
        <v>51500</v>
      </c>
    </row>
    <row r="649" spans="1:11" x14ac:dyDescent="0.3">
      <c r="A649" t="s">
        <v>658</v>
      </c>
      <c r="B649">
        <v>61075</v>
      </c>
      <c r="C649">
        <v>419000</v>
      </c>
      <c r="D649">
        <v>30808</v>
      </c>
      <c r="E649">
        <v>114400</v>
      </c>
      <c r="F649">
        <v>793044</v>
      </c>
      <c r="G649">
        <v>127400</v>
      </c>
      <c r="H649">
        <v>972685</v>
      </c>
      <c r="I649">
        <v>36600</v>
      </c>
      <c r="J649">
        <v>966646</v>
      </c>
      <c r="K649">
        <v>42300</v>
      </c>
    </row>
    <row r="650" spans="1:11" x14ac:dyDescent="0.3">
      <c r="A650" t="s">
        <v>659</v>
      </c>
      <c r="B650">
        <v>61075</v>
      </c>
      <c r="C650">
        <v>423700</v>
      </c>
      <c r="D650">
        <v>31621</v>
      </c>
      <c r="E650">
        <v>112400</v>
      </c>
      <c r="F650">
        <v>795585</v>
      </c>
      <c r="G650">
        <v>130300</v>
      </c>
      <c r="H650">
        <v>976041</v>
      </c>
      <c r="I650">
        <v>37900</v>
      </c>
      <c r="J650">
        <v>969479</v>
      </c>
      <c r="K650">
        <v>42100</v>
      </c>
    </row>
    <row r="651" spans="1:11" x14ac:dyDescent="0.3">
      <c r="A651" t="s">
        <v>660</v>
      </c>
      <c r="B651">
        <v>61075</v>
      </c>
      <c r="C651">
        <v>422200</v>
      </c>
      <c r="D651">
        <v>29448</v>
      </c>
      <c r="E651">
        <v>105600</v>
      </c>
      <c r="F651">
        <v>798123</v>
      </c>
      <c r="G651">
        <v>141900</v>
      </c>
      <c r="H651">
        <v>979105</v>
      </c>
      <c r="I651">
        <v>37300</v>
      </c>
      <c r="J651">
        <v>972910</v>
      </c>
      <c r="K651">
        <v>43400</v>
      </c>
    </row>
    <row r="652" spans="1:11" x14ac:dyDescent="0.3">
      <c r="A652" t="s">
        <v>661</v>
      </c>
      <c r="B652">
        <v>61075</v>
      </c>
      <c r="C652">
        <v>417100</v>
      </c>
      <c r="D652">
        <v>31985</v>
      </c>
      <c r="E652">
        <v>113500</v>
      </c>
      <c r="F652">
        <v>800647</v>
      </c>
      <c r="G652">
        <v>121900</v>
      </c>
      <c r="H652">
        <v>981979</v>
      </c>
      <c r="I652">
        <v>37200</v>
      </c>
      <c r="J652">
        <v>976195</v>
      </c>
      <c r="K652">
        <v>42700</v>
      </c>
    </row>
    <row r="653" spans="1:11" x14ac:dyDescent="0.3">
      <c r="A653" t="s">
        <v>662</v>
      </c>
      <c r="B653">
        <v>61075</v>
      </c>
      <c r="C653">
        <v>503900</v>
      </c>
      <c r="D653">
        <v>32704</v>
      </c>
      <c r="E653">
        <v>140300</v>
      </c>
      <c r="F653">
        <v>803164</v>
      </c>
      <c r="G653">
        <v>155600</v>
      </c>
      <c r="H653">
        <v>985039</v>
      </c>
      <c r="I653">
        <v>46000</v>
      </c>
      <c r="J653">
        <v>979099</v>
      </c>
      <c r="K653">
        <v>59200</v>
      </c>
    </row>
    <row r="654" spans="1:11" x14ac:dyDescent="0.3">
      <c r="A654" t="s">
        <v>663</v>
      </c>
      <c r="B654">
        <v>61075</v>
      </c>
      <c r="C654">
        <v>444900</v>
      </c>
      <c r="D654">
        <v>32916</v>
      </c>
      <c r="E654">
        <v>117600</v>
      </c>
      <c r="F654">
        <v>805689</v>
      </c>
      <c r="G654">
        <v>127500</v>
      </c>
      <c r="H654">
        <v>987946</v>
      </c>
      <c r="I654">
        <v>37000</v>
      </c>
      <c r="J654">
        <v>982669</v>
      </c>
      <c r="K654">
        <v>44900</v>
      </c>
    </row>
    <row r="655" spans="1:11" x14ac:dyDescent="0.3">
      <c r="A655" t="s">
        <v>664</v>
      </c>
      <c r="B655">
        <v>61075</v>
      </c>
      <c r="C655">
        <v>402100</v>
      </c>
      <c r="D655">
        <v>32140</v>
      </c>
      <c r="E655">
        <v>138300</v>
      </c>
      <c r="F655">
        <v>808210</v>
      </c>
      <c r="G655">
        <v>154700</v>
      </c>
      <c r="H655">
        <v>991262</v>
      </c>
      <c r="I655">
        <v>46600</v>
      </c>
      <c r="J655">
        <v>985926</v>
      </c>
      <c r="K655">
        <v>53100</v>
      </c>
    </row>
    <row r="656" spans="1:11" x14ac:dyDescent="0.3">
      <c r="A656" t="s">
        <v>665</v>
      </c>
      <c r="B656">
        <v>61075</v>
      </c>
      <c r="C656">
        <v>381600</v>
      </c>
      <c r="D656">
        <v>30023</v>
      </c>
      <c r="E656">
        <v>230800</v>
      </c>
      <c r="F656">
        <v>810747</v>
      </c>
      <c r="G656">
        <v>241000</v>
      </c>
      <c r="H656">
        <v>994352</v>
      </c>
      <c r="I656">
        <v>48300</v>
      </c>
      <c r="J656">
        <v>988786</v>
      </c>
      <c r="K656">
        <v>45300</v>
      </c>
    </row>
    <row r="657" spans="1:11" x14ac:dyDescent="0.3">
      <c r="A657" t="s">
        <v>666</v>
      </c>
      <c r="B657">
        <v>61075</v>
      </c>
      <c r="C657">
        <v>460900</v>
      </c>
      <c r="D657">
        <v>32029</v>
      </c>
      <c r="E657">
        <v>137300</v>
      </c>
      <c r="F657">
        <v>813290</v>
      </c>
      <c r="G657">
        <v>350700</v>
      </c>
      <c r="H657">
        <v>997636</v>
      </c>
      <c r="I657">
        <v>60300</v>
      </c>
      <c r="J657">
        <v>991858</v>
      </c>
      <c r="K657">
        <v>59300</v>
      </c>
    </row>
    <row r="658" spans="1:11" x14ac:dyDescent="0.3">
      <c r="A658" t="s">
        <v>667</v>
      </c>
      <c r="B658">
        <v>61075</v>
      </c>
      <c r="C658">
        <v>481400</v>
      </c>
      <c r="D658">
        <v>30406</v>
      </c>
      <c r="E658">
        <v>183500</v>
      </c>
      <c r="F658">
        <v>815803</v>
      </c>
      <c r="G658">
        <v>159800</v>
      </c>
      <c r="H658">
        <v>1000685</v>
      </c>
      <c r="I658">
        <v>49300</v>
      </c>
      <c r="J658">
        <v>995109</v>
      </c>
      <c r="K658">
        <v>51500</v>
      </c>
    </row>
    <row r="659" spans="1:11" x14ac:dyDescent="0.3">
      <c r="A659" t="s">
        <v>668</v>
      </c>
      <c r="B659">
        <v>61075</v>
      </c>
      <c r="C659">
        <v>415700</v>
      </c>
      <c r="D659">
        <v>32177</v>
      </c>
      <c r="E659">
        <v>119600</v>
      </c>
      <c r="F659">
        <v>818349</v>
      </c>
      <c r="G659">
        <v>129200</v>
      </c>
      <c r="H659">
        <v>1003928</v>
      </c>
      <c r="I659">
        <v>39400</v>
      </c>
      <c r="J659">
        <v>998592</v>
      </c>
      <c r="K659">
        <v>42800</v>
      </c>
    </row>
    <row r="660" spans="1:11" x14ac:dyDescent="0.3">
      <c r="A660" t="s">
        <v>669</v>
      </c>
      <c r="B660">
        <v>61075</v>
      </c>
      <c r="C660">
        <v>452800</v>
      </c>
      <c r="D660">
        <v>32335</v>
      </c>
      <c r="E660">
        <v>116100</v>
      </c>
      <c r="F660">
        <v>820880</v>
      </c>
      <c r="G660">
        <v>129800</v>
      </c>
      <c r="H660">
        <v>1007121</v>
      </c>
      <c r="I660">
        <v>37700</v>
      </c>
      <c r="J660">
        <v>1001903</v>
      </c>
      <c r="K660">
        <v>45400</v>
      </c>
    </row>
    <row r="661" spans="1:11" x14ac:dyDescent="0.3">
      <c r="A661" t="s">
        <v>670</v>
      </c>
      <c r="B661">
        <v>61075</v>
      </c>
      <c r="C661">
        <v>406700</v>
      </c>
      <c r="D661">
        <v>30837</v>
      </c>
      <c r="E661">
        <v>111700</v>
      </c>
      <c r="F661">
        <v>823391</v>
      </c>
      <c r="G661">
        <v>145900</v>
      </c>
      <c r="H661">
        <v>1009978</v>
      </c>
      <c r="I661">
        <v>38700</v>
      </c>
      <c r="J661">
        <v>1004904</v>
      </c>
      <c r="K661">
        <v>43700</v>
      </c>
    </row>
    <row r="662" spans="1:11" x14ac:dyDescent="0.3">
      <c r="A662" t="s">
        <v>671</v>
      </c>
      <c r="B662">
        <v>61075</v>
      </c>
      <c r="C662">
        <v>404000</v>
      </c>
      <c r="D662">
        <v>30517</v>
      </c>
      <c r="E662">
        <v>109300</v>
      </c>
      <c r="F662">
        <v>825924</v>
      </c>
      <c r="G662">
        <v>127100</v>
      </c>
      <c r="H662">
        <v>1013412</v>
      </c>
      <c r="I662">
        <v>37900</v>
      </c>
      <c r="J662">
        <v>1008046</v>
      </c>
      <c r="K662">
        <v>41400</v>
      </c>
    </row>
    <row r="663" spans="1:11" x14ac:dyDescent="0.3">
      <c r="A663" t="s">
        <v>672</v>
      </c>
      <c r="B663">
        <v>61075</v>
      </c>
      <c r="C663">
        <v>415600</v>
      </c>
      <c r="D663">
        <v>31158</v>
      </c>
      <c r="E663">
        <v>133700</v>
      </c>
      <c r="F663">
        <v>828438</v>
      </c>
      <c r="G663">
        <v>154200</v>
      </c>
      <c r="H663">
        <v>1016331</v>
      </c>
      <c r="I663">
        <v>44400</v>
      </c>
      <c r="J663">
        <v>1010910</v>
      </c>
      <c r="K663">
        <v>50500</v>
      </c>
    </row>
    <row r="664" spans="1:11" x14ac:dyDescent="0.3">
      <c r="A664" t="s">
        <v>673</v>
      </c>
      <c r="B664">
        <v>61075</v>
      </c>
      <c r="C664">
        <v>391100</v>
      </c>
      <c r="D664">
        <v>30516</v>
      </c>
      <c r="E664">
        <v>108900</v>
      </c>
      <c r="F664">
        <v>830945</v>
      </c>
      <c r="G664">
        <v>123500</v>
      </c>
      <c r="H664">
        <v>1019771</v>
      </c>
      <c r="I664">
        <v>38500</v>
      </c>
      <c r="J664">
        <v>1014412</v>
      </c>
      <c r="K664">
        <v>45900</v>
      </c>
    </row>
    <row r="665" spans="1:11" x14ac:dyDescent="0.3">
      <c r="A665" t="s">
        <v>674</v>
      </c>
      <c r="B665">
        <v>61075</v>
      </c>
      <c r="C665">
        <v>372700</v>
      </c>
      <c r="D665">
        <v>31261</v>
      </c>
      <c r="E665">
        <v>113700</v>
      </c>
      <c r="F665">
        <v>833477</v>
      </c>
      <c r="G665">
        <v>136300</v>
      </c>
      <c r="H665">
        <v>1022858</v>
      </c>
      <c r="I665">
        <v>36800</v>
      </c>
      <c r="J665">
        <v>1017819</v>
      </c>
      <c r="K665">
        <v>43500</v>
      </c>
    </row>
    <row r="666" spans="1:11" x14ac:dyDescent="0.3">
      <c r="A666" t="s">
        <v>675</v>
      </c>
      <c r="B666">
        <v>61075</v>
      </c>
      <c r="C666">
        <v>564800</v>
      </c>
      <c r="D666">
        <v>31571</v>
      </c>
      <c r="E666">
        <v>146300</v>
      </c>
      <c r="F666">
        <v>836010</v>
      </c>
      <c r="G666">
        <v>129800</v>
      </c>
      <c r="H666">
        <v>1026161</v>
      </c>
      <c r="I666">
        <v>38000</v>
      </c>
      <c r="J666">
        <v>1020826</v>
      </c>
      <c r="K666">
        <v>44100</v>
      </c>
    </row>
    <row r="667" spans="1:11" x14ac:dyDescent="0.3">
      <c r="A667" t="s">
        <v>676</v>
      </c>
      <c r="B667">
        <v>61075</v>
      </c>
      <c r="C667">
        <v>385300</v>
      </c>
      <c r="D667">
        <v>32973</v>
      </c>
      <c r="E667">
        <v>121300</v>
      </c>
      <c r="F667">
        <v>838530</v>
      </c>
      <c r="G667">
        <v>128300</v>
      </c>
      <c r="H667">
        <v>1029193</v>
      </c>
      <c r="I667">
        <v>38000</v>
      </c>
      <c r="J667">
        <v>1023899</v>
      </c>
      <c r="K667">
        <v>43700</v>
      </c>
    </row>
    <row r="668" spans="1:11" x14ac:dyDescent="0.3">
      <c r="A668" t="s">
        <v>677</v>
      </c>
      <c r="B668">
        <v>61075</v>
      </c>
      <c r="C668">
        <v>378400</v>
      </c>
      <c r="D668">
        <v>30435</v>
      </c>
      <c r="E668">
        <v>108300</v>
      </c>
      <c r="F668">
        <v>841055</v>
      </c>
      <c r="G668">
        <v>123700</v>
      </c>
      <c r="H668">
        <v>1032198</v>
      </c>
      <c r="I668">
        <v>36500</v>
      </c>
      <c r="J668">
        <v>1026912</v>
      </c>
      <c r="K668">
        <v>42900</v>
      </c>
    </row>
    <row r="669" spans="1:11" x14ac:dyDescent="0.3">
      <c r="A669" t="s">
        <v>678</v>
      </c>
      <c r="B669">
        <v>61075</v>
      </c>
      <c r="C669">
        <v>383500</v>
      </c>
      <c r="D669">
        <v>30598</v>
      </c>
      <c r="E669">
        <v>110100</v>
      </c>
      <c r="F669">
        <v>843573</v>
      </c>
      <c r="G669">
        <v>128700</v>
      </c>
      <c r="H669">
        <v>1035185</v>
      </c>
      <c r="I669">
        <v>38700</v>
      </c>
      <c r="J669">
        <v>1029980</v>
      </c>
      <c r="K669">
        <v>42900</v>
      </c>
    </row>
    <row r="670" spans="1:11" x14ac:dyDescent="0.3">
      <c r="A670" t="s">
        <v>679</v>
      </c>
      <c r="B670">
        <v>61075</v>
      </c>
      <c r="C670">
        <v>523200</v>
      </c>
      <c r="D670">
        <v>31143</v>
      </c>
      <c r="E670">
        <v>134900</v>
      </c>
      <c r="F670">
        <v>846106</v>
      </c>
      <c r="G670">
        <v>153700</v>
      </c>
      <c r="H670">
        <v>1038787</v>
      </c>
      <c r="I670">
        <v>47400</v>
      </c>
      <c r="J670">
        <v>1033306</v>
      </c>
      <c r="K670">
        <v>54400</v>
      </c>
    </row>
    <row r="671" spans="1:11" x14ac:dyDescent="0.3">
      <c r="A671" t="s">
        <v>680</v>
      </c>
      <c r="B671">
        <v>61075</v>
      </c>
      <c r="C671">
        <v>417600</v>
      </c>
      <c r="D671">
        <v>31760</v>
      </c>
      <c r="E671">
        <v>113400</v>
      </c>
      <c r="F671">
        <v>848620</v>
      </c>
      <c r="G671">
        <v>123900</v>
      </c>
      <c r="H671">
        <v>1041892</v>
      </c>
      <c r="I671">
        <v>37200</v>
      </c>
      <c r="J671">
        <v>1036800</v>
      </c>
      <c r="K671">
        <v>44900</v>
      </c>
    </row>
    <row r="672" spans="1:11" x14ac:dyDescent="0.3">
      <c r="A672" t="s">
        <v>681</v>
      </c>
      <c r="B672">
        <v>61075</v>
      </c>
      <c r="C672">
        <v>408000</v>
      </c>
      <c r="D672">
        <v>31214</v>
      </c>
      <c r="E672">
        <v>110700</v>
      </c>
      <c r="F672">
        <v>851143</v>
      </c>
      <c r="G672">
        <v>121900</v>
      </c>
      <c r="H672">
        <v>1045278</v>
      </c>
      <c r="I672">
        <v>36700</v>
      </c>
      <c r="J672">
        <v>1039922</v>
      </c>
      <c r="K672">
        <v>42600</v>
      </c>
    </row>
    <row r="673" spans="1:11" x14ac:dyDescent="0.3">
      <c r="A673" t="s">
        <v>682</v>
      </c>
      <c r="B673">
        <v>61075</v>
      </c>
      <c r="C673">
        <v>470000</v>
      </c>
      <c r="D673">
        <v>32061</v>
      </c>
      <c r="E673">
        <v>117100</v>
      </c>
      <c r="F673">
        <v>853682</v>
      </c>
      <c r="G673">
        <v>129500</v>
      </c>
      <c r="H673">
        <v>1048100</v>
      </c>
      <c r="I673">
        <v>37400</v>
      </c>
      <c r="J673">
        <v>1042989</v>
      </c>
      <c r="K673">
        <v>49100</v>
      </c>
    </row>
    <row r="674" spans="1:11" x14ac:dyDescent="0.3">
      <c r="A674" t="s">
        <v>683</v>
      </c>
      <c r="B674">
        <v>61075</v>
      </c>
      <c r="C674">
        <v>496100</v>
      </c>
      <c r="D674">
        <v>31872</v>
      </c>
      <c r="E674">
        <v>126700</v>
      </c>
      <c r="F674">
        <v>856221</v>
      </c>
      <c r="G674">
        <v>128900</v>
      </c>
      <c r="H674">
        <v>1051005</v>
      </c>
      <c r="I674">
        <v>38000</v>
      </c>
      <c r="J674">
        <v>1045972</v>
      </c>
      <c r="K674">
        <v>48900</v>
      </c>
    </row>
    <row r="675" spans="1:11" x14ac:dyDescent="0.3">
      <c r="A675" t="s">
        <v>684</v>
      </c>
      <c r="B675">
        <v>61075</v>
      </c>
      <c r="C675">
        <v>384700</v>
      </c>
      <c r="D675">
        <v>30678</v>
      </c>
      <c r="E675">
        <v>109200</v>
      </c>
      <c r="F675">
        <v>858762</v>
      </c>
      <c r="G675">
        <v>122900</v>
      </c>
      <c r="H675">
        <v>1054058</v>
      </c>
      <c r="I675">
        <v>36400</v>
      </c>
      <c r="J675">
        <v>1048896</v>
      </c>
      <c r="K675">
        <v>42800</v>
      </c>
    </row>
    <row r="676" spans="1:11" x14ac:dyDescent="0.3">
      <c r="A676" t="s">
        <v>685</v>
      </c>
      <c r="B676">
        <v>61075</v>
      </c>
      <c r="C676">
        <v>404400</v>
      </c>
      <c r="D676">
        <v>31557</v>
      </c>
      <c r="E676">
        <v>112900</v>
      </c>
      <c r="F676">
        <v>861273</v>
      </c>
      <c r="G676">
        <v>113800</v>
      </c>
      <c r="H676">
        <v>1057469</v>
      </c>
      <c r="I676">
        <v>37100</v>
      </c>
      <c r="J676">
        <v>1051933</v>
      </c>
      <c r="K676">
        <v>41600</v>
      </c>
    </row>
    <row r="677" spans="1:11" x14ac:dyDescent="0.3">
      <c r="A677" t="s">
        <v>686</v>
      </c>
      <c r="B677">
        <v>61075</v>
      </c>
      <c r="C677">
        <v>465300</v>
      </c>
      <c r="D677">
        <v>28416</v>
      </c>
      <c r="E677">
        <v>102500</v>
      </c>
      <c r="F677">
        <v>863789</v>
      </c>
      <c r="G677">
        <v>130900</v>
      </c>
      <c r="H677">
        <v>1060509</v>
      </c>
      <c r="I677">
        <v>38100</v>
      </c>
      <c r="J677">
        <v>1055131</v>
      </c>
      <c r="K677">
        <v>44000</v>
      </c>
    </row>
    <row r="678" spans="1:11" x14ac:dyDescent="0.3">
      <c r="A678" t="s">
        <v>687</v>
      </c>
      <c r="B678">
        <v>61075</v>
      </c>
      <c r="C678">
        <v>397500</v>
      </c>
      <c r="D678">
        <v>29190</v>
      </c>
      <c r="E678">
        <v>104800</v>
      </c>
      <c r="F678">
        <v>866315</v>
      </c>
      <c r="G678">
        <v>123900</v>
      </c>
      <c r="H678">
        <v>1063359</v>
      </c>
      <c r="I678">
        <v>36200</v>
      </c>
      <c r="J678">
        <v>1057993</v>
      </c>
      <c r="K678">
        <v>42600</v>
      </c>
    </row>
    <row r="679" spans="1:11" x14ac:dyDescent="0.3">
      <c r="A679" t="s">
        <v>688</v>
      </c>
      <c r="B679">
        <v>61075</v>
      </c>
      <c r="C679">
        <v>395300</v>
      </c>
      <c r="D679">
        <v>32473</v>
      </c>
      <c r="E679">
        <v>115200</v>
      </c>
      <c r="F679">
        <v>868847</v>
      </c>
      <c r="G679">
        <v>122600</v>
      </c>
      <c r="H679">
        <v>1066437</v>
      </c>
      <c r="I679">
        <v>36000</v>
      </c>
      <c r="J679">
        <v>1061334</v>
      </c>
      <c r="K679">
        <v>41700</v>
      </c>
    </row>
    <row r="680" spans="1:11" x14ac:dyDescent="0.3">
      <c r="A680" t="s">
        <v>689</v>
      </c>
      <c r="B680">
        <v>61075</v>
      </c>
      <c r="C680">
        <v>404800</v>
      </c>
      <c r="D680">
        <v>31133</v>
      </c>
      <c r="E680">
        <v>110500</v>
      </c>
      <c r="F680">
        <v>871360</v>
      </c>
      <c r="G680">
        <v>192500</v>
      </c>
      <c r="H680">
        <v>1069935</v>
      </c>
      <c r="I680">
        <v>63600</v>
      </c>
      <c r="J680">
        <v>1064541</v>
      </c>
      <c r="K680">
        <v>82000</v>
      </c>
    </row>
    <row r="681" spans="1:11" x14ac:dyDescent="0.3">
      <c r="A681" t="s">
        <v>690</v>
      </c>
      <c r="B681">
        <v>61075</v>
      </c>
      <c r="C681">
        <v>401600</v>
      </c>
      <c r="D681">
        <v>30750</v>
      </c>
      <c r="E681">
        <v>110000</v>
      </c>
      <c r="F681">
        <v>873889</v>
      </c>
      <c r="G681">
        <v>127600</v>
      </c>
      <c r="H681">
        <v>1072747</v>
      </c>
      <c r="I681">
        <v>37100</v>
      </c>
      <c r="J681">
        <v>1067792</v>
      </c>
      <c r="K681">
        <v>45300</v>
      </c>
    </row>
    <row r="682" spans="1:11" x14ac:dyDescent="0.3">
      <c r="A682" t="s">
        <v>691</v>
      </c>
      <c r="B682">
        <v>61075</v>
      </c>
      <c r="C682">
        <v>480300</v>
      </c>
      <c r="D682">
        <v>32780</v>
      </c>
      <c r="E682">
        <v>140500</v>
      </c>
      <c r="F682">
        <v>876400</v>
      </c>
      <c r="G682">
        <v>154900</v>
      </c>
      <c r="H682">
        <v>1075758</v>
      </c>
      <c r="I682">
        <v>45900</v>
      </c>
      <c r="J682">
        <v>1070669</v>
      </c>
      <c r="K682">
        <v>55200</v>
      </c>
    </row>
    <row r="683" spans="1:11" x14ac:dyDescent="0.3">
      <c r="A683" t="s">
        <v>692</v>
      </c>
      <c r="B683">
        <v>61075</v>
      </c>
      <c r="C683">
        <v>460100</v>
      </c>
      <c r="D683">
        <v>31990</v>
      </c>
      <c r="E683">
        <v>141300</v>
      </c>
      <c r="F683">
        <v>878926</v>
      </c>
      <c r="G683">
        <v>153100</v>
      </c>
      <c r="H683">
        <v>1078880</v>
      </c>
      <c r="I683">
        <v>45200</v>
      </c>
      <c r="J683">
        <v>1073969</v>
      </c>
      <c r="K683">
        <v>54200</v>
      </c>
    </row>
    <row r="684" spans="1:11" x14ac:dyDescent="0.3">
      <c r="A684" t="s">
        <v>693</v>
      </c>
      <c r="B684">
        <v>61075</v>
      </c>
      <c r="C684">
        <v>527300</v>
      </c>
      <c r="D684">
        <v>30899</v>
      </c>
      <c r="E684">
        <v>133100</v>
      </c>
      <c r="F684">
        <v>881445</v>
      </c>
      <c r="G684">
        <v>154100</v>
      </c>
      <c r="H684">
        <v>1081996</v>
      </c>
      <c r="I684">
        <v>50200</v>
      </c>
      <c r="J684">
        <v>1077026</v>
      </c>
      <c r="K684">
        <v>70600</v>
      </c>
    </row>
    <row r="685" spans="1:11" x14ac:dyDescent="0.3">
      <c r="A685" t="s">
        <v>694</v>
      </c>
      <c r="B685">
        <v>61075</v>
      </c>
      <c r="C685">
        <v>501800</v>
      </c>
      <c r="D685">
        <v>30053</v>
      </c>
      <c r="E685">
        <v>129400</v>
      </c>
      <c r="F685">
        <v>883973</v>
      </c>
      <c r="G685">
        <v>140800</v>
      </c>
      <c r="H685">
        <v>1084822</v>
      </c>
      <c r="I685">
        <v>45800</v>
      </c>
      <c r="J685">
        <v>1080541</v>
      </c>
      <c r="K685">
        <v>54900</v>
      </c>
    </row>
    <row r="686" spans="1:11" x14ac:dyDescent="0.3">
      <c r="A686" t="s">
        <v>695</v>
      </c>
      <c r="B686">
        <v>61075</v>
      </c>
      <c r="C686">
        <v>390900</v>
      </c>
      <c r="D686">
        <v>31257</v>
      </c>
      <c r="E686">
        <v>111500</v>
      </c>
      <c r="F686">
        <v>886493</v>
      </c>
      <c r="G686">
        <v>123000</v>
      </c>
      <c r="H686">
        <v>1088015</v>
      </c>
      <c r="I686">
        <v>37800</v>
      </c>
      <c r="J686">
        <v>1083382</v>
      </c>
      <c r="K686">
        <v>42400</v>
      </c>
    </row>
    <row r="687" spans="1:11" x14ac:dyDescent="0.3">
      <c r="A687" t="s">
        <v>696</v>
      </c>
      <c r="B687">
        <v>61075</v>
      </c>
      <c r="C687">
        <v>372700</v>
      </c>
      <c r="D687">
        <v>32154</v>
      </c>
      <c r="E687">
        <v>114100</v>
      </c>
      <c r="F687">
        <v>889016</v>
      </c>
      <c r="G687">
        <v>129400</v>
      </c>
      <c r="H687">
        <v>1091254</v>
      </c>
      <c r="I687">
        <v>36900</v>
      </c>
      <c r="J687">
        <v>1086527</v>
      </c>
      <c r="K687">
        <v>43000</v>
      </c>
    </row>
    <row r="688" spans="1:11" x14ac:dyDescent="0.3">
      <c r="A688" t="s">
        <v>697</v>
      </c>
      <c r="B688">
        <v>61075</v>
      </c>
      <c r="C688">
        <v>541700</v>
      </c>
      <c r="D688">
        <v>31504</v>
      </c>
      <c r="E688">
        <v>192200</v>
      </c>
      <c r="F688">
        <v>891526</v>
      </c>
      <c r="G688">
        <v>191200</v>
      </c>
      <c r="H688">
        <v>1094849</v>
      </c>
      <c r="I688">
        <v>47300</v>
      </c>
      <c r="J688">
        <v>1090124</v>
      </c>
      <c r="K688">
        <v>53200</v>
      </c>
    </row>
    <row r="689" spans="1:11" x14ac:dyDescent="0.3">
      <c r="A689" t="s">
        <v>698</v>
      </c>
      <c r="B689">
        <v>61075</v>
      </c>
      <c r="C689">
        <v>403400</v>
      </c>
      <c r="D689">
        <v>28665</v>
      </c>
      <c r="E689">
        <v>102800</v>
      </c>
      <c r="F689">
        <v>894054</v>
      </c>
      <c r="G689">
        <v>125000</v>
      </c>
      <c r="H689">
        <v>1098090</v>
      </c>
      <c r="I689">
        <v>37200</v>
      </c>
      <c r="J689">
        <v>1093593</v>
      </c>
      <c r="K689">
        <v>44800</v>
      </c>
    </row>
    <row r="690" spans="1:11" x14ac:dyDescent="0.3">
      <c r="A690" t="s">
        <v>699</v>
      </c>
      <c r="B690">
        <v>61075</v>
      </c>
      <c r="C690">
        <v>479700</v>
      </c>
      <c r="D690">
        <v>28310</v>
      </c>
      <c r="E690">
        <v>122600</v>
      </c>
      <c r="F690">
        <v>896576</v>
      </c>
      <c r="G690">
        <v>155600</v>
      </c>
      <c r="H690">
        <v>1101387</v>
      </c>
      <c r="I690">
        <v>46900</v>
      </c>
      <c r="J690">
        <v>1096538</v>
      </c>
      <c r="K690">
        <v>56400</v>
      </c>
    </row>
    <row r="691" spans="1:11" x14ac:dyDescent="0.3">
      <c r="A691" t="s">
        <v>700</v>
      </c>
      <c r="B691">
        <v>61075</v>
      </c>
      <c r="C691">
        <v>374100</v>
      </c>
      <c r="D691">
        <v>31236</v>
      </c>
      <c r="E691">
        <v>190000</v>
      </c>
      <c r="F691">
        <v>899103</v>
      </c>
      <c r="G691">
        <v>186900</v>
      </c>
      <c r="H691">
        <v>1104374</v>
      </c>
      <c r="I691">
        <v>49500</v>
      </c>
      <c r="J691">
        <v>1099800</v>
      </c>
      <c r="K691">
        <v>60800</v>
      </c>
    </row>
    <row r="692" spans="1:11" x14ac:dyDescent="0.3">
      <c r="A692" t="s">
        <v>701</v>
      </c>
      <c r="B692">
        <v>61075</v>
      </c>
      <c r="C692">
        <v>495100</v>
      </c>
      <c r="D692">
        <v>31236</v>
      </c>
      <c r="E692">
        <v>140200</v>
      </c>
      <c r="F692">
        <v>901616</v>
      </c>
      <c r="G692">
        <v>161900</v>
      </c>
      <c r="H692">
        <v>1107445</v>
      </c>
      <c r="I692">
        <v>50600</v>
      </c>
      <c r="J692">
        <v>1102832</v>
      </c>
      <c r="K692">
        <v>54200</v>
      </c>
    </row>
    <row r="693" spans="1:11" x14ac:dyDescent="0.3">
      <c r="A693" t="s">
        <v>702</v>
      </c>
      <c r="B693">
        <v>61075</v>
      </c>
      <c r="C693">
        <v>438400</v>
      </c>
      <c r="D693">
        <v>31181</v>
      </c>
      <c r="E693">
        <v>138400</v>
      </c>
      <c r="F693">
        <v>904146</v>
      </c>
      <c r="G693">
        <v>153200</v>
      </c>
      <c r="H693">
        <v>1110711</v>
      </c>
      <c r="I693">
        <v>45700</v>
      </c>
      <c r="J693">
        <v>1106006</v>
      </c>
      <c r="K693">
        <v>53300</v>
      </c>
    </row>
    <row r="694" spans="1:11" x14ac:dyDescent="0.3">
      <c r="A694" t="s">
        <v>703</v>
      </c>
      <c r="B694">
        <v>61075</v>
      </c>
      <c r="C694">
        <v>439500</v>
      </c>
      <c r="D694">
        <v>30173</v>
      </c>
      <c r="E694">
        <v>107700</v>
      </c>
      <c r="F694">
        <v>906677</v>
      </c>
      <c r="G694">
        <v>153000</v>
      </c>
      <c r="H694">
        <v>1113868</v>
      </c>
      <c r="I694">
        <v>38200</v>
      </c>
      <c r="J694">
        <v>1109258</v>
      </c>
      <c r="K694">
        <v>42500</v>
      </c>
    </row>
    <row r="695" spans="1:11" x14ac:dyDescent="0.3">
      <c r="A695" t="s">
        <v>704</v>
      </c>
      <c r="B695">
        <v>61075</v>
      </c>
      <c r="C695">
        <v>422800</v>
      </c>
      <c r="D695">
        <v>30495</v>
      </c>
      <c r="E695">
        <v>113200</v>
      </c>
      <c r="F695">
        <v>909209</v>
      </c>
      <c r="G695">
        <v>129300</v>
      </c>
      <c r="H695">
        <v>1116927</v>
      </c>
      <c r="I695">
        <v>37600</v>
      </c>
      <c r="J695">
        <v>1112543</v>
      </c>
      <c r="K695">
        <v>49100</v>
      </c>
    </row>
    <row r="696" spans="1:11" x14ac:dyDescent="0.3">
      <c r="A696" t="s">
        <v>705</v>
      </c>
      <c r="B696">
        <v>61075</v>
      </c>
      <c r="C696">
        <v>402700</v>
      </c>
      <c r="D696">
        <v>31858</v>
      </c>
      <c r="E696">
        <v>113700</v>
      </c>
      <c r="F696">
        <v>911741</v>
      </c>
      <c r="G696">
        <v>132900</v>
      </c>
      <c r="H696">
        <v>1120354</v>
      </c>
      <c r="I696">
        <v>37500</v>
      </c>
      <c r="J696">
        <v>1115697</v>
      </c>
      <c r="K696">
        <v>42200</v>
      </c>
    </row>
    <row r="697" spans="1:11" x14ac:dyDescent="0.3">
      <c r="A697" t="s">
        <v>706</v>
      </c>
      <c r="B697">
        <v>61075</v>
      </c>
      <c r="C697">
        <v>435400</v>
      </c>
      <c r="D697">
        <v>30330</v>
      </c>
      <c r="E697">
        <v>108700</v>
      </c>
      <c r="F697">
        <v>914274</v>
      </c>
      <c r="G697">
        <v>123800</v>
      </c>
      <c r="H697">
        <v>1123450</v>
      </c>
      <c r="I697">
        <v>38000</v>
      </c>
      <c r="J697">
        <v>1118719</v>
      </c>
      <c r="K697">
        <v>42800</v>
      </c>
    </row>
    <row r="698" spans="1:11" x14ac:dyDescent="0.3">
      <c r="A698" t="s">
        <v>707</v>
      </c>
      <c r="B698">
        <v>61075</v>
      </c>
      <c r="C698">
        <v>457300</v>
      </c>
      <c r="D698">
        <v>31579</v>
      </c>
      <c r="E698">
        <v>138900</v>
      </c>
      <c r="F698">
        <v>916777</v>
      </c>
      <c r="G698">
        <v>154500</v>
      </c>
      <c r="H698">
        <v>1126331</v>
      </c>
      <c r="I698">
        <v>45500</v>
      </c>
      <c r="J698">
        <v>1121900</v>
      </c>
      <c r="K698">
        <v>52900</v>
      </c>
    </row>
    <row r="699" spans="1:11" x14ac:dyDescent="0.3">
      <c r="A699" t="s">
        <v>708</v>
      </c>
      <c r="B699">
        <v>61075</v>
      </c>
      <c r="C699">
        <v>487300</v>
      </c>
      <c r="D699">
        <v>30434</v>
      </c>
      <c r="E699">
        <v>130600</v>
      </c>
      <c r="F699">
        <v>919315</v>
      </c>
      <c r="G699">
        <v>155300</v>
      </c>
      <c r="H699">
        <v>1129243</v>
      </c>
      <c r="I699">
        <v>46000</v>
      </c>
      <c r="J699">
        <v>1125212</v>
      </c>
      <c r="K699">
        <v>61700</v>
      </c>
    </row>
    <row r="700" spans="1:11" x14ac:dyDescent="0.3">
      <c r="A700" t="s">
        <v>709</v>
      </c>
      <c r="B700">
        <v>61075</v>
      </c>
      <c r="C700">
        <v>408100</v>
      </c>
      <c r="D700">
        <v>28910</v>
      </c>
      <c r="E700">
        <v>103400</v>
      </c>
      <c r="F700">
        <v>921847</v>
      </c>
      <c r="G700">
        <v>123700</v>
      </c>
      <c r="H700">
        <v>1132385</v>
      </c>
      <c r="I700">
        <v>37000</v>
      </c>
      <c r="J700">
        <v>1128451</v>
      </c>
      <c r="K700">
        <v>43500</v>
      </c>
    </row>
    <row r="701" spans="1:11" x14ac:dyDescent="0.3">
      <c r="A701" t="s">
        <v>710</v>
      </c>
      <c r="B701">
        <v>61075</v>
      </c>
      <c r="C701">
        <v>386400</v>
      </c>
      <c r="D701">
        <v>33235</v>
      </c>
      <c r="E701">
        <v>117900</v>
      </c>
      <c r="F701">
        <v>924351</v>
      </c>
      <c r="G701">
        <v>123900</v>
      </c>
      <c r="H701">
        <v>1135369</v>
      </c>
      <c r="I701">
        <v>37000</v>
      </c>
      <c r="J701">
        <v>1131854</v>
      </c>
      <c r="K701">
        <v>44300</v>
      </c>
    </row>
    <row r="702" spans="1:11" x14ac:dyDescent="0.3">
      <c r="A702" t="s">
        <v>711</v>
      </c>
      <c r="B702">
        <v>79800</v>
      </c>
      <c r="C702">
        <v>515800</v>
      </c>
      <c r="D702">
        <v>39532</v>
      </c>
      <c r="E702">
        <v>140200</v>
      </c>
      <c r="F702">
        <v>927307</v>
      </c>
      <c r="G702">
        <v>147900</v>
      </c>
      <c r="H702">
        <v>1138986</v>
      </c>
      <c r="I702">
        <v>45200</v>
      </c>
      <c r="J702">
        <v>1135740</v>
      </c>
      <c r="K702">
        <v>54600</v>
      </c>
    </row>
    <row r="703" spans="1:11" x14ac:dyDescent="0.3">
      <c r="A703" t="s">
        <v>712</v>
      </c>
      <c r="B703">
        <v>79800</v>
      </c>
      <c r="C703">
        <v>527500</v>
      </c>
      <c r="D703">
        <v>40060</v>
      </c>
      <c r="E703">
        <v>141900</v>
      </c>
      <c r="F703">
        <v>930257</v>
      </c>
      <c r="G703">
        <v>143500</v>
      </c>
      <c r="H703">
        <v>1142410</v>
      </c>
      <c r="I703">
        <v>43500</v>
      </c>
      <c r="J703">
        <v>1139278</v>
      </c>
      <c r="K703">
        <v>53300</v>
      </c>
    </row>
    <row r="704" spans="1:11" x14ac:dyDescent="0.3">
      <c r="A704" t="s">
        <v>713</v>
      </c>
      <c r="B704">
        <v>79800</v>
      </c>
      <c r="C704">
        <v>692500</v>
      </c>
      <c r="D704">
        <v>40336</v>
      </c>
      <c r="E704">
        <v>171500</v>
      </c>
      <c r="F704">
        <v>933230</v>
      </c>
      <c r="G704">
        <v>185400</v>
      </c>
      <c r="H704">
        <v>1146095</v>
      </c>
      <c r="I704">
        <v>52700</v>
      </c>
      <c r="J704">
        <v>1143055</v>
      </c>
      <c r="K704">
        <v>62800</v>
      </c>
    </row>
    <row r="705" spans="1:11" x14ac:dyDescent="0.3">
      <c r="A705" t="s">
        <v>714</v>
      </c>
      <c r="B705">
        <v>79800</v>
      </c>
      <c r="C705">
        <v>688400</v>
      </c>
      <c r="D705">
        <v>40890</v>
      </c>
      <c r="E705">
        <v>166900</v>
      </c>
      <c r="F705">
        <v>936202</v>
      </c>
      <c r="G705">
        <v>156100</v>
      </c>
      <c r="H705">
        <v>1149396</v>
      </c>
      <c r="I705">
        <v>43400</v>
      </c>
      <c r="J705">
        <v>1146610</v>
      </c>
      <c r="K705">
        <v>49800</v>
      </c>
    </row>
    <row r="706" spans="1:11" x14ac:dyDescent="0.3">
      <c r="A706" t="s">
        <v>715</v>
      </c>
      <c r="B706">
        <v>79800</v>
      </c>
      <c r="C706">
        <v>546700</v>
      </c>
      <c r="D706">
        <v>39198</v>
      </c>
      <c r="E706">
        <v>139800</v>
      </c>
      <c r="F706">
        <v>939163</v>
      </c>
      <c r="G706">
        <v>146100</v>
      </c>
      <c r="H706">
        <v>1153122</v>
      </c>
      <c r="I706">
        <v>48300</v>
      </c>
      <c r="J706">
        <v>1150302</v>
      </c>
      <c r="K706">
        <v>50900</v>
      </c>
    </row>
    <row r="707" spans="1:11" x14ac:dyDescent="0.3">
      <c r="A707" t="s">
        <v>716</v>
      </c>
      <c r="B707">
        <v>79800</v>
      </c>
      <c r="C707">
        <v>582100</v>
      </c>
      <c r="D707">
        <v>40802</v>
      </c>
      <c r="E707">
        <v>179400</v>
      </c>
      <c r="F707">
        <v>942123</v>
      </c>
      <c r="G707">
        <v>185700</v>
      </c>
      <c r="H707">
        <v>1156907</v>
      </c>
      <c r="I707">
        <v>53800</v>
      </c>
      <c r="J707">
        <v>1154178</v>
      </c>
      <c r="K707">
        <v>61900</v>
      </c>
    </row>
    <row r="708" spans="1:11" x14ac:dyDescent="0.3">
      <c r="A708" t="s">
        <v>717</v>
      </c>
      <c r="B708">
        <v>79800</v>
      </c>
      <c r="C708">
        <v>616700</v>
      </c>
      <c r="D708">
        <v>40396</v>
      </c>
      <c r="E708">
        <v>172600</v>
      </c>
      <c r="F708">
        <v>945095</v>
      </c>
      <c r="G708">
        <v>198600</v>
      </c>
      <c r="H708">
        <v>1160477</v>
      </c>
      <c r="I708">
        <v>67400</v>
      </c>
      <c r="J708">
        <v>1157536</v>
      </c>
      <c r="K708">
        <v>76600</v>
      </c>
    </row>
    <row r="709" spans="1:11" x14ac:dyDescent="0.3">
      <c r="A709" t="s">
        <v>718</v>
      </c>
      <c r="B709">
        <v>79800</v>
      </c>
      <c r="C709">
        <v>482100</v>
      </c>
      <c r="D709">
        <v>39738</v>
      </c>
      <c r="E709">
        <v>141000</v>
      </c>
      <c r="F709">
        <v>948053</v>
      </c>
      <c r="G709">
        <v>144800</v>
      </c>
      <c r="H709">
        <v>1164239</v>
      </c>
      <c r="I709">
        <v>45100</v>
      </c>
      <c r="J709">
        <v>1161236</v>
      </c>
      <c r="K709">
        <v>53400</v>
      </c>
    </row>
    <row r="710" spans="1:11" x14ac:dyDescent="0.3">
      <c r="A710" t="s">
        <v>719</v>
      </c>
      <c r="B710">
        <v>79800</v>
      </c>
      <c r="C710">
        <v>637000</v>
      </c>
      <c r="D710">
        <v>39176</v>
      </c>
      <c r="E710">
        <v>170700</v>
      </c>
      <c r="F710">
        <v>951011</v>
      </c>
      <c r="G710">
        <v>187800</v>
      </c>
      <c r="H710">
        <v>1168217</v>
      </c>
      <c r="I710">
        <v>57100</v>
      </c>
      <c r="J710">
        <v>1165307</v>
      </c>
      <c r="K710">
        <v>59500</v>
      </c>
    </row>
    <row r="711" spans="1:11" x14ac:dyDescent="0.3">
      <c r="A711" t="s">
        <v>720</v>
      </c>
      <c r="B711">
        <v>79800</v>
      </c>
      <c r="C711">
        <v>623400</v>
      </c>
      <c r="D711">
        <v>41163</v>
      </c>
      <c r="E711">
        <v>178900</v>
      </c>
      <c r="F711">
        <v>953984</v>
      </c>
      <c r="G711">
        <v>189500</v>
      </c>
      <c r="H711">
        <v>1171760</v>
      </c>
      <c r="I711">
        <v>52700</v>
      </c>
      <c r="J711">
        <v>1168991</v>
      </c>
      <c r="K711">
        <v>62600</v>
      </c>
    </row>
    <row r="712" spans="1:11" x14ac:dyDescent="0.3">
      <c r="A712" t="s">
        <v>721</v>
      </c>
      <c r="B712">
        <v>79800</v>
      </c>
      <c r="C712">
        <v>632800</v>
      </c>
      <c r="D712">
        <v>41880</v>
      </c>
      <c r="E712">
        <v>188600</v>
      </c>
      <c r="F712">
        <v>956954</v>
      </c>
      <c r="G712">
        <v>258800</v>
      </c>
      <c r="H712">
        <v>1175569</v>
      </c>
      <c r="I712">
        <v>71800</v>
      </c>
      <c r="J712">
        <v>1172366</v>
      </c>
      <c r="K712">
        <v>76400</v>
      </c>
    </row>
    <row r="713" spans="1:11" x14ac:dyDescent="0.3">
      <c r="A713" t="s">
        <v>722</v>
      </c>
      <c r="B713">
        <v>79800</v>
      </c>
      <c r="C713">
        <v>524400</v>
      </c>
      <c r="D713">
        <v>40670</v>
      </c>
      <c r="E713">
        <v>148300</v>
      </c>
      <c r="F713">
        <v>959895</v>
      </c>
      <c r="G713">
        <v>143600</v>
      </c>
      <c r="H713">
        <v>1179692</v>
      </c>
      <c r="I713">
        <v>49300</v>
      </c>
      <c r="J713">
        <v>1175624</v>
      </c>
      <c r="K713">
        <v>50800</v>
      </c>
    </row>
    <row r="714" spans="1:11" x14ac:dyDescent="0.3">
      <c r="A714" t="s">
        <v>723</v>
      </c>
      <c r="B714">
        <v>79800</v>
      </c>
      <c r="C714">
        <v>549800</v>
      </c>
      <c r="D714">
        <v>39267</v>
      </c>
      <c r="E714">
        <v>139500</v>
      </c>
      <c r="F714">
        <v>962864</v>
      </c>
      <c r="G714">
        <v>140500</v>
      </c>
      <c r="H714">
        <v>1183764</v>
      </c>
      <c r="I714">
        <v>50500</v>
      </c>
      <c r="J714">
        <v>1179320</v>
      </c>
      <c r="K714">
        <v>50500</v>
      </c>
    </row>
    <row r="715" spans="1:11" x14ac:dyDescent="0.3">
      <c r="A715" t="s">
        <v>724</v>
      </c>
      <c r="B715">
        <v>79800</v>
      </c>
      <c r="C715">
        <v>521000</v>
      </c>
      <c r="D715">
        <v>39813</v>
      </c>
      <c r="E715">
        <v>140900</v>
      </c>
      <c r="F715">
        <v>965840</v>
      </c>
      <c r="G715">
        <v>144300</v>
      </c>
      <c r="H715">
        <v>1187376</v>
      </c>
      <c r="I715">
        <v>45600</v>
      </c>
      <c r="J715">
        <v>1182932</v>
      </c>
      <c r="K715">
        <v>54400</v>
      </c>
    </row>
    <row r="716" spans="1:11" x14ac:dyDescent="0.3">
      <c r="A716" t="s">
        <v>725</v>
      </c>
      <c r="B716">
        <v>79800</v>
      </c>
      <c r="C716">
        <v>506600</v>
      </c>
      <c r="D716">
        <v>40985</v>
      </c>
      <c r="E716">
        <v>145200</v>
      </c>
      <c r="F716">
        <v>968797</v>
      </c>
      <c r="G716">
        <v>150700</v>
      </c>
      <c r="H716">
        <v>1191343</v>
      </c>
      <c r="I716">
        <v>46000</v>
      </c>
      <c r="J716">
        <v>1186562</v>
      </c>
      <c r="K716">
        <v>54000</v>
      </c>
    </row>
    <row r="717" spans="1:11" x14ac:dyDescent="0.3">
      <c r="A717" t="s">
        <v>726</v>
      </c>
      <c r="B717">
        <v>79800</v>
      </c>
      <c r="C717">
        <v>495500</v>
      </c>
      <c r="D717">
        <v>40809</v>
      </c>
      <c r="E717">
        <v>143800</v>
      </c>
      <c r="F717">
        <v>971779</v>
      </c>
      <c r="G717">
        <v>140800</v>
      </c>
      <c r="H717">
        <v>1194688</v>
      </c>
      <c r="I717">
        <v>42600</v>
      </c>
      <c r="J717">
        <v>1190711</v>
      </c>
      <c r="K717">
        <v>58500</v>
      </c>
    </row>
    <row r="718" spans="1:11" x14ac:dyDescent="0.3">
      <c r="A718" t="s">
        <v>727</v>
      </c>
      <c r="B718">
        <v>79800</v>
      </c>
      <c r="C718">
        <v>545600</v>
      </c>
      <c r="D718">
        <v>40125</v>
      </c>
      <c r="E718">
        <v>141900</v>
      </c>
      <c r="F718">
        <v>974744</v>
      </c>
      <c r="G718">
        <v>141700</v>
      </c>
      <c r="H718">
        <v>1198415</v>
      </c>
      <c r="I718">
        <v>47100</v>
      </c>
      <c r="J718">
        <v>1194925</v>
      </c>
      <c r="K718">
        <v>51700</v>
      </c>
    </row>
    <row r="719" spans="1:11" x14ac:dyDescent="0.3">
      <c r="A719" t="s">
        <v>728</v>
      </c>
      <c r="B719">
        <v>79800</v>
      </c>
      <c r="C719">
        <v>569800</v>
      </c>
      <c r="D719">
        <v>38615</v>
      </c>
      <c r="E719">
        <v>152400</v>
      </c>
      <c r="F719">
        <v>977714</v>
      </c>
      <c r="G719">
        <v>158900</v>
      </c>
      <c r="H719">
        <v>1202046</v>
      </c>
      <c r="I719">
        <v>45400</v>
      </c>
      <c r="J719">
        <v>1198425</v>
      </c>
      <c r="K719">
        <v>49800</v>
      </c>
    </row>
    <row r="720" spans="1:11" x14ac:dyDescent="0.3">
      <c r="A720" t="s">
        <v>729</v>
      </c>
      <c r="B720">
        <v>79800</v>
      </c>
      <c r="C720">
        <v>556900</v>
      </c>
      <c r="D720">
        <v>40371</v>
      </c>
      <c r="E720">
        <v>146200</v>
      </c>
      <c r="F720">
        <v>980665</v>
      </c>
      <c r="G720">
        <v>165000</v>
      </c>
      <c r="H720">
        <v>1206394</v>
      </c>
      <c r="I720">
        <v>51300</v>
      </c>
      <c r="J720">
        <v>1202502</v>
      </c>
      <c r="K720">
        <v>52200</v>
      </c>
    </row>
    <row r="721" spans="1:11" x14ac:dyDescent="0.3">
      <c r="A721" t="s">
        <v>730</v>
      </c>
      <c r="B721">
        <v>79800</v>
      </c>
      <c r="C721">
        <v>587600</v>
      </c>
      <c r="D721">
        <v>38829</v>
      </c>
      <c r="E721">
        <v>138500</v>
      </c>
      <c r="F721">
        <v>983617</v>
      </c>
      <c r="G721">
        <v>144800</v>
      </c>
      <c r="H721">
        <v>1210287</v>
      </c>
      <c r="I721">
        <v>43600</v>
      </c>
      <c r="J721">
        <v>1206341</v>
      </c>
      <c r="K721">
        <v>51600</v>
      </c>
    </row>
    <row r="722" spans="1:11" x14ac:dyDescent="0.3">
      <c r="A722" t="s">
        <v>731</v>
      </c>
      <c r="B722">
        <v>79800</v>
      </c>
      <c r="C722">
        <v>622300</v>
      </c>
      <c r="D722">
        <v>39519</v>
      </c>
      <c r="E722">
        <v>168600</v>
      </c>
      <c r="F722">
        <v>986596</v>
      </c>
      <c r="G722">
        <v>184200</v>
      </c>
      <c r="H722">
        <v>1213590</v>
      </c>
      <c r="I722">
        <v>53200</v>
      </c>
      <c r="J722">
        <v>1209788</v>
      </c>
      <c r="K722">
        <v>60700</v>
      </c>
    </row>
    <row r="723" spans="1:11" x14ac:dyDescent="0.3">
      <c r="A723" t="s">
        <v>732</v>
      </c>
      <c r="B723">
        <v>79800</v>
      </c>
      <c r="C723">
        <v>585100</v>
      </c>
      <c r="D723">
        <v>40572</v>
      </c>
      <c r="E723">
        <v>144300</v>
      </c>
      <c r="F723">
        <v>989546</v>
      </c>
      <c r="G723">
        <v>143100</v>
      </c>
      <c r="H723">
        <v>1217203</v>
      </c>
      <c r="I723">
        <v>48200</v>
      </c>
      <c r="J723">
        <v>1213183</v>
      </c>
      <c r="K723">
        <v>52200</v>
      </c>
    </row>
    <row r="724" spans="1:11" x14ac:dyDescent="0.3">
      <c r="A724" t="s">
        <v>733</v>
      </c>
      <c r="B724">
        <v>79800</v>
      </c>
      <c r="C724">
        <v>522100</v>
      </c>
      <c r="D724">
        <v>41167</v>
      </c>
      <c r="E724">
        <v>145700</v>
      </c>
      <c r="F724">
        <v>992502</v>
      </c>
      <c r="G724">
        <v>205900</v>
      </c>
      <c r="H724">
        <v>1221065</v>
      </c>
      <c r="I724">
        <v>52300</v>
      </c>
      <c r="J724">
        <v>1216834</v>
      </c>
      <c r="K724">
        <v>51200</v>
      </c>
    </row>
    <row r="725" spans="1:11" x14ac:dyDescent="0.3">
      <c r="A725" t="s">
        <v>734</v>
      </c>
      <c r="B725">
        <v>79800</v>
      </c>
      <c r="C725">
        <v>522300</v>
      </c>
      <c r="D725">
        <v>42854</v>
      </c>
      <c r="E725">
        <v>151100</v>
      </c>
      <c r="F725">
        <v>995471</v>
      </c>
      <c r="G725">
        <v>142100</v>
      </c>
      <c r="H725">
        <v>1225289</v>
      </c>
      <c r="I725">
        <v>49400</v>
      </c>
      <c r="J725">
        <v>1220042</v>
      </c>
      <c r="K725">
        <v>48600</v>
      </c>
    </row>
    <row r="726" spans="1:11" x14ac:dyDescent="0.3">
      <c r="A726" t="s">
        <v>735</v>
      </c>
      <c r="B726">
        <v>79800</v>
      </c>
      <c r="C726">
        <v>523200</v>
      </c>
      <c r="D726">
        <v>40177</v>
      </c>
      <c r="E726">
        <v>142100</v>
      </c>
      <c r="F726">
        <v>998426</v>
      </c>
      <c r="G726">
        <v>172700</v>
      </c>
      <c r="H726">
        <v>1228889</v>
      </c>
      <c r="I726">
        <v>56200</v>
      </c>
      <c r="J726">
        <v>1223829</v>
      </c>
      <c r="K726">
        <v>52200</v>
      </c>
    </row>
    <row r="727" spans="1:11" x14ac:dyDescent="0.3">
      <c r="A727" t="s">
        <v>736</v>
      </c>
      <c r="B727">
        <v>79800</v>
      </c>
      <c r="C727">
        <v>572800</v>
      </c>
      <c r="D727">
        <v>40127</v>
      </c>
      <c r="E727">
        <v>146200</v>
      </c>
      <c r="F727">
        <v>1001398</v>
      </c>
      <c r="G727">
        <v>142800</v>
      </c>
      <c r="H727">
        <v>1232608</v>
      </c>
      <c r="I727">
        <v>52100</v>
      </c>
      <c r="J727">
        <v>1227581</v>
      </c>
      <c r="K727">
        <v>55600</v>
      </c>
    </row>
    <row r="728" spans="1:11" x14ac:dyDescent="0.3">
      <c r="A728" t="s">
        <v>737</v>
      </c>
      <c r="B728">
        <v>79800</v>
      </c>
      <c r="C728">
        <v>534300</v>
      </c>
      <c r="D728">
        <v>38278</v>
      </c>
      <c r="E728">
        <v>140600</v>
      </c>
      <c r="F728">
        <v>1004371</v>
      </c>
      <c r="G728">
        <v>140000</v>
      </c>
      <c r="H728">
        <v>1236171</v>
      </c>
      <c r="I728">
        <v>47700</v>
      </c>
      <c r="J728">
        <v>1230996</v>
      </c>
      <c r="K728">
        <v>49800</v>
      </c>
    </row>
    <row r="729" spans="1:11" x14ac:dyDescent="0.3">
      <c r="A729" t="s">
        <v>738</v>
      </c>
      <c r="B729">
        <v>79800</v>
      </c>
      <c r="C729">
        <v>540800</v>
      </c>
      <c r="D729">
        <v>41521</v>
      </c>
      <c r="E729">
        <v>150100</v>
      </c>
      <c r="F729">
        <v>1007361</v>
      </c>
      <c r="G729">
        <v>164200</v>
      </c>
      <c r="H729">
        <v>1240172</v>
      </c>
      <c r="I729">
        <v>62500</v>
      </c>
      <c r="J729">
        <v>1234518</v>
      </c>
      <c r="K729">
        <v>66700</v>
      </c>
    </row>
    <row r="730" spans="1:11" x14ac:dyDescent="0.3">
      <c r="A730" t="s">
        <v>739</v>
      </c>
      <c r="B730">
        <v>79800</v>
      </c>
      <c r="C730">
        <v>680100</v>
      </c>
      <c r="D730">
        <v>40015</v>
      </c>
      <c r="E730">
        <v>142700</v>
      </c>
      <c r="F730">
        <v>1010313</v>
      </c>
      <c r="G730">
        <v>159400</v>
      </c>
      <c r="H730">
        <v>1243583</v>
      </c>
      <c r="I730">
        <v>44200</v>
      </c>
      <c r="J730">
        <v>1237972</v>
      </c>
      <c r="K730">
        <v>50600</v>
      </c>
    </row>
    <row r="731" spans="1:11" x14ac:dyDescent="0.3">
      <c r="A731" t="s">
        <v>740</v>
      </c>
      <c r="B731">
        <v>79800</v>
      </c>
      <c r="C731">
        <v>586500</v>
      </c>
      <c r="D731">
        <v>40100</v>
      </c>
      <c r="E731">
        <v>142400</v>
      </c>
      <c r="F731">
        <v>1013277</v>
      </c>
      <c r="G731">
        <v>146700</v>
      </c>
      <c r="H731">
        <v>1247402</v>
      </c>
      <c r="I731">
        <v>50300</v>
      </c>
      <c r="J731">
        <v>1241583</v>
      </c>
      <c r="K731">
        <v>55900</v>
      </c>
    </row>
    <row r="732" spans="1:11" x14ac:dyDescent="0.3">
      <c r="A732" t="s">
        <v>741</v>
      </c>
      <c r="B732">
        <v>79800</v>
      </c>
      <c r="C732">
        <v>543800</v>
      </c>
      <c r="D732">
        <v>39976</v>
      </c>
      <c r="E732">
        <v>141300</v>
      </c>
      <c r="F732">
        <v>1016242</v>
      </c>
      <c r="G732">
        <v>150200</v>
      </c>
      <c r="H732">
        <v>1251187</v>
      </c>
      <c r="I732">
        <v>51600</v>
      </c>
      <c r="J732">
        <v>1245025</v>
      </c>
      <c r="K732">
        <v>49700</v>
      </c>
    </row>
    <row r="733" spans="1:11" x14ac:dyDescent="0.3">
      <c r="A733" t="s">
        <v>742</v>
      </c>
      <c r="B733">
        <v>79800</v>
      </c>
      <c r="C733">
        <v>480000</v>
      </c>
      <c r="D733">
        <v>40286</v>
      </c>
      <c r="E733">
        <v>146200</v>
      </c>
      <c r="F733">
        <v>1019219</v>
      </c>
      <c r="G733">
        <v>152000</v>
      </c>
      <c r="H733">
        <v>1255424</v>
      </c>
      <c r="I733">
        <v>44800</v>
      </c>
      <c r="J733">
        <v>1248238</v>
      </c>
      <c r="K733">
        <v>53200</v>
      </c>
    </row>
    <row r="734" spans="1:11" x14ac:dyDescent="0.3">
      <c r="A734" t="s">
        <v>743</v>
      </c>
      <c r="B734">
        <v>79800</v>
      </c>
      <c r="C734">
        <v>482600</v>
      </c>
      <c r="D734">
        <v>40373</v>
      </c>
      <c r="E734">
        <v>145700</v>
      </c>
      <c r="F734">
        <v>1022182</v>
      </c>
      <c r="G734">
        <v>144800</v>
      </c>
      <c r="H734">
        <v>1259538</v>
      </c>
      <c r="I734">
        <v>44900</v>
      </c>
      <c r="J734">
        <v>1252166</v>
      </c>
      <c r="K734">
        <v>50100</v>
      </c>
    </row>
    <row r="735" spans="1:11" x14ac:dyDescent="0.3">
      <c r="A735" t="s">
        <v>744</v>
      </c>
      <c r="B735">
        <v>79800</v>
      </c>
      <c r="C735">
        <v>536800</v>
      </c>
      <c r="D735">
        <v>42601</v>
      </c>
      <c r="E735">
        <v>154500</v>
      </c>
      <c r="F735">
        <v>1025139</v>
      </c>
      <c r="G735">
        <v>140700</v>
      </c>
      <c r="H735">
        <v>1263334</v>
      </c>
      <c r="I735">
        <v>50200</v>
      </c>
      <c r="J735">
        <v>1256339</v>
      </c>
      <c r="K735">
        <v>48400</v>
      </c>
    </row>
    <row r="736" spans="1:11" x14ac:dyDescent="0.3">
      <c r="A736" t="s">
        <v>745</v>
      </c>
      <c r="B736">
        <v>79800</v>
      </c>
      <c r="C736">
        <v>624800</v>
      </c>
      <c r="D736">
        <v>41344</v>
      </c>
      <c r="E736">
        <v>152800</v>
      </c>
      <c r="F736">
        <v>1028111</v>
      </c>
      <c r="G736">
        <v>151100</v>
      </c>
      <c r="H736">
        <v>1267239</v>
      </c>
      <c r="I736">
        <v>46000</v>
      </c>
      <c r="J736">
        <v>1259919</v>
      </c>
      <c r="K736">
        <v>48300</v>
      </c>
    </row>
    <row r="737" spans="1:11" x14ac:dyDescent="0.3">
      <c r="A737" t="s">
        <v>746</v>
      </c>
      <c r="B737">
        <v>79800</v>
      </c>
      <c r="C737">
        <v>708300</v>
      </c>
      <c r="D737">
        <v>41196</v>
      </c>
      <c r="E737">
        <v>247500</v>
      </c>
      <c r="F737">
        <v>1031082</v>
      </c>
      <c r="G737">
        <v>177400</v>
      </c>
      <c r="H737">
        <v>1270749</v>
      </c>
      <c r="I737">
        <v>52500</v>
      </c>
      <c r="J737">
        <v>1263549</v>
      </c>
      <c r="K737">
        <v>49900</v>
      </c>
    </row>
    <row r="738" spans="1:11" x14ac:dyDescent="0.3">
      <c r="A738" t="s">
        <v>747</v>
      </c>
      <c r="B738">
        <v>79800</v>
      </c>
      <c r="C738">
        <v>613400</v>
      </c>
      <c r="D738">
        <v>39499</v>
      </c>
      <c r="E738">
        <v>173500</v>
      </c>
      <c r="F738">
        <v>1034047</v>
      </c>
      <c r="G738">
        <v>182300</v>
      </c>
      <c r="H738">
        <v>1274405</v>
      </c>
      <c r="I738">
        <v>54300</v>
      </c>
      <c r="J738">
        <v>1267445</v>
      </c>
      <c r="K738">
        <v>61400</v>
      </c>
    </row>
    <row r="739" spans="1:11" x14ac:dyDescent="0.3">
      <c r="A739" t="s">
        <v>748</v>
      </c>
      <c r="B739">
        <v>79800</v>
      </c>
      <c r="C739">
        <v>639700</v>
      </c>
      <c r="D739">
        <v>38175</v>
      </c>
      <c r="E739">
        <v>170800</v>
      </c>
      <c r="F739">
        <v>1036995</v>
      </c>
      <c r="G739">
        <v>227600</v>
      </c>
      <c r="H739">
        <v>1278180</v>
      </c>
      <c r="I739">
        <v>70500</v>
      </c>
      <c r="J739">
        <v>1271317</v>
      </c>
      <c r="K739">
        <v>78000</v>
      </c>
    </row>
    <row r="740" spans="1:11" x14ac:dyDescent="0.3">
      <c r="A740" t="s">
        <v>749</v>
      </c>
      <c r="B740">
        <v>79800</v>
      </c>
      <c r="C740">
        <v>540200</v>
      </c>
      <c r="D740">
        <v>41288</v>
      </c>
      <c r="E740">
        <v>147500</v>
      </c>
      <c r="F740">
        <v>1039927</v>
      </c>
      <c r="G740">
        <v>145000</v>
      </c>
      <c r="H740">
        <v>1281796</v>
      </c>
      <c r="I740">
        <v>47600</v>
      </c>
      <c r="J740">
        <v>1274904</v>
      </c>
      <c r="K740">
        <v>50200</v>
      </c>
    </row>
    <row r="741" spans="1:11" x14ac:dyDescent="0.3">
      <c r="A741" t="s">
        <v>750</v>
      </c>
      <c r="B741">
        <v>79800</v>
      </c>
      <c r="C741">
        <v>530800</v>
      </c>
      <c r="D741">
        <v>42504</v>
      </c>
      <c r="E741">
        <v>156800</v>
      </c>
      <c r="F741">
        <v>1042879</v>
      </c>
      <c r="G741">
        <v>147400</v>
      </c>
      <c r="H741">
        <v>1285652</v>
      </c>
      <c r="I741">
        <v>51100</v>
      </c>
      <c r="J741">
        <v>1278423</v>
      </c>
      <c r="K741">
        <v>51500</v>
      </c>
    </row>
    <row r="742" spans="1:11" x14ac:dyDescent="0.3">
      <c r="A742" t="s">
        <v>751</v>
      </c>
      <c r="B742">
        <v>79800</v>
      </c>
      <c r="C742">
        <v>612700</v>
      </c>
      <c r="D742">
        <v>39941</v>
      </c>
      <c r="E742">
        <v>169800</v>
      </c>
      <c r="F742">
        <v>1045842</v>
      </c>
      <c r="G742">
        <v>180800</v>
      </c>
      <c r="H742">
        <v>1289144</v>
      </c>
      <c r="I742">
        <v>55600</v>
      </c>
      <c r="J742">
        <v>1282051</v>
      </c>
      <c r="K742">
        <v>61600</v>
      </c>
    </row>
    <row r="743" spans="1:11" x14ac:dyDescent="0.3">
      <c r="A743" t="s">
        <v>752</v>
      </c>
      <c r="B743">
        <v>79800</v>
      </c>
      <c r="C743">
        <v>540200</v>
      </c>
      <c r="D743">
        <v>39683</v>
      </c>
      <c r="E743">
        <v>140500</v>
      </c>
      <c r="F743">
        <v>1048795</v>
      </c>
      <c r="G743">
        <v>161000</v>
      </c>
      <c r="H743">
        <v>1292735</v>
      </c>
      <c r="I743">
        <v>46900</v>
      </c>
      <c r="J743">
        <v>1285640</v>
      </c>
      <c r="K743">
        <v>50400</v>
      </c>
    </row>
    <row r="744" spans="1:11" x14ac:dyDescent="0.3">
      <c r="A744" t="s">
        <v>753</v>
      </c>
      <c r="B744">
        <v>79800</v>
      </c>
      <c r="C744">
        <v>522200</v>
      </c>
      <c r="D744">
        <v>40452</v>
      </c>
      <c r="E744">
        <v>143300</v>
      </c>
      <c r="F744">
        <v>1051759</v>
      </c>
      <c r="G744">
        <v>146400</v>
      </c>
      <c r="H744">
        <v>1296239</v>
      </c>
      <c r="I744">
        <v>48400</v>
      </c>
      <c r="J744">
        <v>1289238</v>
      </c>
      <c r="K744">
        <v>49900</v>
      </c>
    </row>
    <row r="745" spans="1:11" x14ac:dyDescent="0.3">
      <c r="A745" t="s">
        <v>754</v>
      </c>
      <c r="B745">
        <v>79800</v>
      </c>
      <c r="C745">
        <v>637500</v>
      </c>
      <c r="D745">
        <v>41064</v>
      </c>
      <c r="E745">
        <v>179900</v>
      </c>
      <c r="F745">
        <v>1054716</v>
      </c>
      <c r="G745">
        <v>220400</v>
      </c>
      <c r="H745">
        <v>1299530</v>
      </c>
      <c r="I745">
        <v>53400</v>
      </c>
      <c r="J745">
        <v>1293336</v>
      </c>
      <c r="K745">
        <v>60100</v>
      </c>
    </row>
    <row r="746" spans="1:11" x14ac:dyDescent="0.3">
      <c r="A746" t="s">
        <v>755</v>
      </c>
      <c r="B746">
        <v>79800</v>
      </c>
      <c r="C746">
        <v>529800</v>
      </c>
      <c r="D746">
        <v>40109</v>
      </c>
      <c r="E746">
        <v>152400</v>
      </c>
      <c r="F746">
        <v>1057669</v>
      </c>
      <c r="G746">
        <v>152800</v>
      </c>
      <c r="H746">
        <v>1303185</v>
      </c>
      <c r="I746">
        <v>44500</v>
      </c>
      <c r="J746">
        <v>1297017</v>
      </c>
      <c r="K746">
        <v>50400</v>
      </c>
    </row>
    <row r="747" spans="1:11" x14ac:dyDescent="0.3">
      <c r="A747" t="s">
        <v>756</v>
      </c>
      <c r="B747">
        <v>79800</v>
      </c>
      <c r="C747">
        <v>558000</v>
      </c>
      <c r="D747">
        <v>39447</v>
      </c>
      <c r="E747">
        <v>140600</v>
      </c>
      <c r="F747">
        <v>1060612</v>
      </c>
      <c r="G747">
        <v>144700</v>
      </c>
      <c r="H747">
        <v>1306639</v>
      </c>
      <c r="I747">
        <v>42400</v>
      </c>
      <c r="J747">
        <v>1300592</v>
      </c>
      <c r="K747">
        <v>49400</v>
      </c>
    </row>
    <row r="748" spans="1:11" x14ac:dyDescent="0.3">
      <c r="A748" t="s">
        <v>757</v>
      </c>
      <c r="B748">
        <v>79800</v>
      </c>
      <c r="C748">
        <v>531600</v>
      </c>
      <c r="D748">
        <v>40602</v>
      </c>
      <c r="E748">
        <v>143600</v>
      </c>
      <c r="F748">
        <v>1063578</v>
      </c>
      <c r="G748">
        <v>142100</v>
      </c>
      <c r="H748">
        <v>1310351</v>
      </c>
      <c r="I748">
        <v>42700</v>
      </c>
      <c r="J748">
        <v>1304304</v>
      </c>
      <c r="K748">
        <v>51600</v>
      </c>
    </row>
    <row r="749" spans="1:11" x14ac:dyDescent="0.3">
      <c r="A749" t="s">
        <v>758</v>
      </c>
      <c r="B749">
        <v>79800</v>
      </c>
      <c r="C749">
        <v>549400</v>
      </c>
      <c r="D749">
        <v>41974</v>
      </c>
      <c r="E749">
        <v>148500</v>
      </c>
      <c r="F749">
        <v>1066536</v>
      </c>
      <c r="G749">
        <v>139500</v>
      </c>
      <c r="H749">
        <v>1313859</v>
      </c>
      <c r="I749">
        <v>43800</v>
      </c>
      <c r="J749">
        <v>1308070</v>
      </c>
      <c r="K749">
        <v>51800</v>
      </c>
    </row>
    <row r="750" spans="1:11" x14ac:dyDescent="0.3">
      <c r="A750" t="s">
        <v>759</v>
      </c>
      <c r="B750">
        <v>79800</v>
      </c>
      <c r="C750">
        <v>566500</v>
      </c>
      <c r="D750">
        <v>38440</v>
      </c>
      <c r="E750">
        <v>137300</v>
      </c>
      <c r="F750">
        <v>1069518</v>
      </c>
      <c r="G750">
        <v>146700</v>
      </c>
      <c r="H750">
        <v>1317288</v>
      </c>
      <c r="I750">
        <v>49100</v>
      </c>
      <c r="J750">
        <v>1311907</v>
      </c>
      <c r="K750">
        <v>56500</v>
      </c>
    </row>
    <row r="751" spans="1:11" x14ac:dyDescent="0.3">
      <c r="A751" t="s">
        <v>760</v>
      </c>
      <c r="B751">
        <v>79800</v>
      </c>
      <c r="C751">
        <v>567700</v>
      </c>
      <c r="D751">
        <v>42121</v>
      </c>
      <c r="E751">
        <v>154700</v>
      </c>
      <c r="F751">
        <v>1072486</v>
      </c>
      <c r="G751">
        <v>135700</v>
      </c>
      <c r="H751">
        <v>1320976</v>
      </c>
      <c r="I751">
        <v>47700</v>
      </c>
      <c r="J751">
        <v>1315760</v>
      </c>
      <c r="K751">
        <v>51100</v>
      </c>
    </row>
    <row r="752" spans="1:11" x14ac:dyDescent="0.3">
      <c r="A752" t="s">
        <v>761</v>
      </c>
      <c r="B752">
        <v>79800</v>
      </c>
      <c r="C752">
        <v>736200</v>
      </c>
      <c r="D752">
        <v>40208</v>
      </c>
      <c r="E752">
        <v>149800</v>
      </c>
      <c r="F752">
        <v>1075439</v>
      </c>
      <c r="G752">
        <v>135600</v>
      </c>
      <c r="H752">
        <v>1324630</v>
      </c>
      <c r="I752">
        <v>48400</v>
      </c>
      <c r="J752">
        <v>1319044</v>
      </c>
      <c r="K752">
        <v>63400</v>
      </c>
    </row>
    <row r="753" spans="1:11" x14ac:dyDescent="0.3">
      <c r="A753" t="s">
        <v>762</v>
      </c>
      <c r="B753">
        <v>79800</v>
      </c>
      <c r="C753">
        <v>640000</v>
      </c>
      <c r="D753">
        <v>39148</v>
      </c>
      <c r="E753">
        <v>139500</v>
      </c>
      <c r="F753">
        <v>1078400</v>
      </c>
      <c r="G753">
        <v>142300</v>
      </c>
      <c r="H753">
        <v>1328007</v>
      </c>
      <c r="I753">
        <v>44500</v>
      </c>
      <c r="J753">
        <v>1322354</v>
      </c>
      <c r="K753">
        <v>49800</v>
      </c>
    </row>
    <row r="754" spans="1:11" x14ac:dyDescent="0.3">
      <c r="A754" t="s">
        <v>763</v>
      </c>
      <c r="B754">
        <v>79800</v>
      </c>
      <c r="C754">
        <v>693800</v>
      </c>
      <c r="D754">
        <v>38404</v>
      </c>
      <c r="E754">
        <v>169800</v>
      </c>
      <c r="F754">
        <v>1081358</v>
      </c>
      <c r="G754">
        <v>172600</v>
      </c>
      <c r="H754">
        <v>1331665</v>
      </c>
      <c r="I754">
        <v>52800</v>
      </c>
      <c r="J754">
        <v>1326246</v>
      </c>
      <c r="K754">
        <v>59400</v>
      </c>
    </row>
    <row r="755" spans="1:11" x14ac:dyDescent="0.3">
      <c r="A755" t="s">
        <v>764</v>
      </c>
      <c r="B755">
        <v>79800</v>
      </c>
      <c r="C755">
        <v>517600</v>
      </c>
      <c r="D755">
        <v>37684</v>
      </c>
      <c r="E755">
        <v>136500</v>
      </c>
      <c r="F755">
        <v>1084299</v>
      </c>
      <c r="G755">
        <v>132500</v>
      </c>
      <c r="H755">
        <v>1335391</v>
      </c>
      <c r="I755">
        <v>43100</v>
      </c>
      <c r="J755">
        <v>1329814</v>
      </c>
      <c r="K755">
        <v>51000</v>
      </c>
    </row>
    <row r="756" spans="1:11" x14ac:dyDescent="0.3">
      <c r="A756" t="s">
        <v>765</v>
      </c>
      <c r="B756">
        <v>79800</v>
      </c>
      <c r="C756">
        <v>496600</v>
      </c>
      <c r="D756">
        <v>40847</v>
      </c>
      <c r="E756">
        <v>147300</v>
      </c>
      <c r="F756">
        <v>1087269</v>
      </c>
      <c r="G756">
        <v>135500</v>
      </c>
      <c r="H756">
        <v>1339464</v>
      </c>
      <c r="I756">
        <v>44500</v>
      </c>
      <c r="J756">
        <v>1333327</v>
      </c>
      <c r="K756">
        <v>54600</v>
      </c>
    </row>
    <row r="757" spans="1:11" x14ac:dyDescent="0.3">
      <c r="A757" t="s">
        <v>766</v>
      </c>
      <c r="B757">
        <v>79800</v>
      </c>
      <c r="C757">
        <v>593200</v>
      </c>
      <c r="D757">
        <v>41122</v>
      </c>
      <c r="E757">
        <v>176400</v>
      </c>
      <c r="F757">
        <v>1090204</v>
      </c>
      <c r="G757">
        <v>168900</v>
      </c>
      <c r="H757">
        <v>1342922</v>
      </c>
      <c r="I757">
        <v>52200</v>
      </c>
      <c r="J757">
        <v>1337188</v>
      </c>
      <c r="K757">
        <v>60600</v>
      </c>
    </row>
    <row r="758" spans="1:11" x14ac:dyDescent="0.3">
      <c r="A758" t="s">
        <v>767</v>
      </c>
      <c r="B758">
        <v>79800</v>
      </c>
      <c r="C758">
        <v>549800</v>
      </c>
      <c r="D758">
        <v>39385</v>
      </c>
      <c r="E758">
        <v>143800</v>
      </c>
      <c r="F758">
        <v>1093155</v>
      </c>
      <c r="G758">
        <v>133500</v>
      </c>
      <c r="H758">
        <v>1346647</v>
      </c>
      <c r="I758">
        <v>48600</v>
      </c>
      <c r="J758">
        <v>1340965</v>
      </c>
      <c r="K758">
        <v>50600</v>
      </c>
    </row>
    <row r="759" spans="1:11" x14ac:dyDescent="0.3">
      <c r="A759" t="s">
        <v>768</v>
      </c>
      <c r="B759">
        <v>79800</v>
      </c>
      <c r="C759">
        <v>680000</v>
      </c>
      <c r="D759">
        <v>41689</v>
      </c>
      <c r="E759">
        <v>266000</v>
      </c>
      <c r="F759">
        <v>1096116</v>
      </c>
      <c r="G759">
        <v>222000</v>
      </c>
      <c r="H759">
        <v>1350375</v>
      </c>
      <c r="I759">
        <v>61200</v>
      </c>
      <c r="J759">
        <v>1344619</v>
      </c>
      <c r="K759">
        <v>70900</v>
      </c>
    </row>
    <row r="760" spans="1:11" x14ac:dyDescent="0.3">
      <c r="A760" t="s">
        <v>769</v>
      </c>
      <c r="B760">
        <v>79800</v>
      </c>
      <c r="C760">
        <v>562500</v>
      </c>
      <c r="D760">
        <v>38585</v>
      </c>
      <c r="E760">
        <v>141000</v>
      </c>
      <c r="F760">
        <v>1099084</v>
      </c>
      <c r="G760">
        <v>144200</v>
      </c>
      <c r="H760">
        <v>1353922</v>
      </c>
      <c r="I760">
        <v>54100</v>
      </c>
      <c r="J760">
        <v>1348012</v>
      </c>
      <c r="K760">
        <v>51000</v>
      </c>
    </row>
    <row r="761" spans="1:11" x14ac:dyDescent="0.3">
      <c r="A761" t="s">
        <v>770</v>
      </c>
      <c r="B761">
        <v>79800</v>
      </c>
      <c r="C761">
        <v>607200</v>
      </c>
      <c r="D761">
        <v>39240</v>
      </c>
      <c r="E761">
        <v>139600</v>
      </c>
      <c r="F761">
        <v>1102032</v>
      </c>
      <c r="G761">
        <v>146500</v>
      </c>
      <c r="H761">
        <v>1357333</v>
      </c>
      <c r="I761">
        <v>49600</v>
      </c>
      <c r="J761">
        <v>1351836</v>
      </c>
      <c r="K761">
        <v>52300</v>
      </c>
    </row>
    <row r="762" spans="1:11" x14ac:dyDescent="0.3">
      <c r="A762" t="s">
        <v>771</v>
      </c>
      <c r="B762">
        <v>79800</v>
      </c>
      <c r="C762">
        <v>529700</v>
      </c>
      <c r="D762">
        <v>40033</v>
      </c>
      <c r="E762">
        <v>142100</v>
      </c>
      <c r="F762">
        <v>1104996</v>
      </c>
      <c r="G762">
        <v>147700</v>
      </c>
      <c r="H762">
        <v>1361248</v>
      </c>
      <c r="I762">
        <v>52900</v>
      </c>
      <c r="J762">
        <v>1355907</v>
      </c>
      <c r="K762">
        <v>52900</v>
      </c>
    </row>
    <row r="763" spans="1:11" x14ac:dyDescent="0.3">
      <c r="A763" t="s">
        <v>772</v>
      </c>
      <c r="B763">
        <v>79800</v>
      </c>
      <c r="C763">
        <v>610600</v>
      </c>
      <c r="D763">
        <v>38413</v>
      </c>
      <c r="E763">
        <v>143000</v>
      </c>
      <c r="F763">
        <v>1107930</v>
      </c>
      <c r="G763">
        <v>144900</v>
      </c>
      <c r="H763">
        <v>1365180</v>
      </c>
      <c r="I763">
        <v>45500</v>
      </c>
      <c r="J763">
        <v>1359739</v>
      </c>
      <c r="K763">
        <v>50900</v>
      </c>
    </row>
    <row r="764" spans="1:11" x14ac:dyDescent="0.3">
      <c r="A764" t="s">
        <v>773</v>
      </c>
      <c r="B764">
        <v>79800</v>
      </c>
      <c r="C764">
        <v>623400</v>
      </c>
      <c r="D764">
        <v>39605</v>
      </c>
      <c r="E764">
        <v>174500</v>
      </c>
      <c r="F764">
        <v>1110905</v>
      </c>
      <c r="G764">
        <v>185400</v>
      </c>
      <c r="H764">
        <v>1368792</v>
      </c>
      <c r="I764">
        <v>54000</v>
      </c>
      <c r="J764">
        <v>1363100</v>
      </c>
      <c r="K764">
        <v>60900</v>
      </c>
    </row>
    <row r="765" spans="1:11" x14ac:dyDescent="0.3">
      <c r="A765" t="s">
        <v>774</v>
      </c>
      <c r="B765">
        <v>79800</v>
      </c>
      <c r="C765">
        <v>524600</v>
      </c>
      <c r="D765">
        <v>39816</v>
      </c>
      <c r="E765">
        <v>145400</v>
      </c>
      <c r="F765">
        <v>1113881</v>
      </c>
      <c r="G765">
        <v>271400</v>
      </c>
      <c r="H765">
        <v>1372250</v>
      </c>
      <c r="I765">
        <v>44000</v>
      </c>
      <c r="J765">
        <v>1366574</v>
      </c>
      <c r="K765">
        <v>50900</v>
      </c>
    </row>
    <row r="766" spans="1:11" x14ac:dyDescent="0.3">
      <c r="A766" t="s">
        <v>775</v>
      </c>
      <c r="B766">
        <v>79800</v>
      </c>
      <c r="C766">
        <v>549400</v>
      </c>
      <c r="D766">
        <v>40144</v>
      </c>
      <c r="E766">
        <v>142200</v>
      </c>
      <c r="F766">
        <v>1116853</v>
      </c>
      <c r="G766">
        <v>163600</v>
      </c>
      <c r="H766">
        <v>1376357</v>
      </c>
      <c r="I766">
        <v>49700</v>
      </c>
      <c r="J766">
        <v>1370097</v>
      </c>
      <c r="K766">
        <v>54200</v>
      </c>
    </row>
    <row r="767" spans="1:11" x14ac:dyDescent="0.3">
      <c r="A767" t="s">
        <v>776</v>
      </c>
      <c r="B767">
        <v>79800</v>
      </c>
      <c r="C767">
        <v>639300</v>
      </c>
      <c r="D767">
        <v>40774</v>
      </c>
      <c r="E767">
        <v>173500</v>
      </c>
      <c r="F767">
        <v>1119825</v>
      </c>
      <c r="G767">
        <v>171000</v>
      </c>
      <c r="H767">
        <v>1380395</v>
      </c>
      <c r="I767">
        <v>51700</v>
      </c>
      <c r="J767">
        <v>1374112</v>
      </c>
      <c r="K767">
        <v>61700</v>
      </c>
    </row>
    <row r="768" spans="1:11" x14ac:dyDescent="0.3">
      <c r="A768" t="s">
        <v>777</v>
      </c>
      <c r="B768">
        <v>79800</v>
      </c>
      <c r="C768">
        <v>671200</v>
      </c>
      <c r="D768">
        <v>40919</v>
      </c>
      <c r="E768">
        <v>151300</v>
      </c>
      <c r="F768">
        <v>1122780</v>
      </c>
      <c r="G768">
        <v>134700</v>
      </c>
      <c r="H768">
        <v>1384278</v>
      </c>
      <c r="I768">
        <v>43500</v>
      </c>
      <c r="J768">
        <v>1377455</v>
      </c>
      <c r="K768">
        <v>49200</v>
      </c>
    </row>
    <row r="769" spans="1:11" x14ac:dyDescent="0.3">
      <c r="A769" t="s">
        <v>778</v>
      </c>
      <c r="B769">
        <v>79800</v>
      </c>
      <c r="C769">
        <v>493100</v>
      </c>
      <c r="D769">
        <v>40317</v>
      </c>
      <c r="E769">
        <v>148100</v>
      </c>
      <c r="F769">
        <v>1125741</v>
      </c>
      <c r="G769">
        <v>135800</v>
      </c>
      <c r="H769">
        <v>1387646</v>
      </c>
      <c r="I769">
        <v>42900</v>
      </c>
      <c r="J769">
        <v>1381134</v>
      </c>
      <c r="K769">
        <v>54600</v>
      </c>
    </row>
    <row r="770" spans="1:11" x14ac:dyDescent="0.3">
      <c r="A770" t="s">
        <v>779</v>
      </c>
      <c r="B770">
        <v>79800</v>
      </c>
      <c r="C770">
        <v>496500</v>
      </c>
      <c r="D770">
        <v>41892</v>
      </c>
      <c r="E770">
        <v>151200</v>
      </c>
      <c r="F770">
        <v>1128700</v>
      </c>
      <c r="G770">
        <v>135300</v>
      </c>
      <c r="H770">
        <v>1391192</v>
      </c>
      <c r="I770">
        <v>43700</v>
      </c>
      <c r="J770">
        <v>1385042</v>
      </c>
      <c r="K770">
        <v>60000</v>
      </c>
    </row>
    <row r="771" spans="1:11" x14ac:dyDescent="0.3">
      <c r="A771" t="s">
        <v>780</v>
      </c>
      <c r="B771">
        <v>79800</v>
      </c>
      <c r="C771">
        <v>502800</v>
      </c>
      <c r="D771">
        <v>40200</v>
      </c>
      <c r="E771">
        <v>142200</v>
      </c>
      <c r="F771">
        <v>1131641</v>
      </c>
      <c r="G771">
        <v>132200</v>
      </c>
      <c r="H771">
        <v>1394913</v>
      </c>
      <c r="I771">
        <v>43000</v>
      </c>
      <c r="J771">
        <v>1389165</v>
      </c>
      <c r="K771">
        <v>54000</v>
      </c>
    </row>
    <row r="772" spans="1:11" x14ac:dyDescent="0.3">
      <c r="A772" t="s">
        <v>781</v>
      </c>
      <c r="B772">
        <v>79800</v>
      </c>
      <c r="C772">
        <v>718900</v>
      </c>
      <c r="D772">
        <v>41601</v>
      </c>
      <c r="E772">
        <v>151900</v>
      </c>
      <c r="F772">
        <v>1134610</v>
      </c>
      <c r="G772">
        <v>136200</v>
      </c>
      <c r="H772">
        <v>1398617</v>
      </c>
      <c r="I772">
        <v>45300</v>
      </c>
      <c r="J772">
        <v>1392758</v>
      </c>
      <c r="K772">
        <v>49200</v>
      </c>
    </row>
    <row r="773" spans="1:11" x14ac:dyDescent="0.3">
      <c r="A773" t="s">
        <v>782</v>
      </c>
      <c r="B773">
        <v>79800</v>
      </c>
      <c r="C773">
        <v>579500</v>
      </c>
      <c r="D773">
        <v>39004</v>
      </c>
      <c r="E773">
        <v>138200</v>
      </c>
      <c r="F773">
        <v>1137566</v>
      </c>
      <c r="G773">
        <v>134100</v>
      </c>
      <c r="H773">
        <v>1402389</v>
      </c>
      <c r="I773">
        <v>49600</v>
      </c>
      <c r="J773">
        <v>1396108</v>
      </c>
      <c r="K773">
        <v>49400</v>
      </c>
    </row>
    <row r="774" spans="1:11" x14ac:dyDescent="0.3">
      <c r="A774" t="s">
        <v>783</v>
      </c>
      <c r="B774">
        <v>79800</v>
      </c>
      <c r="C774">
        <v>552400</v>
      </c>
      <c r="D774">
        <v>41368</v>
      </c>
      <c r="E774">
        <v>146100</v>
      </c>
      <c r="F774">
        <v>1140540</v>
      </c>
      <c r="G774">
        <v>132500</v>
      </c>
      <c r="H774">
        <v>1406428</v>
      </c>
      <c r="I774">
        <v>45900</v>
      </c>
      <c r="J774">
        <v>1399804</v>
      </c>
      <c r="K774">
        <v>49700</v>
      </c>
    </row>
    <row r="775" spans="1:11" x14ac:dyDescent="0.3">
      <c r="A775" t="s">
        <v>784</v>
      </c>
      <c r="B775">
        <v>79800</v>
      </c>
      <c r="C775">
        <v>502200</v>
      </c>
      <c r="D775">
        <v>39936</v>
      </c>
      <c r="E775">
        <v>144800</v>
      </c>
      <c r="F775">
        <v>1143496</v>
      </c>
      <c r="G775">
        <v>131700</v>
      </c>
      <c r="H775">
        <v>1410694</v>
      </c>
      <c r="I775">
        <v>44900</v>
      </c>
      <c r="J775">
        <v>1403421</v>
      </c>
      <c r="K775">
        <v>56700</v>
      </c>
    </row>
    <row r="776" spans="1:11" x14ac:dyDescent="0.3">
      <c r="A776" t="s">
        <v>785</v>
      </c>
      <c r="B776">
        <v>79800</v>
      </c>
      <c r="C776">
        <v>503400</v>
      </c>
      <c r="D776">
        <v>40738</v>
      </c>
      <c r="E776">
        <v>144400</v>
      </c>
      <c r="F776">
        <v>1146452</v>
      </c>
      <c r="G776">
        <v>133600</v>
      </c>
      <c r="H776">
        <v>1414934</v>
      </c>
      <c r="I776">
        <v>44400</v>
      </c>
      <c r="J776">
        <v>1406863</v>
      </c>
      <c r="K776">
        <v>57100</v>
      </c>
    </row>
    <row r="777" spans="1:11" x14ac:dyDescent="0.3">
      <c r="A777" t="s">
        <v>786</v>
      </c>
      <c r="B777">
        <v>79800</v>
      </c>
      <c r="C777">
        <v>529000</v>
      </c>
      <c r="D777">
        <v>41142</v>
      </c>
      <c r="E777">
        <v>145900</v>
      </c>
      <c r="F777">
        <v>1149404</v>
      </c>
      <c r="G777">
        <v>133100</v>
      </c>
      <c r="H777">
        <v>1418519</v>
      </c>
      <c r="I777">
        <v>47600</v>
      </c>
      <c r="J777">
        <v>1410321</v>
      </c>
      <c r="K777">
        <v>48400</v>
      </c>
    </row>
    <row r="778" spans="1:11" x14ac:dyDescent="0.3">
      <c r="A778" t="s">
        <v>787</v>
      </c>
      <c r="B778">
        <v>79800</v>
      </c>
      <c r="C778">
        <v>539700</v>
      </c>
      <c r="D778">
        <v>41664</v>
      </c>
      <c r="E778">
        <v>147000</v>
      </c>
      <c r="F778">
        <v>1152366</v>
      </c>
      <c r="G778">
        <v>136800</v>
      </c>
      <c r="H778">
        <v>1422097</v>
      </c>
      <c r="I778">
        <v>47100</v>
      </c>
      <c r="J778">
        <v>1413974</v>
      </c>
      <c r="K778">
        <v>47900</v>
      </c>
    </row>
    <row r="779" spans="1:11" x14ac:dyDescent="0.3">
      <c r="A779" t="s">
        <v>788</v>
      </c>
      <c r="B779">
        <v>79800</v>
      </c>
      <c r="C779">
        <v>646400</v>
      </c>
      <c r="D779">
        <v>41736</v>
      </c>
      <c r="E779">
        <v>164300</v>
      </c>
      <c r="F779">
        <v>1155323</v>
      </c>
      <c r="G779">
        <v>151400</v>
      </c>
      <c r="H779">
        <v>1425762</v>
      </c>
      <c r="I779">
        <v>44900</v>
      </c>
      <c r="J779">
        <v>1417998</v>
      </c>
      <c r="K779">
        <v>51500</v>
      </c>
    </row>
    <row r="780" spans="1:11" x14ac:dyDescent="0.3">
      <c r="A780" t="s">
        <v>789</v>
      </c>
      <c r="B780">
        <v>79800</v>
      </c>
      <c r="C780">
        <v>536800</v>
      </c>
      <c r="D780">
        <v>42296</v>
      </c>
      <c r="E780">
        <v>149000</v>
      </c>
      <c r="F780">
        <v>1158275</v>
      </c>
      <c r="G780">
        <v>132500</v>
      </c>
      <c r="H780">
        <v>1429218</v>
      </c>
      <c r="I780">
        <v>47300</v>
      </c>
      <c r="J780">
        <v>1421781</v>
      </c>
      <c r="K780">
        <v>48500</v>
      </c>
    </row>
    <row r="781" spans="1:11" x14ac:dyDescent="0.3">
      <c r="A781" t="s">
        <v>790</v>
      </c>
      <c r="B781">
        <v>79800</v>
      </c>
      <c r="C781">
        <v>584500</v>
      </c>
      <c r="D781">
        <v>40434</v>
      </c>
      <c r="E781">
        <v>148600</v>
      </c>
      <c r="F781">
        <v>1161237</v>
      </c>
      <c r="G781">
        <v>140900</v>
      </c>
      <c r="H781">
        <v>1432784</v>
      </c>
      <c r="I781">
        <v>44200</v>
      </c>
      <c r="J781">
        <v>1425503</v>
      </c>
      <c r="K781">
        <v>48900</v>
      </c>
    </row>
    <row r="782" spans="1:11" x14ac:dyDescent="0.3">
      <c r="A782" t="s">
        <v>791</v>
      </c>
      <c r="B782">
        <v>79800</v>
      </c>
      <c r="C782">
        <v>513000</v>
      </c>
      <c r="D782">
        <v>37903</v>
      </c>
      <c r="E782">
        <v>139300</v>
      </c>
      <c r="F782">
        <v>1164221</v>
      </c>
      <c r="G782">
        <v>133500</v>
      </c>
      <c r="H782">
        <v>1436324</v>
      </c>
      <c r="I782">
        <v>43400</v>
      </c>
      <c r="J782">
        <v>1429430</v>
      </c>
      <c r="K782">
        <v>49600</v>
      </c>
    </row>
    <row r="783" spans="1:11" x14ac:dyDescent="0.3">
      <c r="A783" t="s">
        <v>792</v>
      </c>
      <c r="B783">
        <v>79800</v>
      </c>
      <c r="C783">
        <v>578300</v>
      </c>
      <c r="D783">
        <v>40893</v>
      </c>
      <c r="E783">
        <v>144300</v>
      </c>
      <c r="F783">
        <v>1167169</v>
      </c>
      <c r="G783">
        <v>133400</v>
      </c>
      <c r="H783">
        <v>1440124</v>
      </c>
      <c r="I783">
        <v>49900</v>
      </c>
      <c r="J783">
        <v>1433171</v>
      </c>
      <c r="K783">
        <v>50400</v>
      </c>
    </row>
    <row r="784" spans="1:11" x14ac:dyDescent="0.3">
      <c r="A784" t="s">
        <v>793</v>
      </c>
      <c r="B784">
        <v>79800</v>
      </c>
      <c r="C784">
        <v>636700</v>
      </c>
      <c r="D784">
        <v>41394</v>
      </c>
      <c r="E784">
        <v>176100</v>
      </c>
      <c r="F784">
        <v>1170108</v>
      </c>
      <c r="G784">
        <v>190900</v>
      </c>
      <c r="H784">
        <v>1443547</v>
      </c>
      <c r="I784">
        <v>53200</v>
      </c>
      <c r="J784">
        <v>1436788</v>
      </c>
      <c r="K784">
        <v>61300</v>
      </c>
    </row>
    <row r="785" spans="1:11" x14ac:dyDescent="0.3">
      <c r="A785" t="s">
        <v>794</v>
      </c>
      <c r="B785">
        <v>79800</v>
      </c>
      <c r="C785">
        <v>589900</v>
      </c>
      <c r="D785">
        <v>41423</v>
      </c>
      <c r="E785">
        <v>182700</v>
      </c>
      <c r="F785">
        <v>1173063</v>
      </c>
      <c r="G785">
        <v>171000</v>
      </c>
      <c r="H785">
        <v>1447767</v>
      </c>
      <c r="I785">
        <v>55400</v>
      </c>
      <c r="J785">
        <v>1440148</v>
      </c>
      <c r="K785">
        <v>60800</v>
      </c>
    </row>
    <row r="786" spans="1:11" x14ac:dyDescent="0.3">
      <c r="A786" t="s">
        <v>795</v>
      </c>
      <c r="B786">
        <v>79800</v>
      </c>
      <c r="C786">
        <v>614500</v>
      </c>
      <c r="D786">
        <v>39498</v>
      </c>
      <c r="E786">
        <v>140400</v>
      </c>
      <c r="F786">
        <v>1176019</v>
      </c>
      <c r="G786">
        <v>141100</v>
      </c>
      <c r="H786">
        <v>1451426</v>
      </c>
      <c r="I786">
        <v>43700</v>
      </c>
      <c r="J786">
        <v>1443952</v>
      </c>
      <c r="K786">
        <v>53700</v>
      </c>
    </row>
    <row r="787" spans="1:11" x14ac:dyDescent="0.3">
      <c r="A787" t="s">
        <v>796</v>
      </c>
      <c r="B787">
        <v>79800</v>
      </c>
      <c r="C787">
        <v>547000</v>
      </c>
      <c r="D787">
        <v>40177</v>
      </c>
      <c r="E787">
        <v>146500</v>
      </c>
      <c r="F787">
        <v>1178976</v>
      </c>
      <c r="G787">
        <v>133300</v>
      </c>
      <c r="H787">
        <v>1455080</v>
      </c>
      <c r="I787">
        <v>50100</v>
      </c>
      <c r="J787">
        <v>1447752</v>
      </c>
      <c r="K787">
        <v>50600</v>
      </c>
    </row>
    <row r="788" spans="1:11" x14ac:dyDescent="0.3">
      <c r="A788" t="s">
        <v>797</v>
      </c>
      <c r="B788">
        <v>79800</v>
      </c>
      <c r="C788">
        <v>595300</v>
      </c>
      <c r="D788">
        <v>39386</v>
      </c>
      <c r="E788">
        <v>167800</v>
      </c>
      <c r="F788">
        <v>1181939</v>
      </c>
      <c r="G788">
        <v>151200</v>
      </c>
      <c r="H788">
        <v>1458795</v>
      </c>
      <c r="I788">
        <v>44600</v>
      </c>
      <c r="J788">
        <v>1451039</v>
      </c>
      <c r="K788">
        <v>51300</v>
      </c>
    </row>
    <row r="789" spans="1:11" x14ac:dyDescent="0.3">
      <c r="A789" t="s">
        <v>798</v>
      </c>
      <c r="B789">
        <v>79800</v>
      </c>
      <c r="C789">
        <v>550700</v>
      </c>
      <c r="D789">
        <v>39616</v>
      </c>
      <c r="E789">
        <v>147000</v>
      </c>
      <c r="F789">
        <v>1184901</v>
      </c>
      <c r="G789">
        <v>144900</v>
      </c>
      <c r="H789">
        <v>1462374</v>
      </c>
      <c r="I789">
        <v>51900</v>
      </c>
      <c r="J789">
        <v>1454574</v>
      </c>
      <c r="K789">
        <v>63000</v>
      </c>
    </row>
    <row r="790" spans="1:11" x14ac:dyDescent="0.3">
      <c r="A790" t="s">
        <v>799</v>
      </c>
      <c r="B790">
        <v>79800</v>
      </c>
      <c r="C790">
        <v>479900</v>
      </c>
      <c r="D790">
        <v>39279</v>
      </c>
      <c r="E790">
        <v>143800</v>
      </c>
      <c r="F790">
        <v>1187850</v>
      </c>
      <c r="G790">
        <v>135800</v>
      </c>
      <c r="H790">
        <v>1466047</v>
      </c>
      <c r="I790">
        <v>42700</v>
      </c>
      <c r="J790">
        <v>1457916</v>
      </c>
      <c r="K790">
        <v>52900</v>
      </c>
    </row>
    <row r="791" spans="1:11" x14ac:dyDescent="0.3">
      <c r="A791" t="s">
        <v>800</v>
      </c>
      <c r="B791">
        <v>79800</v>
      </c>
      <c r="C791">
        <v>662700</v>
      </c>
      <c r="D791">
        <v>39650</v>
      </c>
      <c r="E791">
        <v>168800</v>
      </c>
      <c r="F791">
        <v>1190817</v>
      </c>
      <c r="G791">
        <v>147000</v>
      </c>
      <c r="H791">
        <v>1469491</v>
      </c>
      <c r="I791">
        <v>43800</v>
      </c>
      <c r="J791">
        <v>1461701</v>
      </c>
      <c r="K791">
        <v>50600</v>
      </c>
    </row>
    <row r="792" spans="1:11" x14ac:dyDescent="0.3">
      <c r="A792" t="s">
        <v>801</v>
      </c>
      <c r="B792">
        <v>79800</v>
      </c>
      <c r="C792">
        <v>631500</v>
      </c>
      <c r="D792">
        <v>37671</v>
      </c>
      <c r="E792">
        <v>173100</v>
      </c>
      <c r="F792">
        <v>1193796</v>
      </c>
      <c r="G792">
        <v>214400</v>
      </c>
      <c r="H792">
        <v>1473273</v>
      </c>
      <c r="I792">
        <v>54000</v>
      </c>
      <c r="J792">
        <v>1465817</v>
      </c>
      <c r="K792">
        <v>60700</v>
      </c>
    </row>
    <row r="793" spans="1:11" x14ac:dyDescent="0.3">
      <c r="A793" t="s">
        <v>802</v>
      </c>
      <c r="B793">
        <v>79800</v>
      </c>
      <c r="C793">
        <v>555600</v>
      </c>
      <c r="D793">
        <v>40119</v>
      </c>
      <c r="E793">
        <v>141600</v>
      </c>
      <c r="F793">
        <v>1196742</v>
      </c>
      <c r="G793">
        <v>135200</v>
      </c>
      <c r="H793">
        <v>1476830</v>
      </c>
      <c r="I793">
        <v>45000</v>
      </c>
      <c r="J793">
        <v>1469653</v>
      </c>
      <c r="K793">
        <v>52000</v>
      </c>
    </row>
    <row r="794" spans="1:11" x14ac:dyDescent="0.3">
      <c r="A794" t="s">
        <v>803</v>
      </c>
      <c r="B794">
        <v>79800</v>
      </c>
      <c r="C794">
        <v>533600</v>
      </c>
      <c r="D794">
        <v>39549</v>
      </c>
      <c r="E794">
        <v>140700</v>
      </c>
      <c r="F794">
        <v>1199715</v>
      </c>
      <c r="G794">
        <v>133700</v>
      </c>
      <c r="H794">
        <v>1480648</v>
      </c>
      <c r="I794">
        <v>47600</v>
      </c>
      <c r="J794">
        <v>1473072</v>
      </c>
      <c r="K794">
        <v>49100</v>
      </c>
    </row>
    <row r="795" spans="1:11" x14ac:dyDescent="0.3">
      <c r="A795" t="s">
        <v>804</v>
      </c>
      <c r="B795">
        <v>79800</v>
      </c>
      <c r="C795">
        <v>496600</v>
      </c>
      <c r="D795">
        <v>39523</v>
      </c>
      <c r="E795">
        <v>140200</v>
      </c>
      <c r="F795">
        <v>1202691</v>
      </c>
      <c r="G795">
        <v>132200</v>
      </c>
      <c r="H795">
        <v>1484445</v>
      </c>
      <c r="I795">
        <v>43700</v>
      </c>
      <c r="J795">
        <v>1476739</v>
      </c>
      <c r="K795">
        <v>57700</v>
      </c>
    </row>
    <row r="796" spans="1:11" x14ac:dyDescent="0.3">
      <c r="A796" t="s">
        <v>805</v>
      </c>
      <c r="B796">
        <v>79800</v>
      </c>
      <c r="C796">
        <v>517700</v>
      </c>
      <c r="D796">
        <v>39876</v>
      </c>
      <c r="E796">
        <v>141600</v>
      </c>
      <c r="F796">
        <v>1205651</v>
      </c>
      <c r="G796">
        <v>133900</v>
      </c>
      <c r="H796">
        <v>1487901</v>
      </c>
      <c r="I796">
        <v>44300</v>
      </c>
      <c r="J796">
        <v>1480397</v>
      </c>
      <c r="K796">
        <v>52700</v>
      </c>
    </row>
    <row r="797" spans="1:11" x14ac:dyDescent="0.3">
      <c r="A797" t="s">
        <v>806</v>
      </c>
      <c r="B797">
        <v>79800</v>
      </c>
      <c r="C797">
        <v>562700</v>
      </c>
      <c r="D797">
        <v>40222</v>
      </c>
      <c r="E797">
        <v>142600</v>
      </c>
      <c r="F797">
        <v>1208629</v>
      </c>
      <c r="G797">
        <v>139500</v>
      </c>
      <c r="H797">
        <v>1491784</v>
      </c>
      <c r="I797">
        <v>47900</v>
      </c>
      <c r="J797">
        <v>1483826</v>
      </c>
      <c r="K797">
        <v>48600</v>
      </c>
    </row>
    <row r="798" spans="1:11" x14ac:dyDescent="0.3">
      <c r="A798" t="s">
        <v>807</v>
      </c>
      <c r="B798">
        <v>79800</v>
      </c>
      <c r="C798">
        <v>553800</v>
      </c>
      <c r="D798">
        <v>37695</v>
      </c>
      <c r="E798">
        <v>137800</v>
      </c>
      <c r="F798">
        <v>1211603</v>
      </c>
      <c r="G798">
        <v>132300</v>
      </c>
      <c r="H798">
        <v>1496135</v>
      </c>
      <c r="I798">
        <v>46900</v>
      </c>
      <c r="J798">
        <v>1487274</v>
      </c>
      <c r="K798">
        <v>47200</v>
      </c>
    </row>
    <row r="799" spans="1:11" x14ac:dyDescent="0.3">
      <c r="A799" t="s">
        <v>808</v>
      </c>
      <c r="B799">
        <v>79800</v>
      </c>
      <c r="C799">
        <v>545400</v>
      </c>
      <c r="D799">
        <v>37675</v>
      </c>
      <c r="E799">
        <v>134000</v>
      </c>
      <c r="F799">
        <v>1214573</v>
      </c>
      <c r="G799">
        <v>132400</v>
      </c>
      <c r="H799">
        <v>1499752</v>
      </c>
      <c r="I799">
        <v>44700</v>
      </c>
      <c r="J799">
        <v>1491121</v>
      </c>
      <c r="K799">
        <v>49800</v>
      </c>
    </row>
    <row r="800" spans="1:11" x14ac:dyDescent="0.3">
      <c r="A800" t="s">
        <v>809</v>
      </c>
      <c r="B800">
        <v>79800</v>
      </c>
      <c r="C800">
        <v>615000</v>
      </c>
      <c r="D800">
        <v>40878</v>
      </c>
      <c r="E800">
        <v>145100</v>
      </c>
      <c r="F800">
        <v>1217524</v>
      </c>
      <c r="G800">
        <v>136100</v>
      </c>
      <c r="H800">
        <v>1503502</v>
      </c>
      <c r="I800">
        <v>45800</v>
      </c>
      <c r="J800">
        <v>1494754</v>
      </c>
      <c r="K800">
        <v>52500</v>
      </c>
    </row>
    <row r="801" spans="1:11" x14ac:dyDescent="0.3">
      <c r="A801" t="s">
        <v>810</v>
      </c>
      <c r="B801">
        <v>79800</v>
      </c>
      <c r="C801">
        <v>650400</v>
      </c>
      <c r="D801">
        <v>40096</v>
      </c>
      <c r="E801">
        <v>170300</v>
      </c>
      <c r="F801">
        <v>1220477</v>
      </c>
      <c r="G801">
        <v>171700</v>
      </c>
      <c r="H801">
        <v>1507050</v>
      </c>
      <c r="I801">
        <v>53100</v>
      </c>
      <c r="J801">
        <v>1498127</v>
      </c>
      <c r="K801">
        <v>60700</v>
      </c>
    </row>
    <row r="802" spans="1:11" x14ac:dyDescent="0.3">
      <c r="A802" t="s">
        <v>811</v>
      </c>
      <c r="B802">
        <v>101025</v>
      </c>
      <c r="C802">
        <v>726500</v>
      </c>
      <c r="D802">
        <v>50061</v>
      </c>
      <c r="E802">
        <v>185300</v>
      </c>
      <c r="F802">
        <v>1223897</v>
      </c>
      <c r="G802">
        <v>156600</v>
      </c>
      <c r="H802">
        <v>1511744</v>
      </c>
      <c r="I802">
        <v>53400</v>
      </c>
      <c r="J802">
        <v>1502989</v>
      </c>
      <c r="K802">
        <v>55300</v>
      </c>
    </row>
    <row r="803" spans="1:11" x14ac:dyDescent="0.3">
      <c r="A803" t="s">
        <v>812</v>
      </c>
      <c r="B803">
        <v>101025</v>
      </c>
      <c r="C803">
        <v>684200</v>
      </c>
      <c r="D803">
        <v>51476</v>
      </c>
      <c r="E803">
        <v>185000</v>
      </c>
      <c r="F803">
        <v>1227309</v>
      </c>
      <c r="G803">
        <v>157900</v>
      </c>
      <c r="H803">
        <v>1515782</v>
      </c>
      <c r="I803">
        <v>50600</v>
      </c>
      <c r="J803">
        <v>1507003</v>
      </c>
      <c r="K803">
        <v>56000</v>
      </c>
    </row>
    <row r="804" spans="1:11" x14ac:dyDescent="0.3">
      <c r="A804" t="s">
        <v>813</v>
      </c>
      <c r="B804">
        <v>101025</v>
      </c>
      <c r="C804">
        <v>677100</v>
      </c>
      <c r="D804">
        <v>51114</v>
      </c>
      <c r="E804">
        <v>182000</v>
      </c>
      <c r="F804">
        <v>1230713</v>
      </c>
      <c r="G804">
        <v>188500</v>
      </c>
      <c r="H804">
        <v>1519843</v>
      </c>
      <c r="I804">
        <v>49000</v>
      </c>
      <c r="J804">
        <v>1510892</v>
      </c>
      <c r="K804">
        <v>54800</v>
      </c>
    </row>
    <row r="805" spans="1:11" x14ac:dyDescent="0.3">
      <c r="A805" t="s">
        <v>814</v>
      </c>
      <c r="B805">
        <v>101025</v>
      </c>
      <c r="C805">
        <v>831200</v>
      </c>
      <c r="D805">
        <v>52611</v>
      </c>
      <c r="E805">
        <v>233000</v>
      </c>
      <c r="F805">
        <v>1234104</v>
      </c>
      <c r="G805">
        <v>188400</v>
      </c>
      <c r="H805">
        <v>1523877</v>
      </c>
      <c r="I805">
        <v>63700</v>
      </c>
      <c r="J805">
        <v>1515307</v>
      </c>
      <c r="K805">
        <v>72200</v>
      </c>
    </row>
    <row r="806" spans="1:11" x14ac:dyDescent="0.3">
      <c r="A806" t="s">
        <v>815</v>
      </c>
      <c r="B806">
        <v>101025</v>
      </c>
      <c r="C806">
        <v>672400</v>
      </c>
      <c r="D806">
        <v>53316</v>
      </c>
      <c r="E806">
        <v>192400</v>
      </c>
      <c r="F806">
        <v>1237517</v>
      </c>
      <c r="G806">
        <v>159700</v>
      </c>
      <c r="H806">
        <v>1528558</v>
      </c>
      <c r="I806">
        <v>49900</v>
      </c>
      <c r="J806">
        <v>1519398</v>
      </c>
      <c r="K806">
        <v>57800</v>
      </c>
    </row>
    <row r="807" spans="1:11" x14ac:dyDescent="0.3">
      <c r="A807" t="s">
        <v>816</v>
      </c>
      <c r="B807">
        <v>101025</v>
      </c>
      <c r="C807">
        <v>872300</v>
      </c>
      <c r="D807">
        <v>52782</v>
      </c>
      <c r="E807">
        <v>231000</v>
      </c>
      <c r="F807">
        <v>1240916</v>
      </c>
      <c r="G807">
        <v>181700</v>
      </c>
      <c r="H807">
        <v>1533349</v>
      </c>
      <c r="I807">
        <v>61800</v>
      </c>
      <c r="J807">
        <v>1523740</v>
      </c>
      <c r="K807">
        <v>60700</v>
      </c>
    </row>
    <row r="808" spans="1:11" x14ac:dyDescent="0.3">
      <c r="A808" t="s">
        <v>817</v>
      </c>
      <c r="B808">
        <v>101025</v>
      </c>
      <c r="C808">
        <v>789200</v>
      </c>
      <c r="D808">
        <v>51363</v>
      </c>
      <c r="E808">
        <v>228200</v>
      </c>
      <c r="F808">
        <v>1244324</v>
      </c>
      <c r="G808">
        <v>182500</v>
      </c>
      <c r="H808">
        <v>1537662</v>
      </c>
      <c r="I808">
        <v>61000</v>
      </c>
      <c r="J808">
        <v>1527957</v>
      </c>
      <c r="K808">
        <v>69700</v>
      </c>
    </row>
    <row r="809" spans="1:11" x14ac:dyDescent="0.3">
      <c r="A809" t="s">
        <v>818</v>
      </c>
      <c r="B809">
        <v>101025</v>
      </c>
      <c r="C809">
        <v>677300</v>
      </c>
      <c r="D809">
        <v>50358</v>
      </c>
      <c r="E809">
        <v>177100</v>
      </c>
      <c r="F809">
        <v>1247738</v>
      </c>
      <c r="G809">
        <v>161400</v>
      </c>
      <c r="H809">
        <v>1541530</v>
      </c>
      <c r="I809">
        <v>49500</v>
      </c>
      <c r="J809">
        <v>1531790</v>
      </c>
      <c r="K809">
        <v>57300</v>
      </c>
    </row>
    <row r="810" spans="1:11" x14ac:dyDescent="0.3">
      <c r="A810" t="s">
        <v>819</v>
      </c>
      <c r="B810">
        <v>101025</v>
      </c>
      <c r="C810">
        <v>660500</v>
      </c>
      <c r="D810">
        <v>51641</v>
      </c>
      <c r="E810">
        <v>181900</v>
      </c>
      <c r="F810">
        <v>1251148</v>
      </c>
      <c r="G810">
        <v>160800</v>
      </c>
      <c r="H810">
        <v>1545740</v>
      </c>
      <c r="I810">
        <v>49200</v>
      </c>
      <c r="J810">
        <v>1536065</v>
      </c>
      <c r="K810">
        <v>57200</v>
      </c>
    </row>
    <row r="811" spans="1:11" x14ac:dyDescent="0.3">
      <c r="A811" t="s">
        <v>820</v>
      </c>
      <c r="B811">
        <v>101025</v>
      </c>
      <c r="C811">
        <v>700800</v>
      </c>
      <c r="D811">
        <v>49704</v>
      </c>
      <c r="E811">
        <v>175100</v>
      </c>
      <c r="F811">
        <v>1254558</v>
      </c>
      <c r="G811">
        <v>159600</v>
      </c>
      <c r="H811">
        <v>1550302</v>
      </c>
      <c r="I811">
        <v>50600</v>
      </c>
      <c r="J811">
        <v>1539983</v>
      </c>
      <c r="K811">
        <v>55000</v>
      </c>
    </row>
    <row r="812" spans="1:11" x14ac:dyDescent="0.3">
      <c r="A812" t="s">
        <v>821</v>
      </c>
      <c r="B812">
        <v>101025</v>
      </c>
      <c r="C812">
        <v>671900</v>
      </c>
      <c r="D812">
        <v>52118</v>
      </c>
      <c r="E812">
        <v>183500</v>
      </c>
      <c r="F812">
        <v>1257959</v>
      </c>
      <c r="G812">
        <v>158900</v>
      </c>
      <c r="H812">
        <v>1554733</v>
      </c>
      <c r="I812">
        <v>50400</v>
      </c>
      <c r="J812">
        <v>1544441</v>
      </c>
      <c r="K812">
        <v>54500</v>
      </c>
    </row>
    <row r="813" spans="1:11" x14ac:dyDescent="0.3">
      <c r="A813" t="s">
        <v>822</v>
      </c>
      <c r="B813">
        <v>101025</v>
      </c>
      <c r="C813">
        <v>717100</v>
      </c>
      <c r="D813">
        <v>50745</v>
      </c>
      <c r="E813">
        <v>178000</v>
      </c>
      <c r="F813">
        <v>1261351</v>
      </c>
      <c r="G813">
        <v>154900</v>
      </c>
      <c r="H813">
        <v>1559136</v>
      </c>
      <c r="I813">
        <v>48800</v>
      </c>
      <c r="J813">
        <v>1548545</v>
      </c>
      <c r="K813">
        <v>56800</v>
      </c>
    </row>
    <row r="814" spans="1:11" x14ac:dyDescent="0.3">
      <c r="A814" t="s">
        <v>823</v>
      </c>
      <c r="B814">
        <v>101025</v>
      </c>
      <c r="C814">
        <v>694400</v>
      </c>
      <c r="D814">
        <v>49749</v>
      </c>
      <c r="E814">
        <v>179900</v>
      </c>
      <c r="F814">
        <v>1264760</v>
      </c>
      <c r="G814">
        <v>151700</v>
      </c>
      <c r="H814">
        <v>1563236</v>
      </c>
      <c r="I814">
        <v>47600</v>
      </c>
      <c r="J814">
        <v>1553168</v>
      </c>
      <c r="K814">
        <v>56000</v>
      </c>
    </row>
    <row r="815" spans="1:11" x14ac:dyDescent="0.3">
      <c r="A815" t="s">
        <v>824</v>
      </c>
      <c r="B815">
        <v>101025</v>
      </c>
      <c r="C815">
        <v>698800</v>
      </c>
      <c r="D815">
        <v>52263</v>
      </c>
      <c r="E815">
        <v>184800</v>
      </c>
      <c r="F815">
        <v>1268170</v>
      </c>
      <c r="G815">
        <v>204500</v>
      </c>
      <c r="H815">
        <v>1567272</v>
      </c>
      <c r="I815">
        <v>51600</v>
      </c>
      <c r="J815">
        <v>1557389</v>
      </c>
      <c r="K815">
        <v>57900</v>
      </c>
    </row>
    <row r="816" spans="1:11" x14ac:dyDescent="0.3">
      <c r="A816" t="s">
        <v>825</v>
      </c>
      <c r="B816">
        <v>101025</v>
      </c>
      <c r="C816">
        <v>846400</v>
      </c>
      <c r="D816">
        <v>50274</v>
      </c>
      <c r="E816">
        <v>222100</v>
      </c>
      <c r="F816">
        <v>1271561</v>
      </c>
      <c r="G816">
        <v>187800</v>
      </c>
      <c r="H816">
        <v>1571531</v>
      </c>
      <c r="I816">
        <v>64200</v>
      </c>
      <c r="J816">
        <v>1561586</v>
      </c>
      <c r="K816">
        <v>73200</v>
      </c>
    </row>
    <row r="817" spans="1:11" x14ac:dyDescent="0.3">
      <c r="A817" t="s">
        <v>826</v>
      </c>
      <c r="B817">
        <v>101025</v>
      </c>
      <c r="C817">
        <v>682100</v>
      </c>
      <c r="D817">
        <v>50796</v>
      </c>
      <c r="E817">
        <v>178400</v>
      </c>
      <c r="F817">
        <v>1274976</v>
      </c>
      <c r="G817">
        <v>160900</v>
      </c>
      <c r="H817">
        <v>1576788</v>
      </c>
      <c r="I817">
        <v>52600</v>
      </c>
      <c r="J817">
        <v>1565747</v>
      </c>
      <c r="K817">
        <v>57800</v>
      </c>
    </row>
    <row r="818" spans="1:11" x14ac:dyDescent="0.3">
      <c r="A818" t="s">
        <v>827</v>
      </c>
      <c r="B818">
        <v>101025</v>
      </c>
      <c r="C818">
        <v>671200</v>
      </c>
      <c r="D818">
        <v>53523</v>
      </c>
      <c r="E818">
        <v>192300</v>
      </c>
      <c r="F818">
        <v>1278408</v>
      </c>
      <c r="G818">
        <v>159100</v>
      </c>
      <c r="H818">
        <v>1580906</v>
      </c>
      <c r="I818">
        <v>49100</v>
      </c>
      <c r="J818">
        <v>1570444</v>
      </c>
      <c r="K818">
        <v>56900</v>
      </c>
    </row>
    <row r="819" spans="1:11" x14ac:dyDescent="0.3">
      <c r="A819" t="s">
        <v>828</v>
      </c>
      <c r="B819">
        <v>101025</v>
      </c>
      <c r="C819">
        <v>789200</v>
      </c>
      <c r="D819">
        <v>49434</v>
      </c>
      <c r="E819">
        <v>214800</v>
      </c>
      <c r="F819">
        <v>1281823</v>
      </c>
      <c r="G819">
        <v>183000</v>
      </c>
      <c r="H819">
        <v>1584887</v>
      </c>
      <c r="I819">
        <v>60900</v>
      </c>
      <c r="J819">
        <v>1575021</v>
      </c>
      <c r="K819">
        <v>74400</v>
      </c>
    </row>
    <row r="820" spans="1:11" x14ac:dyDescent="0.3">
      <c r="A820" t="s">
        <v>829</v>
      </c>
      <c r="B820">
        <v>101025</v>
      </c>
      <c r="C820">
        <v>830200</v>
      </c>
      <c r="D820">
        <v>51956</v>
      </c>
      <c r="E820">
        <v>189200</v>
      </c>
      <c r="F820">
        <v>1285214</v>
      </c>
      <c r="G820">
        <v>160100</v>
      </c>
      <c r="H820">
        <v>1588818</v>
      </c>
      <c r="I820">
        <v>50900</v>
      </c>
      <c r="J820">
        <v>1579205</v>
      </c>
      <c r="K820">
        <v>58800</v>
      </c>
    </row>
    <row r="821" spans="1:11" x14ac:dyDescent="0.3">
      <c r="A821" t="s">
        <v>830</v>
      </c>
      <c r="B821">
        <v>101025</v>
      </c>
      <c r="C821">
        <v>656100</v>
      </c>
      <c r="D821">
        <v>50298</v>
      </c>
      <c r="E821">
        <v>182800</v>
      </c>
      <c r="F821">
        <v>1288619</v>
      </c>
      <c r="G821">
        <v>163700</v>
      </c>
      <c r="H821">
        <v>1593186</v>
      </c>
      <c r="I821">
        <v>52100</v>
      </c>
      <c r="J821">
        <v>1583198</v>
      </c>
      <c r="K821">
        <v>57000</v>
      </c>
    </row>
    <row r="822" spans="1:11" x14ac:dyDescent="0.3">
      <c r="A822" t="s">
        <v>831</v>
      </c>
      <c r="B822">
        <v>101025</v>
      </c>
      <c r="C822">
        <v>715900</v>
      </c>
      <c r="D822">
        <v>48702</v>
      </c>
      <c r="E822">
        <v>176900</v>
      </c>
      <c r="F822">
        <v>1292047</v>
      </c>
      <c r="G822">
        <v>156300</v>
      </c>
      <c r="H822">
        <v>1597701</v>
      </c>
      <c r="I822">
        <v>49400</v>
      </c>
      <c r="J822">
        <v>1587592</v>
      </c>
      <c r="K822">
        <v>58300</v>
      </c>
    </row>
    <row r="823" spans="1:11" x14ac:dyDescent="0.3">
      <c r="A823" t="s">
        <v>832</v>
      </c>
      <c r="B823">
        <v>101025</v>
      </c>
      <c r="C823">
        <v>791000</v>
      </c>
      <c r="D823">
        <v>50728</v>
      </c>
      <c r="E823">
        <v>215500</v>
      </c>
      <c r="F823">
        <v>1295456</v>
      </c>
      <c r="G823">
        <v>183700</v>
      </c>
      <c r="H823">
        <v>1602609</v>
      </c>
      <c r="I823">
        <v>67200</v>
      </c>
      <c r="J823">
        <v>1592106</v>
      </c>
      <c r="K823">
        <v>72300</v>
      </c>
    </row>
    <row r="824" spans="1:11" x14ac:dyDescent="0.3">
      <c r="A824" t="s">
        <v>833</v>
      </c>
      <c r="B824">
        <v>101025</v>
      </c>
      <c r="C824">
        <v>876200</v>
      </c>
      <c r="D824">
        <v>53694</v>
      </c>
      <c r="E824">
        <v>212600</v>
      </c>
      <c r="F824">
        <v>1298858</v>
      </c>
      <c r="G824">
        <v>152200</v>
      </c>
      <c r="H824">
        <v>1607129</v>
      </c>
      <c r="I824">
        <v>51300</v>
      </c>
      <c r="J824">
        <v>1596248</v>
      </c>
      <c r="K824">
        <v>57400</v>
      </c>
    </row>
    <row r="825" spans="1:11" x14ac:dyDescent="0.3">
      <c r="A825" t="s">
        <v>834</v>
      </c>
      <c r="B825">
        <v>101025</v>
      </c>
      <c r="C825">
        <v>787900</v>
      </c>
      <c r="D825">
        <v>48304</v>
      </c>
      <c r="E825">
        <v>216000</v>
      </c>
      <c r="F825">
        <v>1302271</v>
      </c>
      <c r="G825">
        <v>182800</v>
      </c>
      <c r="H825">
        <v>1611506</v>
      </c>
      <c r="I825">
        <v>60300</v>
      </c>
      <c r="J825">
        <v>1600314</v>
      </c>
      <c r="K825">
        <v>68800</v>
      </c>
    </row>
    <row r="826" spans="1:11" x14ac:dyDescent="0.3">
      <c r="A826" t="s">
        <v>835</v>
      </c>
      <c r="B826">
        <v>101025</v>
      </c>
      <c r="C826">
        <v>684000</v>
      </c>
      <c r="D826">
        <v>48387</v>
      </c>
      <c r="E826">
        <v>174800</v>
      </c>
      <c r="F826">
        <v>1305659</v>
      </c>
      <c r="G826">
        <v>172000</v>
      </c>
      <c r="H826">
        <v>1615472</v>
      </c>
      <c r="I826">
        <v>49400</v>
      </c>
      <c r="J826">
        <v>1604467</v>
      </c>
      <c r="K826">
        <v>57700</v>
      </c>
    </row>
    <row r="827" spans="1:11" x14ac:dyDescent="0.3">
      <c r="A827" t="s">
        <v>836</v>
      </c>
      <c r="B827">
        <v>101025</v>
      </c>
      <c r="C827">
        <v>861200</v>
      </c>
      <c r="D827">
        <v>51109</v>
      </c>
      <c r="E827">
        <v>309200</v>
      </c>
      <c r="F827">
        <v>1309064</v>
      </c>
      <c r="G827">
        <v>226200</v>
      </c>
      <c r="H827">
        <v>1620235</v>
      </c>
      <c r="I827">
        <v>68700</v>
      </c>
      <c r="J827">
        <v>1608420</v>
      </c>
      <c r="K827">
        <v>71800</v>
      </c>
    </row>
    <row r="828" spans="1:11" x14ac:dyDescent="0.3">
      <c r="A828" t="s">
        <v>837</v>
      </c>
      <c r="B828">
        <v>101025</v>
      </c>
      <c r="C828">
        <v>799700</v>
      </c>
      <c r="D828">
        <v>50010</v>
      </c>
      <c r="E828">
        <v>285500</v>
      </c>
      <c r="F828">
        <v>1312478</v>
      </c>
      <c r="G828">
        <v>223100</v>
      </c>
      <c r="H828">
        <v>1624341</v>
      </c>
      <c r="I828">
        <v>68900</v>
      </c>
      <c r="J828">
        <v>1612676</v>
      </c>
      <c r="K828">
        <v>77200</v>
      </c>
    </row>
    <row r="829" spans="1:11" x14ac:dyDescent="0.3">
      <c r="A829" t="s">
        <v>838</v>
      </c>
      <c r="B829">
        <v>101025</v>
      </c>
      <c r="C829">
        <v>747200</v>
      </c>
      <c r="D829">
        <v>50639</v>
      </c>
      <c r="E829">
        <v>188900</v>
      </c>
      <c r="F829">
        <v>1315855</v>
      </c>
      <c r="G829">
        <v>152100</v>
      </c>
      <c r="H829">
        <v>1629156</v>
      </c>
      <c r="I829">
        <v>53100</v>
      </c>
      <c r="J829">
        <v>1616904</v>
      </c>
      <c r="K829">
        <v>59700</v>
      </c>
    </row>
    <row r="830" spans="1:11" x14ac:dyDescent="0.3">
      <c r="A830" t="s">
        <v>839</v>
      </c>
      <c r="B830">
        <v>101025</v>
      </c>
      <c r="C830">
        <v>683300</v>
      </c>
      <c r="D830">
        <v>50619</v>
      </c>
      <c r="E830">
        <v>179400</v>
      </c>
      <c r="F830">
        <v>1319260</v>
      </c>
      <c r="G830">
        <v>169700</v>
      </c>
      <c r="H830">
        <v>1633355</v>
      </c>
      <c r="I830">
        <v>50000</v>
      </c>
      <c r="J830">
        <v>1620819</v>
      </c>
      <c r="K830">
        <v>54900</v>
      </c>
    </row>
    <row r="831" spans="1:11" x14ac:dyDescent="0.3">
      <c r="A831" t="s">
        <v>840</v>
      </c>
      <c r="B831">
        <v>101025</v>
      </c>
      <c r="C831">
        <v>653700</v>
      </c>
      <c r="D831">
        <v>50177</v>
      </c>
      <c r="E831">
        <v>177800</v>
      </c>
      <c r="F831">
        <v>1322661</v>
      </c>
      <c r="G831">
        <v>164400</v>
      </c>
      <c r="H831">
        <v>1637378</v>
      </c>
      <c r="I831">
        <v>50500</v>
      </c>
      <c r="J831">
        <v>1625132</v>
      </c>
      <c r="K831">
        <v>57400</v>
      </c>
    </row>
    <row r="832" spans="1:11" x14ac:dyDescent="0.3">
      <c r="A832" t="s">
        <v>841</v>
      </c>
      <c r="B832">
        <v>101025</v>
      </c>
      <c r="C832">
        <v>834800</v>
      </c>
      <c r="D832">
        <v>51778</v>
      </c>
      <c r="E832">
        <v>190600</v>
      </c>
      <c r="F832">
        <v>1326069</v>
      </c>
      <c r="G832">
        <v>152700</v>
      </c>
      <c r="H832">
        <v>1641738</v>
      </c>
      <c r="I832">
        <v>51700</v>
      </c>
      <c r="J832">
        <v>1629285</v>
      </c>
      <c r="K832">
        <v>58100</v>
      </c>
    </row>
    <row r="833" spans="1:11" x14ac:dyDescent="0.3">
      <c r="A833" t="s">
        <v>842</v>
      </c>
      <c r="B833">
        <v>101025</v>
      </c>
      <c r="C833">
        <v>838700</v>
      </c>
      <c r="D833">
        <v>52923</v>
      </c>
      <c r="E833">
        <v>238200</v>
      </c>
      <c r="F833">
        <v>1329474</v>
      </c>
      <c r="G833">
        <v>184100</v>
      </c>
      <c r="H833">
        <v>1645708</v>
      </c>
      <c r="I833">
        <v>61100</v>
      </c>
      <c r="J833">
        <v>1633254</v>
      </c>
      <c r="K833">
        <v>69100</v>
      </c>
    </row>
    <row r="834" spans="1:11" x14ac:dyDescent="0.3">
      <c r="A834" t="s">
        <v>843</v>
      </c>
      <c r="B834">
        <v>101025</v>
      </c>
      <c r="C834">
        <v>833700</v>
      </c>
      <c r="D834">
        <v>50654</v>
      </c>
      <c r="E834">
        <v>209300</v>
      </c>
      <c r="F834">
        <v>1332869</v>
      </c>
      <c r="G834">
        <v>153100</v>
      </c>
      <c r="H834">
        <v>1650061</v>
      </c>
      <c r="I834">
        <v>49700</v>
      </c>
      <c r="J834">
        <v>1637295</v>
      </c>
      <c r="K834">
        <v>57200</v>
      </c>
    </row>
    <row r="835" spans="1:11" x14ac:dyDescent="0.3">
      <c r="A835" t="s">
        <v>844</v>
      </c>
      <c r="B835">
        <v>101025</v>
      </c>
      <c r="C835">
        <v>649200</v>
      </c>
      <c r="D835">
        <v>53460</v>
      </c>
      <c r="E835">
        <v>187700</v>
      </c>
      <c r="F835">
        <v>1336299</v>
      </c>
      <c r="G835">
        <v>161000</v>
      </c>
      <c r="H835">
        <v>1654159</v>
      </c>
      <c r="I835">
        <v>50000</v>
      </c>
      <c r="J835">
        <v>1641088</v>
      </c>
      <c r="K835">
        <v>57500</v>
      </c>
    </row>
    <row r="836" spans="1:11" x14ac:dyDescent="0.3">
      <c r="A836" t="s">
        <v>845</v>
      </c>
      <c r="B836">
        <v>101025</v>
      </c>
      <c r="C836">
        <v>681300</v>
      </c>
      <c r="D836">
        <v>48306</v>
      </c>
      <c r="E836">
        <v>171100</v>
      </c>
      <c r="F836">
        <v>1339709</v>
      </c>
      <c r="G836">
        <v>159900</v>
      </c>
      <c r="H836">
        <v>1658351</v>
      </c>
      <c r="I836">
        <v>49600</v>
      </c>
      <c r="J836">
        <v>1645184</v>
      </c>
      <c r="K836">
        <v>55900</v>
      </c>
    </row>
    <row r="837" spans="1:11" x14ac:dyDescent="0.3">
      <c r="A837" t="s">
        <v>846</v>
      </c>
      <c r="B837">
        <v>101025</v>
      </c>
      <c r="C837">
        <v>683700</v>
      </c>
      <c r="D837">
        <v>48985</v>
      </c>
      <c r="E837">
        <v>173000</v>
      </c>
      <c r="F837">
        <v>1343130</v>
      </c>
      <c r="G837">
        <v>157600</v>
      </c>
      <c r="H837">
        <v>1662705</v>
      </c>
      <c r="I837">
        <v>49700</v>
      </c>
      <c r="J837">
        <v>1649110</v>
      </c>
      <c r="K837">
        <v>56300</v>
      </c>
    </row>
    <row r="838" spans="1:11" x14ac:dyDescent="0.3">
      <c r="A838" t="s">
        <v>847</v>
      </c>
      <c r="B838">
        <v>101025</v>
      </c>
      <c r="C838">
        <v>713000</v>
      </c>
      <c r="D838">
        <v>48940</v>
      </c>
      <c r="E838">
        <v>178000</v>
      </c>
      <c r="F838">
        <v>1346534</v>
      </c>
      <c r="G838">
        <v>158700</v>
      </c>
      <c r="H838">
        <v>1667270</v>
      </c>
      <c r="I838">
        <v>51900</v>
      </c>
      <c r="J838">
        <v>1653092</v>
      </c>
      <c r="K838">
        <v>56800</v>
      </c>
    </row>
    <row r="839" spans="1:11" x14ac:dyDescent="0.3">
      <c r="A839" t="s">
        <v>848</v>
      </c>
      <c r="B839">
        <v>101025</v>
      </c>
      <c r="C839">
        <v>714900</v>
      </c>
      <c r="D839">
        <v>50197</v>
      </c>
      <c r="E839">
        <v>181600</v>
      </c>
      <c r="F839">
        <v>1349931</v>
      </c>
      <c r="G839">
        <v>150100</v>
      </c>
      <c r="H839">
        <v>1671570</v>
      </c>
      <c r="I839">
        <v>49700</v>
      </c>
      <c r="J839">
        <v>1658405</v>
      </c>
      <c r="K839">
        <v>58600</v>
      </c>
    </row>
    <row r="840" spans="1:11" x14ac:dyDescent="0.3">
      <c r="A840" t="s">
        <v>849</v>
      </c>
      <c r="B840">
        <v>101025</v>
      </c>
      <c r="C840">
        <v>692800</v>
      </c>
      <c r="D840">
        <v>51468</v>
      </c>
      <c r="E840">
        <v>181900</v>
      </c>
      <c r="F840">
        <v>1353347</v>
      </c>
      <c r="G840">
        <v>161000</v>
      </c>
      <c r="H840">
        <v>1675875</v>
      </c>
      <c r="I840">
        <v>49300</v>
      </c>
      <c r="J840">
        <v>1662628</v>
      </c>
      <c r="K840">
        <v>56500</v>
      </c>
    </row>
    <row r="841" spans="1:11" x14ac:dyDescent="0.3">
      <c r="A841" t="s">
        <v>850</v>
      </c>
      <c r="B841">
        <v>101025</v>
      </c>
      <c r="C841">
        <v>686300</v>
      </c>
      <c r="D841">
        <v>49522</v>
      </c>
      <c r="E841">
        <v>189300</v>
      </c>
      <c r="F841">
        <v>1356748</v>
      </c>
      <c r="G841">
        <v>151200</v>
      </c>
      <c r="H841">
        <v>1679924</v>
      </c>
      <c r="I841">
        <v>50400</v>
      </c>
      <c r="J841">
        <v>1666840</v>
      </c>
      <c r="K841">
        <v>58000</v>
      </c>
    </row>
    <row r="842" spans="1:11" x14ac:dyDescent="0.3">
      <c r="A842" t="s">
        <v>851</v>
      </c>
      <c r="B842">
        <v>101025</v>
      </c>
      <c r="C842">
        <v>709600</v>
      </c>
      <c r="D842">
        <v>51550</v>
      </c>
      <c r="E842">
        <v>186500</v>
      </c>
      <c r="F842">
        <v>1360152</v>
      </c>
      <c r="G842">
        <v>150600</v>
      </c>
      <c r="H842">
        <v>1684204</v>
      </c>
      <c r="I842">
        <v>54300</v>
      </c>
      <c r="J842">
        <v>1671526</v>
      </c>
      <c r="K842">
        <v>56200</v>
      </c>
    </row>
    <row r="843" spans="1:11" x14ac:dyDescent="0.3">
      <c r="A843" t="s">
        <v>852</v>
      </c>
      <c r="B843">
        <v>101025</v>
      </c>
      <c r="C843">
        <v>675200</v>
      </c>
      <c r="D843">
        <v>50581</v>
      </c>
      <c r="E843">
        <v>177800</v>
      </c>
      <c r="F843">
        <v>1363548</v>
      </c>
      <c r="G843">
        <v>156500</v>
      </c>
      <c r="H843">
        <v>1689315</v>
      </c>
      <c r="I843">
        <v>51600</v>
      </c>
      <c r="J843">
        <v>1675945</v>
      </c>
      <c r="K843">
        <v>56400</v>
      </c>
    </row>
    <row r="844" spans="1:11" x14ac:dyDescent="0.3">
      <c r="A844" t="s">
        <v>853</v>
      </c>
      <c r="B844">
        <v>101025</v>
      </c>
      <c r="C844">
        <v>690900</v>
      </c>
      <c r="D844">
        <v>52493</v>
      </c>
      <c r="E844">
        <v>185400</v>
      </c>
      <c r="F844">
        <v>1366928</v>
      </c>
      <c r="G844">
        <v>163900</v>
      </c>
      <c r="H844">
        <v>1693177</v>
      </c>
      <c r="I844">
        <v>50200</v>
      </c>
      <c r="J844">
        <v>1680133</v>
      </c>
      <c r="K844">
        <v>55500</v>
      </c>
    </row>
    <row r="845" spans="1:11" x14ac:dyDescent="0.3">
      <c r="A845" t="s">
        <v>854</v>
      </c>
      <c r="B845">
        <v>101025</v>
      </c>
      <c r="C845">
        <v>888700</v>
      </c>
      <c r="D845">
        <v>54507</v>
      </c>
      <c r="E845">
        <v>206200</v>
      </c>
      <c r="F845">
        <v>1370328</v>
      </c>
      <c r="G845">
        <v>155800</v>
      </c>
      <c r="H845">
        <v>1696860</v>
      </c>
      <c r="I845">
        <v>49300</v>
      </c>
      <c r="J845">
        <v>1684274</v>
      </c>
      <c r="K845">
        <v>58100</v>
      </c>
    </row>
    <row r="846" spans="1:11" x14ac:dyDescent="0.3">
      <c r="A846" t="s">
        <v>855</v>
      </c>
      <c r="B846">
        <v>101025</v>
      </c>
      <c r="C846">
        <v>756200</v>
      </c>
      <c r="D846">
        <v>50658</v>
      </c>
      <c r="E846">
        <v>225800</v>
      </c>
      <c r="F846">
        <v>1373734</v>
      </c>
      <c r="G846">
        <v>183000</v>
      </c>
      <c r="H846">
        <v>1700973</v>
      </c>
      <c r="I846">
        <v>59800</v>
      </c>
      <c r="J846">
        <v>1688266</v>
      </c>
      <c r="K846">
        <v>68100</v>
      </c>
    </row>
    <row r="847" spans="1:11" x14ac:dyDescent="0.3">
      <c r="A847" t="s">
        <v>856</v>
      </c>
      <c r="B847">
        <v>101025</v>
      </c>
      <c r="C847">
        <v>810200</v>
      </c>
      <c r="D847">
        <v>47713</v>
      </c>
      <c r="E847">
        <v>221400</v>
      </c>
      <c r="F847">
        <v>1377138</v>
      </c>
      <c r="G847">
        <v>153500</v>
      </c>
      <c r="H847">
        <v>1705385</v>
      </c>
      <c r="I847">
        <v>49000</v>
      </c>
      <c r="J847">
        <v>1692582</v>
      </c>
      <c r="K847">
        <v>58300</v>
      </c>
    </row>
    <row r="848" spans="1:11" x14ac:dyDescent="0.3">
      <c r="A848" t="s">
        <v>857</v>
      </c>
      <c r="B848">
        <v>101025</v>
      </c>
      <c r="C848">
        <v>819400</v>
      </c>
      <c r="D848">
        <v>52774</v>
      </c>
      <c r="E848">
        <v>238300</v>
      </c>
      <c r="F848">
        <v>1380532</v>
      </c>
      <c r="G848">
        <v>184900</v>
      </c>
      <c r="H848">
        <v>1709464</v>
      </c>
      <c r="I848">
        <v>62000</v>
      </c>
      <c r="J848">
        <v>1697471</v>
      </c>
      <c r="K848">
        <v>68100</v>
      </c>
    </row>
    <row r="849" spans="1:11" x14ac:dyDescent="0.3">
      <c r="A849" t="s">
        <v>858</v>
      </c>
      <c r="B849">
        <v>101025</v>
      </c>
      <c r="C849">
        <v>688200</v>
      </c>
      <c r="D849">
        <v>51731</v>
      </c>
      <c r="E849">
        <v>187600</v>
      </c>
      <c r="F849">
        <v>1383946</v>
      </c>
      <c r="G849">
        <v>160000</v>
      </c>
      <c r="H849">
        <v>1713777</v>
      </c>
      <c r="I849">
        <v>48300</v>
      </c>
      <c r="J849">
        <v>1701705</v>
      </c>
      <c r="K849">
        <v>54300</v>
      </c>
    </row>
    <row r="850" spans="1:11" x14ac:dyDescent="0.3">
      <c r="A850" t="s">
        <v>859</v>
      </c>
      <c r="B850">
        <v>101025</v>
      </c>
      <c r="C850">
        <v>675000</v>
      </c>
      <c r="D850">
        <v>52399</v>
      </c>
      <c r="E850">
        <v>185000</v>
      </c>
      <c r="F850">
        <v>1387341</v>
      </c>
      <c r="G850">
        <v>156800</v>
      </c>
      <c r="H850">
        <v>1717720</v>
      </c>
      <c r="I850">
        <v>51200</v>
      </c>
      <c r="J850">
        <v>1705380</v>
      </c>
      <c r="K850">
        <v>55000</v>
      </c>
    </row>
    <row r="851" spans="1:11" x14ac:dyDescent="0.3">
      <c r="A851" t="s">
        <v>860</v>
      </c>
      <c r="B851">
        <v>101025</v>
      </c>
      <c r="C851">
        <v>823000</v>
      </c>
      <c r="D851">
        <v>50539</v>
      </c>
      <c r="E851">
        <v>227900</v>
      </c>
      <c r="F851">
        <v>1390771</v>
      </c>
      <c r="G851">
        <v>168100</v>
      </c>
      <c r="H851">
        <v>1721729</v>
      </c>
      <c r="I851">
        <v>50900</v>
      </c>
      <c r="J851">
        <v>1709426</v>
      </c>
      <c r="K851">
        <v>56800</v>
      </c>
    </row>
    <row r="852" spans="1:11" x14ac:dyDescent="0.3">
      <c r="A852" t="s">
        <v>861</v>
      </c>
      <c r="B852">
        <v>101025</v>
      </c>
      <c r="C852">
        <v>879600</v>
      </c>
      <c r="D852">
        <v>50580</v>
      </c>
      <c r="E852">
        <v>224200</v>
      </c>
      <c r="F852">
        <v>1394201</v>
      </c>
      <c r="G852">
        <v>183200</v>
      </c>
      <c r="H852">
        <v>1725802</v>
      </c>
      <c r="I852">
        <v>61500</v>
      </c>
      <c r="J852">
        <v>1713415</v>
      </c>
      <c r="K852">
        <v>68700</v>
      </c>
    </row>
    <row r="853" spans="1:11" x14ac:dyDescent="0.3">
      <c r="A853" t="s">
        <v>862</v>
      </c>
      <c r="B853">
        <v>101025</v>
      </c>
      <c r="C853">
        <v>620400</v>
      </c>
      <c r="D853">
        <v>51871</v>
      </c>
      <c r="E853">
        <v>187100</v>
      </c>
      <c r="F853">
        <v>1397589</v>
      </c>
      <c r="G853">
        <v>155800</v>
      </c>
      <c r="H853">
        <v>1730295</v>
      </c>
      <c r="I853">
        <v>51300</v>
      </c>
      <c r="J853">
        <v>1717228</v>
      </c>
      <c r="K853">
        <v>57000</v>
      </c>
    </row>
    <row r="854" spans="1:11" x14ac:dyDescent="0.3">
      <c r="A854" t="s">
        <v>863</v>
      </c>
      <c r="B854">
        <v>101025</v>
      </c>
      <c r="C854">
        <v>651400</v>
      </c>
      <c r="D854">
        <v>51281</v>
      </c>
      <c r="E854">
        <v>180300</v>
      </c>
      <c r="F854">
        <v>1400993</v>
      </c>
      <c r="G854">
        <v>160800</v>
      </c>
      <c r="H854">
        <v>1734334</v>
      </c>
      <c r="I854">
        <v>50300</v>
      </c>
      <c r="J854">
        <v>1721061</v>
      </c>
      <c r="K854">
        <v>55100</v>
      </c>
    </row>
    <row r="855" spans="1:11" x14ac:dyDescent="0.3">
      <c r="A855" t="s">
        <v>864</v>
      </c>
      <c r="B855">
        <v>101025</v>
      </c>
      <c r="C855">
        <v>667300</v>
      </c>
      <c r="D855">
        <v>51267</v>
      </c>
      <c r="E855">
        <v>180700</v>
      </c>
      <c r="F855">
        <v>1404388</v>
      </c>
      <c r="G855">
        <v>158300</v>
      </c>
      <c r="H855">
        <v>1738293</v>
      </c>
      <c r="I855">
        <v>50800</v>
      </c>
      <c r="J855">
        <v>1725171</v>
      </c>
      <c r="K855">
        <v>55100</v>
      </c>
    </row>
    <row r="856" spans="1:11" x14ac:dyDescent="0.3">
      <c r="A856" t="s">
        <v>865</v>
      </c>
      <c r="B856">
        <v>101025</v>
      </c>
      <c r="C856">
        <v>687600</v>
      </c>
      <c r="D856">
        <v>52185</v>
      </c>
      <c r="E856">
        <v>190700</v>
      </c>
      <c r="F856">
        <v>1407780</v>
      </c>
      <c r="G856">
        <v>155900</v>
      </c>
      <c r="H856">
        <v>1742344</v>
      </c>
      <c r="I856">
        <v>50000</v>
      </c>
      <c r="J856">
        <v>1729291</v>
      </c>
      <c r="K856">
        <v>57200</v>
      </c>
    </row>
    <row r="857" spans="1:11" x14ac:dyDescent="0.3">
      <c r="A857" t="s">
        <v>866</v>
      </c>
      <c r="B857">
        <v>101025</v>
      </c>
      <c r="C857">
        <v>694800</v>
      </c>
      <c r="D857">
        <v>50810</v>
      </c>
      <c r="E857">
        <v>184100</v>
      </c>
      <c r="F857">
        <v>1411186</v>
      </c>
      <c r="G857">
        <v>154300</v>
      </c>
      <c r="H857">
        <v>1746388</v>
      </c>
      <c r="I857">
        <v>50000</v>
      </c>
      <c r="J857">
        <v>1733350</v>
      </c>
      <c r="K857">
        <v>56900</v>
      </c>
    </row>
    <row r="858" spans="1:11" x14ac:dyDescent="0.3">
      <c r="A858" t="s">
        <v>867</v>
      </c>
      <c r="B858">
        <v>101025</v>
      </c>
      <c r="C858">
        <v>711100</v>
      </c>
      <c r="D858">
        <v>49526</v>
      </c>
      <c r="E858">
        <v>174200</v>
      </c>
      <c r="F858">
        <v>1414604</v>
      </c>
      <c r="G858">
        <v>158600</v>
      </c>
      <c r="H858">
        <v>1750692</v>
      </c>
      <c r="I858">
        <v>48400</v>
      </c>
      <c r="J858">
        <v>1737246</v>
      </c>
      <c r="K858">
        <v>56100</v>
      </c>
    </row>
    <row r="859" spans="1:11" x14ac:dyDescent="0.3">
      <c r="A859" t="s">
        <v>868</v>
      </c>
      <c r="B859">
        <v>101025</v>
      </c>
      <c r="C859">
        <v>721900</v>
      </c>
      <c r="D859">
        <v>52800</v>
      </c>
      <c r="E859">
        <v>190900</v>
      </c>
      <c r="F859">
        <v>1418027</v>
      </c>
      <c r="G859">
        <v>190700</v>
      </c>
      <c r="H859">
        <v>1754992</v>
      </c>
      <c r="I859">
        <v>50000</v>
      </c>
      <c r="J859">
        <v>1741231</v>
      </c>
      <c r="K859">
        <v>56300</v>
      </c>
    </row>
    <row r="860" spans="1:11" x14ac:dyDescent="0.3">
      <c r="A860" t="s">
        <v>869</v>
      </c>
      <c r="B860">
        <v>101025</v>
      </c>
      <c r="C860">
        <v>691800</v>
      </c>
      <c r="D860">
        <v>49869</v>
      </c>
      <c r="E860">
        <v>179800</v>
      </c>
      <c r="F860">
        <v>1421430</v>
      </c>
      <c r="G860">
        <v>148400</v>
      </c>
      <c r="H860">
        <v>1759141</v>
      </c>
      <c r="I860">
        <v>48400</v>
      </c>
      <c r="J860">
        <v>1745363</v>
      </c>
      <c r="K860">
        <v>57200</v>
      </c>
    </row>
    <row r="861" spans="1:11" x14ac:dyDescent="0.3">
      <c r="A861" t="s">
        <v>870</v>
      </c>
      <c r="B861">
        <v>101025</v>
      </c>
      <c r="C861">
        <v>772300</v>
      </c>
      <c r="D861">
        <v>51004</v>
      </c>
      <c r="E861">
        <v>225000</v>
      </c>
      <c r="F861">
        <v>1424865</v>
      </c>
      <c r="G861">
        <v>183100</v>
      </c>
      <c r="H861">
        <v>1763250</v>
      </c>
      <c r="I861">
        <v>61100</v>
      </c>
      <c r="J861">
        <v>1749635</v>
      </c>
      <c r="K861">
        <v>75800</v>
      </c>
    </row>
    <row r="862" spans="1:11" x14ac:dyDescent="0.3">
      <c r="A862" t="s">
        <v>871</v>
      </c>
      <c r="B862">
        <v>101025</v>
      </c>
      <c r="C862">
        <v>663500</v>
      </c>
      <c r="D862">
        <v>51164</v>
      </c>
      <c r="E862">
        <v>180500</v>
      </c>
      <c r="F862">
        <v>1428271</v>
      </c>
      <c r="G862">
        <v>158900</v>
      </c>
      <c r="H862">
        <v>1767404</v>
      </c>
      <c r="I862">
        <v>50000</v>
      </c>
      <c r="J862">
        <v>1753626</v>
      </c>
      <c r="K862">
        <v>62700</v>
      </c>
    </row>
    <row r="863" spans="1:11" x14ac:dyDescent="0.3">
      <c r="A863" t="s">
        <v>872</v>
      </c>
      <c r="B863">
        <v>101025</v>
      </c>
      <c r="C863">
        <v>806900</v>
      </c>
      <c r="D863">
        <v>51282</v>
      </c>
      <c r="E863">
        <v>259500</v>
      </c>
      <c r="F863">
        <v>1431676</v>
      </c>
      <c r="G863">
        <v>183400</v>
      </c>
      <c r="H863">
        <v>1772165</v>
      </c>
      <c r="I863">
        <v>63900</v>
      </c>
      <c r="J863">
        <v>1757671</v>
      </c>
      <c r="K863">
        <v>73200</v>
      </c>
    </row>
    <row r="864" spans="1:11" x14ac:dyDescent="0.3">
      <c r="A864" t="s">
        <v>873</v>
      </c>
      <c r="B864">
        <v>101025</v>
      </c>
      <c r="C864">
        <v>870100</v>
      </c>
      <c r="D864">
        <v>52926</v>
      </c>
      <c r="E864">
        <v>240300</v>
      </c>
      <c r="F864">
        <v>1435071</v>
      </c>
      <c r="G864">
        <v>182800</v>
      </c>
      <c r="H864">
        <v>1776115</v>
      </c>
      <c r="I864">
        <v>59900</v>
      </c>
      <c r="J864">
        <v>1761851</v>
      </c>
      <c r="K864">
        <v>70700</v>
      </c>
    </row>
    <row r="865" spans="1:11" x14ac:dyDescent="0.3">
      <c r="A865" t="s">
        <v>874</v>
      </c>
      <c r="B865">
        <v>101025</v>
      </c>
      <c r="C865">
        <v>810200</v>
      </c>
      <c r="D865">
        <v>51248</v>
      </c>
      <c r="E865">
        <v>224900</v>
      </c>
      <c r="F865">
        <v>1438463</v>
      </c>
      <c r="G865">
        <v>183000</v>
      </c>
      <c r="H865">
        <v>1780196</v>
      </c>
      <c r="I865">
        <v>51700</v>
      </c>
      <c r="J865">
        <v>1766006</v>
      </c>
      <c r="K865">
        <v>57500</v>
      </c>
    </row>
    <row r="866" spans="1:11" x14ac:dyDescent="0.3">
      <c r="A866" t="s">
        <v>875</v>
      </c>
      <c r="B866">
        <v>101025</v>
      </c>
      <c r="C866">
        <v>711200</v>
      </c>
      <c r="D866">
        <v>51360</v>
      </c>
      <c r="E866">
        <v>186600</v>
      </c>
      <c r="F866">
        <v>1441874</v>
      </c>
      <c r="G866">
        <v>151000</v>
      </c>
      <c r="H866">
        <v>1784244</v>
      </c>
      <c r="I866">
        <v>50700</v>
      </c>
      <c r="J866">
        <v>1770274</v>
      </c>
      <c r="K866">
        <v>57900</v>
      </c>
    </row>
    <row r="867" spans="1:11" x14ac:dyDescent="0.3">
      <c r="A867" t="s">
        <v>876</v>
      </c>
      <c r="B867">
        <v>101025</v>
      </c>
      <c r="C867">
        <v>675400</v>
      </c>
      <c r="D867">
        <v>52560</v>
      </c>
      <c r="E867">
        <v>184000</v>
      </c>
      <c r="F867">
        <v>1445257</v>
      </c>
      <c r="G867">
        <v>157600</v>
      </c>
      <c r="H867">
        <v>1788340</v>
      </c>
      <c r="I867">
        <v>48700</v>
      </c>
      <c r="J867">
        <v>1774368</v>
      </c>
      <c r="K867">
        <v>55100</v>
      </c>
    </row>
    <row r="868" spans="1:11" x14ac:dyDescent="0.3">
      <c r="A868" t="s">
        <v>877</v>
      </c>
      <c r="B868">
        <v>101025</v>
      </c>
      <c r="C868">
        <v>765700</v>
      </c>
      <c r="D868">
        <v>50994</v>
      </c>
      <c r="E868">
        <v>251400</v>
      </c>
      <c r="F868">
        <v>1448672</v>
      </c>
      <c r="G868">
        <v>182000</v>
      </c>
      <c r="H868">
        <v>1792446</v>
      </c>
      <c r="I868">
        <v>57800</v>
      </c>
      <c r="J868">
        <v>1779162</v>
      </c>
      <c r="K868">
        <v>57000</v>
      </c>
    </row>
    <row r="869" spans="1:11" x14ac:dyDescent="0.3">
      <c r="A869" t="s">
        <v>878</v>
      </c>
      <c r="B869">
        <v>101025</v>
      </c>
      <c r="C869">
        <v>659700</v>
      </c>
      <c r="D869">
        <v>52654</v>
      </c>
      <c r="E869">
        <v>184900</v>
      </c>
      <c r="F869">
        <v>1452085</v>
      </c>
      <c r="G869">
        <v>153800</v>
      </c>
      <c r="H869">
        <v>1796772</v>
      </c>
      <c r="I869">
        <v>50800</v>
      </c>
      <c r="J869">
        <v>1783379</v>
      </c>
      <c r="K869">
        <v>57500</v>
      </c>
    </row>
    <row r="870" spans="1:11" x14ac:dyDescent="0.3">
      <c r="A870" t="s">
        <v>879</v>
      </c>
      <c r="B870">
        <v>101025</v>
      </c>
      <c r="C870">
        <v>669800</v>
      </c>
      <c r="D870">
        <v>49753</v>
      </c>
      <c r="E870">
        <v>175200</v>
      </c>
      <c r="F870">
        <v>1455499</v>
      </c>
      <c r="G870">
        <v>159400</v>
      </c>
      <c r="H870">
        <v>1800864</v>
      </c>
      <c r="I870">
        <v>55400</v>
      </c>
      <c r="J870">
        <v>1788507</v>
      </c>
      <c r="K870">
        <v>58600</v>
      </c>
    </row>
    <row r="871" spans="1:11" x14ac:dyDescent="0.3">
      <c r="A871" t="s">
        <v>880</v>
      </c>
      <c r="B871">
        <v>101025</v>
      </c>
      <c r="C871">
        <v>648400</v>
      </c>
      <c r="D871">
        <v>52651</v>
      </c>
      <c r="E871">
        <v>186200</v>
      </c>
      <c r="F871">
        <v>1458891</v>
      </c>
      <c r="G871">
        <v>159400</v>
      </c>
      <c r="H871">
        <v>1804845</v>
      </c>
      <c r="I871">
        <v>49100</v>
      </c>
      <c r="J871">
        <v>1792652</v>
      </c>
      <c r="K871">
        <v>56400</v>
      </c>
    </row>
    <row r="872" spans="1:11" x14ac:dyDescent="0.3">
      <c r="A872" t="s">
        <v>881</v>
      </c>
      <c r="B872">
        <v>101025</v>
      </c>
      <c r="C872">
        <v>672900</v>
      </c>
      <c r="D872">
        <v>51365</v>
      </c>
      <c r="E872">
        <v>181000</v>
      </c>
      <c r="F872">
        <v>1462277</v>
      </c>
      <c r="G872">
        <v>163200</v>
      </c>
      <c r="H872">
        <v>1809214</v>
      </c>
      <c r="I872">
        <v>50700</v>
      </c>
      <c r="J872">
        <v>1796815</v>
      </c>
      <c r="K872">
        <v>54300</v>
      </c>
    </row>
    <row r="873" spans="1:11" x14ac:dyDescent="0.3">
      <c r="A873" t="s">
        <v>882</v>
      </c>
      <c r="B873">
        <v>101025</v>
      </c>
      <c r="C873">
        <v>706800</v>
      </c>
      <c r="D873">
        <v>48793</v>
      </c>
      <c r="E873">
        <v>246400</v>
      </c>
      <c r="F873">
        <v>1465694</v>
      </c>
      <c r="G873">
        <v>151300</v>
      </c>
      <c r="H873">
        <v>1813890</v>
      </c>
      <c r="I873">
        <v>51000</v>
      </c>
      <c r="J873">
        <v>1801032</v>
      </c>
      <c r="K873">
        <v>55600</v>
      </c>
    </row>
    <row r="874" spans="1:11" x14ac:dyDescent="0.3">
      <c r="A874" t="s">
        <v>883</v>
      </c>
      <c r="B874">
        <v>101025</v>
      </c>
      <c r="C874">
        <v>676600</v>
      </c>
      <c r="D874">
        <v>51107</v>
      </c>
      <c r="E874">
        <v>180100</v>
      </c>
      <c r="F874">
        <v>1469115</v>
      </c>
      <c r="G874">
        <v>163200</v>
      </c>
      <c r="H874">
        <v>1818001</v>
      </c>
      <c r="I874">
        <v>49700</v>
      </c>
      <c r="J874">
        <v>1805448</v>
      </c>
      <c r="K874">
        <v>57300</v>
      </c>
    </row>
    <row r="875" spans="1:11" x14ac:dyDescent="0.3">
      <c r="A875" t="s">
        <v>884</v>
      </c>
      <c r="B875">
        <v>101025</v>
      </c>
      <c r="C875">
        <v>830300</v>
      </c>
      <c r="D875">
        <v>50301</v>
      </c>
      <c r="E875">
        <v>224300</v>
      </c>
      <c r="F875">
        <v>1472529</v>
      </c>
      <c r="G875">
        <v>182400</v>
      </c>
      <c r="H875">
        <v>1822147</v>
      </c>
      <c r="I875">
        <v>60400</v>
      </c>
      <c r="J875">
        <v>1809240</v>
      </c>
      <c r="K875">
        <v>67700</v>
      </c>
    </row>
    <row r="876" spans="1:11" x14ac:dyDescent="0.3">
      <c r="A876" t="s">
        <v>885</v>
      </c>
      <c r="B876">
        <v>101025</v>
      </c>
      <c r="C876">
        <v>1023500</v>
      </c>
      <c r="D876">
        <v>51023</v>
      </c>
      <c r="E876">
        <v>211300</v>
      </c>
      <c r="F876">
        <v>1475949</v>
      </c>
      <c r="G876">
        <v>161600</v>
      </c>
      <c r="H876">
        <v>1826111</v>
      </c>
      <c r="I876">
        <v>66700</v>
      </c>
      <c r="J876">
        <v>1813950</v>
      </c>
      <c r="K876">
        <v>81800</v>
      </c>
    </row>
    <row r="877" spans="1:11" x14ac:dyDescent="0.3">
      <c r="A877" t="s">
        <v>886</v>
      </c>
      <c r="B877">
        <v>101025</v>
      </c>
      <c r="C877">
        <v>712500</v>
      </c>
      <c r="D877">
        <v>54474</v>
      </c>
      <c r="E877">
        <v>213700</v>
      </c>
      <c r="F877">
        <v>1479373</v>
      </c>
      <c r="G877">
        <v>157200</v>
      </c>
      <c r="H877">
        <v>1830372</v>
      </c>
      <c r="I877">
        <v>49600</v>
      </c>
      <c r="J877">
        <v>1818463</v>
      </c>
      <c r="K877">
        <v>57200</v>
      </c>
    </row>
    <row r="878" spans="1:11" x14ac:dyDescent="0.3">
      <c r="A878" t="s">
        <v>887</v>
      </c>
      <c r="B878">
        <v>101025</v>
      </c>
      <c r="C878">
        <v>827500</v>
      </c>
      <c r="D878">
        <v>49961</v>
      </c>
      <c r="E878">
        <v>223700</v>
      </c>
      <c r="F878">
        <v>1482799</v>
      </c>
      <c r="G878">
        <v>185300</v>
      </c>
      <c r="H878">
        <v>1834400</v>
      </c>
      <c r="I878">
        <v>61000</v>
      </c>
      <c r="J878">
        <v>1822696</v>
      </c>
      <c r="K878">
        <v>67900</v>
      </c>
    </row>
    <row r="879" spans="1:11" x14ac:dyDescent="0.3">
      <c r="A879" t="s">
        <v>888</v>
      </c>
      <c r="B879">
        <v>101025</v>
      </c>
      <c r="C879">
        <v>830700</v>
      </c>
      <c r="D879">
        <v>54127</v>
      </c>
      <c r="E879">
        <v>344800</v>
      </c>
      <c r="F879">
        <v>1486209</v>
      </c>
      <c r="G879">
        <v>195400</v>
      </c>
      <c r="H879">
        <v>1838624</v>
      </c>
      <c r="I879">
        <v>50500</v>
      </c>
      <c r="J879">
        <v>1826852</v>
      </c>
      <c r="K879">
        <v>59500</v>
      </c>
    </row>
    <row r="880" spans="1:11" x14ac:dyDescent="0.3">
      <c r="A880" t="s">
        <v>889</v>
      </c>
      <c r="B880">
        <v>101025</v>
      </c>
      <c r="C880">
        <v>733900</v>
      </c>
      <c r="D880">
        <v>49929</v>
      </c>
      <c r="E880">
        <v>195900</v>
      </c>
      <c r="F880">
        <v>1489608</v>
      </c>
      <c r="G880">
        <v>155900</v>
      </c>
      <c r="H880">
        <v>1842857</v>
      </c>
      <c r="I880">
        <v>50100</v>
      </c>
      <c r="J880">
        <v>1831193</v>
      </c>
      <c r="K880">
        <v>57700</v>
      </c>
    </row>
    <row r="881" spans="1:11" x14ac:dyDescent="0.3">
      <c r="A881" t="s">
        <v>890</v>
      </c>
      <c r="B881">
        <v>101025</v>
      </c>
      <c r="C881">
        <v>637200</v>
      </c>
      <c r="D881">
        <v>51844</v>
      </c>
      <c r="E881">
        <v>182700</v>
      </c>
      <c r="F881">
        <v>1493021</v>
      </c>
      <c r="G881">
        <v>159000</v>
      </c>
      <c r="H881">
        <v>1846959</v>
      </c>
      <c r="I881">
        <v>48400</v>
      </c>
      <c r="J881">
        <v>1835285</v>
      </c>
      <c r="K881">
        <v>58000</v>
      </c>
    </row>
    <row r="882" spans="1:11" x14ac:dyDescent="0.3">
      <c r="A882" t="s">
        <v>891</v>
      </c>
      <c r="B882">
        <v>101025</v>
      </c>
      <c r="C882">
        <v>704000</v>
      </c>
      <c r="D882">
        <v>52190</v>
      </c>
      <c r="E882">
        <v>308700</v>
      </c>
      <c r="F882">
        <v>1496436</v>
      </c>
      <c r="G882">
        <v>207900</v>
      </c>
      <c r="H882">
        <v>1851156</v>
      </c>
      <c r="I882">
        <v>60100</v>
      </c>
      <c r="J882">
        <v>1839531</v>
      </c>
      <c r="K882">
        <v>57100</v>
      </c>
    </row>
    <row r="883" spans="1:11" x14ac:dyDescent="0.3">
      <c r="A883" t="s">
        <v>892</v>
      </c>
      <c r="B883">
        <v>101025</v>
      </c>
      <c r="C883">
        <v>631000</v>
      </c>
      <c r="D883">
        <v>52102</v>
      </c>
      <c r="E883">
        <v>183700</v>
      </c>
      <c r="F883">
        <v>1499846</v>
      </c>
      <c r="G883">
        <v>158400</v>
      </c>
      <c r="H883">
        <v>1855410</v>
      </c>
      <c r="I883">
        <v>51300</v>
      </c>
      <c r="J883">
        <v>1843817</v>
      </c>
      <c r="K883">
        <v>57100</v>
      </c>
    </row>
    <row r="884" spans="1:11" x14ac:dyDescent="0.3">
      <c r="A884" t="s">
        <v>893</v>
      </c>
      <c r="B884">
        <v>101025</v>
      </c>
      <c r="C884">
        <v>686000</v>
      </c>
      <c r="D884">
        <v>51562</v>
      </c>
      <c r="E884">
        <v>181400</v>
      </c>
      <c r="F884">
        <v>1503236</v>
      </c>
      <c r="G884">
        <v>219900</v>
      </c>
      <c r="H884">
        <v>1859615</v>
      </c>
      <c r="I884">
        <v>51100</v>
      </c>
      <c r="J884">
        <v>1847640</v>
      </c>
      <c r="K884">
        <v>56200</v>
      </c>
    </row>
    <row r="885" spans="1:11" x14ac:dyDescent="0.3">
      <c r="A885" t="s">
        <v>894</v>
      </c>
      <c r="B885">
        <v>101025</v>
      </c>
      <c r="C885">
        <v>685300</v>
      </c>
      <c r="D885">
        <v>52856</v>
      </c>
      <c r="E885">
        <v>201000</v>
      </c>
      <c r="F885">
        <v>1506637</v>
      </c>
      <c r="G885">
        <v>227700</v>
      </c>
      <c r="H885">
        <v>1864086</v>
      </c>
      <c r="I885">
        <v>69900</v>
      </c>
      <c r="J885">
        <v>1851849</v>
      </c>
      <c r="K885">
        <v>66000</v>
      </c>
    </row>
    <row r="886" spans="1:11" x14ac:dyDescent="0.3">
      <c r="A886" t="s">
        <v>895</v>
      </c>
      <c r="B886">
        <v>101025</v>
      </c>
      <c r="C886">
        <v>686600</v>
      </c>
      <c r="D886">
        <v>50304</v>
      </c>
      <c r="E886">
        <v>176700</v>
      </c>
      <c r="F886">
        <v>1510055</v>
      </c>
      <c r="G886">
        <v>163400</v>
      </c>
      <c r="H886">
        <v>1868262</v>
      </c>
      <c r="I886">
        <v>50300</v>
      </c>
      <c r="J886">
        <v>1856066</v>
      </c>
      <c r="K886">
        <v>57400</v>
      </c>
    </row>
    <row r="887" spans="1:11" x14ac:dyDescent="0.3">
      <c r="A887" t="s">
        <v>896</v>
      </c>
      <c r="B887">
        <v>101025</v>
      </c>
      <c r="C887">
        <v>897900</v>
      </c>
      <c r="D887">
        <v>50912</v>
      </c>
      <c r="E887">
        <v>235000</v>
      </c>
      <c r="F887">
        <v>1513473</v>
      </c>
      <c r="G887">
        <v>183500</v>
      </c>
      <c r="H887">
        <v>1872423</v>
      </c>
      <c r="I887">
        <v>60200</v>
      </c>
      <c r="J887">
        <v>1860426</v>
      </c>
      <c r="K887">
        <v>71300</v>
      </c>
    </row>
    <row r="888" spans="1:11" x14ac:dyDescent="0.3">
      <c r="A888" t="s">
        <v>897</v>
      </c>
      <c r="B888">
        <v>101025</v>
      </c>
      <c r="C888">
        <v>766400</v>
      </c>
      <c r="D888">
        <v>50727</v>
      </c>
      <c r="E888">
        <v>354600</v>
      </c>
      <c r="F888">
        <v>1516877</v>
      </c>
      <c r="G888">
        <v>271300</v>
      </c>
      <c r="H888">
        <v>1876522</v>
      </c>
      <c r="I888">
        <v>63400</v>
      </c>
      <c r="J888">
        <v>1864524</v>
      </c>
      <c r="K888">
        <v>69100</v>
      </c>
    </row>
    <row r="889" spans="1:11" x14ac:dyDescent="0.3">
      <c r="A889" t="s">
        <v>898</v>
      </c>
      <c r="B889">
        <v>101025</v>
      </c>
      <c r="C889">
        <v>667200</v>
      </c>
      <c r="D889">
        <v>52113</v>
      </c>
      <c r="E889">
        <v>183300</v>
      </c>
      <c r="F889">
        <v>1520269</v>
      </c>
      <c r="G889">
        <v>192800</v>
      </c>
      <c r="H889">
        <v>1881213</v>
      </c>
      <c r="I889">
        <v>49800</v>
      </c>
      <c r="J889">
        <v>1869190</v>
      </c>
      <c r="K889">
        <v>58000</v>
      </c>
    </row>
    <row r="890" spans="1:11" x14ac:dyDescent="0.3">
      <c r="A890" t="s">
        <v>899</v>
      </c>
      <c r="B890">
        <v>101025</v>
      </c>
      <c r="C890">
        <v>686800</v>
      </c>
      <c r="D890">
        <v>52256</v>
      </c>
      <c r="E890">
        <v>192300</v>
      </c>
      <c r="F890">
        <v>1523654</v>
      </c>
      <c r="G890">
        <v>158300</v>
      </c>
      <c r="H890">
        <v>1886224</v>
      </c>
      <c r="I890">
        <v>50800</v>
      </c>
      <c r="J890">
        <v>1873667</v>
      </c>
      <c r="K890">
        <v>57800</v>
      </c>
    </row>
    <row r="891" spans="1:11" x14ac:dyDescent="0.3">
      <c r="A891" t="s">
        <v>900</v>
      </c>
      <c r="B891">
        <v>101025</v>
      </c>
      <c r="C891">
        <v>738700</v>
      </c>
      <c r="D891">
        <v>49068</v>
      </c>
      <c r="E891">
        <v>299600</v>
      </c>
      <c r="F891">
        <v>1527063</v>
      </c>
      <c r="G891">
        <v>156700</v>
      </c>
      <c r="H891">
        <v>1890182</v>
      </c>
      <c r="I891">
        <v>50300</v>
      </c>
      <c r="J891">
        <v>1877771</v>
      </c>
      <c r="K891">
        <v>55800</v>
      </c>
    </row>
    <row r="892" spans="1:11" x14ac:dyDescent="0.3">
      <c r="A892" t="s">
        <v>901</v>
      </c>
      <c r="B892">
        <v>101025</v>
      </c>
      <c r="C892">
        <v>710800</v>
      </c>
      <c r="D892">
        <v>50027</v>
      </c>
      <c r="E892">
        <v>178400</v>
      </c>
      <c r="F892">
        <v>1530471</v>
      </c>
      <c r="G892">
        <v>153200</v>
      </c>
      <c r="H892">
        <v>1894714</v>
      </c>
      <c r="I892">
        <v>50500</v>
      </c>
      <c r="J892">
        <v>1881781</v>
      </c>
      <c r="K892">
        <v>55900</v>
      </c>
    </row>
    <row r="893" spans="1:11" x14ac:dyDescent="0.3">
      <c r="A893" t="s">
        <v>902</v>
      </c>
      <c r="B893">
        <v>101025</v>
      </c>
      <c r="C893">
        <v>699500</v>
      </c>
      <c r="D893">
        <v>51024</v>
      </c>
      <c r="E893">
        <v>189500</v>
      </c>
      <c r="F893">
        <v>1533894</v>
      </c>
      <c r="G893">
        <v>163200</v>
      </c>
      <c r="H893">
        <v>1898762</v>
      </c>
      <c r="I893">
        <v>49100</v>
      </c>
      <c r="J893">
        <v>1885925</v>
      </c>
      <c r="K893">
        <v>55400</v>
      </c>
    </row>
    <row r="894" spans="1:11" x14ac:dyDescent="0.3">
      <c r="A894" t="s">
        <v>903</v>
      </c>
      <c r="B894">
        <v>101025</v>
      </c>
      <c r="C894">
        <v>608900</v>
      </c>
      <c r="D894">
        <v>50614</v>
      </c>
      <c r="E894">
        <v>182500</v>
      </c>
      <c r="F894">
        <v>1537275</v>
      </c>
      <c r="G894">
        <v>230500</v>
      </c>
      <c r="H894">
        <v>1902655</v>
      </c>
      <c r="I894">
        <v>68500</v>
      </c>
      <c r="J894">
        <v>1890063</v>
      </c>
      <c r="K894">
        <v>78800</v>
      </c>
    </row>
    <row r="895" spans="1:11" x14ac:dyDescent="0.3">
      <c r="A895" t="s">
        <v>904</v>
      </c>
      <c r="B895">
        <v>101025</v>
      </c>
      <c r="C895">
        <v>645500</v>
      </c>
      <c r="D895">
        <v>48270</v>
      </c>
      <c r="E895">
        <v>170500</v>
      </c>
      <c r="F895">
        <v>1540699</v>
      </c>
      <c r="G895">
        <v>159800</v>
      </c>
      <c r="H895">
        <v>1906695</v>
      </c>
      <c r="I895">
        <v>48900</v>
      </c>
      <c r="J895">
        <v>1894527</v>
      </c>
      <c r="K895">
        <v>55800</v>
      </c>
    </row>
    <row r="896" spans="1:11" x14ac:dyDescent="0.3">
      <c r="A896" t="s">
        <v>905</v>
      </c>
      <c r="B896">
        <v>101025</v>
      </c>
      <c r="C896">
        <v>681300</v>
      </c>
      <c r="D896">
        <v>51034</v>
      </c>
      <c r="E896">
        <v>179300</v>
      </c>
      <c r="F896">
        <v>1544109</v>
      </c>
      <c r="G896">
        <v>157700</v>
      </c>
      <c r="H896">
        <v>1911003</v>
      </c>
      <c r="I896">
        <v>49400</v>
      </c>
      <c r="J896">
        <v>1898808</v>
      </c>
      <c r="K896">
        <v>57500</v>
      </c>
    </row>
    <row r="897" spans="1:11" x14ac:dyDescent="0.3">
      <c r="A897" t="s">
        <v>906</v>
      </c>
      <c r="B897">
        <v>101025</v>
      </c>
      <c r="C897">
        <v>690600</v>
      </c>
      <c r="D897">
        <v>52815</v>
      </c>
      <c r="E897">
        <v>185400</v>
      </c>
      <c r="F897">
        <v>1547511</v>
      </c>
      <c r="G897">
        <v>158500</v>
      </c>
      <c r="H897">
        <v>1914772</v>
      </c>
      <c r="I897">
        <v>48900</v>
      </c>
      <c r="J897">
        <v>1902997</v>
      </c>
      <c r="K897">
        <v>54900</v>
      </c>
    </row>
    <row r="898" spans="1:11" x14ac:dyDescent="0.3">
      <c r="A898" t="s">
        <v>907</v>
      </c>
      <c r="B898">
        <v>101025</v>
      </c>
      <c r="C898">
        <v>668500</v>
      </c>
      <c r="D898">
        <v>48486</v>
      </c>
      <c r="E898">
        <v>170900</v>
      </c>
      <c r="F898">
        <v>1550905</v>
      </c>
      <c r="G898">
        <v>157900</v>
      </c>
      <c r="H898">
        <v>1918918</v>
      </c>
      <c r="I898">
        <v>47200</v>
      </c>
      <c r="J898">
        <v>1906927</v>
      </c>
      <c r="K898">
        <v>54900</v>
      </c>
    </row>
    <row r="899" spans="1:11" x14ac:dyDescent="0.3">
      <c r="A899" t="s">
        <v>908</v>
      </c>
      <c r="B899">
        <v>101025</v>
      </c>
      <c r="C899">
        <v>650100</v>
      </c>
      <c r="D899">
        <v>50617</v>
      </c>
      <c r="E899">
        <v>178300</v>
      </c>
      <c r="F899">
        <v>1554300</v>
      </c>
      <c r="G899">
        <v>155200</v>
      </c>
      <c r="H899">
        <v>1922959</v>
      </c>
      <c r="I899">
        <v>51100</v>
      </c>
      <c r="J899">
        <v>1911555</v>
      </c>
      <c r="K899">
        <v>55700</v>
      </c>
    </row>
    <row r="900" spans="1:11" x14ac:dyDescent="0.3">
      <c r="A900" t="s">
        <v>909</v>
      </c>
      <c r="B900">
        <v>101025</v>
      </c>
      <c r="C900">
        <v>715900</v>
      </c>
      <c r="D900">
        <v>51311</v>
      </c>
      <c r="E900">
        <v>181600</v>
      </c>
      <c r="F900">
        <v>1557696</v>
      </c>
      <c r="G900">
        <v>159700</v>
      </c>
      <c r="H900">
        <v>1926786</v>
      </c>
      <c r="I900">
        <v>49500</v>
      </c>
      <c r="J900">
        <v>1915583</v>
      </c>
      <c r="K900">
        <v>53100</v>
      </c>
    </row>
    <row r="901" spans="1:11" x14ac:dyDescent="0.3">
      <c r="A901" t="s">
        <v>910</v>
      </c>
      <c r="B901">
        <v>101025</v>
      </c>
      <c r="C901">
        <v>715400</v>
      </c>
      <c r="D901">
        <v>51432</v>
      </c>
      <c r="E901">
        <v>186300</v>
      </c>
      <c r="F901">
        <v>1561118</v>
      </c>
      <c r="G901">
        <v>149600</v>
      </c>
      <c r="H901">
        <v>1930954</v>
      </c>
      <c r="I901">
        <v>51800</v>
      </c>
      <c r="J901">
        <v>1919835</v>
      </c>
      <c r="K901">
        <v>56500</v>
      </c>
    </row>
    <row r="902" spans="1:11" x14ac:dyDescent="0.3">
      <c r="A902" t="s">
        <v>911</v>
      </c>
      <c r="B902">
        <v>124750</v>
      </c>
      <c r="C902">
        <v>912800</v>
      </c>
      <c r="D902">
        <v>59053</v>
      </c>
      <c r="E902">
        <v>219900</v>
      </c>
      <c r="F902">
        <v>1564994</v>
      </c>
      <c r="G902">
        <v>172700</v>
      </c>
      <c r="H902">
        <v>1935733</v>
      </c>
      <c r="I902">
        <v>57000</v>
      </c>
      <c r="J902">
        <v>1924631</v>
      </c>
      <c r="K902">
        <v>64200</v>
      </c>
    </row>
    <row r="903" spans="1:11" x14ac:dyDescent="0.3">
      <c r="A903" t="s">
        <v>912</v>
      </c>
      <c r="B903">
        <v>124750</v>
      </c>
      <c r="C903">
        <v>875300</v>
      </c>
      <c r="D903">
        <v>60950</v>
      </c>
      <c r="E903">
        <v>294600</v>
      </c>
      <c r="F903">
        <v>1568848</v>
      </c>
      <c r="G903">
        <v>171900</v>
      </c>
      <c r="H903">
        <v>1940619</v>
      </c>
      <c r="I903">
        <v>54300</v>
      </c>
      <c r="J903">
        <v>1929648</v>
      </c>
      <c r="K903">
        <v>64900</v>
      </c>
    </row>
    <row r="904" spans="1:11" x14ac:dyDescent="0.3">
      <c r="A904" t="s">
        <v>913</v>
      </c>
      <c r="B904">
        <v>124750</v>
      </c>
      <c r="C904">
        <v>1124700</v>
      </c>
      <c r="D904">
        <v>60636</v>
      </c>
      <c r="E904">
        <v>264100</v>
      </c>
      <c r="F904">
        <v>1572692</v>
      </c>
      <c r="G904">
        <v>208800</v>
      </c>
      <c r="H904">
        <v>1945214</v>
      </c>
      <c r="I904">
        <v>72200</v>
      </c>
      <c r="J904">
        <v>1934724</v>
      </c>
      <c r="K904">
        <v>78700</v>
      </c>
    </row>
    <row r="905" spans="1:11" x14ac:dyDescent="0.3">
      <c r="A905" t="s">
        <v>914</v>
      </c>
      <c r="B905">
        <v>124750</v>
      </c>
      <c r="C905">
        <v>1024200</v>
      </c>
      <c r="D905">
        <v>62772</v>
      </c>
      <c r="E905">
        <v>265200</v>
      </c>
      <c r="F905">
        <v>1576534</v>
      </c>
      <c r="G905">
        <v>205900</v>
      </c>
      <c r="H905">
        <v>1950314</v>
      </c>
      <c r="I905">
        <v>68100</v>
      </c>
      <c r="J905">
        <v>1939330</v>
      </c>
      <c r="K905">
        <v>68100</v>
      </c>
    </row>
    <row r="906" spans="1:11" x14ac:dyDescent="0.3">
      <c r="A906" t="s">
        <v>915</v>
      </c>
      <c r="B906">
        <v>124750</v>
      </c>
      <c r="C906">
        <v>887000</v>
      </c>
      <c r="D906">
        <v>62631</v>
      </c>
      <c r="E906">
        <v>224400</v>
      </c>
      <c r="F906">
        <v>1580374</v>
      </c>
      <c r="G906">
        <v>170200</v>
      </c>
      <c r="H906">
        <v>1954781</v>
      </c>
      <c r="I906">
        <v>57200</v>
      </c>
      <c r="J906">
        <v>1943808</v>
      </c>
      <c r="K906">
        <v>65800</v>
      </c>
    </row>
    <row r="907" spans="1:11" x14ac:dyDescent="0.3">
      <c r="A907" t="s">
        <v>916</v>
      </c>
      <c r="B907">
        <v>124750</v>
      </c>
      <c r="C907">
        <v>853200</v>
      </c>
      <c r="D907">
        <v>64623</v>
      </c>
      <c r="E907">
        <v>235700</v>
      </c>
      <c r="F907">
        <v>1584240</v>
      </c>
      <c r="G907">
        <v>169400</v>
      </c>
      <c r="H907">
        <v>1959693</v>
      </c>
      <c r="I907">
        <v>55800</v>
      </c>
      <c r="J907">
        <v>1948366</v>
      </c>
      <c r="K907">
        <v>63600</v>
      </c>
    </row>
    <row r="908" spans="1:11" x14ac:dyDescent="0.3">
      <c r="A908" t="s">
        <v>917</v>
      </c>
      <c r="B908">
        <v>124750</v>
      </c>
      <c r="C908">
        <v>1016200</v>
      </c>
      <c r="D908">
        <v>65591</v>
      </c>
      <c r="E908">
        <v>344000</v>
      </c>
      <c r="F908">
        <v>1588081</v>
      </c>
      <c r="G908">
        <v>173600</v>
      </c>
      <c r="H908">
        <v>1964300</v>
      </c>
      <c r="I908">
        <v>58000</v>
      </c>
      <c r="J908">
        <v>1952888</v>
      </c>
      <c r="K908">
        <v>65200</v>
      </c>
    </row>
    <row r="909" spans="1:11" x14ac:dyDescent="0.3">
      <c r="A909" t="s">
        <v>918</v>
      </c>
      <c r="B909">
        <v>124750</v>
      </c>
      <c r="C909">
        <v>897000</v>
      </c>
      <c r="D909">
        <v>63295</v>
      </c>
      <c r="E909">
        <v>225900</v>
      </c>
      <c r="F909">
        <v>1591924</v>
      </c>
      <c r="G909">
        <v>287400</v>
      </c>
      <c r="H909">
        <v>1968759</v>
      </c>
      <c r="I909">
        <v>104200</v>
      </c>
      <c r="J909">
        <v>1957190</v>
      </c>
      <c r="K909">
        <v>86500</v>
      </c>
    </row>
    <row r="910" spans="1:11" x14ac:dyDescent="0.3">
      <c r="A910" t="s">
        <v>919</v>
      </c>
      <c r="B910">
        <v>124750</v>
      </c>
      <c r="C910">
        <v>904100</v>
      </c>
      <c r="D910">
        <v>65096</v>
      </c>
      <c r="E910">
        <v>230700</v>
      </c>
      <c r="F910">
        <v>1595768</v>
      </c>
      <c r="G910">
        <v>171600</v>
      </c>
      <c r="H910">
        <v>1973549</v>
      </c>
      <c r="I910">
        <v>56900</v>
      </c>
      <c r="J910">
        <v>1961759</v>
      </c>
      <c r="K910">
        <v>64400</v>
      </c>
    </row>
    <row r="911" spans="1:11" x14ac:dyDescent="0.3">
      <c r="A911" t="s">
        <v>920</v>
      </c>
      <c r="B911">
        <v>124750</v>
      </c>
      <c r="C911">
        <v>873000</v>
      </c>
      <c r="D911">
        <v>60074</v>
      </c>
      <c r="E911">
        <v>221400</v>
      </c>
      <c r="F911">
        <v>1599633</v>
      </c>
      <c r="G911">
        <v>170500</v>
      </c>
      <c r="H911">
        <v>1978014</v>
      </c>
      <c r="I911">
        <v>57500</v>
      </c>
      <c r="J911">
        <v>1966236</v>
      </c>
      <c r="K911">
        <v>62800</v>
      </c>
    </row>
    <row r="912" spans="1:11" x14ac:dyDescent="0.3">
      <c r="A912" t="s">
        <v>921</v>
      </c>
      <c r="B912">
        <v>124750</v>
      </c>
      <c r="C912">
        <v>859300</v>
      </c>
      <c r="D912">
        <v>66379</v>
      </c>
      <c r="E912">
        <v>242200</v>
      </c>
      <c r="F912">
        <v>1603492</v>
      </c>
      <c r="G912">
        <v>178000</v>
      </c>
      <c r="H912">
        <v>1982725</v>
      </c>
      <c r="I912">
        <v>56500</v>
      </c>
      <c r="J912">
        <v>1970792</v>
      </c>
      <c r="K912">
        <v>65000</v>
      </c>
    </row>
    <row r="913" spans="1:11" x14ac:dyDescent="0.3">
      <c r="A913" t="s">
        <v>922</v>
      </c>
      <c r="B913">
        <v>124750</v>
      </c>
      <c r="C913">
        <v>882300</v>
      </c>
      <c r="D913">
        <v>64338</v>
      </c>
      <c r="E913">
        <v>226200</v>
      </c>
      <c r="F913">
        <v>1607369</v>
      </c>
      <c r="G913">
        <v>169300</v>
      </c>
      <c r="H913">
        <v>1988198</v>
      </c>
      <c r="I913">
        <v>56800</v>
      </c>
      <c r="J913">
        <v>1975763</v>
      </c>
      <c r="K913">
        <v>65000</v>
      </c>
    </row>
    <row r="914" spans="1:11" x14ac:dyDescent="0.3">
      <c r="A914" t="s">
        <v>923</v>
      </c>
      <c r="B914">
        <v>124750</v>
      </c>
      <c r="C914">
        <v>774500</v>
      </c>
      <c r="D914">
        <v>59432</v>
      </c>
      <c r="E914">
        <v>222100</v>
      </c>
      <c r="F914">
        <v>1611208</v>
      </c>
      <c r="G914">
        <v>171600</v>
      </c>
      <c r="H914">
        <v>1992935</v>
      </c>
      <c r="I914">
        <v>69600</v>
      </c>
      <c r="J914">
        <v>1980307</v>
      </c>
      <c r="K914">
        <v>63100</v>
      </c>
    </row>
    <row r="915" spans="1:11" x14ac:dyDescent="0.3">
      <c r="A915" t="s">
        <v>924</v>
      </c>
      <c r="B915">
        <v>124750</v>
      </c>
      <c r="C915">
        <v>871900</v>
      </c>
      <c r="D915">
        <v>62112</v>
      </c>
      <c r="E915">
        <v>223100</v>
      </c>
      <c r="F915">
        <v>1615065</v>
      </c>
      <c r="G915">
        <v>170000</v>
      </c>
      <c r="H915">
        <v>1998034</v>
      </c>
      <c r="I915">
        <v>56800</v>
      </c>
      <c r="J915">
        <v>1985327</v>
      </c>
      <c r="K915">
        <v>62900</v>
      </c>
    </row>
    <row r="916" spans="1:11" x14ac:dyDescent="0.3">
      <c r="A916" t="s">
        <v>925</v>
      </c>
      <c r="B916">
        <v>124750</v>
      </c>
      <c r="C916">
        <v>1052200</v>
      </c>
      <c r="D916">
        <v>61690</v>
      </c>
      <c r="E916">
        <v>282300</v>
      </c>
      <c r="F916">
        <v>1618917</v>
      </c>
      <c r="G916">
        <v>183800</v>
      </c>
      <c r="H916">
        <v>2002343</v>
      </c>
      <c r="I916">
        <v>65700</v>
      </c>
      <c r="J916">
        <v>1989985</v>
      </c>
      <c r="K916">
        <v>72200</v>
      </c>
    </row>
    <row r="917" spans="1:11" x14ac:dyDescent="0.3">
      <c r="A917" t="s">
        <v>926</v>
      </c>
      <c r="B917">
        <v>124750</v>
      </c>
      <c r="C917">
        <v>873500</v>
      </c>
      <c r="D917">
        <v>64965</v>
      </c>
      <c r="E917">
        <v>236600</v>
      </c>
      <c r="F917">
        <v>1622782</v>
      </c>
      <c r="G917">
        <v>173100</v>
      </c>
      <c r="H917">
        <v>2007338</v>
      </c>
      <c r="I917">
        <v>57700</v>
      </c>
      <c r="J917">
        <v>1994514</v>
      </c>
      <c r="K917">
        <v>65400</v>
      </c>
    </row>
    <row r="918" spans="1:11" x14ac:dyDescent="0.3">
      <c r="A918" t="s">
        <v>927</v>
      </c>
      <c r="B918">
        <v>124750</v>
      </c>
      <c r="C918">
        <v>1039700</v>
      </c>
      <c r="D918">
        <v>60272</v>
      </c>
      <c r="E918">
        <v>254900</v>
      </c>
      <c r="F918">
        <v>1626648</v>
      </c>
      <c r="G918">
        <v>192600</v>
      </c>
      <c r="H918">
        <v>2012672</v>
      </c>
      <c r="I918">
        <v>60400</v>
      </c>
      <c r="J918">
        <v>1999667</v>
      </c>
      <c r="K918">
        <v>73100</v>
      </c>
    </row>
    <row r="919" spans="1:11" x14ac:dyDescent="0.3">
      <c r="A919" t="s">
        <v>928</v>
      </c>
      <c r="B919">
        <v>124750</v>
      </c>
      <c r="C919">
        <v>827800</v>
      </c>
      <c r="D919">
        <v>65412</v>
      </c>
      <c r="E919">
        <v>350500</v>
      </c>
      <c r="F919">
        <v>1630508</v>
      </c>
      <c r="G919">
        <v>179000</v>
      </c>
      <c r="H919">
        <v>2017613</v>
      </c>
      <c r="I919">
        <v>57300</v>
      </c>
      <c r="J919">
        <v>2004870</v>
      </c>
      <c r="K919">
        <v>67400</v>
      </c>
    </row>
    <row r="920" spans="1:11" x14ac:dyDescent="0.3">
      <c r="A920" t="s">
        <v>929</v>
      </c>
      <c r="B920">
        <v>124750</v>
      </c>
      <c r="C920">
        <v>1030200</v>
      </c>
      <c r="D920">
        <v>66790</v>
      </c>
      <c r="E920">
        <v>288500</v>
      </c>
      <c r="F920">
        <v>1634326</v>
      </c>
      <c r="G920">
        <v>205400</v>
      </c>
      <c r="H920">
        <v>2022352</v>
      </c>
      <c r="I920">
        <v>67600</v>
      </c>
      <c r="J920">
        <v>2009373</v>
      </c>
      <c r="K920">
        <v>72400</v>
      </c>
    </row>
    <row r="921" spans="1:11" x14ac:dyDescent="0.3">
      <c r="A921" t="s">
        <v>930</v>
      </c>
      <c r="B921">
        <v>124750</v>
      </c>
      <c r="C921">
        <v>871900</v>
      </c>
      <c r="D921">
        <v>62984</v>
      </c>
      <c r="E921">
        <v>237900</v>
      </c>
      <c r="F921">
        <v>1638178</v>
      </c>
      <c r="G921">
        <v>172200</v>
      </c>
      <c r="H921">
        <v>2027942</v>
      </c>
      <c r="I921">
        <v>55600</v>
      </c>
      <c r="J921">
        <v>2014549</v>
      </c>
      <c r="K921">
        <v>63600</v>
      </c>
    </row>
    <row r="922" spans="1:11" x14ac:dyDescent="0.3">
      <c r="A922" t="s">
        <v>931</v>
      </c>
      <c r="B922">
        <v>124750</v>
      </c>
      <c r="C922">
        <v>911100</v>
      </c>
      <c r="D922">
        <v>60598</v>
      </c>
      <c r="E922">
        <v>224000</v>
      </c>
      <c r="F922">
        <v>1642031</v>
      </c>
      <c r="G922">
        <v>172100</v>
      </c>
      <c r="H922">
        <v>2032502</v>
      </c>
      <c r="I922">
        <v>58000</v>
      </c>
      <c r="J922">
        <v>2019022</v>
      </c>
      <c r="K922">
        <v>64300</v>
      </c>
    </row>
    <row r="923" spans="1:11" x14ac:dyDescent="0.3">
      <c r="A923" t="s">
        <v>932</v>
      </c>
      <c r="B923">
        <v>124750</v>
      </c>
      <c r="C923">
        <v>870500</v>
      </c>
      <c r="D923">
        <v>62830</v>
      </c>
      <c r="E923">
        <v>228700</v>
      </c>
      <c r="F923">
        <v>1645887</v>
      </c>
      <c r="G923">
        <v>171700</v>
      </c>
      <c r="H923">
        <v>2037133</v>
      </c>
      <c r="I923">
        <v>55800</v>
      </c>
      <c r="J923">
        <v>2024010</v>
      </c>
      <c r="K923">
        <v>62800</v>
      </c>
    </row>
    <row r="924" spans="1:11" x14ac:dyDescent="0.3">
      <c r="A924" t="s">
        <v>933</v>
      </c>
      <c r="B924">
        <v>124750</v>
      </c>
      <c r="C924">
        <v>861300</v>
      </c>
      <c r="D924">
        <v>60644</v>
      </c>
      <c r="E924">
        <v>369800</v>
      </c>
      <c r="F924">
        <v>1649726</v>
      </c>
      <c r="G924">
        <v>185700</v>
      </c>
      <c r="H924">
        <v>2041609</v>
      </c>
      <c r="I924">
        <v>56700</v>
      </c>
      <c r="J924">
        <v>2029013</v>
      </c>
      <c r="K924">
        <v>64100</v>
      </c>
    </row>
    <row r="925" spans="1:11" x14ac:dyDescent="0.3">
      <c r="A925" t="s">
        <v>934</v>
      </c>
      <c r="B925">
        <v>124750</v>
      </c>
      <c r="C925">
        <v>876700</v>
      </c>
      <c r="D925">
        <v>63527</v>
      </c>
      <c r="E925">
        <v>232700</v>
      </c>
      <c r="F925">
        <v>1653560</v>
      </c>
      <c r="G925">
        <v>169800</v>
      </c>
      <c r="H925">
        <v>2046391</v>
      </c>
      <c r="I925">
        <v>55200</v>
      </c>
      <c r="J925">
        <v>2034572</v>
      </c>
      <c r="K925">
        <v>65800</v>
      </c>
    </row>
    <row r="926" spans="1:11" x14ac:dyDescent="0.3">
      <c r="A926" t="s">
        <v>935</v>
      </c>
      <c r="B926">
        <v>124750</v>
      </c>
      <c r="C926">
        <v>1126800</v>
      </c>
      <c r="D926">
        <v>62780</v>
      </c>
      <c r="E926">
        <v>272900</v>
      </c>
      <c r="F926">
        <v>1657412</v>
      </c>
      <c r="G926">
        <v>170400</v>
      </c>
      <c r="H926">
        <v>2051225</v>
      </c>
      <c r="I926">
        <v>64000</v>
      </c>
      <c r="J926">
        <v>2039076</v>
      </c>
      <c r="K926">
        <v>64400</v>
      </c>
    </row>
    <row r="927" spans="1:11" x14ac:dyDescent="0.3">
      <c r="A927" t="s">
        <v>936</v>
      </c>
      <c r="B927">
        <v>124750</v>
      </c>
      <c r="C927">
        <v>902600</v>
      </c>
      <c r="D927">
        <v>64273</v>
      </c>
      <c r="E927">
        <v>231200</v>
      </c>
      <c r="F927">
        <v>1661255</v>
      </c>
      <c r="G927">
        <v>173300</v>
      </c>
      <c r="H927">
        <v>2055726</v>
      </c>
      <c r="I927">
        <v>56500</v>
      </c>
      <c r="J927">
        <v>2044156</v>
      </c>
      <c r="K927">
        <v>64600</v>
      </c>
    </row>
    <row r="928" spans="1:11" x14ac:dyDescent="0.3">
      <c r="A928" t="s">
        <v>937</v>
      </c>
      <c r="B928">
        <v>124750</v>
      </c>
      <c r="C928">
        <v>821500</v>
      </c>
      <c r="D928">
        <v>62497</v>
      </c>
      <c r="E928">
        <v>236200</v>
      </c>
      <c r="F928">
        <v>1665087</v>
      </c>
      <c r="G928">
        <v>169100</v>
      </c>
      <c r="H928">
        <v>2061060</v>
      </c>
      <c r="I928">
        <v>56300</v>
      </c>
      <c r="J928">
        <v>2048887</v>
      </c>
      <c r="K928">
        <v>62100</v>
      </c>
    </row>
    <row r="929" spans="1:11" x14ac:dyDescent="0.3">
      <c r="A929" t="s">
        <v>938</v>
      </c>
      <c r="B929">
        <v>124750</v>
      </c>
      <c r="C929">
        <v>860600</v>
      </c>
      <c r="D929">
        <v>63076</v>
      </c>
      <c r="E929">
        <v>228400</v>
      </c>
      <c r="F929">
        <v>1668946</v>
      </c>
      <c r="G929">
        <v>168600</v>
      </c>
      <c r="H929">
        <v>2065452</v>
      </c>
      <c r="I929">
        <v>56200</v>
      </c>
      <c r="J929">
        <v>2053457</v>
      </c>
      <c r="K929">
        <v>62500</v>
      </c>
    </row>
    <row r="930" spans="1:11" x14ac:dyDescent="0.3">
      <c r="A930" t="s">
        <v>939</v>
      </c>
      <c r="B930">
        <v>124750</v>
      </c>
      <c r="C930">
        <v>1040000</v>
      </c>
      <c r="D930">
        <v>59184</v>
      </c>
      <c r="E930">
        <v>227700</v>
      </c>
      <c r="F930">
        <v>1672792</v>
      </c>
      <c r="G930">
        <v>179800</v>
      </c>
      <c r="H930">
        <v>2070090</v>
      </c>
      <c r="I930">
        <v>57600</v>
      </c>
      <c r="J930">
        <v>2058482</v>
      </c>
      <c r="K930">
        <v>67000</v>
      </c>
    </row>
    <row r="931" spans="1:11" x14ac:dyDescent="0.3">
      <c r="A931" t="s">
        <v>940</v>
      </c>
      <c r="B931">
        <v>124750</v>
      </c>
      <c r="C931">
        <v>1014800</v>
      </c>
      <c r="D931">
        <v>62698</v>
      </c>
      <c r="E931">
        <v>264400</v>
      </c>
      <c r="F931">
        <v>1676648</v>
      </c>
      <c r="G931">
        <v>206200</v>
      </c>
      <c r="H931">
        <v>2074518</v>
      </c>
      <c r="I931">
        <v>67200</v>
      </c>
      <c r="J931">
        <v>2063519</v>
      </c>
      <c r="K931">
        <v>85300</v>
      </c>
    </row>
    <row r="932" spans="1:11" x14ac:dyDescent="0.3">
      <c r="A932" t="s">
        <v>941</v>
      </c>
      <c r="B932">
        <v>124750</v>
      </c>
      <c r="C932">
        <v>941000</v>
      </c>
      <c r="D932">
        <v>65096</v>
      </c>
      <c r="E932">
        <v>236100</v>
      </c>
      <c r="F932">
        <v>1680493</v>
      </c>
      <c r="G932">
        <v>171700</v>
      </c>
      <c r="H932">
        <v>2079430</v>
      </c>
      <c r="I932">
        <v>57400</v>
      </c>
      <c r="J932">
        <v>2068670</v>
      </c>
      <c r="K932">
        <v>64700</v>
      </c>
    </row>
    <row r="933" spans="1:11" x14ac:dyDescent="0.3">
      <c r="A933" t="s">
        <v>942</v>
      </c>
      <c r="B933">
        <v>124750</v>
      </c>
      <c r="C933">
        <v>1059500</v>
      </c>
      <c r="D933">
        <v>63841</v>
      </c>
      <c r="E933">
        <v>268900</v>
      </c>
      <c r="F933">
        <v>1684342</v>
      </c>
      <c r="G933">
        <v>205600</v>
      </c>
      <c r="H933">
        <v>2084209</v>
      </c>
      <c r="I933">
        <v>68200</v>
      </c>
      <c r="J933">
        <v>2073344</v>
      </c>
      <c r="K933">
        <v>78500</v>
      </c>
    </row>
    <row r="934" spans="1:11" x14ac:dyDescent="0.3">
      <c r="A934" t="s">
        <v>943</v>
      </c>
      <c r="B934">
        <v>124750</v>
      </c>
      <c r="C934">
        <v>998500</v>
      </c>
      <c r="D934">
        <v>63037</v>
      </c>
      <c r="E934">
        <v>269300</v>
      </c>
      <c r="F934">
        <v>1688192</v>
      </c>
      <c r="G934">
        <v>206700</v>
      </c>
      <c r="H934">
        <v>2088805</v>
      </c>
      <c r="I934">
        <v>70300</v>
      </c>
      <c r="J934">
        <v>2078237</v>
      </c>
      <c r="K934">
        <v>75800</v>
      </c>
    </row>
    <row r="935" spans="1:11" x14ac:dyDescent="0.3">
      <c r="A935" t="s">
        <v>944</v>
      </c>
      <c r="B935">
        <v>124750</v>
      </c>
      <c r="C935">
        <v>841500</v>
      </c>
      <c r="D935">
        <v>64502</v>
      </c>
      <c r="E935">
        <v>231600</v>
      </c>
      <c r="F935">
        <v>1692045</v>
      </c>
      <c r="G935">
        <v>172600</v>
      </c>
      <c r="H935">
        <v>2093407</v>
      </c>
      <c r="I935">
        <v>55300</v>
      </c>
      <c r="J935">
        <v>2082950</v>
      </c>
      <c r="K935">
        <v>63200</v>
      </c>
    </row>
    <row r="936" spans="1:11" x14ac:dyDescent="0.3">
      <c r="A936" t="s">
        <v>945</v>
      </c>
      <c r="B936">
        <v>124750</v>
      </c>
      <c r="C936">
        <v>1107900</v>
      </c>
      <c r="D936">
        <v>62193</v>
      </c>
      <c r="E936">
        <v>264900</v>
      </c>
      <c r="F936">
        <v>1695905</v>
      </c>
      <c r="G936">
        <v>210000</v>
      </c>
      <c r="H936">
        <v>2098476</v>
      </c>
      <c r="I936">
        <v>76900</v>
      </c>
      <c r="J936">
        <v>2087376</v>
      </c>
      <c r="K936">
        <v>78200</v>
      </c>
    </row>
    <row r="937" spans="1:11" x14ac:dyDescent="0.3">
      <c r="A937" t="s">
        <v>946</v>
      </c>
      <c r="B937">
        <v>124750</v>
      </c>
      <c r="C937">
        <v>1048400</v>
      </c>
      <c r="D937">
        <v>63329</v>
      </c>
      <c r="E937">
        <v>350300</v>
      </c>
      <c r="F937">
        <v>1699761</v>
      </c>
      <c r="G937">
        <v>268600</v>
      </c>
      <c r="H937">
        <v>2103611</v>
      </c>
      <c r="I937">
        <v>60700</v>
      </c>
      <c r="J937">
        <v>2091799</v>
      </c>
      <c r="K937">
        <v>65200</v>
      </c>
    </row>
    <row r="938" spans="1:11" x14ac:dyDescent="0.3">
      <c r="A938" t="s">
        <v>947</v>
      </c>
      <c r="B938">
        <v>124750</v>
      </c>
      <c r="C938">
        <v>858800</v>
      </c>
      <c r="D938">
        <v>60597</v>
      </c>
      <c r="E938">
        <v>224600</v>
      </c>
      <c r="F938">
        <v>1703609</v>
      </c>
      <c r="G938">
        <v>169300</v>
      </c>
      <c r="H938">
        <v>2108405</v>
      </c>
      <c r="I938">
        <v>57500</v>
      </c>
      <c r="J938">
        <v>2096662</v>
      </c>
      <c r="K938">
        <v>62500</v>
      </c>
    </row>
    <row r="939" spans="1:11" x14ac:dyDescent="0.3">
      <c r="A939" t="s">
        <v>948</v>
      </c>
      <c r="B939">
        <v>124750</v>
      </c>
      <c r="C939">
        <v>824900</v>
      </c>
      <c r="D939">
        <v>64587</v>
      </c>
      <c r="E939">
        <v>285200</v>
      </c>
      <c r="F939">
        <v>1707472</v>
      </c>
      <c r="G939">
        <v>252800</v>
      </c>
      <c r="H939">
        <v>2113119</v>
      </c>
      <c r="I939">
        <v>57200</v>
      </c>
      <c r="J939">
        <v>2101701</v>
      </c>
      <c r="K939">
        <v>64800</v>
      </c>
    </row>
    <row r="940" spans="1:11" x14ac:dyDescent="0.3">
      <c r="A940" t="s">
        <v>949</v>
      </c>
      <c r="B940">
        <v>124750</v>
      </c>
      <c r="C940">
        <v>842500</v>
      </c>
      <c r="D940">
        <v>60358</v>
      </c>
      <c r="E940">
        <v>257800</v>
      </c>
      <c r="F940">
        <v>1711308</v>
      </c>
      <c r="G940">
        <v>169400</v>
      </c>
      <c r="H940">
        <v>2118098</v>
      </c>
      <c r="I940">
        <v>54700</v>
      </c>
      <c r="J940">
        <v>2106964</v>
      </c>
      <c r="K940">
        <v>64700</v>
      </c>
    </row>
    <row r="941" spans="1:11" x14ac:dyDescent="0.3">
      <c r="A941" t="s">
        <v>950</v>
      </c>
      <c r="B941">
        <v>124750</v>
      </c>
      <c r="C941">
        <v>1041000</v>
      </c>
      <c r="D941">
        <v>63179</v>
      </c>
      <c r="E941">
        <v>275400</v>
      </c>
      <c r="F941">
        <v>1715145</v>
      </c>
      <c r="G941">
        <v>208500</v>
      </c>
      <c r="H941">
        <v>2123025</v>
      </c>
      <c r="I941">
        <v>70400</v>
      </c>
      <c r="J941">
        <v>2112224</v>
      </c>
      <c r="K941">
        <v>83800</v>
      </c>
    </row>
    <row r="942" spans="1:11" x14ac:dyDescent="0.3">
      <c r="A942" t="s">
        <v>951</v>
      </c>
      <c r="B942">
        <v>124750</v>
      </c>
      <c r="C942">
        <v>986900</v>
      </c>
      <c r="D942">
        <v>64149</v>
      </c>
      <c r="E942">
        <v>224900</v>
      </c>
      <c r="F942">
        <v>1719011</v>
      </c>
      <c r="G942">
        <v>172300</v>
      </c>
      <c r="H942">
        <v>2127470</v>
      </c>
      <c r="I942">
        <v>54900</v>
      </c>
      <c r="J942">
        <v>2117106</v>
      </c>
      <c r="K942">
        <v>65700</v>
      </c>
    </row>
    <row r="943" spans="1:11" x14ac:dyDescent="0.3">
      <c r="A943" t="s">
        <v>952</v>
      </c>
      <c r="B943">
        <v>124750</v>
      </c>
      <c r="C943">
        <v>860900</v>
      </c>
      <c r="D943">
        <v>64058</v>
      </c>
      <c r="E943">
        <v>243800</v>
      </c>
      <c r="F943">
        <v>1722852</v>
      </c>
      <c r="G943">
        <v>171800</v>
      </c>
      <c r="H943">
        <v>2132556</v>
      </c>
      <c r="I943">
        <v>58500</v>
      </c>
      <c r="J943">
        <v>2121705</v>
      </c>
      <c r="K943">
        <v>63400</v>
      </c>
    </row>
    <row r="944" spans="1:11" x14ac:dyDescent="0.3">
      <c r="A944" t="s">
        <v>953</v>
      </c>
      <c r="B944">
        <v>124750</v>
      </c>
      <c r="C944">
        <v>972800</v>
      </c>
      <c r="D944">
        <v>63588</v>
      </c>
      <c r="E944">
        <v>281300</v>
      </c>
      <c r="F944">
        <v>1726716</v>
      </c>
      <c r="G944">
        <v>203300</v>
      </c>
      <c r="H944">
        <v>2137285</v>
      </c>
      <c r="I944">
        <v>68600</v>
      </c>
      <c r="J944">
        <v>2126492</v>
      </c>
      <c r="K944">
        <v>82600</v>
      </c>
    </row>
    <row r="945" spans="1:11" x14ac:dyDescent="0.3">
      <c r="A945" t="s">
        <v>954</v>
      </c>
      <c r="B945">
        <v>124750</v>
      </c>
      <c r="C945">
        <v>1168700</v>
      </c>
      <c r="D945">
        <v>62509</v>
      </c>
      <c r="E945">
        <v>275300</v>
      </c>
      <c r="F945">
        <v>1730575</v>
      </c>
      <c r="G945">
        <v>248900</v>
      </c>
      <c r="H945">
        <v>2141787</v>
      </c>
      <c r="I945">
        <v>70600</v>
      </c>
      <c r="J945">
        <v>2131552</v>
      </c>
      <c r="K945">
        <v>78000</v>
      </c>
    </row>
    <row r="946" spans="1:11" x14ac:dyDescent="0.3">
      <c r="A946" t="s">
        <v>955</v>
      </c>
      <c r="B946">
        <v>124750</v>
      </c>
      <c r="C946">
        <v>979100</v>
      </c>
      <c r="D946">
        <v>62882</v>
      </c>
      <c r="E946">
        <v>265800</v>
      </c>
      <c r="F946">
        <v>1734428</v>
      </c>
      <c r="G946">
        <v>205100</v>
      </c>
      <c r="H946">
        <v>2146646</v>
      </c>
      <c r="I946">
        <v>68600</v>
      </c>
      <c r="J946">
        <v>2136421</v>
      </c>
      <c r="K946">
        <v>83400</v>
      </c>
    </row>
    <row r="947" spans="1:11" x14ac:dyDescent="0.3">
      <c r="A947" t="s">
        <v>956</v>
      </c>
      <c r="B947">
        <v>124750</v>
      </c>
      <c r="C947">
        <v>1059400</v>
      </c>
      <c r="D947">
        <v>65562</v>
      </c>
      <c r="E947">
        <v>284400</v>
      </c>
      <c r="F947">
        <v>1738298</v>
      </c>
      <c r="G947">
        <v>196400</v>
      </c>
      <c r="H947">
        <v>2151495</v>
      </c>
      <c r="I947">
        <v>58100</v>
      </c>
      <c r="J947">
        <v>2140897</v>
      </c>
      <c r="K947">
        <v>72900</v>
      </c>
    </row>
    <row r="948" spans="1:11" x14ac:dyDescent="0.3">
      <c r="A948" t="s">
        <v>957</v>
      </c>
      <c r="B948">
        <v>124750</v>
      </c>
      <c r="C948">
        <v>995000</v>
      </c>
      <c r="D948">
        <v>65038</v>
      </c>
      <c r="E948">
        <v>236300</v>
      </c>
      <c r="F948">
        <v>1742150</v>
      </c>
      <c r="G948">
        <v>172400</v>
      </c>
      <c r="H948">
        <v>2156143</v>
      </c>
      <c r="I948">
        <v>57100</v>
      </c>
      <c r="J948">
        <v>2145724</v>
      </c>
      <c r="K948">
        <v>63200</v>
      </c>
    </row>
    <row r="949" spans="1:11" x14ac:dyDescent="0.3">
      <c r="A949" t="s">
        <v>958</v>
      </c>
      <c r="B949">
        <v>124750</v>
      </c>
      <c r="C949">
        <v>1044700</v>
      </c>
      <c r="D949">
        <v>62495</v>
      </c>
      <c r="E949">
        <v>264400</v>
      </c>
      <c r="F949">
        <v>1745985</v>
      </c>
      <c r="G949">
        <v>213100</v>
      </c>
      <c r="H949">
        <v>2160518</v>
      </c>
      <c r="I949">
        <v>67200</v>
      </c>
      <c r="J949">
        <v>2150495</v>
      </c>
      <c r="K949">
        <v>74000</v>
      </c>
    </row>
    <row r="950" spans="1:11" x14ac:dyDescent="0.3">
      <c r="A950" t="s">
        <v>959</v>
      </c>
      <c r="B950">
        <v>124750</v>
      </c>
      <c r="C950">
        <v>1091200</v>
      </c>
      <c r="D950">
        <v>61858</v>
      </c>
      <c r="E950">
        <v>269200</v>
      </c>
      <c r="F950">
        <v>1749842</v>
      </c>
      <c r="G950">
        <v>303900</v>
      </c>
      <c r="H950">
        <v>2165215</v>
      </c>
      <c r="I950">
        <v>77200</v>
      </c>
      <c r="J950">
        <v>2155024</v>
      </c>
      <c r="K950">
        <v>88700</v>
      </c>
    </row>
    <row r="951" spans="1:11" x14ac:dyDescent="0.3">
      <c r="A951" t="s">
        <v>960</v>
      </c>
      <c r="B951">
        <v>124750</v>
      </c>
      <c r="C951">
        <v>937500</v>
      </c>
      <c r="D951">
        <v>63396</v>
      </c>
      <c r="E951">
        <v>225500</v>
      </c>
      <c r="F951">
        <v>1753703</v>
      </c>
      <c r="G951">
        <v>172600</v>
      </c>
      <c r="H951">
        <v>2170295</v>
      </c>
      <c r="I951">
        <v>57300</v>
      </c>
      <c r="J951">
        <v>2159869</v>
      </c>
      <c r="K951">
        <v>66300</v>
      </c>
    </row>
    <row r="952" spans="1:11" x14ac:dyDescent="0.3">
      <c r="A952" t="s">
        <v>961</v>
      </c>
      <c r="B952">
        <v>124750</v>
      </c>
      <c r="C952">
        <v>842700</v>
      </c>
      <c r="D952">
        <v>62256</v>
      </c>
      <c r="E952">
        <v>231100</v>
      </c>
      <c r="F952">
        <v>1757553</v>
      </c>
      <c r="G952">
        <v>171500</v>
      </c>
      <c r="H952">
        <v>2175345</v>
      </c>
      <c r="I952">
        <v>58900</v>
      </c>
      <c r="J952">
        <v>2164685</v>
      </c>
      <c r="K952">
        <v>65600</v>
      </c>
    </row>
    <row r="953" spans="1:11" x14ac:dyDescent="0.3">
      <c r="A953" t="s">
        <v>962</v>
      </c>
      <c r="B953">
        <v>124750</v>
      </c>
      <c r="C953">
        <v>859000</v>
      </c>
      <c r="D953">
        <v>60893</v>
      </c>
      <c r="E953">
        <v>213800</v>
      </c>
      <c r="F953">
        <v>1761413</v>
      </c>
      <c r="G953">
        <v>174800</v>
      </c>
      <c r="H953">
        <v>2180392</v>
      </c>
      <c r="I953">
        <v>55100</v>
      </c>
      <c r="J953">
        <v>2169300</v>
      </c>
      <c r="K953">
        <v>62900</v>
      </c>
    </row>
    <row r="954" spans="1:11" x14ac:dyDescent="0.3">
      <c r="A954" t="s">
        <v>963</v>
      </c>
      <c r="B954">
        <v>124750</v>
      </c>
      <c r="C954">
        <v>990100</v>
      </c>
      <c r="D954">
        <v>62160</v>
      </c>
      <c r="E954">
        <v>252400</v>
      </c>
      <c r="F954">
        <v>1765260</v>
      </c>
      <c r="G954">
        <v>172800</v>
      </c>
      <c r="H954">
        <v>2185454</v>
      </c>
      <c r="I954">
        <v>56700</v>
      </c>
      <c r="J954">
        <v>2174246</v>
      </c>
      <c r="K954">
        <v>65000</v>
      </c>
    </row>
    <row r="955" spans="1:11" x14ac:dyDescent="0.3">
      <c r="A955" t="s">
        <v>964</v>
      </c>
      <c r="B955">
        <v>124750</v>
      </c>
      <c r="C955">
        <v>1243200</v>
      </c>
      <c r="D955">
        <v>62742</v>
      </c>
      <c r="E955">
        <v>383600</v>
      </c>
      <c r="F955">
        <v>1769123</v>
      </c>
      <c r="G955">
        <v>258500</v>
      </c>
      <c r="H955">
        <v>2190027</v>
      </c>
      <c r="I955">
        <v>76400</v>
      </c>
      <c r="J955">
        <v>2178787</v>
      </c>
      <c r="K955">
        <v>94400</v>
      </c>
    </row>
    <row r="956" spans="1:11" x14ac:dyDescent="0.3">
      <c r="A956" t="s">
        <v>965</v>
      </c>
      <c r="B956">
        <v>124750</v>
      </c>
      <c r="C956">
        <v>1185500</v>
      </c>
      <c r="D956">
        <v>62258</v>
      </c>
      <c r="E956">
        <v>382700</v>
      </c>
      <c r="F956">
        <v>1772977</v>
      </c>
      <c r="G956">
        <v>254700</v>
      </c>
      <c r="H956">
        <v>2195056</v>
      </c>
      <c r="I956">
        <v>77900</v>
      </c>
      <c r="J956">
        <v>2183173</v>
      </c>
      <c r="K956">
        <v>87200</v>
      </c>
    </row>
    <row r="957" spans="1:11" x14ac:dyDescent="0.3">
      <c r="A957" t="s">
        <v>966</v>
      </c>
      <c r="B957">
        <v>124750</v>
      </c>
      <c r="C957">
        <v>1062900</v>
      </c>
      <c r="D957">
        <v>66923</v>
      </c>
      <c r="E957">
        <v>314600</v>
      </c>
      <c r="F957">
        <v>1776819</v>
      </c>
      <c r="G957">
        <v>214600</v>
      </c>
      <c r="H957">
        <v>2199620</v>
      </c>
      <c r="I957">
        <v>77300</v>
      </c>
      <c r="J957">
        <v>2187776</v>
      </c>
      <c r="K957">
        <v>87400</v>
      </c>
    </row>
    <row r="958" spans="1:11" x14ac:dyDescent="0.3">
      <c r="A958" t="s">
        <v>967</v>
      </c>
      <c r="B958">
        <v>124750</v>
      </c>
      <c r="C958">
        <v>1120800</v>
      </c>
      <c r="D958">
        <v>66990</v>
      </c>
      <c r="E958">
        <v>353500</v>
      </c>
      <c r="F958">
        <v>1780682</v>
      </c>
      <c r="G958">
        <v>230800</v>
      </c>
      <c r="H958">
        <v>2204088</v>
      </c>
      <c r="I958">
        <v>74200</v>
      </c>
      <c r="J958">
        <v>2192328</v>
      </c>
      <c r="K958">
        <v>87200</v>
      </c>
    </row>
    <row r="959" spans="1:11" x14ac:dyDescent="0.3">
      <c r="A959" t="s">
        <v>968</v>
      </c>
      <c r="B959">
        <v>124750</v>
      </c>
      <c r="C959">
        <v>1098200</v>
      </c>
      <c r="D959">
        <v>62149</v>
      </c>
      <c r="E959">
        <v>218400</v>
      </c>
      <c r="F959">
        <v>1784528</v>
      </c>
      <c r="G959">
        <v>175000</v>
      </c>
      <c r="H959">
        <v>2209120</v>
      </c>
      <c r="I959">
        <v>56100</v>
      </c>
      <c r="J959">
        <v>2197428</v>
      </c>
      <c r="K959">
        <v>66700</v>
      </c>
    </row>
    <row r="960" spans="1:11" x14ac:dyDescent="0.3">
      <c r="A960" t="s">
        <v>969</v>
      </c>
      <c r="B960">
        <v>124750</v>
      </c>
      <c r="C960">
        <v>868400</v>
      </c>
      <c r="D960">
        <v>59081</v>
      </c>
      <c r="E960">
        <v>211600</v>
      </c>
      <c r="F960">
        <v>1788380</v>
      </c>
      <c r="G960">
        <v>171500</v>
      </c>
      <c r="H960">
        <v>2214214</v>
      </c>
      <c r="I960">
        <v>59900</v>
      </c>
      <c r="J960">
        <v>2202587</v>
      </c>
      <c r="K960">
        <v>66100</v>
      </c>
    </row>
    <row r="961" spans="1:11" x14ac:dyDescent="0.3">
      <c r="A961" t="s">
        <v>970</v>
      </c>
      <c r="B961">
        <v>124750</v>
      </c>
      <c r="C961">
        <v>904800</v>
      </c>
      <c r="D961">
        <v>61842</v>
      </c>
      <c r="E961">
        <v>216900</v>
      </c>
      <c r="F961">
        <v>1792218</v>
      </c>
      <c r="G961">
        <v>169000</v>
      </c>
      <c r="H961">
        <v>2218898</v>
      </c>
      <c r="I961">
        <v>56300</v>
      </c>
      <c r="J961">
        <v>2207257</v>
      </c>
      <c r="K961">
        <v>64500</v>
      </c>
    </row>
    <row r="962" spans="1:11" x14ac:dyDescent="0.3">
      <c r="A962" t="s">
        <v>971</v>
      </c>
      <c r="B962">
        <v>124750</v>
      </c>
      <c r="C962">
        <v>899700</v>
      </c>
      <c r="D962">
        <v>62090</v>
      </c>
      <c r="E962">
        <v>218300</v>
      </c>
      <c r="F962">
        <v>1796068</v>
      </c>
      <c r="G962">
        <v>177800</v>
      </c>
      <c r="H962">
        <v>2223569</v>
      </c>
      <c r="I962">
        <v>58500</v>
      </c>
      <c r="J962">
        <v>2211970</v>
      </c>
      <c r="K962">
        <v>65600</v>
      </c>
    </row>
    <row r="963" spans="1:11" x14ac:dyDescent="0.3">
      <c r="A963" t="s">
        <v>972</v>
      </c>
      <c r="B963">
        <v>124750</v>
      </c>
      <c r="C963">
        <v>898800</v>
      </c>
      <c r="D963">
        <v>63210</v>
      </c>
      <c r="E963">
        <v>241600</v>
      </c>
      <c r="F963">
        <v>1799920</v>
      </c>
      <c r="G963">
        <v>174800</v>
      </c>
      <c r="H963">
        <v>2227891</v>
      </c>
      <c r="I963">
        <v>56800</v>
      </c>
      <c r="J963">
        <v>2216502</v>
      </c>
      <c r="K963">
        <v>64600</v>
      </c>
    </row>
    <row r="964" spans="1:11" x14ac:dyDescent="0.3">
      <c r="A964" t="s">
        <v>973</v>
      </c>
      <c r="B964">
        <v>124750</v>
      </c>
      <c r="C964">
        <v>957800</v>
      </c>
      <c r="D964">
        <v>65252</v>
      </c>
      <c r="E964">
        <v>229300</v>
      </c>
      <c r="F964">
        <v>1803787</v>
      </c>
      <c r="G964">
        <v>171400</v>
      </c>
      <c r="H964">
        <v>2232624</v>
      </c>
      <c r="I964">
        <v>56900</v>
      </c>
      <c r="J964">
        <v>2221072</v>
      </c>
      <c r="K964">
        <v>65700</v>
      </c>
    </row>
    <row r="965" spans="1:11" x14ac:dyDescent="0.3">
      <c r="A965" t="s">
        <v>974</v>
      </c>
      <c r="B965">
        <v>124750</v>
      </c>
      <c r="C965">
        <v>836800</v>
      </c>
      <c r="D965">
        <v>62561</v>
      </c>
      <c r="E965">
        <v>231400</v>
      </c>
      <c r="F965">
        <v>1807657</v>
      </c>
      <c r="G965">
        <v>170400</v>
      </c>
      <c r="H965">
        <v>2237554</v>
      </c>
      <c r="I965">
        <v>58100</v>
      </c>
      <c r="J965">
        <v>2226718</v>
      </c>
      <c r="K965">
        <v>68000</v>
      </c>
    </row>
    <row r="966" spans="1:11" x14ac:dyDescent="0.3">
      <c r="A966" t="s">
        <v>975</v>
      </c>
      <c r="B966">
        <v>124750</v>
      </c>
      <c r="C966">
        <v>833700</v>
      </c>
      <c r="D966">
        <v>61592</v>
      </c>
      <c r="E966">
        <v>223900</v>
      </c>
      <c r="F966">
        <v>1811533</v>
      </c>
      <c r="G966">
        <v>173500</v>
      </c>
      <c r="H966">
        <v>2242057</v>
      </c>
      <c r="I966">
        <v>56500</v>
      </c>
      <c r="J966">
        <v>2231339</v>
      </c>
      <c r="K966">
        <v>63800</v>
      </c>
    </row>
    <row r="967" spans="1:11" x14ac:dyDescent="0.3">
      <c r="A967" t="s">
        <v>976</v>
      </c>
      <c r="B967">
        <v>124750</v>
      </c>
      <c r="C967">
        <v>1063700</v>
      </c>
      <c r="D967">
        <v>60860</v>
      </c>
      <c r="E967">
        <v>320100</v>
      </c>
      <c r="F967">
        <v>1815428</v>
      </c>
      <c r="G967">
        <v>184800</v>
      </c>
      <c r="H967">
        <v>2246778</v>
      </c>
      <c r="I967">
        <v>56500</v>
      </c>
      <c r="J967">
        <v>2235822</v>
      </c>
      <c r="K967">
        <v>65000</v>
      </c>
    </row>
    <row r="968" spans="1:11" x14ac:dyDescent="0.3">
      <c r="A968" t="s">
        <v>977</v>
      </c>
      <c r="B968">
        <v>124750</v>
      </c>
      <c r="C968">
        <v>1019400</v>
      </c>
      <c r="D968">
        <v>62191</v>
      </c>
      <c r="E968">
        <v>224900</v>
      </c>
      <c r="F968">
        <v>1819278</v>
      </c>
      <c r="G968">
        <v>172800</v>
      </c>
      <c r="H968">
        <v>2251522</v>
      </c>
      <c r="I968">
        <v>57500</v>
      </c>
      <c r="J968">
        <v>2240128</v>
      </c>
      <c r="K968">
        <v>64600</v>
      </c>
    </row>
    <row r="969" spans="1:11" x14ac:dyDescent="0.3">
      <c r="A969" t="s">
        <v>978</v>
      </c>
      <c r="B969">
        <v>124750</v>
      </c>
      <c r="C969">
        <v>795700</v>
      </c>
      <c r="D969">
        <v>63834</v>
      </c>
      <c r="E969">
        <v>230100</v>
      </c>
      <c r="F969">
        <v>1823121</v>
      </c>
      <c r="G969">
        <v>173500</v>
      </c>
      <c r="H969">
        <v>2255735</v>
      </c>
      <c r="I969">
        <v>56600</v>
      </c>
      <c r="J969">
        <v>2244840</v>
      </c>
      <c r="K969">
        <v>65400</v>
      </c>
    </row>
    <row r="970" spans="1:11" x14ac:dyDescent="0.3">
      <c r="A970" t="s">
        <v>979</v>
      </c>
      <c r="B970">
        <v>124750</v>
      </c>
      <c r="C970">
        <v>836500</v>
      </c>
      <c r="D970">
        <v>65784</v>
      </c>
      <c r="E970">
        <v>244300</v>
      </c>
      <c r="F970">
        <v>1826982</v>
      </c>
      <c r="G970">
        <v>170500</v>
      </c>
      <c r="H970">
        <v>2260079</v>
      </c>
      <c r="I970">
        <v>55200</v>
      </c>
      <c r="J970">
        <v>2249231</v>
      </c>
      <c r="K970">
        <v>64600</v>
      </c>
    </row>
    <row r="971" spans="1:11" x14ac:dyDescent="0.3">
      <c r="A971" t="s">
        <v>980</v>
      </c>
      <c r="B971">
        <v>124750</v>
      </c>
      <c r="C971">
        <v>820500</v>
      </c>
      <c r="D971">
        <v>63105</v>
      </c>
      <c r="E971">
        <v>228700</v>
      </c>
      <c r="F971">
        <v>1830824</v>
      </c>
      <c r="G971">
        <v>172900</v>
      </c>
      <c r="H971">
        <v>2264890</v>
      </c>
      <c r="I971">
        <v>55800</v>
      </c>
      <c r="J971">
        <v>2254394</v>
      </c>
      <c r="K971">
        <v>65000</v>
      </c>
    </row>
    <row r="972" spans="1:11" x14ac:dyDescent="0.3">
      <c r="A972" t="s">
        <v>981</v>
      </c>
      <c r="B972">
        <v>124750</v>
      </c>
      <c r="C972">
        <v>1167400</v>
      </c>
      <c r="D972">
        <v>62905</v>
      </c>
      <c r="E972">
        <v>367600</v>
      </c>
      <c r="F972">
        <v>1834680</v>
      </c>
      <c r="G972">
        <v>212200</v>
      </c>
      <c r="H972">
        <v>2269343</v>
      </c>
      <c r="I972">
        <v>77400</v>
      </c>
      <c r="J972">
        <v>2259314</v>
      </c>
      <c r="K972">
        <v>98600</v>
      </c>
    </row>
    <row r="973" spans="1:11" x14ac:dyDescent="0.3">
      <c r="A973" t="s">
        <v>982</v>
      </c>
      <c r="B973">
        <v>124750</v>
      </c>
      <c r="C973">
        <v>996600</v>
      </c>
      <c r="D973">
        <v>62439</v>
      </c>
      <c r="E973">
        <v>274500</v>
      </c>
      <c r="F973">
        <v>1838507</v>
      </c>
      <c r="G973">
        <v>214300</v>
      </c>
      <c r="H973">
        <v>2273960</v>
      </c>
      <c r="I973">
        <v>68900</v>
      </c>
      <c r="J973">
        <v>2264402</v>
      </c>
      <c r="K973">
        <v>85200</v>
      </c>
    </row>
    <row r="974" spans="1:11" x14ac:dyDescent="0.3">
      <c r="A974" t="s">
        <v>983</v>
      </c>
      <c r="B974">
        <v>124750</v>
      </c>
      <c r="C974">
        <v>830600</v>
      </c>
      <c r="D974">
        <v>61243</v>
      </c>
      <c r="E974">
        <v>222600</v>
      </c>
      <c r="F974">
        <v>1842359</v>
      </c>
      <c r="G974">
        <v>170700</v>
      </c>
      <c r="H974">
        <v>2278383</v>
      </c>
      <c r="I974">
        <v>54800</v>
      </c>
      <c r="J974">
        <v>2269115</v>
      </c>
      <c r="K974">
        <v>62800</v>
      </c>
    </row>
    <row r="975" spans="1:11" x14ac:dyDescent="0.3">
      <c r="A975" t="s">
        <v>984</v>
      </c>
      <c r="B975">
        <v>124750</v>
      </c>
      <c r="C975">
        <v>1060800</v>
      </c>
      <c r="D975">
        <v>63810</v>
      </c>
      <c r="E975">
        <v>228700</v>
      </c>
      <c r="F975">
        <v>1846204</v>
      </c>
      <c r="G975">
        <v>172500</v>
      </c>
      <c r="H975">
        <v>2283072</v>
      </c>
      <c r="I975">
        <v>56900</v>
      </c>
      <c r="J975">
        <v>2273618</v>
      </c>
      <c r="K975">
        <v>65800</v>
      </c>
    </row>
    <row r="976" spans="1:11" x14ac:dyDescent="0.3">
      <c r="A976" t="s">
        <v>985</v>
      </c>
      <c r="B976">
        <v>124750</v>
      </c>
      <c r="C976">
        <v>885300</v>
      </c>
      <c r="D976">
        <v>65908</v>
      </c>
      <c r="E976">
        <v>231100</v>
      </c>
      <c r="F976">
        <v>1850049</v>
      </c>
      <c r="G976">
        <v>170300</v>
      </c>
      <c r="H976">
        <v>2287563</v>
      </c>
      <c r="I976">
        <v>58000</v>
      </c>
      <c r="J976">
        <v>2278605</v>
      </c>
      <c r="K976">
        <v>65700</v>
      </c>
    </row>
    <row r="977" spans="1:11" x14ac:dyDescent="0.3">
      <c r="A977" t="s">
        <v>986</v>
      </c>
      <c r="B977">
        <v>124750</v>
      </c>
      <c r="C977">
        <v>1381600</v>
      </c>
      <c r="D977">
        <v>63609</v>
      </c>
      <c r="E977">
        <v>268500</v>
      </c>
      <c r="F977">
        <v>1853888</v>
      </c>
      <c r="G977">
        <v>205300</v>
      </c>
      <c r="H977">
        <v>2292717</v>
      </c>
      <c r="I977">
        <v>68700</v>
      </c>
      <c r="J977">
        <v>2283111</v>
      </c>
      <c r="K977">
        <v>78900</v>
      </c>
    </row>
    <row r="978" spans="1:11" x14ac:dyDescent="0.3">
      <c r="A978" t="s">
        <v>987</v>
      </c>
      <c r="B978">
        <v>124750</v>
      </c>
      <c r="C978">
        <v>973100</v>
      </c>
      <c r="D978">
        <v>62736</v>
      </c>
      <c r="E978">
        <v>259700</v>
      </c>
      <c r="F978">
        <v>1857742</v>
      </c>
      <c r="G978">
        <v>174100</v>
      </c>
      <c r="H978">
        <v>2297411</v>
      </c>
      <c r="I978">
        <v>56700</v>
      </c>
      <c r="J978">
        <v>2288461</v>
      </c>
      <c r="K978">
        <v>63700</v>
      </c>
    </row>
    <row r="979" spans="1:11" x14ac:dyDescent="0.3">
      <c r="A979" t="s">
        <v>988</v>
      </c>
      <c r="B979">
        <v>124750</v>
      </c>
      <c r="C979">
        <v>880600</v>
      </c>
      <c r="D979">
        <v>60502</v>
      </c>
      <c r="E979">
        <v>212900</v>
      </c>
      <c r="F979">
        <v>1861582</v>
      </c>
      <c r="G979">
        <v>175800</v>
      </c>
      <c r="H979">
        <v>2302241</v>
      </c>
      <c r="I979">
        <v>58200</v>
      </c>
      <c r="J979">
        <v>2293154</v>
      </c>
      <c r="K979">
        <v>63400</v>
      </c>
    </row>
    <row r="980" spans="1:11" x14ac:dyDescent="0.3">
      <c r="A980" t="s">
        <v>989</v>
      </c>
      <c r="B980">
        <v>124750</v>
      </c>
      <c r="C980">
        <v>844700</v>
      </c>
      <c r="D980">
        <v>59548</v>
      </c>
      <c r="E980">
        <v>225400</v>
      </c>
      <c r="F980">
        <v>1865438</v>
      </c>
      <c r="G980">
        <v>171300</v>
      </c>
      <c r="H980">
        <v>2307432</v>
      </c>
      <c r="I980">
        <v>59400</v>
      </c>
      <c r="J980">
        <v>2298193</v>
      </c>
      <c r="K980">
        <v>62500</v>
      </c>
    </row>
    <row r="981" spans="1:11" x14ac:dyDescent="0.3">
      <c r="A981" t="s">
        <v>990</v>
      </c>
      <c r="B981">
        <v>124750</v>
      </c>
      <c r="C981">
        <v>806100</v>
      </c>
      <c r="D981">
        <v>62039</v>
      </c>
      <c r="E981">
        <v>225100</v>
      </c>
      <c r="F981">
        <v>1869301</v>
      </c>
      <c r="G981">
        <v>171600</v>
      </c>
      <c r="H981">
        <v>2311866</v>
      </c>
      <c r="I981">
        <v>56400</v>
      </c>
      <c r="J981">
        <v>2303154</v>
      </c>
      <c r="K981">
        <v>64000</v>
      </c>
    </row>
    <row r="982" spans="1:11" x14ac:dyDescent="0.3">
      <c r="A982" t="s">
        <v>991</v>
      </c>
      <c r="B982">
        <v>124750</v>
      </c>
      <c r="C982">
        <v>894700</v>
      </c>
      <c r="D982">
        <v>62241</v>
      </c>
      <c r="E982">
        <v>219300</v>
      </c>
      <c r="F982">
        <v>1873163</v>
      </c>
      <c r="G982">
        <v>184600</v>
      </c>
      <c r="H982">
        <v>2316297</v>
      </c>
      <c r="I982">
        <v>56800</v>
      </c>
      <c r="J982">
        <v>2307741</v>
      </c>
      <c r="K982">
        <v>64500</v>
      </c>
    </row>
    <row r="983" spans="1:11" x14ac:dyDescent="0.3">
      <c r="A983" t="s">
        <v>992</v>
      </c>
      <c r="B983">
        <v>124750</v>
      </c>
      <c r="C983">
        <v>823400</v>
      </c>
      <c r="D983">
        <v>59041</v>
      </c>
      <c r="E983">
        <v>215200</v>
      </c>
      <c r="F983">
        <v>1877029</v>
      </c>
      <c r="G983">
        <v>171900</v>
      </c>
      <c r="H983">
        <v>2320674</v>
      </c>
      <c r="I983">
        <v>58000</v>
      </c>
      <c r="J983">
        <v>2312763</v>
      </c>
      <c r="K983">
        <v>66000</v>
      </c>
    </row>
    <row r="984" spans="1:11" x14ac:dyDescent="0.3">
      <c r="A984" t="s">
        <v>993</v>
      </c>
      <c r="B984">
        <v>124750</v>
      </c>
      <c r="C984">
        <v>864400</v>
      </c>
      <c r="D984">
        <v>62330</v>
      </c>
      <c r="E984">
        <v>228600</v>
      </c>
      <c r="F984">
        <v>1880875</v>
      </c>
      <c r="G984">
        <v>173000</v>
      </c>
      <c r="H984">
        <v>2326235</v>
      </c>
      <c r="I984">
        <v>60800</v>
      </c>
      <c r="J984">
        <v>2317700</v>
      </c>
      <c r="K984">
        <v>64400</v>
      </c>
    </row>
    <row r="985" spans="1:11" x14ac:dyDescent="0.3">
      <c r="A985" t="s">
        <v>994</v>
      </c>
      <c r="B985">
        <v>124750</v>
      </c>
      <c r="C985">
        <v>814100</v>
      </c>
      <c r="D985">
        <v>64110</v>
      </c>
      <c r="E985">
        <v>236200</v>
      </c>
      <c r="F985">
        <v>1884732</v>
      </c>
      <c r="G985">
        <v>174400</v>
      </c>
      <c r="H985">
        <v>2330949</v>
      </c>
      <c r="I985">
        <v>54500</v>
      </c>
      <c r="J985">
        <v>2322235</v>
      </c>
      <c r="K985">
        <v>76300</v>
      </c>
    </row>
    <row r="986" spans="1:11" x14ac:dyDescent="0.3">
      <c r="A986" t="s">
        <v>995</v>
      </c>
      <c r="B986">
        <v>124750</v>
      </c>
      <c r="C986">
        <v>855900</v>
      </c>
      <c r="D986">
        <v>63332</v>
      </c>
      <c r="E986">
        <v>226800</v>
      </c>
      <c r="F986">
        <v>1888581</v>
      </c>
      <c r="G986">
        <v>171200</v>
      </c>
      <c r="H986">
        <v>2335373</v>
      </c>
      <c r="I986">
        <v>57000</v>
      </c>
      <c r="J986">
        <v>2326663</v>
      </c>
      <c r="K986">
        <v>64700</v>
      </c>
    </row>
    <row r="987" spans="1:11" x14ac:dyDescent="0.3">
      <c r="A987" t="s">
        <v>996</v>
      </c>
      <c r="B987">
        <v>124750</v>
      </c>
      <c r="C987">
        <v>830800</v>
      </c>
      <c r="D987">
        <v>64968</v>
      </c>
      <c r="E987">
        <v>240600</v>
      </c>
      <c r="F987">
        <v>1892452</v>
      </c>
      <c r="G987">
        <v>171500</v>
      </c>
      <c r="H987">
        <v>2339743</v>
      </c>
      <c r="I987">
        <v>57400</v>
      </c>
      <c r="J987">
        <v>2331193</v>
      </c>
      <c r="K987">
        <v>64900</v>
      </c>
    </row>
    <row r="988" spans="1:11" x14ac:dyDescent="0.3">
      <c r="A988" t="s">
        <v>997</v>
      </c>
      <c r="B988">
        <v>124750</v>
      </c>
      <c r="C988">
        <v>849500</v>
      </c>
      <c r="D988">
        <v>63585</v>
      </c>
      <c r="E988">
        <v>242200</v>
      </c>
      <c r="F988">
        <v>1896289</v>
      </c>
      <c r="G988">
        <v>171100</v>
      </c>
      <c r="H988">
        <v>2344503</v>
      </c>
      <c r="I988">
        <v>56000</v>
      </c>
      <c r="J988">
        <v>2336024</v>
      </c>
      <c r="K988">
        <v>64200</v>
      </c>
    </row>
    <row r="989" spans="1:11" x14ac:dyDescent="0.3">
      <c r="A989" t="s">
        <v>998</v>
      </c>
      <c r="B989">
        <v>124750</v>
      </c>
      <c r="C989">
        <v>852800</v>
      </c>
      <c r="D989">
        <v>64119</v>
      </c>
      <c r="E989">
        <v>238400</v>
      </c>
      <c r="F989">
        <v>1900162</v>
      </c>
      <c r="G989">
        <v>171400</v>
      </c>
      <c r="H989">
        <v>2349207</v>
      </c>
      <c r="I989">
        <v>58200</v>
      </c>
      <c r="J989">
        <v>2340804</v>
      </c>
      <c r="K989">
        <v>66300</v>
      </c>
    </row>
    <row r="990" spans="1:11" x14ac:dyDescent="0.3">
      <c r="A990" t="s">
        <v>999</v>
      </c>
      <c r="B990">
        <v>124750</v>
      </c>
      <c r="C990">
        <v>1117500</v>
      </c>
      <c r="D990">
        <v>62055</v>
      </c>
      <c r="E990">
        <v>262700</v>
      </c>
      <c r="F990">
        <v>1904016</v>
      </c>
      <c r="G990">
        <v>205200</v>
      </c>
      <c r="H990">
        <v>2353580</v>
      </c>
      <c r="I990">
        <v>68000</v>
      </c>
      <c r="J990">
        <v>2345877</v>
      </c>
      <c r="K990">
        <v>66700</v>
      </c>
    </row>
    <row r="991" spans="1:11" x14ac:dyDescent="0.3">
      <c r="A991" t="s">
        <v>1000</v>
      </c>
      <c r="B991">
        <v>124750</v>
      </c>
      <c r="C991">
        <v>1044500</v>
      </c>
      <c r="D991">
        <v>62256</v>
      </c>
      <c r="E991">
        <v>263700</v>
      </c>
      <c r="F991">
        <v>1907872</v>
      </c>
      <c r="G991">
        <v>213300</v>
      </c>
      <c r="H991">
        <v>2358839</v>
      </c>
      <c r="I991">
        <v>67700</v>
      </c>
      <c r="J991">
        <v>2350507</v>
      </c>
      <c r="K991">
        <v>81700</v>
      </c>
    </row>
    <row r="992" spans="1:11" x14ac:dyDescent="0.3">
      <c r="A992" t="s">
        <v>1001</v>
      </c>
      <c r="B992">
        <v>124750</v>
      </c>
      <c r="C992">
        <v>817700</v>
      </c>
      <c r="D992">
        <v>62109</v>
      </c>
      <c r="E992">
        <v>230400</v>
      </c>
      <c r="F992">
        <v>1911715</v>
      </c>
      <c r="G992">
        <v>170800</v>
      </c>
      <c r="H992">
        <v>2363845</v>
      </c>
      <c r="I992">
        <v>58700</v>
      </c>
      <c r="J992">
        <v>2355325</v>
      </c>
      <c r="K992">
        <v>65000</v>
      </c>
    </row>
    <row r="993" spans="1:11" x14ac:dyDescent="0.3">
      <c r="A993" t="s">
        <v>1002</v>
      </c>
      <c r="B993">
        <v>124750</v>
      </c>
      <c r="C993">
        <v>856100</v>
      </c>
      <c r="D993">
        <v>65200</v>
      </c>
      <c r="E993">
        <v>239300</v>
      </c>
      <c r="F993">
        <v>1915569</v>
      </c>
      <c r="G993">
        <v>171000</v>
      </c>
      <c r="H993">
        <v>2368819</v>
      </c>
      <c r="I993">
        <v>54400</v>
      </c>
      <c r="J993">
        <v>2360039</v>
      </c>
      <c r="K993">
        <v>63500</v>
      </c>
    </row>
    <row r="994" spans="1:11" x14ac:dyDescent="0.3">
      <c r="A994" t="s">
        <v>1003</v>
      </c>
      <c r="B994">
        <v>124750</v>
      </c>
      <c r="C994">
        <v>938700</v>
      </c>
      <c r="D994">
        <v>62487</v>
      </c>
      <c r="E994">
        <v>224000</v>
      </c>
      <c r="F994">
        <v>1919426</v>
      </c>
      <c r="G994">
        <v>172300</v>
      </c>
      <c r="H994">
        <v>2373543</v>
      </c>
      <c r="I994">
        <v>56500</v>
      </c>
      <c r="J994">
        <v>2364908</v>
      </c>
      <c r="K994">
        <v>69300</v>
      </c>
    </row>
    <row r="995" spans="1:11" x14ac:dyDescent="0.3">
      <c r="A995" t="s">
        <v>1004</v>
      </c>
      <c r="B995">
        <v>124750</v>
      </c>
      <c r="C995">
        <v>866800</v>
      </c>
      <c r="D995">
        <v>64163</v>
      </c>
      <c r="E995">
        <v>235700</v>
      </c>
      <c r="F995">
        <v>1923266</v>
      </c>
      <c r="G995">
        <v>178600</v>
      </c>
      <c r="H995">
        <v>2378115</v>
      </c>
      <c r="I995">
        <v>56300</v>
      </c>
      <c r="J995">
        <v>2369717</v>
      </c>
      <c r="K995">
        <v>64500</v>
      </c>
    </row>
    <row r="996" spans="1:11" x14ac:dyDescent="0.3">
      <c r="A996" t="s">
        <v>1005</v>
      </c>
      <c r="B996">
        <v>124750</v>
      </c>
      <c r="C996">
        <v>836800</v>
      </c>
      <c r="D996">
        <v>63537</v>
      </c>
      <c r="E996">
        <v>230200</v>
      </c>
      <c r="F996">
        <v>1927117</v>
      </c>
      <c r="G996">
        <v>171300</v>
      </c>
      <c r="H996">
        <v>2382975</v>
      </c>
      <c r="I996">
        <v>57500</v>
      </c>
      <c r="J996">
        <v>2374715</v>
      </c>
      <c r="K996">
        <v>67500</v>
      </c>
    </row>
    <row r="997" spans="1:11" x14ac:dyDescent="0.3">
      <c r="A997" t="s">
        <v>1006</v>
      </c>
      <c r="B997">
        <v>124750</v>
      </c>
      <c r="C997">
        <v>1038400</v>
      </c>
      <c r="D997">
        <v>63802</v>
      </c>
      <c r="E997">
        <v>246900</v>
      </c>
      <c r="F997">
        <v>1930982</v>
      </c>
      <c r="G997">
        <v>176500</v>
      </c>
      <c r="H997">
        <v>2387998</v>
      </c>
      <c r="I997">
        <v>57000</v>
      </c>
      <c r="J997">
        <v>2380056</v>
      </c>
      <c r="K997">
        <v>66300</v>
      </c>
    </row>
    <row r="998" spans="1:11" x14ac:dyDescent="0.3">
      <c r="A998" t="s">
        <v>1007</v>
      </c>
      <c r="B998">
        <v>124750</v>
      </c>
      <c r="C998">
        <v>996800</v>
      </c>
      <c r="D998">
        <v>66116</v>
      </c>
      <c r="E998">
        <v>287600</v>
      </c>
      <c r="F998">
        <v>1934806</v>
      </c>
      <c r="G998">
        <v>172100</v>
      </c>
      <c r="H998">
        <v>2392762</v>
      </c>
      <c r="I998">
        <v>58300</v>
      </c>
      <c r="J998">
        <v>2385550</v>
      </c>
      <c r="K998">
        <v>66200</v>
      </c>
    </row>
    <row r="999" spans="1:11" x14ac:dyDescent="0.3">
      <c r="A999" t="s">
        <v>1008</v>
      </c>
      <c r="B999">
        <v>124750</v>
      </c>
      <c r="C999">
        <v>1044600</v>
      </c>
      <c r="D999">
        <v>61571</v>
      </c>
      <c r="E999">
        <v>332300</v>
      </c>
      <c r="F999">
        <v>1938672</v>
      </c>
      <c r="G999">
        <v>213400</v>
      </c>
      <c r="H999">
        <v>2397723</v>
      </c>
      <c r="I999">
        <v>75400</v>
      </c>
      <c r="J999">
        <v>2389852</v>
      </c>
      <c r="K999">
        <v>78400</v>
      </c>
    </row>
    <row r="1000" spans="1:11" x14ac:dyDescent="0.3">
      <c r="A1000" t="s">
        <v>1009</v>
      </c>
      <c r="B1000">
        <v>124750</v>
      </c>
      <c r="C1000">
        <v>886100</v>
      </c>
      <c r="D1000">
        <v>62143</v>
      </c>
      <c r="E1000">
        <v>221100</v>
      </c>
      <c r="F1000">
        <v>1942536</v>
      </c>
      <c r="G1000">
        <v>172200</v>
      </c>
      <c r="H1000">
        <v>2402787</v>
      </c>
      <c r="I1000">
        <v>58900</v>
      </c>
      <c r="J1000">
        <v>2394732</v>
      </c>
      <c r="K1000">
        <v>66000</v>
      </c>
    </row>
    <row r="1001" spans="1:11" x14ac:dyDescent="0.3">
      <c r="A1001" t="s">
        <v>1010</v>
      </c>
      <c r="B1001">
        <v>124750</v>
      </c>
      <c r="C1001">
        <v>911700</v>
      </c>
      <c r="D1001">
        <v>63140</v>
      </c>
      <c r="E1001">
        <v>221900</v>
      </c>
      <c r="F1001">
        <v>1946372</v>
      </c>
      <c r="G1001">
        <v>173800</v>
      </c>
      <c r="H1001">
        <v>2407597</v>
      </c>
      <c r="I1001">
        <v>57800</v>
      </c>
      <c r="J1001">
        <v>2399168</v>
      </c>
      <c r="K1001">
        <v>65200</v>
      </c>
    </row>
    <row r="1002" spans="1:11" x14ac:dyDescent="0.3">
      <c r="A1002" t="s">
        <v>1011</v>
      </c>
      <c r="B1002">
        <v>150975</v>
      </c>
      <c r="C1002">
        <v>1019200</v>
      </c>
      <c r="D1002">
        <v>74910</v>
      </c>
      <c r="E1002">
        <v>265900</v>
      </c>
      <c r="F1002">
        <v>1950689</v>
      </c>
      <c r="G1002">
        <v>193700</v>
      </c>
      <c r="H1002">
        <v>2413055</v>
      </c>
      <c r="I1002">
        <v>65200</v>
      </c>
      <c r="J1002">
        <v>2404407</v>
      </c>
      <c r="K1002">
        <v>72900</v>
      </c>
    </row>
    <row r="1003" spans="1:11" x14ac:dyDescent="0.3">
      <c r="A1003" t="s">
        <v>1012</v>
      </c>
      <c r="B1003">
        <v>150975</v>
      </c>
      <c r="C1003">
        <v>1311500</v>
      </c>
      <c r="D1003">
        <v>75665</v>
      </c>
      <c r="E1003">
        <v>270800</v>
      </c>
      <c r="F1003">
        <v>1955009</v>
      </c>
      <c r="G1003">
        <v>197200</v>
      </c>
      <c r="H1003">
        <v>2418085</v>
      </c>
      <c r="I1003">
        <v>61600</v>
      </c>
      <c r="J1003">
        <v>2410133</v>
      </c>
      <c r="K1003">
        <v>73000</v>
      </c>
    </row>
    <row r="1004" spans="1:11" x14ac:dyDescent="0.3">
      <c r="A1004" t="s">
        <v>1013</v>
      </c>
      <c r="B1004">
        <v>150975</v>
      </c>
      <c r="C1004">
        <v>1203200</v>
      </c>
      <c r="D1004">
        <v>77472</v>
      </c>
      <c r="E1004">
        <v>274900</v>
      </c>
      <c r="F1004">
        <v>1959321</v>
      </c>
      <c r="G1004">
        <v>193500</v>
      </c>
      <c r="H1004">
        <v>2423323</v>
      </c>
      <c r="I1004">
        <v>63100</v>
      </c>
      <c r="J1004">
        <v>2415430</v>
      </c>
      <c r="K1004">
        <v>71100</v>
      </c>
    </row>
    <row r="1005" spans="1:11" x14ac:dyDescent="0.3">
      <c r="A1005" t="s">
        <v>1014</v>
      </c>
      <c r="B1005">
        <v>150975</v>
      </c>
      <c r="C1005">
        <v>1477100</v>
      </c>
      <c r="D1005">
        <v>74048</v>
      </c>
      <c r="E1005">
        <v>348300</v>
      </c>
      <c r="F1005">
        <v>1963635</v>
      </c>
      <c r="G1005">
        <v>230500</v>
      </c>
      <c r="H1005">
        <v>2428141</v>
      </c>
      <c r="I1005">
        <v>76300</v>
      </c>
      <c r="J1005">
        <v>2420608</v>
      </c>
      <c r="K1005">
        <v>88300</v>
      </c>
    </row>
    <row r="1006" spans="1:11" x14ac:dyDescent="0.3">
      <c r="A1006" t="s">
        <v>1015</v>
      </c>
      <c r="B1006">
        <v>150975</v>
      </c>
      <c r="C1006">
        <v>1259300</v>
      </c>
      <c r="D1006">
        <v>71551</v>
      </c>
      <c r="E1006">
        <v>306400</v>
      </c>
      <c r="F1006">
        <v>1967965</v>
      </c>
      <c r="G1006">
        <v>240600</v>
      </c>
      <c r="H1006">
        <v>2433287</v>
      </c>
      <c r="I1006">
        <v>77800</v>
      </c>
      <c r="J1006">
        <v>2426376</v>
      </c>
      <c r="K1006">
        <v>86100</v>
      </c>
    </row>
    <row r="1007" spans="1:11" x14ac:dyDescent="0.3">
      <c r="A1007" t="s">
        <v>1016</v>
      </c>
      <c r="B1007">
        <v>150975</v>
      </c>
      <c r="C1007">
        <v>1296900</v>
      </c>
      <c r="D1007">
        <v>75464</v>
      </c>
      <c r="E1007">
        <v>331300</v>
      </c>
      <c r="F1007">
        <v>1972275</v>
      </c>
      <c r="G1007">
        <v>227000</v>
      </c>
      <c r="H1007">
        <v>2438622</v>
      </c>
      <c r="I1007">
        <v>60800</v>
      </c>
      <c r="J1007">
        <v>2431899</v>
      </c>
      <c r="K1007">
        <v>73400</v>
      </c>
    </row>
    <row r="1008" spans="1:11" x14ac:dyDescent="0.3">
      <c r="A1008" t="s">
        <v>1017</v>
      </c>
      <c r="B1008">
        <v>150975</v>
      </c>
      <c r="C1008">
        <v>1136600</v>
      </c>
      <c r="D1008">
        <v>76652</v>
      </c>
      <c r="E1008">
        <v>396700</v>
      </c>
      <c r="F1008">
        <v>1976606</v>
      </c>
      <c r="G1008">
        <v>225700</v>
      </c>
      <c r="H1008">
        <v>2443883</v>
      </c>
      <c r="I1008">
        <v>77400</v>
      </c>
      <c r="J1008">
        <v>2437176</v>
      </c>
      <c r="K1008">
        <v>86900</v>
      </c>
    </row>
    <row r="1009" spans="1:11" x14ac:dyDescent="0.3">
      <c r="A1009" t="s">
        <v>1018</v>
      </c>
      <c r="B1009">
        <v>150975</v>
      </c>
      <c r="C1009">
        <v>1318300</v>
      </c>
      <c r="D1009">
        <v>70914</v>
      </c>
      <c r="E1009">
        <v>281300</v>
      </c>
      <c r="F1009">
        <v>1980908</v>
      </c>
      <c r="G1009">
        <v>201300</v>
      </c>
      <c r="H1009">
        <v>2449262</v>
      </c>
      <c r="I1009">
        <v>65800</v>
      </c>
      <c r="J1009">
        <v>2443237</v>
      </c>
      <c r="K1009">
        <v>74800</v>
      </c>
    </row>
    <row r="1010" spans="1:11" x14ac:dyDescent="0.3">
      <c r="A1010" t="s">
        <v>1019</v>
      </c>
      <c r="B1010">
        <v>150975</v>
      </c>
      <c r="C1010">
        <v>1018400</v>
      </c>
      <c r="D1010">
        <v>77565</v>
      </c>
      <c r="E1010">
        <v>274200</v>
      </c>
      <c r="F1010">
        <v>1985209</v>
      </c>
      <c r="G1010">
        <v>191600</v>
      </c>
      <c r="H1010">
        <v>2454334</v>
      </c>
      <c r="I1010">
        <v>62400</v>
      </c>
      <c r="J1010">
        <v>2449012</v>
      </c>
      <c r="K1010">
        <v>72300</v>
      </c>
    </row>
    <row r="1011" spans="1:11" x14ac:dyDescent="0.3">
      <c r="A1011" t="s">
        <v>1020</v>
      </c>
      <c r="B1011">
        <v>150975</v>
      </c>
      <c r="C1011">
        <v>1013400</v>
      </c>
      <c r="D1011">
        <v>74799</v>
      </c>
      <c r="E1011">
        <v>266800</v>
      </c>
      <c r="F1011">
        <v>1989524</v>
      </c>
      <c r="G1011">
        <v>190600</v>
      </c>
      <c r="H1011">
        <v>2459938</v>
      </c>
      <c r="I1011">
        <v>62000</v>
      </c>
      <c r="J1011">
        <v>2454884</v>
      </c>
      <c r="K1011">
        <v>71500</v>
      </c>
    </row>
    <row r="1012" spans="1:11" x14ac:dyDescent="0.3">
      <c r="A1012" t="s">
        <v>1021</v>
      </c>
      <c r="B1012">
        <v>150975</v>
      </c>
      <c r="C1012">
        <v>1188900</v>
      </c>
      <c r="D1012">
        <v>74550</v>
      </c>
      <c r="E1012">
        <v>265900</v>
      </c>
      <c r="F1012">
        <v>1993836</v>
      </c>
      <c r="G1012">
        <v>193800</v>
      </c>
      <c r="H1012">
        <v>2464938</v>
      </c>
      <c r="I1012">
        <v>62900</v>
      </c>
      <c r="J1012">
        <v>2460154</v>
      </c>
      <c r="K1012">
        <v>70200</v>
      </c>
    </row>
    <row r="1013" spans="1:11" x14ac:dyDescent="0.3">
      <c r="A1013" t="s">
        <v>1022</v>
      </c>
      <c r="B1013">
        <v>150975</v>
      </c>
      <c r="C1013">
        <v>1040600</v>
      </c>
      <c r="D1013">
        <v>75112</v>
      </c>
      <c r="E1013">
        <v>266500</v>
      </c>
      <c r="F1013">
        <v>1998162</v>
      </c>
      <c r="G1013">
        <v>189800</v>
      </c>
      <c r="H1013">
        <v>2470028</v>
      </c>
      <c r="I1013">
        <v>61900</v>
      </c>
      <c r="J1013">
        <v>2465938</v>
      </c>
      <c r="K1013">
        <v>72600</v>
      </c>
    </row>
    <row r="1014" spans="1:11" x14ac:dyDescent="0.3">
      <c r="A1014" t="s">
        <v>1023</v>
      </c>
      <c r="B1014">
        <v>150975</v>
      </c>
      <c r="C1014">
        <v>1130500</v>
      </c>
      <c r="D1014">
        <v>74439</v>
      </c>
      <c r="E1014">
        <v>264600</v>
      </c>
      <c r="F1014">
        <v>2002470</v>
      </c>
      <c r="G1014">
        <v>194700</v>
      </c>
      <c r="H1014">
        <v>2475260</v>
      </c>
      <c r="I1014">
        <v>62700</v>
      </c>
      <c r="J1014">
        <v>2471516</v>
      </c>
      <c r="K1014">
        <v>73300</v>
      </c>
    </row>
    <row r="1015" spans="1:11" x14ac:dyDescent="0.3">
      <c r="A1015" t="s">
        <v>1024</v>
      </c>
      <c r="B1015">
        <v>150975</v>
      </c>
      <c r="C1015">
        <v>1169600</v>
      </c>
      <c r="D1015">
        <v>76362</v>
      </c>
      <c r="E1015">
        <v>277500</v>
      </c>
      <c r="F1015">
        <v>2006758</v>
      </c>
      <c r="G1015">
        <v>193100</v>
      </c>
      <c r="H1015">
        <v>2480691</v>
      </c>
      <c r="I1015">
        <v>64100</v>
      </c>
      <c r="J1015">
        <v>2476829</v>
      </c>
      <c r="K1015">
        <v>71800</v>
      </c>
    </row>
    <row r="1016" spans="1:11" x14ac:dyDescent="0.3">
      <c r="A1016" t="s">
        <v>1025</v>
      </c>
      <c r="B1016">
        <v>150975</v>
      </c>
      <c r="C1016">
        <v>1052000</v>
      </c>
      <c r="D1016">
        <v>72672</v>
      </c>
      <c r="E1016">
        <v>265300</v>
      </c>
      <c r="F1016">
        <v>2011094</v>
      </c>
      <c r="G1016">
        <v>190100</v>
      </c>
      <c r="H1016">
        <v>2487167</v>
      </c>
      <c r="I1016">
        <v>65600</v>
      </c>
      <c r="J1016">
        <v>2482196</v>
      </c>
      <c r="K1016">
        <v>75400</v>
      </c>
    </row>
    <row r="1017" spans="1:11" x14ac:dyDescent="0.3">
      <c r="A1017" t="s">
        <v>1026</v>
      </c>
      <c r="B1017">
        <v>150975</v>
      </c>
      <c r="C1017">
        <v>1076300</v>
      </c>
      <c r="D1017">
        <v>76407</v>
      </c>
      <c r="E1017">
        <v>272200</v>
      </c>
      <c r="F1017">
        <v>2015431</v>
      </c>
      <c r="G1017">
        <v>192700</v>
      </c>
      <c r="H1017">
        <v>2492457</v>
      </c>
      <c r="I1017">
        <v>63700</v>
      </c>
      <c r="J1017">
        <v>2487589</v>
      </c>
      <c r="K1017">
        <v>71200</v>
      </c>
    </row>
    <row r="1018" spans="1:11" x14ac:dyDescent="0.3">
      <c r="A1018" t="s">
        <v>1027</v>
      </c>
      <c r="B1018">
        <v>150975</v>
      </c>
      <c r="C1018">
        <v>1323700</v>
      </c>
      <c r="D1018">
        <v>77065</v>
      </c>
      <c r="E1018">
        <v>327900</v>
      </c>
      <c r="F1018">
        <v>2019758</v>
      </c>
      <c r="G1018">
        <v>224500</v>
      </c>
      <c r="H1018">
        <v>2497724</v>
      </c>
      <c r="I1018">
        <v>63500</v>
      </c>
      <c r="J1018">
        <v>2492893</v>
      </c>
      <c r="K1018">
        <v>70500</v>
      </c>
    </row>
    <row r="1019" spans="1:11" x14ac:dyDescent="0.3">
      <c r="A1019" t="s">
        <v>1028</v>
      </c>
      <c r="B1019">
        <v>150975</v>
      </c>
      <c r="C1019">
        <v>1326600</v>
      </c>
      <c r="D1019">
        <v>75486</v>
      </c>
      <c r="E1019">
        <v>377100</v>
      </c>
      <c r="F1019">
        <v>2024063</v>
      </c>
      <c r="G1019">
        <v>295700</v>
      </c>
      <c r="H1019">
        <v>2503245</v>
      </c>
      <c r="I1019">
        <v>106600</v>
      </c>
      <c r="J1019">
        <v>2497807</v>
      </c>
      <c r="K1019">
        <v>87100</v>
      </c>
    </row>
    <row r="1020" spans="1:11" x14ac:dyDescent="0.3">
      <c r="A1020" t="s">
        <v>1029</v>
      </c>
      <c r="B1020">
        <v>150975</v>
      </c>
      <c r="C1020">
        <v>1072500</v>
      </c>
      <c r="D1020">
        <v>76381</v>
      </c>
      <c r="E1020">
        <v>271300</v>
      </c>
      <c r="F1020">
        <v>2028382</v>
      </c>
      <c r="G1020">
        <v>192300</v>
      </c>
      <c r="H1020">
        <v>2509613</v>
      </c>
      <c r="I1020">
        <v>64300</v>
      </c>
      <c r="J1020">
        <v>2503264</v>
      </c>
      <c r="K1020">
        <v>71200</v>
      </c>
    </row>
    <row r="1021" spans="1:11" x14ac:dyDescent="0.3">
      <c r="A1021" t="s">
        <v>1030</v>
      </c>
      <c r="B1021">
        <v>150975</v>
      </c>
      <c r="C1021">
        <v>1257100</v>
      </c>
      <c r="D1021">
        <v>73390</v>
      </c>
      <c r="E1021">
        <v>312800</v>
      </c>
      <c r="F1021">
        <v>2032704</v>
      </c>
      <c r="G1021">
        <v>238300</v>
      </c>
      <c r="H1021">
        <v>2514805</v>
      </c>
      <c r="I1021">
        <v>77400</v>
      </c>
      <c r="J1021">
        <v>2509148</v>
      </c>
      <c r="K1021">
        <v>86800</v>
      </c>
    </row>
    <row r="1022" spans="1:11" x14ac:dyDescent="0.3">
      <c r="A1022" t="s">
        <v>1031</v>
      </c>
      <c r="B1022">
        <v>150975</v>
      </c>
      <c r="C1022">
        <v>1116400</v>
      </c>
      <c r="D1022">
        <v>74129</v>
      </c>
      <c r="E1022">
        <v>262900</v>
      </c>
      <c r="F1022">
        <v>2037026</v>
      </c>
      <c r="G1022">
        <v>191400</v>
      </c>
      <c r="H1022">
        <v>2521117</v>
      </c>
      <c r="I1022">
        <v>69700</v>
      </c>
      <c r="J1022">
        <v>2514015</v>
      </c>
      <c r="K1022">
        <v>71700</v>
      </c>
    </row>
    <row r="1023" spans="1:11" x14ac:dyDescent="0.3">
      <c r="A1023" t="s">
        <v>1032</v>
      </c>
      <c r="B1023">
        <v>150975</v>
      </c>
      <c r="C1023">
        <v>1215000</v>
      </c>
      <c r="D1023">
        <v>78632</v>
      </c>
      <c r="E1023">
        <v>334400</v>
      </c>
      <c r="F1023">
        <v>2041337</v>
      </c>
      <c r="G1023">
        <v>239700</v>
      </c>
      <c r="H1023">
        <v>2526098</v>
      </c>
      <c r="I1023">
        <v>75500</v>
      </c>
      <c r="J1023">
        <v>2519350</v>
      </c>
      <c r="K1023">
        <v>70900</v>
      </c>
    </row>
    <row r="1024" spans="1:11" x14ac:dyDescent="0.3">
      <c r="A1024" t="s">
        <v>1033</v>
      </c>
      <c r="B1024">
        <v>150975</v>
      </c>
      <c r="C1024">
        <v>1100800</v>
      </c>
      <c r="D1024">
        <v>77642</v>
      </c>
      <c r="E1024">
        <v>275300</v>
      </c>
      <c r="F1024">
        <v>2045646</v>
      </c>
      <c r="G1024">
        <v>195600</v>
      </c>
      <c r="H1024">
        <v>2531577</v>
      </c>
      <c r="I1024">
        <v>63600</v>
      </c>
      <c r="J1024">
        <v>2524932</v>
      </c>
      <c r="K1024">
        <v>74200</v>
      </c>
    </row>
    <row r="1025" spans="1:11" x14ac:dyDescent="0.3">
      <c r="A1025" t="s">
        <v>1034</v>
      </c>
      <c r="B1025">
        <v>150975</v>
      </c>
      <c r="C1025">
        <v>1255100</v>
      </c>
      <c r="D1025">
        <v>74869</v>
      </c>
      <c r="E1025">
        <v>320700</v>
      </c>
      <c r="F1025">
        <v>2049971</v>
      </c>
      <c r="G1025">
        <v>212600</v>
      </c>
      <c r="H1025">
        <v>2536794</v>
      </c>
      <c r="I1025">
        <v>61100</v>
      </c>
      <c r="J1025">
        <v>2530453</v>
      </c>
      <c r="K1025">
        <v>71300</v>
      </c>
    </row>
    <row r="1026" spans="1:11" x14ac:dyDescent="0.3">
      <c r="A1026" t="s">
        <v>1035</v>
      </c>
      <c r="B1026">
        <v>150975</v>
      </c>
      <c r="C1026">
        <v>1231400</v>
      </c>
      <c r="D1026">
        <v>78415</v>
      </c>
      <c r="E1026">
        <v>456900</v>
      </c>
      <c r="F1026">
        <v>2054286</v>
      </c>
      <c r="G1026">
        <v>274400</v>
      </c>
      <c r="H1026">
        <v>2541953</v>
      </c>
      <c r="I1026">
        <v>174500</v>
      </c>
      <c r="J1026">
        <v>2535350</v>
      </c>
      <c r="K1026">
        <v>71200</v>
      </c>
    </row>
    <row r="1027" spans="1:11" x14ac:dyDescent="0.3">
      <c r="A1027" t="s">
        <v>1036</v>
      </c>
      <c r="B1027">
        <v>150975</v>
      </c>
      <c r="C1027">
        <v>1302400</v>
      </c>
      <c r="D1027">
        <v>79577</v>
      </c>
      <c r="E1027">
        <v>395600</v>
      </c>
      <c r="F1027">
        <v>2058584</v>
      </c>
      <c r="G1027">
        <v>257600</v>
      </c>
      <c r="H1027">
        <v>2547408</v>
      </c>
      <c r="I1027">
        <v>85700</v>
      </c>
      <c r="J1027">
        <v>2540127</v>
      </c>
      <c r="K1027">
        <v>98200</v>
      </c>
    </row>
    <row r="1028" spans="1:11" x14ac:dyDescent="0.3">
      <c r="A1028" t="s">
        <v>1037</v>
      </c>
      <c r="B1028">
        <v>150975</v>
      </c>
      <c r="C1028">
        <v>1342000</v>
      </c>
      <c r="D1028">
        <v>72466</v>
      </c>
      <c r="E1028">
        <v>318300</v>
      </c>
      <c r="F1028">
        <v>2062902</v>
      </c>
      <c r="G1028">
        <v>223800</v>
      </c>
      <c r="H1028">
        <v>2552745</v>
      </c>
      <c r="I1028">
        <v>63700</v>
      </c>
      <c r="J1028">
        <v>2545179</v>
      </c>
      <c r="K1028">
        <v>71200</v>
      </c>
    </row>
    <row r="1029" spans="1:11" x14ac:dyDescent="0.3">
      <c r="A1029" t="s">
        <v>1038</v>
      </c>
      <c r="B1029">
        <v>150975</v>
      </c>
      <c r="C1029">
        <v>1170200</v>
      </c>
      <c r="D1029">
        <v>74751</v>
      </c>
      <c r="E1029">
        <v>272600</v>
      </c>
      <c r="F1029">
        <v>2067220</v>
      </c>
      <c r="G1029">
        <v>193300</v>
      </c>
      <c r="H1029">
        <v>2557878</v>
      </c>
      <c r="I1029">
        <v>63900</v>
      </c>
      <c r="J1029">
        <v>2550362</v>
      </c>
      <c r="K1029">
        <v>71900</v>
      </c>
    </row>
    <row r="1030" spans="1:11" x14ac:dyDescent="0.3">
      <c r="A1030" t="s">
        <v>1039</v>
      </c>
      <c r="B1030">
        <v>150975</v>
      </c>
      <c r="C1030">
        <v>963000</v>
      </c>
      <c r="D1030">
        <v>76254</v>
      </c>
      <c r="E1030">
        <v>280600</v>
      </c>
      <c r="F1030">
        <v>2071524</v>
      </c>
      <c r="G1030">
        <v>194700</v>
      </c>
      <c r="H1030">
        <v>2563643</v>
      </c>
      <c r="I1030">
        <v>63300</v>
      </c>
      <c r="J1030">
        <v>2555623</v>
      </c>
      <c r="K1030">
        <v>68300</v>
      </c>
    </row>
    <row r="1031" spans="1:11" x14ac:dyDescent="0.3">
      <c r="A1031" t="s">
        <v>1040</v>
      </c>
      <c r="B1031">
        <v>150975</v>
      </c>
      <c r="C1031">
        <v>1162100</v>
      </c>
      <c r="D1031">
        <v>74474</v>
      </c>
      <c r="E1031">
        <v>270900</v>
      </c>
      <c r="F1031">
        <v>2075838</v>
      </c>
      <c r="G1031">
        <v>193500</v>
      </c>
      <c r="H1031">
        <v>2569202</v>
      </c>
      <c r="I1031">
        <v>64100</v>
      </c>
      <c r="J1031">
        <v>2561096</v>
      </c>
      <c r="K1031">
        <v>71200</v>
      </c>
    </row>
    <row r="1032" spans="1:11" x14ac:dyDescent="0.3">
      <c r="A1032" t="s">
        <v>1041</v>
      </c>
      <c r="B1032">
        <v>150975</v>
      </c>
      <c r="C1032">
        <v>1119500</v>
      </c>
      <c r="D1032">
        <v>76143</v>
      </c>
      <c r="E1032">
        <v>270500</v>
      </c>
      <c r="F1032">
        <v>2080172</v>
      </c>
      <c r="G1032">
        <v>192000</v>
      </c>
      <c r="H1032">
        <v>2574573</v>
      </c>
      <c r="I1032">
        <v>66000</v>
      </c>
      <c r="J1032">
        <v>2566171</v>
      </c>
      <c r="K1032">
        <v>72000</v>
      </c>
    </row>
    <row r="1033" spans="1:11" x14ac:dyDescent="0.3">
      <c r="A1033" t="s">
        <v>1042</v>
      </c>
      <c r="B1033">
        <v>150975</v>
      </c>
      <c r="C1033">
        <v>1160700</v>
      </c>
      <c r="D1033">
        <v>78269</v>
      </c>
      <c r="E1033">
        <v>279300</v>
      </c>
      <c r="F1033">
        <v>2084494</v>
      </c>
      <c r="G1033">
        <v>201400</v>
      </c>
      <c r="H1033">
        <v>2581376</v>
      </c>
      <c r="I1033">
        <v>68900</v>
      </c>
      <c r="J1033">
        <v>2571806</v>
      </c>
      <c r="K1033">
        <v>77000</v>
      </c>
    </row>
    <row r="1034" spans="1:11" x14ac:dyDescent="0.3">
      <c r="A1034" t="s">
        <v>1043</v>
      </c>
      <c r="B1034">
        <v>150975</v>
      </c>
      <c r="C1034">
        <v>1253000</v>
      </c>
      <c r="D1034">
        <v>76192</v>
      </c>
      <c r="E1034">
        <v>362700</v>
      </c>
      <c r="F1034">
        <v>2088804</v>
      </c>
      <c r="G1034">
        <v>265000</v>
      </c>
      <c r="H1034">
        <v>2586700</v>
      </c>
      <c r="I1034">
        <v>86500</v>
      </c>
      <c r="J1034">
        <v>2577342</v>
      </c>
      <c r="K1034">
        <v>95900</v>
      </c>
    </row>
    <row r="1035" spans="1:11" x14ac:dyDescent="0.3">
      <c r="A1035" t="s">
        <v>1044</v>
      </c>
      <c r="B1035">
        <v>150975</v>
      </c>
      <c r="C1035">
        <v>1361300</v>
      </c>
      <c r="D1035">
        <v>75730</v>
      </c>
      <c r="E1035">
        <v>322500</v>
      </c>
      <c r="F1035">
        <v>2093142</v>
      </c>
      <c r="G1035">
        <v>200500</v>
      </c>
      <c r="H1035">
        <v>2592604</v>
      </c>
      <c r="I1035">
        <v>68600</v>
      </c>
      <c r="J1035">
        <v>2582211</v>
      </c>
      <c r="K1035">
        <v>82200</v>
      </c>
    </row>
    <row r="1036" spans="1:11" x14ac:dyDescent="0.3">
      <c r="A1036" t="s">
        <v>1045</v>
      </c>
      <c r="B1036">
        <v>150975</v>
      </c>
      <c r="C1036">
        <v>1053100</v>
      </c>
      <c r="D1036">
        <v>71256</v>
      </c>
      <c r="E1036">
        <v>260900</v>
      </c>
      <c r="F1036">
        <v>2097468</v>
      </c>
      <c r="G1036">
        <v>198800</v>
      </c>
      <c r="H1036">
        <v>2598356</v>
      </c>
      <c r="I1036">
        <v>63800</v>
      </c>
      <c r="J1036">
        <v>2587497</v>
      </c>
      <c r="K1036">
        <v>76600</v>
      </c>
    </row>
    <row r="1037" spans="1:11" x14ac:dyDescent="0.3">
      <c r="A1037" t="s">
        <v>1046</v>
      </c>
      <c r="B1037">
        <v>150975</v>
      </c>
      <c r="C1037">
        <v>1096100</v>
      </c>
      <c r="D1037">
        <v>76275</v>
      </c>
      <c r="E1037">
        <v>270700</v>
      </c>
      <c r="F1037">
        <v>2101787</v>
      </c>
      <c r="G1037">
        <v>282400</v>
      </c>
      <c r="H1037">
        <v>2603621</v>
      </c>
      <c r="I1037">
        <v>65500</v>
      </c>
      <c r="J1037">
        <v>2592860</v>
      </c>
      <c r="K1037">
        <v>71600</v>
      </c>
    </row>
    <row r="1038" spans="1:11" x14ac:dyDescent="0.3">
      <c r="A1038" t="s">
        <v>1047</v>
      </c>
      <c r="B1038">
        <v>150975</v>
      </c>
      <c r="C1038">
        <v>1036200</v>
      </c>
      <c r="D1038">
        <v>78308</v>
      </c>
      <c r="E1038">
        <v>277400</v>
      </c>
      <c r="F1038">
        <v>2106114</v>
      </c>
      <c r="G1038">
        <v>192300</v>
      </c>
      <c r="H1038">
        <v>2609592</v>
      </c>
      <c r="I1038">
        <v>62200</v>
      </c>
      <c r="J1038">
        <v>2598800</v>
      </c>
      <c r="K1038">
        <v>74400</v>
      </c>
    </row>
    <row r="1039" spans="1:11" x14ac:dyDescent="0.3">
      <c r="A1039" t="s">
        <v>1048</v>
      </c>
      <c r="B1039">
        <v>150975</v>
      </c>
      <c r="C1039">
        <v>1023700</v>
      </c>
      <c r="D1039">
        <v>72045</v>
      </c>
      <c r="E1039">
        <v>255800</v>
      </c>
      <c r="F1039">
        <v>2110428</v>
      </c>
      <c r="G1039">
        <v>190200</v>
      </c>
      <c r="H1039">
        <v>2615220</v>
      </c>
      <c r="I1039">
        <v>62300</v>
      </c>
      <c r="J1039">
        <v>2604240</v>
      </c>
      <c r="K1039">
        <v>71100</v>
      </c>
    </row>
    <row r="1040" spans="1:11" x14ac:dyDescent="0.3">
      <c r="A1040" t="s">
        <v>1049</v>
      </c>
      <c r="B1040">
        <v>150975</v>
      </c>
      <c r="C1040">
        <v>1027800</v>
      </c>
      <c r="D1040">
        <v>73811</v>
      </c>
      <c r="E1040">
        <v>316700</v>
      </c>
      <c r="F1040">
        <v>2114752</v>
      </c>
      <c r="G1040">
        <v>191200</v>
      </c>
      <c r="H1040">
        <v>2620077</v>
      </c>
      <c r="I1040">
        <v>62200</v>
      </c>
      <c r="J1040">
        <v>2609593</v>
      </c>
      <c r="K1040">
        <v>75000</v>
      </c>
    </row>
    <row r="1041" spans="1:11" x14ac:dyDescent="0.3">
      <c r="A1041" t="s">
        <v>1050</v>
      </c>
      <c r="B1041">
        <v>150975</v>
      </c>
      <c r="C1041">
        <v>1025100</v>
      </c>
      <c r="D1041">
        <v>74101</v>
      </c>
      <c r="E1041">
        <v>272400</v>
      </c>
      <c r="F1041">
        <v>2119080</v>
      </c>
      <c r="G1041">
        <v>188600</v>
      </c>
      <c r="H1041">
        <v>2625956</v>
      </c>
      <c r="I1041">
        <v>64900</v>
      </c>
      <c r="J1041">
        <v>2615010</v>
      </c>
      <c r="K1041">
        <v>73700</v>
      </c>
    </row>
    <row r="1042" spans="1:11" x14ac:dyDescent="0.3">
      <c r="A1042" t="s">
        <v>1051</v>
      </c>
      <c r="B1042">
        <v>150975</v>
      </c>
      <c r="C1042">
        <v>1513900</v>
      </c>
      <c r="D1042">
        <v>77871</v>
      </c>
      <c r="E1042">
        <v>424500</v>
      </c>
      <c r="F1042">
        <v>2123381</v>
      </c>
      <c r="G1042">
        <v>284100</v>
      </c>
      <c r="H1042">
        <v>2630939</v>
      </c>
      <c r="I1042">
        <v>82700</v>
      </c>
      <c r="J1042">
        <v>2620009</v>
      </c>
      <c r="K1042">
        <v>94300</v>
      </c>
    </row>
    <row r="1043" spans="1:11" x14ac:dyDescent="0.3">
      <c r="A1043" t="s">
        <v>1052</v>
      </c>
      <c r="B1043">
        <v>150975</v>
      </c>
      <c r="C1043">
        <v>1225000</v>
      </c>
      <c r="D1043">
        <v>74788</v>
      </c>
      <c r="E1043">
        <v>273400</v>
      </c>
      <c r="F1043">
        <v>2127697</v>
      </c>
      <c r="G1043">
        <v>198000</v>
      </c>
      <c r="H1043">
        <v>2636806</v>
      </c>
      <c r="I1043">
        <v>67800</v>
      </c>
      <c r="J1043">
        <v>2625786</v>
      </c>
      <c r="K1043">
        <v>73600</v>
      </c>
    </row>
    <row r="1044" spans="1:11" x14ac:dyDescent="0.3">
      <c r="A1044" t="s">
        <v>1053</v>
      </c>
      <c r="B1044">
        <v>150975</v>
      </c>
      <c r="C1044">
        <v>1082300</v>
      </c>
      <c r="D1044">
        <v>73822</v>
      </c>
      <c r="E1044">
        <v>262000</v>
      </c>
      <c r="F1044">
        <v>2132009</v>
      </c>
      <c r="G1044">
        <v>189900</v>
      </c>
      <c r="H1044">
        <v>2642292</v>
      </c>
      <c r="I1044">
        <v>62400</v>
      </c>
      <c r="J1044">
        <v>2631205</v>
      </c>
      <c r="K1044">
        <v>70400</v>
      </c>
    </row>
    <row r="1045" spans="1:11" x14ac:dyDescent="0.3">
      <c r="A1045" t="s">
        <v>1054</v>
      </c>
      <c r="B1045">
        <v>150975</v>
      </c>
      <c r="C1045">
        <v>1082600</v>
      </c>
      <c r="D1045">
        <v>75821</v>
      </c>
      <c r="E1045">
        <v>268500</v>
      </c>
      <c r="F1045">
        <v>2136354</v>
      </c>
      <c r="G1045">
        <v>190000</v>
      </c>
      <c r="H1045">
        <v>2647626</v>
      </c>
      <c r="I1045">
        <v>63400</v>
      </c>
      <c r="J1045">
        <v>2636817</v>
      </c>
      <c r="K1045">
        <v>73200</v>
      </c>
    </row>
    <row r="1046" spans="1:11" x14ac:dyDescent="0.3">
      <c r="A1046" t="s">
        <v>1055</v>
      </c>
      <c r="B1046">
        <v>150975</v>
      </c>
      <c r="C1046">
        <v>1143500</v>
      </c>
      <c r="D1046">
        <v>75428</v>
      </c>
      <c r="E1046">
        <v>268200</v>
      </c>
      <c r="F1046">
        <v>2140649</v>
      </c>
      <c r="G1046">
        <v>191700</v>
      </c>
      <c r="H1046">
        <v>2653423</v>
      </c>
      <c r="I1046">
        <v>65500</v>
      </c>
      <c r="J1046">
        <v>2642063</v>
      </c>
      <c r="K1046">
        <v>71700</v>
      </c>
    </row>
    <row r="1047" spans="1:11" x14ac:dyDescent="0.3">
      <c r="A1047" t="s">
        <v>1056</v>
      </c>
      <c r="B1047">
        <v>150975</v>
      </c>
      <c r="C1047">
        <v>1183500</v>
      </c>
      <c r="D1047">
        <v>75670</v>
      </c>
      <c r="E1047">
        <v>268000</v>
      </c>
      <c r="F1047">
        <v>2144974</v>
      </c>
      <c r="G1047">
        <v>200400</v>
      </c>
      <c r="H1047">
        <v>2658847</v>
      </c>
      <c r="I1047">
        <v>63300</v>
      </c>
      <c r="J1047">
        <v>2646941</v>
      </c>
      <c r="K1047">
        <v>70300</v>
      </c>
    </row>
    <row r="1048" spans="1:11" x14ac:dyDescent="0.3">
      <c r="A1048" t="s">
        <v>1057</v>
      </c>
      <c r="B1048">
        <v>150975</v>
      </c>
      <c r="C1048">
        <v>1049100</v>
      </c>
      <c r="D1048">
        <v>75956</v>
      </c>
      <c r="E1048">
        <v>277200</v>
      </c>
      <c r="F1048">
        <v>2149308</v>
      </c>
      <c r="G1048">
        <v>189300</v>
      </c>
      <c r="H1048">
        <v>2664119</v>
      </c>
      <c r="I1048">
        <v>62600</v>
      </c>
      <c r="J1048">
        <v>2652665</v>
      </c>
      <c r="K1048">
        <v>74800</v>
      </c>
    </row>
    <row r="1049" spans="1:11" x14ac:dyDescent="0.3">
      <c r="A1049" t="s">
        <v>1058</v>
      </c>
      <c r="B1049">
        <v>150975</v>
      </c>
      <c r="C1049">
        <v>1120200</v>
      </c>
      <c r="D1049">
        <v>74348</v>
      </c>
      <c r="E1049">
        <v>263900</v>
      </c>
      <c r="F1049">
        <v>2153634</v>
      </c>
      <c r="G1049">
        <v>190700</v>
      </c>
      <c r="H1049">
        <v>2670398</v>
      </c>
      <c r="I1049">
        <v>65500</v>
      </c>
      <c r="J1049">
        <v>2658023</v>
      </c>
      <c r="K1049">
        <v>71700</v>
      </c>
    </row>
    <row r="1050" spans="1:11" x14ac:dyDescent="0.3">
      <c r="A1050" t="s">
        <v>1059</v>
      </c>
      <c r="B1050">
        <v>150975</v>
      </c>
      <c r="C1050">
        <v>1024100</v>
      </c>
      <c r="D1050">
        <v>74922</v>
      </c>
      <c r="E1050">
        <v>267900</v>
      </c>
      <c r="F1050">
        <v>2157935</v>
      </c>
      <c r="G1050">
        <v>190700</v>
      </c>
      <c r="H1050">
        <v>2676683</v>
      </c>
      <c r="I1050">
        <v>65900</v>
      </c>
      <c r="J1050">
        <v>2663165</v>
      </c>
      <c r="K1050">
        <v>70300</v>
      </c>
    </row>
    <row r="1051" spans="1:11" x14ac:dyDescent="0.3">
      <c r="A1051" t="s">
        <v>1060</v>
      </c>
      <c r="B1051">
        <v>150975</v>
      </c>
      <c r="C1051">
        <v>1038100</v>
      </c>
      <c r="D1051">
        <v>74429</v>
      </c>
      <c r="E1051">
        <v>265500</v>
      </c>
      <c r="F1051">
        <v>2162263</v>
      </c>
      <c r="G1051">
        <v>191100</v>
      </c>
      <c r="H1051">
        <v>2682105</v>
      </c>
      <c r="I1051">
        <v>61900</v>
      </c>
      <c r="J1051">
        <v>2668343</v>
      </c>
      <c r="K1051">
        <v>69200</v>
      </c>
    </row>
    <row r="1052" spans="1:11" x14ac:dyDescent="0.3">
      <c r="A1052" t="s">
        <v>1061</v>
      </c>
      <c r="B1052">
        <v>150975</v>
      </c>
      <c r="C1052">
        <v>1025400</v>
      </c>
      <c r="D1052">
        <v>76645</v>
      </c>
      <c r="E1052">
        <v>281100</v>
      </c>
      <c r="F1052">
        <v>2166561</v>
      </c>
      <c r="G1052">
        <v>189100</v>
      </c>
      <c r="H1052">
        <v>2687258</v>
      </c>
      <c r="I1052">
        <v>63600</v>
      </c>
      <c r="J1052">
        <v>2673550</v>
      </c>
      <c r="K1052">
        <v>71700</v>
      </c>
    </row>
    <row r="1053" spans="1:11" x14ac:dyDescent="0.3">
      <c r="A1053" t="s">
        <v>1062</v>
      </c>
      <c r="B1053">
        <v>150975</v>
      </c>
      <c r="C1053">
        <v>1117400</v>
      </c>
      <c r="D1053">
        <v>75084</v>
      </c>
      <c r="E1053">
        <v>265900</v>
      </c>
      <c r="F1053">
        <v>2170892</v>
      </c>
      <c r="G1053">
        <v>191900</v>
      </c>
      <c r="H1053">
        <v>2692638</v>
      </c>
      <c r="I1053">
        <v>62500</v>
      </c>
      <c r="J1053">
        <v>2679197</v>
      </c>
      <c r="K1053">
        <v>72700</v>
      </c>
    </row>
    <row r="1054" spans="1:11" x14ac:dyDescent="0.3">
      <c r="A1054" t="s">
        <v>1063</v>
      </c>
      <c r="B1054">
        <v>150975</v>
      </c>
      <c r="C1054">
        <v>1074400</v>
      </c>
      <c r="D1054">
        <v>71871</v>
      </c>
      <c r="E1054">
        <v>255400</v>
      </c>
      <c r="F1054">
        <v>2175234</v>
      </c>
      <c r="G1054">
        <v>188300</v>
      </c>
      <c r="H1054">
        <v>2698411</v>
      </c>
      <c r="I1054">
        <v>60500</v>
      </c>
      <c r="J1054">
        <v>2685413</v>
      </c>
      <c r="K1054">
        <v>75000</v>
      </c>
    </row>
    <row r="1055" spans="1:11" x14ac:dyDescent="0.3">
      <c r="A1055" t="s">
        <v>1064</v>
      </c>
      <c r="B1055">
        <v>150975</v>
      </c>
      <c r="C1055">
        <v>1120300</v>
      </c>
      <c r="D1055">
        <v>75986</v>
      </c>
      <c r="E1055">
        <v>270200</v>
      </c>
      <c r="F1055">
        <v>2179550</v>
      </c>
      <c r="G1055">
        <v>193800</v>
      </c>
      <c r="H1055">
        <v>2703461</v>
      </c>
      <c r="I1055">
        <v>62300</v>
      </c>
      <c r="J1055">
        <v>2690292</v>
      </c>
      <c r="K1055">
        <v>70300</v>
      </c>
    </row>
    <row r="1056" spans="1:11" x14ac:dyDescent="0.3">
      <c r="A1056" t="s">
        <v>1065</v>
      </c>
      <c r="B1056">
        <v>150975</v>
      </c>
      <c r="C1056">
        <v>1056400</v>
      </c>
      <c r="D1056">
        <v>73625</v>
      </c>
      <c r="E1056">
        <v>262400</v>
      </c>
      <c r="F1056">
        <v>2183873</v>
      </c>
      <c r="G1056">
        <v>191900</v>
      </c>
      <c r="H1056">
        <v>2708781</v>
      </c>
      <c r="I1056">
        <v>66100</v>
      </c>
      <c r="J1056">
        <v>2695281</v>
      </c>
      <c r="K1056">
        <v>70300</v>
      </c>
    </row>
    <row r="1057" spans="1:11" x14ac:dyDescent="0.3">
      <c r="A1057" t="s">
        <v>1066</v>
      </c>
      <c r="B1057">
        <v>150975</v>
      </c>
      <c r="C1057">
        <v>1064500</v>
      </c>
      <c r="D1057">
        <v>73774</v>
      </c>
      <c r="E1057">
        <v>262100</v>
      </c>
      <c r="F1057">
        <v>2188180</v>
      </c>
      <c r="G1057">
        <v>192100</v>
      </c>
      <c r="H1057">
        <v>2714316</v>
      </c>
      <c r="I1057">
        <v>61500</v>
      </c>
      <c r="J1057">
        <v>2700249</v>
      </c>
      <c r="K1057">
        <v>71500</v>
      </c>
    </row>
    <row r="1058" spans="1:11" x14ac:dyDescent="0.3">
      <c r="A1058" t="s">
        <v>1067</v>
      </c>
      <c r="B1058">
        <v>150975</v>
      </c>
      <c r="C1058">
        <v>1077300</v>
      </c>
      <c r="D1058">
        <v>76059</v>
      </c>
      <c r="E1058">
        <v>269100</v>
      </c>
      <c r="F1058">
        <v>2192515</v>
      </c>
      <c r="G1058">
        <v>195700</v>
      </c>
      <c r="H1058">
        <v>2720004</v>
      </c>
      <c r="I1058">
        <v>62000</v>
      </c>
      <c r="J1058">
        <v>2705455</v>
      </c>
      <c r="K1058">
        <v>71200</v>
      </c>
    </row>
    <row r="1059" spans="1:11" x14ac:dyDescent="0.3">
      <c r="A1059" t="s">
        <v>1068</v>
      </c>
      <c r="B1059">
        <v>150975</v>
      </c>
      <c r="C1059">
        <v>1209900</v>
      </c>
      <c r="D1059">
        <v>74674</v>
      </c>
      <c r="E1059">
        <v>265600</v>
      </c>
      <c r="F1059">
        <v>2196846</v>
      </c>
      <c r="G1059">
        <v>190000</v>
      </c>
      <c r="H1059">
        <v>2725307</v>
      </c>
      <c r="I1059">
        <v>63500</v>
      </c>
      <c r="J1059">
        <v>2710833</v>
      </c>
      <c r="K1059">
        <v>69900</v>
      </c>
    </row>
    <row r="1060" spans="1:11" x14ac:dyDescent="0.3">
      <c r="A1060" t="s">
        <v>1069</v>
      </c>
      <c r="B1060">
        <v>150975</v>
      </c>
      <c r="C1060">
        <v>1303900</v>
      </c>
      <c r="D1060">
        <v>74808</v>
      </c>
      <c r="E1060">
        <v>320300</v>
      </c>
      <c r="F1060">
        <v>2201175</v>
      </c>
      <c r="G1060">
        <v>230600</v>
      </c>
      <c r="H1060">
        <v>2730114</v>
      </c>
      <c r="I1060">
        <v>75500</v>
      </c>
      <c r="J1060">
        <v>2717322</v>
      </c>
      <c r="K1060">
        <v>77100</v>
      </c>
    </row>
    <row r="1061" spans="1:11" x14ac:dyDescent="0.3">
      <c r="A1061" t="s">
        <v>1070</v>
      </c>
      <c r="B1061">
        <v>150975</v>
      </c>
      <c r="C1061">
        <v>1298500</v>
      </c>
      <c r="D1061">
        <v>74894</v>
      </c>
      <c r="E1061">
        <v>319000</v>
      </c>
      <c r="F1061">
        <v>2205484</v>
      </c>
      <c r="G1061">
        <v>238400</v>
      </c>
      <c r="H1061">
        <v>2735204</v>
      </c>
      <c r="I1061">
        <v>62400</v>
      </c>
      <c r="J1061">
        <v>2722869</v>
      </c>
      <c r="K1061">
        <v>69100</v>
      </c>
    </row>
    <row r="1062" spans="1:11" x14ac:dyDescent="0.3">
      <c r="A1062" t="s">
        <v>1071</v>
      </c>
      <c r="B1062">
        <v>150975</v>
      </c>
      <c r="C1062">
        <v>1089100</v>
      </c>
      <c r="D1062">
        <v>79464</v>
      </c>
      <c r="E1062">
        <v>281700</v>
      </c>
      <c r="F1062">
        <v>2209794</v>
      </c>
      <c r="G1062">
        <v>190200</v>
      </c>
      <c r="H1062">
        <v>2740339</v>
      </c>
      <c r="I1062">
        <v>62800</v>
      </c>
      <c r="J1062">
        <v>2729383</v>
      </c>
      <c r="K1062">
        <v>75500</v>
      </c>
    </row>
    <row r="1063" spans="1:11" x14ac:dyDescent="0.3">
      <c r="A1063" t="s">
        <v>1072</v>
      </c>
      <c r="B1063">
        <v>150975</v>
      </c>
      <c r="C1063">
        <v>1048400</v>
      </c>
      <c r="D1063">
        <v>78931</v>
      </c>
      <c r="E1063">
        <v>279700</v>
      </c>
      <c r="F1063">
        <v>2214109</v>
      </c>
      <c r="G1063">
        <v>192600</v>
      </c>
      <c r="H1063">
        <v>2745899</v>
      </c>
      <c r="I1063">
        <v>65000</v>
      </c>
      <c r="J1063">
        <v>2734656</v>
      </c>
      <c r="K1063">
        <v>75800</v>
      </c>
    </row>
    <row r="1064" spans="1:11" x14ac:dyDescent="0.3">
      <c r="A1064" t="s">
        <v>1073</v>
      </c>
      <c r="B1064">
        <v>150975</v>
      </c>
      <c r="C1064">
        <v>1033500</v>
      </c>
      <c r="D1064">
        <v>74890</v>
      </c>
      <c r="E1064">
        <v>273500</v>
      </c>
      <c r="F1064">
        <v>2218440</v>
      </c>
      <c r="G1064">
        <v>189800</v>
      </c>
      <c r="H1064">
        <v>2751837</v>
      </c>
      <c r="I1064">
        <v>64500</v>
      </c>
      <c r="J1064">
        <v>2739734</v>
      </c>
      <c r="K1064">
        <v>70400</v>
      </c>
    </row>
    <row r="1065" spans="1:11" x14ac:dyDescent="0.3">
      <c r="A1065" t="s">
        <v>1074</v>
      </c>
      <c r="B1065">
        <v>150975</v>
      </c>
      <c r="C1065">
        <v>1062400</v>
      </c>
      <c r="D1065">
        <v>75047</v>
      </c>
      <c r="E1065">
        <v>266000</v>
      </c>
      <c r="F1065">
        <v>2222762</v>
      </c>
      <c r="G1065">
        <v>192900</v>
      </c>
      <c r="H1065">
        <v>2757195</v>
      </c>
      <c r="I1065">
        <v>62100</v>
      </c>
      <c r="J1065">
        <v>2745030</v>
      </c>
      <c r="K1065">
        <v>73800</v>
      </c>
    </row>
    <row r="1066" spans="1:11" x14ac:dyDescent="0.3">
      <c r="A1066" t="s">
        <v>1075</v>
      </c>
      <c r="B1066">
        <v>150975</v>
      </c>
      <c r="C1066">
        <v>1302000</v>
      </c>
      <c r="D1066">
        <v>76271</v>
      </c>
      <c r="E1066">
        <v>401700</v>
      </c>
      <c r="F1066">
        <v>2227100</v>
      </c>
      <c r="G1066">
        <v>197200</v>
      </c>
      <c r="H1066">
        <v>2762594</v>
      </c>
      <c r="I1066">
        <v>67400</v>
      </c>
      <c r="J1066">
        <v>2750188</v>
      </c>
      <c r="K1066">
        <v>91900</v>
      </c>
    </row>
    <row r="1067" spans="1:11" x14ac:dyDescent="0.3">
      <c r="A1067" t="s">
        <v>1076</v>
      </c>
      <c r="B1067">
        <v>150975</v>
      </c>
      <c r="C1067">
        <v>1053300</v>
      </c>
      <c r="D1067">
        <v>74757</v>
      </c>
      <c r="E1067">
        <v>265700</v>
      </c>
      <c r="F1067">
        <v>2231436</v>
      </c>
      <c r="G1067">
        <v>192900</v>
      </c>
      <c r="H1067">
        <v>2768100</v>
      </c>
      <c r="I1067">
        <v>61700</v>
      </c>
      <c r="J1067">
        <v>2755558</v>
      </c>
      <c r="K1067">
        <v>71000</v>
      </c>
    </row>
    <row r="1068" spans="1:11" x14ac:dyDescent="0.3">
      <c r="A1068" t="s">
        <v>1077</v>
      </c>
      <c r="B1068">
        <v>150975</v>
      </c>
      <c r="C1068">
        <v>1153700</v>
      </c>
      <c r="D1068">
        <v>78713</v>
      </c>
      <c r="E1068">
        <v>287400</v>
      </c>
      <c r="F1068">
        <v>2235747</v>
      </c>
      <c r="G1068">
        <v>190200</v>
      </c>
      <c r="H1068">
        <v>2773187</v>
      </c>
      <c r="I1068">
        <v>64300</v>
      </c>
      <c r="J1068">
        <v>2760998</v>
      </c>
      <c r="K1068">
        <v>71700</v>
      </c>
    </row>
    <row r="1069" spans="1:11" x14ac:dyDescent="0.3">
      <c r="A1069" t="s">
        <v>1078</v>
      </c>
      <c r="B1069">
        <v>150975</v>
      </c>
      <c r="C1069">
        <v>1169800</v>
      </c>
      <c r="D1069">
        <v>77507</v>
      </c>
      <c r="E1069">
        <v>322500</v>
      </c>
      <c r="F1069">
        <v>2240070</v>
      </c>
      <c r="G1069">
        <v>197500</v>
      </c>
      <c r="H1069">
        <v>2777938</v>
      </c>
      <c r="I1069">
        <v>62700</v>
      </c>
      <c r="J1069">
        <v>2766093</v>
      </c>
      <c r="K1069">
        <v>71200</v>
      </c>
    </row>
    <row r="1070" spans="1:11" x14ac:dyDescent="0.3">
      <c r="A1070" t="s">
        <v>1079</v>
      </c>
      <c r="B1070">
        <v>150975</v>
      </c>
      <c r="C1070">
        <v>1072600</v>
      </c>
      <c r="D1070">
        <v>74648</v>
      </c>
      <c r="E1070">
        <v>264400</v>
      </c>
      <c r="F1070">
        <v>2244387</v>
      </c>
      <c r="G1070">
        <v>190100</v>
      </c>
      <c r="H1070">
        <v>2782929</v>
      </c>
      <c r="I1070">
        <v>61300</v>
      </c>
      <c r="J1070">
        <v>2771376</v>
      </c>
      <c r="K1070">
        <v>74300</v>
      </c>
    </row>
    <row r="1071" spans="1:11" x14ac:dyDescent="0.3">
      <c r="A1071" t="s">
        <v>1080</v>
      </c>
      <c r="B1071">
        <v>150975</v>
      </c>
      <c r="C1071">
        <v>1069300</v>
      </c>
      <c r="D1071">
        <v>75619</v>
      </c>
      <c r="E1071">
        <v>269200</v>
      </c>
      <c r="F1071">
        <v>2248673</v>
      </c>
      <c r="G1071">
        <v>201400</v>
      </c>
      <c r="H1071">
        <v>2788129</v>
      </c>
      <c r="I1071">
        <v>66100</v>
      </c>
      <c r="J1071">
        <v>2777216</v>
      </c>
      <c r="K1071">
        <v>71400</v>
      </c>
    </row>
    <row r="1072" spans="1:11" x14ac:dyDescent="0.3">
      <c r="A1072" t="s">
        <v>1081</v>
      </c>
      <c r="B1072">
        <v>150975</v>
      </c>
      <c r="C1072">
        <v>1136400</v>
      </c>
      <c r="D1072">
        <v>72647</v>
      </c>
      <c r="E1072">
        <v>257300</v>
      </c>
      <c r="F1072">
        <v>2252998</v>
      </c>
      <c r="G1072">
        <v>1689100</v>
      </c>
      <c r="H1072">
        <v>2793106</v>
      </c>
      <c r="I1072">
        <v>62700</v>
      </c>
      <c r="J1072">
        <v>2782280</v>
      </c>
      <c r="K1072">
        <v>74500</v>
      </c>
    </row>
    <row r="1073" spans="1:11" x14ac:dyDescent="0.3">
      <c r="A1073" t="s">
        <v>1082</v>
      </c>
      <c r="B1073">
        <v>150975</v>
      </c>
      <c r="C1073">
        <v>1095000</v>
      </c>
      <c r="D1073">
        <v>75149</v>
      </c>
      <c r="E1073">
        <v>380300</v>
      </c>
      <c r="F1073">
        <v>2257291</v>
      </c>
      <c r="G1073">
        <v>193300</v>
      </c>
      <c r="H1073">
        <v>2798521</v>
      </c>
      <c r="I1073">
        <v>63800</v>
      </c>
      <c r="J1073">
        <v>2787286</v>
      </c>
      <c r="K1073">
        <v>72100</v>
      </c>
    </row>
    <row r="1074" spans="1:11" x14ac:dyDescent="0.3">
      <c r="A1074" t="s">
        <v>1083</v>
      </c>
      <c r="B1074">
        <v>150975</v>
      </c>
      <c r="C1074">
        <v>1103400</v>
      </c>
      <c r="D1074">
        <v>75405</v>
      </c>
      <c r="E1074">
        <v>263600</v>
      </c>
      <c r="F1074">
        <v>2261624</v>
      </c>
      <c r="G1074">
        <v>192900</v>
      </c>
      <c r="H1074">
        <v>2804023</v>
      </c>
      <c r="I1074">
        <v>61900</v>
      </c>
      <c r="J1074">
        <v>2792829</v>
      </c>
      <c r="K1074">
        <v>77300</v>
      </c>
    </row>
    <row r="1075" spans="1:11" x14ac:dyDescent="0.3">
      <c r="A1075" t="s">
        <v>1084</v>
      </c>
      <c r="B1075">
        <v>150975</v>
      </c>
      <c r="C1075">
        <v>1087900</v>
      </c>
      <c r="D1075">
        <v>76216</v>
      </c>
      <c r="E1075">
        <v>266700</v>
      </c>
      <c r="F1075">
        <v>2265954</v>
      </c>
      <c r="G1075">
        <v>189600</v>
      </c>
      <c r="H1075">
        <v>2809382</v>
      </c>
      <c r="I1075">
        <v>63700</v>
      </c>
      <c r="J1075">
        <v>2798414</v>
      </c>
      <c r="K1075">
        <v>70600</v>
      </c>
    </row>
    <row r="1076" spans="1:11" x14ac:dyDescent="0.3">
      <c r="A1076" t="s">
        <v>1085</v>
      </c>
      <c r="B1076">
        <v>150975</v>
      </c>
      <c r="C1076">
        <v>1078000</v>
      </c>
      <c r="D1076">
        <v>77722</v>
      </c>
      <c r="E1076">
        <v>272100</v>
      </c>
      <c r="F1076">
        <v>2270282</v>
      </c>
      <c r="G1076">
        <v>193400</v>
      </c>
      <c r="H1076">
        <v>2814550</v>
      </c>
      <c r="I1076">
        <v>62400</v>
      </c>
      <c r="J1076">
        <v>2803811</v>
      </c>
      <c r="K1076">
        <v>77900</v>
      </c>
    </row>
    <row r="1077" spans="1:11" x14ac:dyDescent="0.3">
      <c r="A1077" t="s">
        <v>1086</v>
      </c>
      <c r="B1077">
        <v>150975</v>
      </c>
      <c r="C1077">
        <v>1289500</v>
      </c>
      <c r="D1077">
        <v>73903</v>
      </c>
      <c r="E1077">
        <v>310600</v>
      </c>
      <c r="F1077">
        <v>2274573</v>
      </c>
      <c r="G1077">
        <v>234900</v>
      </c>
      <c r="H1077">
        <v>2820823</v>
      </c>
      <c r="I1077">
        <v>74000</v>
      </c>
      <c r="J1077">
        <v>2808916</v>
      </c>
      <c r="K1077">
        <v>71900</v>
      </c>
    </row>
    <row r="1078" spans="1:11" x14ac:dyDescent="0.3">
      <c r="A1078" t="s">
        <v>1087</v>
      </c>
      <c r="B1078">
        <v>150975</v>
      </c>
      <c r="C1078">
        <v>1193300</v>
      </c>
      <c r="D1078">
        <v>73426</v>
      </c>
      <c r="E1078">
        <v>259400</v>
      </c>
      <c r="F1078">
        <v>2278862</v>
      </c>
      <c r="G1078">
        <v>191500</v>
      </c>
      <c r="H1078">
        <v>2825751</v>
      </c>
      <c r="I1078">
        <v>62800</v>
      </c>
      <c r="J1078">
        <v>2814121</v>
      </c>
      <c r="K1078">
        <v>70900</v>
      </c>
    </row>
    <row r="1079" spans="1:11" x14ac:dyDescent="0.3">
      <c r="A1079" t="s">
        <v>1088</v>
      </c>
      <c r="B1079">
        <v>150975</v>
      </c>
      <c r="C1079">
        <v>1017800</v>
      </c>
      <c r="D1079">
        <v>76088</v>
      </c>
      <c r="E1079">
        <v>265100</v>
      </c>
      <c r="F1079">
        <v>2283179</v>
      </c>
      <c r="G1079">
        <v>190900</v>
      </c>
      <c r="H1079">
        <v>2831319</v>
      </c>
      <c r="I1079">
        <v>62700</v>
      </c>
      <c r="J1079">
        <v>2820028</v>
      </c>
      <c r="K1079">
        <v>72300</v>
      </c>
    </row>
    <row r="1080" spans="1:11" x14ac:dyDescent="0.3">
      <c r="A1080" t="s">
        <v>1089</v>
      </c>
      <c r="B1080">
        <v>150975</v>
      </c>
      <c r="C1080">
        <v>1098300</v>
      </c>
      <c r="D1080">
        <v>75598</v>
      </c>
      <c r="E1080">
        <v>263600</v>
      </c>
      <c r="F1080">
        <v>2287496</v>
      </c>
      <c r="G1080">
        <v>188700</v>
      </c>
      <c r="H1080">
        <v>2836712</v>
      </c>
      <c r="I1080">
        <v>62700</v>
      </c>
      <c r="J1080">
        <v>2825723</v>
      </c>
      <c r="K1080">
        <v>76900</v>
      </c>
    </row>
    <row r="1081" spans="1:11" x14ac:dyDescent="0.3">
      <c r="A1081" t="s">
        <v>1090</v>
      </c>
      <c r="B1081">
        <v>150975</v>
      </c>
      <c r="C1081">
        <v>1185500</v>
      </c>
      <c r="D1081">
        <v>74120</v>
      </c>
      <c r="E1081">
        <v>259700</v>
      </c>
      <c r="F1081">
        <v>2291809</v>
      </c>
      <c r="G1081">
        <v>192800</v>
      </c>
      <c r="H1081">
        <v>2842054</v>
      </c>
      <c r="I1081">
        <v>64300</v>
      </c>
      <c r="J1081">
        <v>2831022</v>
      </c>
      <c r="K1081">
        <v>71100</v>
      </c>
    </row>
    <row r="1082" spans="1:11" x14ac:dyDescent="0.3">
      <c r="A1082" t="s">
        <v>1091</v>
      </c>
      <c r="B1082">
        <v>150975</v>
      </c>
      <c r="C1082">
        <v>1337800</v>
      </c>
      <c r="D1082">
        <v>76620</v>
      </c>
      <c r="E1082">
        <v>321300</v>
      </c>
      <c r="F1082">
        <v>2296139</v>
      </c>
      <c r="G1082">
        <v>230300</v>
      </c>
      <c r="H1082">
        <v>2847607</v>
      </c>
      <c r="I1082">
        <v>66700</v>
      </c>
      <c r="J1082">
        <v>2836999</v>
      </c>
      <c r="K1082">
        <v>76600</v>
      </c>
    </row>
    <row r="1083" spans="1:11" x14ac:dyDescent="0.3">
      <c r="A1083" t="s">
        <v>1092</v>
      </c>
      <c r="B1083">
        <v>150975</v>
      </c>
      <c r="C1083">
        <v>1043300</v>
      </c>
      <c r="D1083">
        <v>75340</v>
      </c>
      <c r="E1083">
        <v>263000</v>
      </c>
      <c r="F1083">
        <v>2300450</v>
      </c>
      <c r="G1083">
        <v>196200</v>
      </c>
      <c r="H1083">
        <v>2853036</v>
      </c>
      <c r="I1083">
        <v>62900</v>
      </c>
      <c r="J1083">
        <v>2842486</v>
      </c>
      <c r="K1083">
        <v>71400</v>
      </c>
    </row>
    <row r="1084" spans="1:11" x14ac:dyDescent="0.3">
      <c r="A1084" t="s">
        <v>1093</v>
      </c>
      <c r="B1084">
        <v>150975</v>
      </c>
      <c r="C1084">
        <v>1052800</v>
      </c>
      <c r="D1084">
        <v>78346</v>
      </c>
      <c r="E1084">
        <v>272400</v>
      </c>
      <c r="F1084">
        <v>2304785</v>
      </c>
      <c r="G1084">
        <v>190300</v>
      </c>
      <c r="H1084">
        <v>2858593</v>
      </c>
      <c r="I1084">
        <v>60200</v>
      </c>
      <c r="J1084">
        <v>2847813</v>
      </c>
      <c r="K1084">
        <v>74700</v>
      </c>
    </row>
    <row r="1085" spans="1:11" x14ac:dyDescent="0.3">
      <c r="A1085" t="s">
        <v>1094</v>
      </c>
      <c r="B1085">
        <v>150975</v>
      </c>
      <c r="C1085">
        <v>1121100</v>
      </c>
      <c r="D1085">
        <v>77955</v>
      </c>
      <c r="E1085">
        <v>273200</v>
      </c>
      <c r="F1085">
        <v>2309123</v>
      </c>
      <c r="G1085">
        <v>189900</v>
      </c>
      <c r="H1085">
        <v>2863972</v>
      </c>
      <c r="I1085">
        <v>64100</v>
      </c>
      <c r="J1085">
        <v>2853127</v>
      </c>
      <c r="K1085">
        <v>72400</v>
      </c>
    </row>
    <row r="1086" spans="1:11" x14ac:dyDescent="0.3">
      <c r="A1086" t="s">
        <v>1095</v>
      </c>
      <c r="B1086">
        <v>150975</v>
      </c>
      <c r="C1086">
        <v>1276300</v>
      </c>
      <c r="D1086">
        <v>77473</v>
      </c>
      <c r="E1086">
        <v>324400</v>
      </c>
      <c r="F1086">
        <v>2313430</v>
      </c>
      <c r="G1086">
        <v>238700</v>
      </c>
      <c r="H1086">
        <v>2868748</v>
      </c>
      <c r="I1086">
        <v>75800</v>
      </c>
      <c r="J1086">
        <v>2858817</v>
      </c>
      <c r="K1086">
        <v>72100</v>
      </c>
    </row>
    <row r="1087" spans="1:11" x14ac:dyDescent="0.3">
      <c r="A1087" t="s">
        <v>1096</v>
      </c>
      <c r="B1087">
        <v>150975</v>
      </c>
      <c r="C1087">
        <v>1322300</v>
      </c>
      <c r="D1087">
        <v>71701</v>
      </c>
      <c r="E1087">
        <v>353600</v>
      </c>
      <c r="F1087">
        <v>2317754</v>
      </c>
      <c r="G1087">
        <v>216900</v>
      </c>
      <c r="H1087">
        <v>2874015</v>
      </c>
      <c r="I1087">
        <v>65300</v>
      </c>
      <c r="J1087">
        <v>2863934</v>
      </c>
      <c r="K1087">
        <v>73100</v>
      </c>
    </row>
    <row r="1088" spans="1:11" x14ac:dyDescent="0.3">
      <c r="A1088" t="s">
        <v>1097</v>
      </c>
      <c r="B1088">
        <v>150975</v>
      </c>
      <c r="C1088">
        <v>1226600</v>
      </c>
      <c r="D1088">
        <v>81666</v>
      </c>
      <c r="E1088">
        <v>284700</v>
      </c>
      <c r="F1088">
        <v>2322087</v>
      </c>
      <c r="G1088">
        <v>196200</v>
      </c>
      <c r="H1088">
        <v>2879816</v>
      </c>
      <c r="I1088">
        <v>65800</v>
      </c>
      <c r="J1088">
        <v>2869073</v>
      </c>
      <c r="K1088">
        <v>71200</v>
      </c>
    </row>
    <row r="1089" spans="1:11" x14ac:dyDescent="0.3">
      <c r="A1089" t="s">
        <v>1098</v>
      </c>
      <c r="B1089">
        <v>150975</v>
      </c>
      <c r="C1089">
        <v>1268700</v>
      </c>
      <c r="D1089">
        <v>78557</v>
      </c>
      <c r="E1089">
        <v>340500</v>
      </c>
      <c r="F1089">
        <v>2326393</v>
      </c>
      <c r="G1089">
        <v>233100</v>
      </c>
      <c r="H1089">
        <v>2884740</v>
      </c>
      <c r="I1089">
        <v>61300</v>
      </c>
      <c r="J1089">
        <v>2874786</v>
      </c>
      <c r="K1089">
        <v>70900</v>
      </c>
    </row>
    <row r="1090" spans="1:11" x14ac:dyDescent="0.3">
      <c r="A1090" t="s">
        <v>1099</v>
      </c>
      <c r="B1090">
        <v>150975</v>
      </c>
      <c r="C1090">
        <v>1262100</v>
      </c>
      <c r="D1090">
        <v>78519</v>
      </c>
      <c r="E1090">
        <v>274400</v>
      </c>
      <c r="F1090">
        <v>2330734</v>
      </c>
      <c r="G1090">
        <v>196400</v>
      </c>
      <c r="H1090">
        <v>2890630</v>
      </c>
      <c r="I1090">
        <v>63700</v>
      </c>
      <c r="J1090">
        <v>2880309</v>
      </c>
      <c r="K1090">
        <v>70900</v>
      </c>
    </row>
    <row r="1091" spans="1:11" x14ac:dyDescent="0.3">
      <c r="A1091" t="s">
        <v>1100</v>
      </c>
      <c r="B1091">
        <v>150975</v>
      </c>
      <c r="C1091">
        <v>1256500</v>
      </c>
      <c r="D1091">
        <v>73619</v>
      </c>
      <c r="E1091">
        <v>323800</v>
      </c>
      <c r="F1091">
        <v>2335067</v>
      </c>
      <c r="G1091">
        <v>252500</v>
      </c>
      <c r="H1091">
        <v>2895949</v>
      </c>
      <c r="I1091">
        <v>83000</v>
      </c>
      <c r="J1091">
        <v>2885650</v>
      </c>
      <c r="K1091">
        <v>86500</v>
      </c>
    </row>
    <row r="1092" spans="1:11" x14ac:dyDescent="0.3">
      <c r="A1092" t="s">
        <v>1101</v>
      </c>
      <c r="B1092">
        <v>150975</v>
      </c>
      <c r="C1092">
        <v>1148700</v>
      </c>
      <c r="D1092">
        <v>78713</v>
      </c>
      <c r="E1092">
        <v>275500</v>
      </c>
      <c r="F1092">
        <v>2339374</v>
      </c>
      <c r="G1092">
        <v>190900</v>
      </c>
      <c r="H1092">
        <v>2900875</v>
      </c>
      <c r="I1092">
        <v>64400</v>
      </c>
      <c r="J1092">
        <v>2890908</v>
      </c>
      <c r="K1092">
        <v>71100</v>
      </c>
    </row>
    <row r="1093" spans="1:11" x14ac:dyDescent="0.3">
      <c r="A1093" t="s">
        <v>1102</v>
      </c>
      <c r="B1093">
        <v>150975</v>
      </c>
      <c r="C1093">
        <v>1052800</v>
      </c>
      <c r="D1093">
        <v>76847</v>
      </c>
      <c r="E1093">
        <v>267600</v>
      </c>
      <c r="F1093">
        <v>2343689</v>
      </c>
      <c r="G1093">
        <v>187700</v>
      </c>
      <c r="H1093">
        <v>2905818</v>
      </c>
      <c r="I1093">
        <v>59800</v>
      </c>
      <c r="J1093">
        <v>2896294</v>
      </c>
      <c r="K1093">
        <v>70900</v>
      </c>
    </row>
    <row r="1094" spans="1:11" x14ac:dyDescent="0.3">
      <c r="A1094" t="s">
        <v>1103</v>
      </c>
      <c r="B1094">
        <v>150975</v>
      </c>
      <c r="C1094">
        <v>1064200</v>
      </c>
      <c r="D1094">
        <v>74932</v>
      </c>
      <c r="E1094">
        <v>261800</v>
      </c>
      <c r="F1094">
        <v>2348022</v>
      </c>
      <c r="G1094">
        <v>194900</v>
      </c>
      <c r="H1094">
        <v>2911427</v>
      </c>
      <c r="I1094">
        <v>62500</v>
      </c>
      <c r="J1094">
        <v>2901398</v>
      </c>
      <c r="K1094">
        <v>70000</v>
      </c>
    </row>
    <row r="1095" spans="1:11" x14ac:dyDescent="0.3">
      <c r="A1095" t="s">
        <v>1104</v>
      </c>
      <c r="B1095">
        <v>150975</v>
      </c>
      <c r="C1095">
        <v>1050500</v>
      </c>
      <c r="D1095">
        <v>77298</v>
      </c>
      <c r="E1095">
        <v>281100</v>
      </c>
      <c r="F1095">
        <v>2352345</v>
      </c>
      <c r="G1095">
        <v>191400</v>
      </c>
      <c r="H1095">
        <v>2916734</v>
      </c>
      <c r="I1095">
        <v>63800</v>
      </c>
      <c r="J1095">
        <v>2906757</v>
      </c>
      <c r="K1095">
        <v>75100</v>
      </c>
    </row>
    <row r="1096" spans="1:11" x14ac:dyDescent="0.3">
      <c r="A1096" t="s">
        <v>1105</v>
      </c>
      <c r="B1096">
        <v>150975</v>
      </c>
      <c r="C1096">
        <v>1012600</v>
      </c>
      <c r="D1096">
        <v>75773</v>
      </c>
      <c r="E1096">
        <v>264900</v>
      </c>
      <c r="F1096">
        <v>2356669</v>
      </c>
      <c r="G1096">
        <v>276000</v>
      </c>
      <c r="H1096">
        <v>2922120</v>
      </c>
      <c r="I1096">
        <v>88500</v>
      </c>
      <c r="J1096">
        <v>2911953</v>
      </c>
      <c r="K1096">
        <v>90100</v>
      </c>
    </row>
    <row r="1097" spans="1:11" x14ac:dyDescent="0.3">
      <c r="A1097" t="s">
        <v>1106</v>
      </c>
      <c r="B1097">
        <v>150975</v>
      </c>
      <c r="C1097">
        <v>1088800</v>
      </c>
      <c r="D1097">
        <v>74437</v>
      </c>
      <c r="E1097">
        <v>265000</v>
      </c>
      <c r="F1097">
        <v>2360969</v>
      </c>
      <c r="G1097">
        <v>191400</v>
      </c>
      <c r="H1097">
        <v>2927352</v>
      </c>
      <c r="I1097">
        <v>64000</v>
      </c>
      <c r="J1097">
        <v>2917167</v>
      </c>
      <c r="K1097">
        <v>71000</v>
      </c>
    </row>
    <row r="1098" spans="1:11" x14ac:dyDescent="0.3">
      <c r="A1098" t="s">
        <v>1107</v>
      </c>
      <c r="B1098">
        <v>150975</v>
      </c>
      <c r="C1098">
        <v>1268400</v>
      </c>
      <c r="D1098">
        <v>78279</v>
      </c>
      <c r="E1098">
        <v>329300</v>
      </c>
      <c r="F1098">
        <v>2365300</v>
      </c>
      <c r="G1098">
        <v>200300</v>
      </c>
      <c r="H1098">
        <v>2932390</v>
      </c>
      <c r="I1098">
        <v>62800</v>
      </c>
      <c r="J1098">
        <v>2922510</v>
      </c>
      <c r="K1098">
        <v>71600</v>
      </c>
    </row>
    <row r="1099" spans="1:11" x14ac:dyDescent="0.3">
      <c r="A1099" t="s">
        <v>1108</v>
      </c>
      <c r="B1099">
        <v>150975</v>
      </c>
      <c r="C1099">
        <v>1314900</v>
      </c>
      <c r="D1099">
        <v>73928</v>
      </c>
      <c r="E1099">
        <v>357200</v>
      </c>
      <c r="F1099">
        <v>2369605</v>
      </c>
      <c r="G1099">
        <v>194500</v>
      </c>
      <c r="H1099">
        <v>2937432</v>
      </c>
      <c r="I1099">
        <v>71400</v>
      </c>
      <c r="J1099">
        <v>2927477</v>
      </c>
      <c r="K1099">
        <v>85300</v>
      </c>
    </row>
    <row r="1100" spans="1:11" x14ac:dyDescent="0.3">
      <c r="A1100" t="s">
        <v>1109</v>
      </c>
      <c r="B1100">
        <v>150975</v>
      </c>
      <c r="C1100">
        <v>1077300</v>
      </c>
      <c r="D1100">
        <v>75733</v>
      </c>
      <c r="E1100">
        <v>272400</v>
      </c>
      <c r="F1100">
        <v>2373941</v>
      </c>
      <c r="G1100">
        <v>189300</v>
      </c>
      <c r="H1100">
        <v>2942790</v>
      </c>
      <c r="I1100">
        <v>63200</v>
      </c>
      <c r="J1100">
        <v>2932743</v>
      </c>
      <c r="K1100">
        <v>73800</v>
      </c>
    </row>
    <row r="1101" spans="1:11" x14ac:dyDescent="0.3">
      <c r="A1101" t="s">
        <v>1110</v>
      </c>
      <c r="B1101">
        <v>150975</v>
      </c>
      <c r="C1101">
        <v>1065900</v>
      </c>
      <c r="D1101">
        <v>73245</v>
      </c>
      <c r="E1101">
        <v>256500</v>
      </c>
      <c r="F1101">
        <v>2378256</v>
      </c>
      <c r="G1101">
        <v>191700</v>
      </c>
      <c r="H1101">
        <v>2948144</v>
      </c>
      <c r="I1101">
        <v>62100</v>
      </c>
      <c r="J1101">
        <v>2938145</v>
      </c>
      <c r="K1101">
        <v>69900</v>
      </c>
    </row>
    <row r="1102" spans="1:11" x14ac:dyDescent="0.3">
      <c r="A1102" t="s">
        <v>1111</v>
      </c>
      <c r="B1102">
        <v>179700</v>
      </c>
      <c r="C1102">
        <v>1461200</v>
      </c>
      <c r="D1102">
        <v>89131</v>
      </c>
      <c r="E1102">
        <v>320300</v>
      </c>
      <c r="F1102">
        <v>2383056</v>
      </c>
      <c r="G1102">
        <v>211400</v>
      </c>
      <c r="H1102">
        <v>2954344</v>
      </c>
      <c r="I1102">
        <v>71100</v>
      </c>
      <c r="J1102">
        <v>2944498</v>
      </c>
      <c r="K1102">
        <v>80600</v>
      </c>
    </row>
    <row r="1103" spans="1:11" x14ac:dyDescent="0.3">
      <c r="A1103" t="s">
        <v>1112</v>
      </c>
      <c r="B1103">
        <v>179700</v>
      </c>
      <c r="C1103">
        <v>1664000</v>
      </c>
      <c r="D1103">
        <v>85639</v>
      </c>
      <c r="E1103">
        <v>360000</v>
      </c>
      <c r="F1103">
        <v>2387851</v>
      </c>
      <c r="G1103">
        <v>251800</v>
      </c>
      <c r="H1103">
        <v>2960503</v>
      </c>
      <c r="I1103">
        <v>75900</v>
      </c>
      <c r="J1103">
        <v>2950741</v>
      </c>
      <c r="K1103">
        <v>81300</v>
      </c>
    </row>
    <row r="1104" spans="1:11" x14ac:dyDescent="0.3">
      <c r="A1104" t="s">
        <v>1113</v>
      </c>
      <c r="B1104">
        <v>179700</v>
      </c>
      <c r="C1104">
        <v>1233600</v>
      </c>
      <c r="D1104">
        <v>90059</v>
      </c>
      <c r="E1104">
        <v>314600</v>
      </c>
      <c r="F1104">
        <v>2392638</v>
      </c>
      <c r="G1104">
        <v>219500</v>
      </c>
      <c r="H1104">
        <v>2966818</v>
      </c>
      <c r="I1104">
        <v>70300</v>
      </c>
      <c r="J1104">
        <v>2956922</v>
      </c>
      <c r="K1104">
        <v>82400</v>
      </c>
    </row>
    <row r="1105" spans="1:11" x14ac:dyDescent="0.3">
      <c r="A1105" t="s">
        <v>1114</v>
      </c>
      <c r="B1105">
        <v>179700</v>
      </c>
      <c r="C1105">
        <v>1250100</v>
      </c>
      <c r="D1105">
        <v>91776</v>
      </c>
      <c r="E1105">
        <v>321400</v>
      </c>
      <c r="F1105">
        <v>2397453</v>
      </c>
      <c r="G1105">
        <v>219200</v>
      </c>
      <c r="H1105">
        <v>2973360</v>
      </c>
      <c r="I1105">
        <v>69700</v>
      </c>
      <c r="J1105">
        <v>2962916</v>
      </c>
      <c r="K1105">
        <v>81200</v>
      </c>
    </row>
    <row r="1106" spans="1:11" x14ac:dyDescent="0.3">
      <c r="A1106" t="s">
        <v>1115</v>
      </c>
      <c r="B1106">
        <v>179700</v>
      </c>
      <c r="C1106">
        <v>1322800</v>
      </c>
      <c r="D1106">
        <v>86385</v>
      </c>
      <c r="E1106">
        <v>300600</v>
      </c>
      <c r="F1106">
        <v>2402247</v>
      </c>
      <c r="G1106">
        <v>212300</v>
      </c>
      <c r="H1106">
        <v>2979409</v>
      </c>
      <c r="I1106">
        <v>71000</v>
      </c>
      <c r="J1106">
        <v>2968581</v>
      </c>
      <c r="K1106">
        <v>77000</v>
      </c>
    </row>
    <row r="1107" spans="1:11" x14ac:dyDescent="0.3">
      <c r="A1107" t="s">
        <v>1116</v>
      </c>
      <c r="B1107">
        <v>179700</v>
      </c>
      <c r="C1107">
        <v>1294100</v>
      </c>
      <c r="D1107">
        <v>88176</v>
      </c>
      <c r="E1107">
        <v>310800</v>
      </c>
      <c r="F1107">
        <v>2407035</v>
      </c>
      <c r="G1107">
        <v>209100</v>
      </c>
      <c r="H1107">
        <v>2985303</v>
      </c>
      <c r="I1107">
        <v>68700</v>
      </c>
      <c r="J1107">
        <v>2975013</v>
      </c>
      <c r="K1107">
        <v>78300</v>
      </c>
    </row>
    <row r="1108" spans="1:11" x14ac:dyDescent="0.3">
      <c r="A1108" t="s">
        <v>1117</v>
      </c>
      <c r="B1108">
        <v>179700</v>
      </c>
      <c r="C1108">
        <v>1315400</v>
      </c>
      <c r="D1108">
        <v>84947</v>
      </c>
      <c r="E1108">
        <v>308700</v>
      </c>
      <c r="F1108">
        <v>2411824</v>
      </c>
      <c r="G1108">
        <v>209600</v>
      </c>
      <c r="H1108">
        <v>2991310</v>
      </c>
      <c r="I1108">
        <v>68700</v>
      </c>
      <c r="J1108">
        <v>2980727</v>
      </c>
      <c r="K1108">
        <v>75600</v>
      </c>
    </row>
    <row r="1109" spans="1:11" x14ac:dyDescent="0.3">
      <c r="A1109" t="s">
        <v>1118</v>
      </c>
      <c r="B1109">
        <v>179700</v>
      </c>
      <c r="C1109">
        <v>1379100</v>
      </c>
      <c r="D1109">
        <v>87684</v>
      </c>
      <c r="E1109">
        <v>305200</v>
      </c>
      <c r="F1109">
        <v>2416595</v>
      </c>
      <c r="G1109">
        <v>213200</v>
      </c>
      <c r="H1109">
        <v>2996946</v>
      </c>
      <c r="I1109">
        <v>70100</v>
      </c>
      <c r="J1109">
        <v>2986697</v>
      </c>
      <c r="K1109">
        <v>75100</v>
      </c>
    </row>
    <row r="1110" spans="1:11" x14ac:dyDescent="0.3">
      <c r="A1110" t="s">
        <v>1119</v>
      </c>
      <c r="B1110">
        <v>179700</v>
      </c>
      <c r="C1110">
        <v>1300300</v>
      </c>
      <c r="D1110">
        <v>89740</v>
      </c>
      <c r="E1110">
        <v>322700</v>
      </c>
      <c r="F1110">
        <v>2421373</v>
      </c>
      <c r="G1110">
        <v>222200</v>
      </c>
      <c r="H1110">
        <v>3002559</v>
      </c>
      <c r="I1110">
        <v>69100</v>
      </c>
      <c r="J1110">
        <v>2993036</v>
      </c>
      <c r="K1110">
        <v>77800</v>
      </c>
    </row>
    <row r="1111" spans="1:11" x14ac:dyDescent="0.3">
      <c r="A1111" t="s">
        <v>1120</v>
      </c>
      <c r="B1111">
        <v>179700</v>
      </c>
      <c r="C1111">
        <v>1393700</v>
      </c>
      <c r="D1111">
        <v>91042</v>
      </c>
      <c r="E1111">
        <v>316800</v>
      </c>
      <c r="F1111">
        <v>2426166</v>
      </c>
      <c r="G1111">
        <v>212100</v>
      </c>
      <c r="H1111">
        <v>3008370</v>
      </c>
      <c r="I1111">
        <v>69800</v>
      </c>
      <c r="J1111">
        <v>2998873</v>
      </c>
      <c r="K1111">
        <v>78600</v>
      </c>
    </row>
    <row r="1112" spans="1:11" x14ac:dyDescent="0.3">
      <c r="A1112" t="s">
        <v>1121</v>
      </c>
      <c r="B1112">
        <v>179700</v>
      </c>
      <c r="C1112">
        <v>1301400</v>
      </c>
      <c r="D1112">
        <v>95267</v>
      </c>
      <c r="E1112">
        <v>393500</v>
      </c>
      <c r="F1112">
        <v>2430977</v>
      </c>
      <c r="G1112">
        <v>210000</v>
      </c>
      <c r="H1112">
        <v>3013881</v>
      </c>
      <c r="I1112">
        <v>70800</v>
      </c>
      <c r="J1112">
        <v>3004512</v>
      </c>
      <c r="K1112">
        <v>75900</v>
      </c>
    </row>
    <row r="1113" spans="1:11" x14ac:dyDescent="0.3">
      <c r="A1113" t="s">
        <v>1122</v>
      </c>
      <c r="B1113">
        <v>179700</v>
      </c>
      <c r="C1113">
        <v>1273800</v>
      </c>
      <c r="D1113">
        <v>92051</v>
      </c>
      <c r="E1113">
        <v>327700</v>
      </c>
      <c r="F1113">
        <v>2435777</v>
      </c>
      <c r="G1113">
        <v>211400</v>
      </c>
      <c r="H1113">
        <v>3019655</v>
      </c>
      <c r="I1113">
        <v>69200</v>
      </c>
      <c r="J1113">
        <v>3010251</v>
      </c>
      <c r="K1113">
        <v>77700</v>
      </c>
    </row>
    <row r="1114" spans="1:11" x14ac:dyDescent="0.3">
      <c r="A1114" t="s">
        <v>1123</v>
      </c>
      <c r="B1114">
        <v>179700</v>
      </c>
      <c r="C1114">
        <v>1312700</v>
      </c>
      <c r="D1114">
        <v>94888</v>
      </c>
      <c r="E1114">
        <v>329800</v>
      </c>
      <c r="F1114">
        <v>2440565</v>
      </c>
      <c r="G1114">
        <v>208400</v>
      </c>
      <c r="H1114">
        <v>3025534</v>
      </c>
      <c r="I1114">
        <v>71100</v>
      </c>
      <c r="J1114">
        <v>3015865</v>
      </c>
      <c r="K1114">
        <v>78800</v>
      </c>
    </row>
    <row r="1115" spans="1:11" x14ac:dyDescent="0.3">
      <c r="A1115" t="s">
        <v>1124</v>
      </c>
      <c r="B1115">
        <v>179700</v>
      </c>
      <c r="C1115">
        <v>1293200</v>
      </c>
      <c r="D1115">
        <v>90333</v>
      </c>
      <c r="E1115">
        <v>325500</v>
      </c>
      <c r="F1115">
        <v>2445370</v>
      </c>
      <c r="G1115">
        <v>224200</v>
      </c>
      <c r="H1115">
        <v>3031540</v>
      </c>
      <c r="I1115">
        <v>71000</v>
      </c>
      <c r="J1115">
        <v>3021439</v>
      </c>
      <c r="K1115">
        <v>79200</v>
      </c>
    </row>
    <row r="1116" spans="1:11" x14ac:dyDescent="0.3">
      <c r="A1116" t="s">
        <v>1125</v>
      </c>
      <c r="B1116">
        <v>179700</v>
      </c>
      <c r="C1116">
        <v>1550500</v>
      </c>
      <c r="D1116">
        <v>93259</v>
      </c>
      <c r="E1116">
        <v>329900</v>
      </c>
      <c r="F1116">
        <v>2450165</v>
      </c>
      <c r="G1116">
        <v>213000</v>
      </c>
      <c r="H1116">
        <v>3037770</v>
      </c>
      <c r="I1116">
        <v>70800</v>
      </c>
      <c r="J1116">
        <v>3027185</v>
      </c>
      <c r="K1116">
        <v>79800</v>
      </c>
    </row>
    <row r="1117" spans="1:11" x14ac:dyDescent="0.3">
      <c r="A1117" t="s">
        <v>1126</v>
      </c>
      <c r="B1117">
        <v>179700</v>
      </c>
      <c r="C1117">
        <v>1428700</v>
      </c>
      <c r="D1117">
        <v>90517</v>
      </c>
      <c r="E1117">
        <v>323500</v>
      </c>
      <c r="F1117">
        <v>2454960</v>
      </c>
      <c r="G1117">
        <v>212900</v>
      </c>
      <c r="H1117">
        <v>3043356</v>
      </c>
      <c r="I1117">
        <v>70200</v>
      </c>
      <c r="J1117">
        <v>3034721</v>
      </c>
      <c r="K1117">
        <v>83700</v>
      </c>
    </row>
    <row r="1118" spans="1:11" x14ac:dyDescent="0.3">
      <c r="A1118" t="s">
        <v>1127</v>
      </c>
      <c r="B1118">
        <v>179700</v>
      </c>
      <c r="C1118">
        <v>1493900</v>
      </c>
      <c r="D1118">
        <v>87680</v>
      </c>
      <c r="E1118">
        <v>349000</v>
      </c>
      <c r="F1118">
        <v>2459752</v>
      </c>
      <c r="G1118">
        <v>215900</v>
      </c>
      <c r="H1118">
        <v>3048935</v>
      </c>
      <c r="I1118">
        <v>68900</v>
      </c>
      <c r="J1118">
        <v>3041033</v>
      </c>
      <c r="K1118">
        <v>81200</v>
      </c>
    </row>
    <row r="1119" spans="1:11" x14ac:dyDescent="0.3">
      <c r="A1119" t="s">
        <v>1128</v>
      </c>
      <c r="B1119">
        <v>179700</v>
      </c>
      <c r="C1119">
        <v>1284800</v>
      </c>
      <c r="D1119">
        <v>92546</v>
      </c>
      <c r="E1119">
        <v>327000</v>
      </c>
      <c r="F1119">
        <v>2464569</v>
      </c>
      <c r="G1119">
        <v>208900</v>
      </c>
      <c r="H1119">
        <v>3055108</v>
      </c>
      <c r="I1119">
        <v>67500</v>
      </c>
      <c r="J1119">
        <v>3046658</v>
      </c>
      <c r="K1119">
        <v>78100</v>
      </c>
    </row>
    <row r="1120" spans="1:11" x14ac:dyDescent="0.3">
      <c r="A1120" t="s">
        <v>1129</v>
      </c>
      <c r="B1120">
        <v>179700</v>
      </c>
      <c r="C1120">
        <v>1607200</v>
      </c>
      <c r="D1120">
        <v>88167</v>
      </c>
      <c r="E1120">
        <v>421100</v>
      </c>
      <c r="F1120">
        <v>2469375</v>
      </c>
      <c r="G1120">
        <v>252700</v>
      </c>
      <c r="H1120">
        <v>3061892</v>
      </c>
      <c r="I1120">
        <v>74300</v>
      </c>
      <c r="J1120">
        <v>3052720</v>
      </c>
      <c r="K1120">
        <v>78000</v>
      </c>
    </row>
    <row r="1121" spans="1:11" x14ac:dyDescent="0.3">
      <c r="A1121" t="s">
        <v>1130</v>
      </c>
      <c r="B1121">
        <v>179700</v>
      </c>
      <c r="C1121">
        <v>1523100</v>
      </c>
      <c r="D1121">
        <v>89553</v>
      </c>
      <c r="E1121">
        <v>352200</v>
      </c>
      <c r="F1121">
        <v>2474168</v>
      </c>
      <c r="G1121">
        <v>237500</v>
      </c>
      <c r="H1121">
        <v>3067564</v>
      </c>
      <c r="I1121">
        <v>78300</v>
      </c>
      <c r="J1121">
        <v>3058555</v>
      </c>
      <c r="K1121">
        <v>89000</v>
      </c>
    </row>
    <row r="1122" spans="1:11" x14ac:dyDescent="0.3">
      <c r="A1122" t="s">
        <v>1131</v>
      </c>
      <c r="B1122">
        <v>179700</v>
      </c>
      <c r="C1122">
        <v>1255500</v>
      </c>
      <c r="D1122">
        <v>91247</v>
      </c>
      <c r="E1122">
        <v>325700</v>
      </c>
      <c r="F1122">
        <v>2478948</v>
      </c>
      <c r="G1122">
        <v>247800</v>
      </c>
      <c r="H1122">
        <v>3073660</v>
      </c>
      <c r="I1122">
        <v>69100</v>
      </c>
      <c r="J1122">
        <v>3064941</v>
      </c>
      <c r="K1122">
        <v>81100</v>
      </c>
    </row>
    <row r="1123" spans="1:11" x14ac:dyDescent="0.3">
      <c r="A1123" t="s">
        <v>1132</v>
      </c>
      <c r="B1123">
        <v>179700</v>
      </c>
      <c r="C1123">
        <v>1325500</v>
      </c>
      <c r="D1123">
        <v>89658</v>
      </c>
      <c r="E1123">
        <v>313600</v>
      </c>
      <c r="F1123">
        <v>2483730</v>
      </c>
      <c r="G1123">
        <v>210000</v>
      </c>
      <c r="H1123">
        <v>3079853</v>
      </c>
      <c r="I1123">
        <v>71400</v>
      </c>
      <c r="J1123">
        <v>3070643</v>
      </c>
      <c r="K1123">
        <v>77700</v>
      </c>
    </row>
    <row r="1124" spans="1:11" x14ac:dyDescent="0.3">
      <c r="A1124" t="s">
        <v>1133</v>
      </c>
      <c r="B1124">
        <v>179700</v>
      </c>
      <c r="C1124">
        <v>1333400</v>
      </c>
      <c r="D1124">
        <v>86116</v>
      </c>
      <c r="E1124">
        <v>299700</v>
      </c>
      <c r="F1124">
        <v>2488536</v>
      </c>
      <c r="G1124">
        <v>207200</v>
      </c>
      <c r="H1124">
        <v>3085844</v>
      </c>
      <c r="I1124">
        <v>68100</v>
      </c>
      <c r="J1124">
        <v>3076448</v>
      </c>
      <c r="K1124">
        <v>75800</v>
      </c>
    </row>
    <row r="1125" spans="1:11" x14ac:dyDescent="0.3">
      <c r="A1125" t="s">
        <v>1134</v>
      </c>
      <c r="B1125">
        <v>179700</v>
      </c>
      <c r="C1125">
        <v>1772000</v>
      </c>
      <c r="D1125">
        <v>91006</v>
      </c>
      <c r="E1125">
        <v>505200</v>
      </c>
      <c r="F1125">
        <v>2493322</v>
      </c>
      <c r="G1125">
        <v>216900</v>
      </c>
      <c r="H1125">
        <v>3091196</v>
      </c>
      <c r="I1125">
        <v>70400</v>
      </c>
      <c r="J1125">
        <v>3082477</v>
      </c>
      <c r="K1125">
        <v>78900</v>
      </c>
    </row>
    <row r="1126" spans="1:11" x14ac:dyDescent="0.3">
      <c r="A1126" t="s">
        <v>1135</v>
      </c>
      <c r="B1126">
        <v>179700</v>
      </c>
      <c r="C1126">
        <v>1263700</v>
      </c>
      <c r="D1126">
        <v>93522</v>
      </c>
      <c r="E1126">
        <v>324600</v>
      </c>
      <c r="F1126">
        <v>2498092</v>
      </c>
      <c r="G1126">
        <v>210900</v>
      </c>
      <c r="H1126">
        <v>3096916</v>
      </c>
      <c r="I1126">
        <v>69000</v>
      </c>
      <c r="J1126">
        <v>3088538</v>
      </c>
      <c r="K1126">
        <v>78000</v>
      </c>
    </row>
    <row r="1127" spans="1:11" x14ac:dyDescent="0.3">
      <c r="A1127" t="s">
        <v>1136</v>
      </c>
      <c r="B1127">
        <v>179700</v>
      </c>
      <c r="C1127">
        <v>1558800</v>
      </c>
      <c r="D1127">
        <v>94238</v>
      </c>
      <c r="E1127">
        <v>587800</v>
      </c>
      <c r="F1127">
        <v>2502905</v>
      </c>
      <c r="G1127">
        <v>327100</v>
      </c>
      <c r="H1127">
        <v>3102887</v>
      </c>
      <c r="I1127">
        <v>96000</v>
      </c>
      <c r="J1127">
        <v>3094841</v>
      </c>
      <c r="K1127">
        <v>111700</v>
      </c>
    </row>
    <row r="1128" spans="1:11" x14ac:dyDescent="0.3">
      <c r="A1128" t="s">
        <v>1137</v>
      </c>
      <c r="B1128">
        <v>179700</v>
      </c>
      <c r="C1128">
        <v>1307200</v>
      </c>
      <c r="D1128">
        <v>88855</v>
      </c>
      <c r="E1128">
        <v>311000</v>
      </c>
      <c r="F1128">
        <v>2507696</v>
      </c>
      <c r="G1128">
        <v>214700</v>
      </c>
      <c r="H1128">
        <v>3109230</v>
      </c>
      <c r="I1128">
        <v>67800</v>
      </c>
      <c r="J1128">
        <v>3100768</v>
      </c>
      <c r="K1128">
        <v>80000</v>
      </c>
    </row>
    <row r="1129" spans="1:11" x14ac:dyDescent="0.3">
      <c r="A1129" t="s">
        <v>1138</v>
      </c>
      <c r="B1129">
        <v>179700</v>
      </c>
      <c r="C1129">
        <v>1279500</v>
      </c>
      <c r="D1129">
        <v>90776</v>
      </c>
      <c r="E1129">
        <v>314800</v>
      </c>
      <c r="F1129">
        <v>2512481</v>
      </c>
      <c r="G1129">
        <v>212900</v>
      </c>
      <c r="H1129">
        <v>3116333</v>
      </c>
      <c r="I1129">
        <v>73900</v>
      </c>
      <c r="J1129">
        <v>3106497</v>
      </c>
      <c r="K1129">
        <v>75500</v>
      </c>
    </row>
    <row r="1130" spans="1:11" x14ac:dyDescent="0.3">
      <c r="A1130" t="s">
        <v>1139</v>
      </c>
      <c r="B1130">
        <v>179700</v>
      </c>
      <c r="C1130">
        <v>1418600</v>
      </c>
      <c r="D1130">
        <v>93769</v>
      </c>
      <c r="E1130">
        <v>326500</v>
      </c>
      <c r="F1130">
        <v>2517267</v>
      </c>
      <c r="G1130">
        <v>218000</v>
      </c>
      <c r="H1130">
        <v>3122048</v>
      </c>
      <c r="I1130">
        <v>67100</v>
      </c>
      <c r="J1130">
        <v>3112319</v>
      </c>
      <c r="K1130">
        <v>77200</v>
      </c>
    </row>
    <row r="1131" spans="1:11" x14ac:dyDescent="0.3">
      <c r="A1131" t="s">
        <v>1140</v>
      </c>
      <c r="B1131">
        <v>179700</v>
      </c>
      <c r="C1131">
        <v>1270200</v>
      </c>
      <c r="D1131">
        <v>90403</v>
      </c>
      <c r="E1131">
        <v>315800</v>
      </c>
      <c r="F1131">
        <v>2522066</v>
      </c>
      <c r="G1131">
        <v>211700</v>
      </c>
      <c r="H1131">
        <v>3127886</v>
      </c>
      <c r="I1131">
        <v>69900</v>
      </c>
      <c r="J1131">
        <v>3118100</v>
      </c>
      <c r="K1131">
        <v>77000</v>
      </c>
    </row>
    <row r="1132" spans="1:11" x14ac:dyDescent="0.3">
      <c r="A1132" t="s">
        <v>1141</v>
      </c>
      <c r="B1132">
        <v>179700</v>
      </c>
      <c r="C1132">
        <v>1285300</v>
      </c>
      <c r="D1132">
        <v>91613</v>
      </c>
      <c r="E1132">
        <v>322200</v>
      </c>
      <c r="F1132">
        <v>2526877</v>
      </c>
      <c r="G1132">
        <v>209900</v>
      </c>
      <c r="H1132">
        <v>3134005</v>
      </c>
      <c r="I1132">
        <v>71200</v>
      </c>
      <c r="J1132">
        <v>3124079</v>
      </c>
      <c r="K1132">
        <v>76600</v>
      </c>
    </row>
    <row r="1133" spans="1:11" x14ac:dyDescent="0.3">
      <c r="A1133" t="s">
        <v>1142</v>
      </c>
      <c r="B1133">
        <v>179700</v>
      </c>
      <c r="C1133">
        <v>1614400</v>
      </c>
      <c r="D1133">
        <v>90752</v>
      </c>
      <c r="E1133">
        <v>322000</v>
      </c>
      <c r="F1133">
        <v>2531663</v>
      </c>
      <c r="G1133">
        <v>216900</v>
      </c>
      <c r="H1133">
        <v>3139898</v>
      </c>
      <c r="I1133">
        <v>70700</v>
      </c>
      <c r="J1133">
        <v>3130218</v>
      </c>
      <c r="K1133">
        <v>94700</v>
      </c>
    </row>
    <row r="1134" spans="1:11" x14ac:dyDescent="0.3">
      <c r="A1134" t="s">
        <v>1143</v>
      </c>
      <c r="B1134">
        <v>179700</v>
      </c>
      <c r="C1134">
        <v>1590300</v>
      </c>
      <c r="D1134">
        <v>88784</v>
      </c>
      <c r="E1134">
        <v>376800</v>
      </c>
      <c r="F1134">
        <v>2536475</v>
      </c>
      <c r="G1134">
        <v>213100</v>
      </c>
      <c r="H1134">
        <v>3145911</v>
      </c>
      <c r="I1134">
        <v>69500</v>
      </c>
      <c r="J1134">
        <v>3136022</v>
      </c>
      <c r="K1134">
        <v>78700</v>
      </c>
    </row>
    <row r="1135" spans="1:11" x14ac:dyDescent="0.3">
      <c r="A1135" t="s">
        <v>1144</v>
      </c>
      <c r="B1135">
        <v>179700</v>
      </c>
      <c r="C1135">
        <v>1810000</v>
      </c>
      <c r="D1135">
        <v>85910</v>
      </c>
      <c r="E1135">
        <v>360900</v>
      </c>
      <c r="F1135">
        <v>2541262</v>
      </c>
      <c r="G1135">
        <v>259300</v>
      </c>
      <c r="H1135">
        <v>3151560</v>
      </c>
      <c r="I1135">
        <v>85600</v>
      </c>
      <c r="J1135">
        <v>3141601</v>
      </c>
      <c r="K1135">
        <v>128400</v>
      </c>
    </row>
    <row r="1136" spans="1:11" x14ac:dyDescent="0.3">
      <c r="A1136" t="s">
        <v>1145</v>
      </c>
      <c r="B1136">
        <v>179700</v>
      </c>
      <c r="C1136">
        <v>1295000</v>
      </c>
      <c r="D1136">
        <v>92269</v>
      </c>
      <c r="E1136">
        <v>356200</v>
      </c>
      <c r="F1136">
        <v>2546065</v>
      </c>
      <c r="G1136">
        <v>215300</v>
      </c>
      <c r="H1136">
        <v>3157047</v>
      </c>
      <c r="I1136">
        <v>70500</v>
      </c>
      <c r="J1136">
        <v>3147915</v>
      </c>
      <c r="K1136">
        <v>76400</v>
      </c>
    </row>
    <row r="1137" spans="1:11" x14ac:dyDescent="0.3">
      <c r="A1137" t="s">
        <v>1146</v>
      </c>
      <c r="B1137">
        <v>179700</v>
      </c>
      <c r="C1137">
        <v>1237500</v>
      </c>
      <c r="D1137">
        <v>88964</v>
      </c>
      <c r="E1137">
        <v>320300</v>
      </c>
      <c r="F1137">
        <v>2550845</v>
      </c>
      <c r="G1137">
        <v>292500</v>
      </c>
      <c r="H1137">
        <v>3162462</v>
      </c>
      <c r="I1137">
        <v>107000</v>
      </c>
      <c r="J1137">
        <v>3154072</v>
      </c>
      <c r="K1137">
        <v>87700</v>
      </c>
    </row>
    <row r="1138" spans="1:11" x14ac:dyDescent="0.3">
      <c r="A1138" t="s">
        <v>1147</v>
      </c>
      <c r="B1138">
        <v>179700</v>
      </c>
      <c r="C1138">
        <v>1261700</v>
      </c>
      <c r="D1138">
        <v>88918</v>
      </c>
      <c r="E1138">
        <v>309700</v>
      </c>
      <c r="F1138">
        <v>2555630</v>
      </c>
      <c r="G1138">
        <v>211700</v>
      </c>
      <c r="H1138">
        <v>3170091</v>
      </c>
      <c r="I1138">
        <v>68200</v>
      </c>
      <c r="J1138">
        <v>3159517</v>
      </c>
      <c r="K1138">
        <v>76300</v>
      </c>
    </row>
    <row r="1139" spans="1:11" x14ac:dyDescent="0.3">
      <c r="A1139" t="s">
        <v>1148</v>
      </c>
      <c r="B1139">
        <v>179700</v>
      </c>
      <c r="C1139">
        <v>1194700</v>
      </c>
      <c r="D1139">
        <v>92331</v>
      </c>
      <c r="E1139">
        <v>320900</v>
      </c>
      <c r="F1139">
        <v>2560419</v>
      </c>
      <c r="G1139">
        <v>217300</v>
      </c>
      <c r="H1139">
        <v>3175985</v>
      </c>
      <c r="I1139">
        <v>71500</v>
      </c>
      <c r="J1139">
        <v>3164830</v>
      </c>
      <c r="K1139">
        <v>79000</v>
      </c>
    </row>
    <row r="1140" spans="1:11" x14ac:dyDescent="0.3">
      <c r="A1140" t="s">
        <v>1149</v>
      </c>
      <c r="B1140">
        <v>179700</v>
      </c>
      <c r="C1140">
        <v>1349200</v>
      </c>
      <c r="D1140">
        <v>89809</v>
      </c>
      <c r="E1140">
        <v>323600</v>
      </c>
      <c r="F1140">
        <v>2565223</v>
      </c>
      <c r="G1140">
        <v>206500</v>
      </c>
      <c r="H1140">
        <v>3181856</v>
      </c>
      <c r="I1140">
        <v>70100</v>
      </c>
      <c r="J1140">
        <v>3171056</v>
      </c>
      <c r="K1140">
        <v>79000</v>
      </c>
    </row>
    <row r="1141" spans="1:11" x14ac:dyDescent="0.3">
      <c r="A1141" t="s">
        <v>1150</v>
      </c>
      <c r="B1141">
        <v>179700</v>
      </c>
      <c r="C1141">
        <v>1364700</v>
      </c>
      <c r="D1141">
        <v>88290</v>
      </c>
      <c r="E1141">
        <v>306900</v>
      </c>
      <c r="F1141">
        <v>2570020</v>
      </c>
      <c r="G1141">
        <v>211500</v>
      </c>
      <c r="H1141">
        <v>3187770</v>
      </c>
      <c r="I1141">
        <v>69800</v>
      </c>
      <c r="J1141">
        <v>3176754</v>
      </c>
      <c r="K1141">
        <v>77100</v>
      </c>
    </row>
    <row r="1142" spans="1:11" x14ac:dyDescent="0.3">
      <c r="A1142" t="s">
        <v>1151</v>
      </c>
      <c r="B1142">
        <v>179700</v>
      </c>
      <c r="C1142">
        <v>1344600</v>
      </c>
      <c r="D1142">
        <v>88125</v>
      </c>
      <c r="E1142">
        <v>307700</v>
      </c>
      <c r="F1142">
        <v>2574804</v>
      </c>
      <c r="G1142">
        <v>211500</v>
      </c>
      <c r="H1142">
        <v>3193647</v>
      </c>
      <c r="I1142">
        <v>69400</v>
      </c>
      <c r="J1142">
        <v>3182591</v>
      </c>
      <c r="K1142">
        <v>77600</v>
      </c>
    </row>
    <row r="1143" spans="1:11" x14ac:dyDescent="0.3">
      <c r="A1143" t="s">
        <v>1152</v>
      </c>
      <c r="B1143">
        <v>179700</v>
      </c>
      <c r="C1143">
        <v>1281800</v>
      </c>
      <c r="D1143">
        <v>93679</v>
      </c>
      <c r="E1143">
        <v>336500</v>
      </c>
      <c r="F1143">
        <v>2579579</v>
      </c>
      <c r="G1143">
        <v>216400</v>
      </c>
      <c r="H1143">
        <v>3199402</v>
      </c>
      <c r="I1143">
        <v>71300</v>
      </c>
      <c r="J1143">
        <v>3188914</v>
      </c>
      <c r="K1143">
        <v>79200</v>
      </c>
    </row>
    <row r="1144" spans="1:11" x14ac:dyDescent="0.3">
      <c r="A1144" t="s">
        <v>1153</v>
      </c>
      <c r="B1144">
        <v>179700</v>
      </c>
      <c r="C1144">
        <v>1222300</v>
      </c>
      <c r="D1144">
        <v>88818</v>
      </c>
      <c r="E1144">
        <v>309000</v>
      </c>
      <c r="F1144">
        <v>2584355</v>
      </c>
      <c r="G1144">
        <v>209800</v>
      </c>
      <c r="H1144">
        <v>3205143</v>
      </c>
      <c r="I1144">
        <v>68700</v>
      </c>
      <c r="J1144">
        <v>3194587</v>
      </c>
      <c r="K1144">
        <v>79600</v>
      </c>
    </row>
    <row r="1145" spans="1:11" x14ac:dyDescent="0.3">
      <c r="A1145" t="s">
        <v>1154</v>
      </c>
      <c r="B1145">
        <v>179700</v>
      </c>
      <c r="C1145">
        <v>1467600</v>
      </c>
      <c r="D1145">
        <v>86512</v>
      </c>
      <c r="E1145">
        <v>306600</v>
      </c>
      <c r="F1145">
        <v>2589147</v>
      </c>
      <c r="G1145">
        <v>210300</v>
      </c>
      <c r="H1145">
        <v>3210837</v>
      </c>
      <c r="I1145">
        <v>70500</v>
      </c>
      <c r="J1145">
        <v>3200471</v>
      </c>
      <c r="K1145">
        <v>78400</v>
      </c>
    </row>
    <row r="1146" spans="1:11" x14ac:dyDescent="0.3">
      <c r="A1146" t="s">
        <v>1155</v>
      </c>
      <c r="B1146">
        <v>179700</v>
      </c>
      <c r="C1146">
        <v>1279000</v>
      </c>
      <c r="D1146">
        <v>92629</v>
      </c>
      <c r="E1146">
        <v>321600</v>
      </c>
      <c r="F1146">
        <v>2593941</v>
      </c>
      <c r="G1146">
        <v>210100</v>
      </c>
      <c r="H1146">
        <v>3216548</v>
      </c>
      <c r="I1146">
        <v>69200</v>
      </c>
      <c r="J1146">
        <v>3206037</v>
      </c>
      <c r="K1146">
        <v>78300</v>
      </c>
    </row>
    <row r="1147" spans="1:11" x14ac:dyDescent="0.3">
      <c r="A1147" t="s">
        <v>1156</v>
      </c>
      <c r="B1147">
        <v>179700</v>
      </c>
      <c r="C1147">
        <v>1405300</v>
      </c>
      <c r="D1147">
        <v>88176</v>
      </c>
      <c r="E1147">
        <v>314000</v>
      </c>
      <c r="F1147">
        <v>2598722</v>
      </c>
      <c r="G1147">
        <v>211700</v>
      </c>
      <c r="H1147">
        <v>3222231</v>
      </c>
      <c r="I1147">
        <v>71500</v>
      </c>
      <c r="J1147">
        <v>3211711</v>
      </c>
      <c r="K1147">
        <v>79700</v>
      </c>
    </row>
    <row r="1148" spans="1:11" x14ac:dyDescent="0.3">
      <c r="A1148" t="s">
        <v>1157</v>
      </c>
      <c r="B1148">
        <v>179700</v>
      </c>
      <c r="C1148">
        <v>1316900</v>
      </c>
      <c r="D1148">
        <v>90763</v>
      </c>
      <c r="E1148">
        <v>317100</v>
      </c>
      <c r="F1148">
        <v>2603523</v>
      </c>
      <c r="G1148">
        <v>213200</v>
      </c>
      <c r="H1148">
        <v>3228667</v>
      </c>
      <c r="I1148">
        <v>79400</v>
      </c>
      <c r="J1148">
        <v>3217608</v>
      </c>
      <c r="K1148">
        <v>77900</v>
      </c>
    </row>
    <row r="1149" spans="1:11" x14ac:dyDescent="0.3">
      <c r="A1149" t="s">
        <v>1158</v>
      </c>
      <c r="B1149">
        <v>179700</v>
      </c>
      <c r="C1149">
        <v>1326200</v>
      </c>
      <c r="D1149">
        <v>84650</v>
      </c>
      <c r="E1149">
        <v>296000</v>
      </c>
      <c r="F1149">
        <v>2608299</v>
      </c>
      <c r="G1149">
        <v>220700</v>
      </c>
      <c r="H1149">
        <v>3234644</v>
      </c>
      <c r="I1149">
        <v>71400</v>
      </c>
      <c r="J1149">
        <v>3223632</v>
      </c>
      <c r="K1149">
        <v>78400</v>
      </c>
    </row>
    <row r="1150" spans="1:11" x14ac:dyDescent="0.3">
      <c r="A1150" t="s">
        <v>1159</v>
      </c>
      <c r="B1150">
        <v>179700</v>
      </c>
      <c r="C1150">
        <v>1640000</v>
      </c>
      <c r="D1150">
        <v>89226</v>
      </c>
      <c r="E1150">
        <v>403400</v>
      </c>
      <c r="F1150">
        <v>2613093</v>
      </c>
      <c r="G1150">
        <v>213400</v>
      </c>
      <c r="H1150">
        <v>3241544</v>
      </c>
      <c r="I1150">
        <v>71600</v>
      </c>
      <c r="J1150">
        <v>3229466</v>
      </c>
      <c r="K1150">
        <v>78500</v>
      </c>
    </row>
    <row r="1151" spans="1:11" x14ac:dyDescent="0.3">
      <c r="A1151" t="s">
        <v>1160</v>
      </c>
      <c r="B1151">
        <v>179700</v>
      </c>
      <c r="C1151">
        <v>1597600</v>
      </c>
      <c r="D1151">
        <v>92533</v>
      </c>
      <c r="E1151">
        <v>439400</v>
      </c>
      <c r="F1151">
        <v>2617870</v>
      </c>
      <c r="G1151">
        <v>283200</v>
      </c>
      <c r="H1151">
        <v>3247439</v>
      </c>
      <c r="I1151">
        <v>79600</v>
      </c>
      <c r="J1151">
        <v>3235580</v>
      </c>
      <c r="K1151">
        <v>80600</v>
      </c>
    </row>
    <row r="1152" spans="1:11" x14ac:dyDescent="0.3">
      <c r="A1152" t="s">
        <v>1161</v>
      </c>
      <c r="B1152">
        <v>179700</v>
      </c>
      <c r="C1152">
        <v>1602600</v>
      </c>
      <c r="D1152">
        <v>87373</v>
      </c>
      <c r="E1152">
        <v>503500</v>
      </c>
      <c r="F1152">
        <v>2622673</v>
      </c>
      <c r="G1152">
        <v>295200</v>
      </c>
      <c r="H1152">
        <v>3253454</v>
      </c>
      <c r="I1152">
        <v>93400</v>
      </c>
      <c r="J1152">
        <v>3241925</v>
      </c>
      <c r="K1152">
        <v>105600</v>
      </c>
    </row>
    <row r="1153" spans="1:11" x14ac:dyDescent="0.3">
      <c r="A1153" t="s">
        <v>1162</v>
      </c>
      <c r="B1153">
        <v>179700</v>
      </c>
      <c r="C1153">
        <v>1394100</v>
      </c>
      <c r="D1153">
        <v>90179</v>
      </c>
      <c r="E1153">
        <v>324200</v>
      </c>
      <c r="F1153">
        <v>2627468</v>
      </c>
      <c r="G1153">
        <v>212200</v>
      </c>
      <c r="H1153">
        <v>3260360</v>
      </c>
      <c r="I1153">
        <v>77700</v>
      </c>
      <c r="J1153">
        <v>3248007</v>
      </c>
      <c r="K1153">
        <v>81800</v>
      </c>
    </row>
    <row r="1154" spans="1:11" x14ac:dyDescent="0.3">
      <c r="A1154" t="s">
        <v>1163</v>
      </c>
      <c r="B1154">
        <v>179700</v>
      </c>
      <c r="C1154">
        <v>1548800</v>
      </c>
      <c r="D1154">
        <v>87251</v>
      </c>
      <c r="E1154">
        <v>570700</v>
      </c>
      <c r="F1154">
        <v>2632273</v>
      </c>
      <c r="G1154">
        <v>256600</v>
      </c>
      <c r="H1154">
        <v>3266413</v>
      </c>
      <c r="I1154">
        <v>74600</v>
      </c>
      <c r="J1154">
        <v>3253637</v>
      </c>
      <c r="K1154">
        <v>80300</v>
      </c>
    </row>
    <row r="1155" spans="1:11" x14ac:dyDescent="0.3">
      <c r="A1155" t="s">
        <v>1164</v>
      </c>
      <c r="B1155">
        <v>179700</v>
      </c>
      <c r="C1155">
        <v>1270400</v>
      </c>
      <c r="D1155">
        <v>87246</v>
      </c>
      <c r="E1155">
        <v>304000</v>
      </c>
      <c r="F1155">
        <v>2637068</v>
      </c>
      <c r="G1155">
        <v>209600</v>
      </c>
      <c r="H1155">
        <v>3272865</v>
      </c>
      <c r="I1155">
        <v>69100</v>
      </c>
      <c r="J1155">
        <v>3259657</v>
      </c>
      <c r="K1155">
        <v>77500</v>
      </c>
    </row>
    <row r="1156" spans="1:11" x14ac:dyDescent="0.3">
      <c r="A1156" t="s">
        <v>1165</v>
      </c>
      <c r="B1156">
        <v>179700</v>
      </c>
      <c r="C1156">
        <v>1283300</v>
      </c>
      <c r="D1156">
        <v>90873</v>
      </c>
      <c r="E1156">
        <v>314800</v>
      </c>
      <c r="F1156">
        <v>2641866</v>
      </c>
      <c r="G1156">
        <v>212200</v>
      </c>
      <c r="H1156">
        <v>3278881</v>
      </c>
      <c r="I1156">
        <v>70100</v>
      </c>
      <c r="J1156">
        <v>3266032</v>
      </c>
      <c r="K1156">
        <v>77500</v>
      </c>
    </row>
    <row r="1157" spans="1:11" x14ac:dyDescent="0.3">
      <c r="A1157" t="s">
        <v>1166</v>
      </c>
      <c r="B1157">
        <v>179700</v>
      </c>
      <c r="C1157">
        <v>1262800</v>
      </c>
      <c r="D1157">
        <v>90682</v>
      </c>
      <c r="E1157">
        <v>315800</v>
      </c>
      <c r="F1157">
        <v>2646666</v>
      </c>
      <c r="G1157">
        <v>209600</v>
      </c>
      <c r="H1157">
        <v>3285303</v>
      </c>
      <c r="I1157">
        <v>73000</v>
      </c>
      <c r="J1157">
        <v>3273032</v>
      </c>
      <c r="K1157">
        <v>78900</v>
      </c>
    </row>
    <row r="1158" spans="1:11" x14ac:dyDescent="0.3">
      <c r="A1158" t="s">
        <v>1167</v>
      </c>
      <c r="B1158">
        <v>179700</v>
      </c>
      <c r="C1158">
        <v>1342100</v>
      </c>
      <c r="D1158">
        <v>92270</v>
      </c>
      <c r="E1158">
        <v>320400</v>
      </c>
      <c r="F1158">
        <v>2651416</v>
      </c>
      <c r="G1158">
        <v>261700</v>
      </c>
      <c r="H1158">
        <v>3291253</v>
      </c>
      <c r="I1158">
        <v>69100</v>
      </c>
      <c r="J1158">
        <v>3278254</v>
      </c>
      <c r="K1158">
        <v>77000</v>
      </c>
    </row>
    <row r="1159" spans="1:11" x14ac:dyDescent="0.3">
      <c r="A1159" t="s">
        <v>1168</v>
      </c>
      <c r="B1159">
        <v>179700</v>
      </c>
      <c r="C1159">
        <v>1476200</v>
      </c>
      <c r="D1159">
        <v>90658</v>
      </c>
      <c r="E1159">
        <v>324400</v>
      </c>
      <c r="F1159">
        <v>2656219</v>
      </c>
      <c r="G1159">
        <v>214400</v>
      </c>
      <c r="H1159">
        <v>3297800</v>
      </c>
      <c r="I1159">
        <v>74400</v>
      </c>
      <c r="J1159">
        <v>3284134</v>
      </c>
      <c r="K1159">
        <v>79500</v>
      </c>
    </row>
    <row r="1160" spans="1:11" x14ac:dyDescent="0.3">
      <c r="A1160" t="s">
        <v>1169</v>
      </c>
      <c r="B1160">
        <v>179700</v>
      </c>
      <c r="C1160">
        <v>1552500</v>
      </c>
      <c r="D1160">
        <v>94692</v>
      </c>
      <c r="E1160">
        <v>461500</v>
      </c>
      <c r="F1160">
        <v>2661007</v>
      </c>
      <c r="G1160">
        <v>265500</v>
      </c>
      <c r="H1160">
        <v>3304474</v>
      </c>
      <c r="I1160">
        <v>72000</v>
      </c>
      <c r="J1160">
        <v>3290009</v>
      </c>
      <c r="K1160">
        <v>80900</v>
      </c>
    </row>
    <row r="1161" spans="1:11" x14ac:dyDescent="0.3">
      <c r="A1161" t="s">
        <v>1170</v>
      </c>
      <c r="B1161">
        <v>179700</v>
      </c>
      <c r="C1161">
        <v>1254300</v>
      </c>
      <c r="D1161">
        <v>93880</v>
      </c>
      <c r="E1161">
        <v>329100</v>
      </c>
      <c r="F1161">
        <v>2665804</v>
      </c>
      <c r="G1161">
        <v>214500</v>
      </c>
      <c r="H1161">
        <v>3310143</v>
      </c>
      <c r="I1161">
        <v>69000</v>
      </c>
      <c r="J1161">
        <v>3297119</v>
      </c>
      <c r="K1161">
        <v>84000</v>
      </c>
    </row>
    <row r="1162" spans="1:11" x14ac:dyDescent="0.3">
      <c r="A1162" t="s">
        <v>1171</v>
      </c>
      <c r="B1162">
        <v>179700</v>
      </c>
      <c r="C1162">
        <v>1289400</v>
      </c>
      <c r="D1162">
        <v>90254</v>
      </c>
      <c r="E1162">
        <v>321700</v>
      </c>
      <c r="F1162">
        <v>2670609</v>
      </c>
      <c r="G1162">
        <v>243500</v>
      </c>
      <c r="H1162">
        <v>3315525</v>
      </c>
      <c r="I1162">
        <v>69300</v>
      </c>
      <c r="J1162">
        <v>3303150</v>
      </c>
      <c r="K1162">
        <v>80500</v>
      </c>
    </row>
    <row r="1163" spans="1:11" x14ac:dyDescent="0.3">
      <c r="A1163" t="s">
        <v>1172</v>
      </c>
      <c r="B1163">
        <v>179700</v>
      </c>
      <c r="C1163">
        <v>1289500</v>
      </c>
      <c r="D1163">
        <v>91375</v>
      </c>
      <c r="E1163">
        <v>317600</v>
      </c>
      <c r="F1163">
        <v>2675404</v>
      </c>
      <c r="G1163">
        <v>213400</v>
      </c>
      <c r="H1163">
        <v>3321503</v>
      </c>
      <c r="I1163">
        <v>69200</v>
      </c>
      <c r="J1163">
        <v>3309567</v>
      </c>
      <c r="K1163">
        <v>78100</v>
      </c>
    </row>
    <row r="1164" spans="1:11" x14ac:dyDescent="0.3">
      <c r="A1164" t="s">
        <v>1173</v>
      </c>
      <c r="B1164">
        <v>179700</v>
      </c>
      <c r="C1164">
        <v>1261900</v>
      </c>
      <c r="D1164">
        <v>93211</v>
      </c>
      <c r="E1164">
        <v>324000</v>
      </c>
      <c r="F1164">
        <v>2680190</v>
      </c>
      <c r="G1164">
        <v>215400</v>
      </c>
      <c r="H1164">
        <v>3327502</v>
      </c>
      <c r="I1164">
        <v>69200</v>
      </c>
      <c r="J1164">
        <v>3315425</v>
      </c>
      <c r="K1164">
        <v>77300</v>
      </c>
    </row>
    <row r="1165" spans="1:11" x14ac:dyDescent="0.3">
      <c r="A1165" t="s">
        <v>1174</v>
      </c>
      <c r="B1165">
        <v>179700</v>
      </c>
      <c r="C1165">
        <v>1410900</v>
      </c>
      <c r="D1165">
        <v>90003</v>
      </c>
      <c r="E1165">
        <v>326000</v>
      </c>
      <c r="F1165">
        <v>2684999</v>
      </c>
      <c r="G1165">
        <v>211200</v>
      </c>
      <c r="H1165">
        <v>3333214</v>
      </c>
      <c r="I1165">
        <v>69700</v>
      </c>
      <c r="J1165">
        <v>3320782</v>
      </c>
      <c r="K1165">
        <v>78700</v>
      </c>
    </row>
    <row r="1166" spans="1:11" x14ac:dyDescent="0.3">
      <c r="A1166" t="s">
        <v>1175</v>
      </c>
      <c r="B1166">
        <v>179700</v>
      </c>
      <c r="C1166">
        <v>1561200</v>
      </c>
      <c r="D1166">
        <v>93227</v>
      </c>
      <c r="E1166">
        <v>330200</v>
      </c>
      <c r="F1166">
        <v>2689793</v>
      </c>
      <c r="G1166">
        <v>214700</v>
      </c>
      <c r="H1166">
        <v>3339197</v>
      </c>
      <c r="I1166">
        <v>70400</v>
      </c>
      <c r="J1166">
        <v>3326488</v>
      </c>
      <c r="K1166">
        <v>77800</v>
      </c>
    </row>
    <row r="1167" spans="1:11" x14ac:dyDescent="0.3">
      <c r="A1167" t="s">
        <v>1176</v>
      </c>
      <c r="B1167">
        <v>179700</v>
      </c>
      <c r="C1167">
        <v>1330800</v>
      </c>
      <c r="D1167">
        <v>91236</v>
      </c>
      <c r="E1167">
        <v>327000</v>
      </c>
      <c r="F1167">
        <v>2694590</v>
      </c>
      <c r="G1167">
        <v>208300</v>
      </c>
      <c r="H1167">
        <v>3344650</v>
      </c>
      <c r="I1167">
        <v>68300</v>
      </c>
      <c r="J1167">
        <v>3332038</v>
      </c>
      <c r="K1167">
        <v>84300</v>
      </c>
    </row>
    <row r="1168" spans="1:11" x14ac:dyDescent="0.3">
      <c r="A1168" t="s">
        <v>1177</v>
      </c>
      <c r="B1168">
        <v>179700</v>
      </c>
      <c r="C1168">
        <v>1584900</v>
      </c>
      <c r="D1168">
        <v>89560</v>
      </c>
      <c r="E1168">
        <v>336000</v>
      </c>
      <c r="F1168">
        <v>2699385</v>
      </c>
      <c r="G1168">
        <v>209700</v>
      </c>
      <c r="H1168">
        <v>3351120</v>
      </c>
      <c r="I1168">
        <v>71500</v>
      </c>
      <c r="J1168">
        <v>3337900</v>
      </c>
      <c r="K1168">
        <v>79700</v>
      </c>
    </row>
    <row r="1169" spans="1:11" x14ac:dyDescent="0.3">
      <c r="A1169" t="s">
        <v>1178</v>
      </c>
      <c r="B1169">
        <v>179700</v>
      </c>
      <c r="C1169">
        <v>1610600</v>
      </c>
      <c r="D1169">
        <v>89909</v>
      </c>
      <c r="E1169">
        <v>399500</v>
      </c>
      <c r="F1169">
        <v>2704172</v>
      </c>
      <c r="G1169">
        <v>211100</v>
      </c>
      <c r="H1169">
        <v>3357454</v>
      </c>
      <c r="I1169">
        <v>72200</v>
      </c>
      <c r="J1169">
        <v>3343672</v>
      </c>
      <c r="K1169">
        <v>80000</v>
      </c>
    </row>
    <row r="1170" spans="1:11" x14ac:dyDescent="0.3">
      <c r="A1170" t="s">
        <v>1179</v>
      </c>
      <c r="B1170">
        <v>179700</v>
      </c>
      <c r="C1170">
        <v>1538500</v>
      </c>
      <c r="D1170">
        <v>89340</v>
      </c>
      <c r="E1170">
        <v>350300</v>
      </c>
      <c r="F1170">
        <v>2708953</v>
      </c>
      <c r="G1170">
        <v>212700</v>
      </c>
      <c r="H1170">
        <v>3362935</v>
      </c>
      <c r="I1170">
        <v>71700</v>
      </c>
      <c r="J1170">
        <v>3349595</v>
      </c>
      <c r="K1170">
        <v>79100</v>
      </c>
    </row>
    <row r="1171" spans="1:11" x14ac:dyDescent="0.3">
      <c r="A1171" t="s">
        <v>1180</v>
      </c>
      <c r="B1171">
        <v>179700</v>
      </c>
      <c r="C1171">
        <v>1463000</v>
      </c>
      <c r="D1171">
        <v>86586</v>
      </c>
      <c r="E1171">
        <v>320000</v>
      </c>
      <c r="F1171">
        <v>2713746</v>
      </c>
      <c r="G1171">
        <v>234800</v>
      </c>
      <c r="H1171">
        <v>3369124</v>
      </c>
      <c r="I1171">
        <v>74300</v>
      </c>
      <c r="J1171">
        <v>3354972</v>
      </c>
      <c r="K1171">
        <v>79300</v>
      </c>
    </row>
    <row r="1172" spans="1:11" x14ac:dyDescent="0.3">
      <c r="A1172" t="s">
        <v>1181</v>
      </c>
      <c r="B1172">
        <v>179700</v>
      </c>
      <c r="C1172">
        <v>1578900</v>
      </c>
      <c r="D1172">
        <v>92605</v>
      </c>
      <c r="E1172">
        <v>441700</v>
      </c>
      <c r="F1172">
        <v>2718572</v>
      </c>
      <c r="G1172">
        <v>284800</v>
      </c>
      <c r="H1172">
        <v>3374913</v>
      </c>
      <c r="I1172">
        <v>74600</v>
      </c>
      <c r="J1172">
        <v>3360911</v>
      </c>
      <c r="K1172">
        <v>77400</v>
      </c>
    </row>
    <row r="1173" spans="1:11" x14ac:dyDescent="0.3">
      <c r="A1173" t="s">
        <v>1182</v>
      </c>
      <c r="B1173">
        <v>179700</v>
      </c>
      <c r="C1173">
        <v>1431900</v>
      </c>
      <c r="D1173">
        <v>90913</v>
      </c>
      <c r="E1173">
        <v>322300</v>
      </c>
      <c r="F1173">
        <v>2723380</v>
      </c>
      <c r="G1173">
        <v>212400</v>
      </c>
      <c r="H1173">
        <v>3380741</v>
      </c>
      <c r="I1173">
        <v>68500</v>
      </c>
      <c r="J1173">
        <v>3367138</v>
      </c>
      <c r="K1173">
        <v>81200</v>
      </c>
    </row>
    <row r="1174" spans="1:11" x14ac:dyDescent="0.3">
      <c r="A1174" t="s">
        <v>1183</v>
      </c>
      <c r="B1174">
        <v>179700</v>
      </c>
      <c r="C1174">
        <v>1275400</v>
      </c>
      <c r="D1174">
        <v>88330</v>
      </c>
      <c r="E1174">
        <v>310900</v>
      </c>
      <c r="F1174">
        <v>2728155</v>
      </c>
      <c r="G1174">
        <v>208100</v>
      </c>
      <c r="H1174">
        <v>3387110</v>
      </c>
      <c r="I1174">
        <v>69300</v>
      </c>
      <c r="J1174">
        <v>3372718</v>
      </c>
      <c r="K1174">
        <v>78300</v>
      </c>
    </row>
    <row r="1175" spans="1:11" x14ac:dyDescent="0.3">
      <c r="A1175" t="s">
        <v>1184</v>
      </c>
      <c r="B1175">
        <v>179700</v>
      </c>
      <c r="C1175">
        <v>1292700</v>
      </c>
      <c r="D1175">
        <v>85052</v>
      </c>
      <c r="E1175">
        <v>437700</v>
      </c>
      <c r="F1175">
        <v>2732923</v>
      </c>
      <c r="G1175">
        <v>264300</v>
      </c>
      <c r="H1175">
        <v>3392684</v>
      </c>
      <c r="I1175">
        <v>68500</v>
      </c>
      <c r="J1175">
        <v>3379133</v>
      </c>
      <c r="K1175">
        <v>79200</v>
      </c>
    </row>
    <row r="1176" spans="1:11" x14ac:dyDescent="0.3">
      <c r="A1176" t="s">
        <v>1185</v>
      </c>
      <c r="B1176">
        <v>179700</v>
      </c>
      <c r="C1176">
        <v>1518100</v>
      </c>
      <c r="D1176">
        <v>90378</v>
      </c>
      <c r="E1176">
        <v>358100</v>
      </c>
      <c r="F1176">
        <v>2737703</v>
      </c>
      <c r="G1176">
        <v>214700</v>
      </c>
      <c r="H1176">
        <v>3398428</v>
      </c>
      <c r="I1176">
        <v>70300</v>
      </c>
      <c r="J1176">
        <v>3384979</v>
      </c>
      <c r="K1176">
        <v>78600</v>
      </c>
    </row>
    <row r="1177" spans="1:11" x14ac:dyDescent="0.3">
      <c r="A1177" t="s">
        <v>1186</v>
      </c>
      <c r="B1177">
        <v>179700</v>
      </c>
      <c r="C1177">
        <v>1692100</v>
      </c>
      <c r="D1177">
        <v>88655</v>
      </c>
      <c r="E1177">
        <v>345200</v>
      </c>
      <c r="F1177">
        <v>2742497</v>
      </c>
      <c r="G1177">
        <v>214300</v>
      </c>
      <c r="H1177">
        <v>3404822</v>
      </c>
      <c r="I1177">
        <v>74000</v>
      </c>
      <c r="J1177">
        <v>3391410</v>
      </c>
      <c r="K1177">
        <v>83400</v>
      </c>
    </row>
    <row r="1178" spans="1:11" x14ac:dyDescent="0.3">
      <c r="A1178" t="s">
        <v>1187</v>
      </c>
      <c r="B1178">
        <v>179700</v>
      </c>
      <c r="C1178">
        <v>1358800</v>
      </c>
      <c r="D1178">
        <v>88481</v>
      </c>
      <c r="E1178">
        <v>311800</v>
      </c>
      <c r="F1178">
        <v>2747274</v>
      </c>
      <c r="G1178">
        <v>210500</v>
      </c>
      <c r="H1178">
        <v>3411411</v>
      </c>
      <c r="I1178">
        <v>72500</v>
      </c>
      <c r="J1178">
        <v>3397576</v>
      </c>
      <c r="K1178">
        <v>76800</v>
      </c>
    </row>
    <row r="1179" spans="1:11" x14ac:dyDescent="0.3">
      <c r="A1179" t="s">
        <v>1188</v>
      </c>
      <c r="B1179">
        <v>179700</v>
      </c>
      <c r="C1179">
        <v>1395800</v>
      </c>
      <c r="D1179">
        <v>89595</v>
      </c>
      <c r="E1179">
        <v>315700</v>
      </c>
      <c r="F1179">
        <v>2752077</v>
      </c>
      <c r="G1179">
        <v>207800</v>
      </c>
      <c r="H1179">
        <v>3417058</v>
      </c>
      <c r="I1179">
        <v>69700</v>
      </c>
      <c r="J1179">
        <v>3403474</v>
      </c>
      <c r="K1179">
        <v>78000</v>
      </c>
    </row>
    <row r="1180" spans="1:11" x14ac:dyDescent="0.3">
      <c r="A1180" t="s">
        <v>1189</v>
      </c>
      <c r="B1180">
        <v>179700</v>
      </c>
      <c r="C1180">
        <v>1602000</v>
      </c>
      <c r="D1180">
        <v>91580</v>
      </c>
      <c r="E1180">
        <v>325100</v>
      </c>
      <c r="F1180">
        <v>2756881</v>
      </c>
      <c r="G1180">
        <v>214000</v>
      </c>
      <c r="H1180">
        <v>3423351</v>
      </c>
      <c r="I1180">
        <v>71500</v>
      </c>
      <c r="J1180">
        <v>3409303</v>
      </c>
      <c r="K1180">
        <v>80800</v>
      </c>
    </row>
    <row r="1181" spans="1:11" x14ac:dyDescent="0.3">
      <c r="A1181" t="s">
        <v>1190</v>
      </c>
      <c r="B1181">
        <v>179700</v>
      </c>
      <c r="C1181">
        <v>1245600</v>
      </c>
      <c r="D1181">
        <v>92520</v>
      </c>
      <c r="E1181">
        <v>323100</v>
      </c>
      <c r="F1181">
        <v>2761675</v>
      </c>
      <c r="G1181">
        <v>225200</v>
      </c>
      <c r="H1181">
        <v>3429223</v>
      </c>
      <c r="I1181">
        <v>71100</v>
      </c>
      <c r="J1181">
        <v>3415409</v>
      </c>
      <c r="K1181">
        <v>81400</v>
      </c>
    </row>
    <row r="1182" spans="1:11" x14ac:dyDescent="0.3">
      <c r="A1182" t="s">
        <v>1191</v>
      </c>
      <c r="B1182">
        <v>179700</v>
      </c>
      <c r="C1182">
        <v>1514800</v>
      </c>
      <c r="D1182">
        <v>89647</v>
      </c>
      <c r="E1182">
        <v>332000</v>
      </c>
      <c r="F1182">
        <v>2766476</v>
      </c>
      <c r="G1182">
        <v>213000</v>
      </c>
      <c r="H1182">
        <v>3435065</v>
      </c>
      <c r="I1182">
        <v>71200</v>
      </c>
      <c r="J1182">
        <v>3421599</v>
      </c>
      <c r="K1182">
        <v>81100</v>
      </c>
    </row>
    <row r="1183" spans="1:11" x14ac:dyDescent="0.3">
      <c r="A1183" t="s">
        <v>1192</v>
      </c>
      <c r="B1183">
        <v>179700</v>
      </c>
      <c r="C1183">
        <v>1316400</v>
      </c>
      <c r="D1183">
        <v>89142</v>
      </c>
      <c r="E1183">
        <v>320100</v>
      </c>
      <c r="F1183">
        <v>2771258</v>
      </c>
      <c r="G1183">
        <v>211200</v>
      </c>
      <c r="H1183">
        <v>3441014</v>
      </c>
      <c r="I1183">
        <v>70200</v>
      </c>
      <c r="J1183">
        <v>3427569</v>
      </c>
      <c r="K1183">
        <v>81600</v>
      </c>
    </row>
    <row r="1184" spans="1:11" x14ac:dyDescent="0.3">
      <c r="A1184" t="s">
        <v>1193</v>
      </c>
      <c r="B1184">
        <v>179700</v>
      </c>
      <c r="C1184">
        <v>1300500</v>
      </c>
      <c r="D1184">
        <v>88003</v>
      </c>
      <c r="E1184">
        <v>306400</v>
      </c>
      <c r="F1184">
        <v>2776071</v>
      </c>
      <c r="G1184">
        <v>249800</v>
      </c>
      <c r="H1184">
        <v>3446707</v>
      </c>
      <c r="I1184">
        <v>71100</v>
      </c>
      <c r="J1184">
        <v>3433245</v>
      </c>
      <c r="K1184">
        <v>78000</v>
      </c>
    </row>
    <row r="1185" spans="1:11" x14ac:dyDescent="0.3">
      <c r="A1185" t="s">
        <v>1194</v>
      </c>
      <c r="B1185">
        <v>179700</v>
      </c>
      <c r="C1185">
        <v>1591700</v>
      </c>
      <c r="D1185">
        <v>90736</v>
      </c>
      <c r="E1185">
        <v>336300</v>
      </c>
      <c r="F1185">
        <v>2780871</v>
      </c>
      <c r="G1185">
        <v>210400</v>
      </c>
      <c r="H1185">
        <v>3453057</v>
      </c>
      <c r="I1185">
        <v>70100</v>
      </c>
      <c r="J1185">
        <v>3439718</v>
      </c>
      <c r="K1185">
        <v>81600</v>
      </c>
    </row>
    <row r="1186" spans="1:11" x14ac:dyDescent="0.3">
      <c r="A1186" t="s">
        <v>1195</v>
      </c>
      <c r="B1186">
        <v>179700</v>
      </c>
      <c r="C1186">
        <v>1269900</v>
      </c>
      <c r="D1186">
        <v>89561</v>
      </c>
      <c r="E1186">
        <v>312100</v>
      </c>
      <c r="F1186">
        <v>2785668</v>
      </c>
      <c r="G1186">
        <v>213200</v>
      </c>
      <c r="H1186">
        <v>3459131</v>
      </c>
      <c r="I1186">
        <v>69600</v>
      </c>
      <c r="J1186">
        <v>3445948</v>
      </c>
      <c r="K1186">
        <v>77200</v>
      </c>
    </row>
    <row r="1187" spans="1:11" x14ac:dyDescent="0.3">
      <c r="A1187" t="s">
        <v>1196</v>
      </c>
      <c r="B1187">
        <v>179700</v>
      </c>
      <c r="C1187">
        <v>1298100</v>
      </c>
      <c r="D1187">
        <v>90405</v>
      </c>
      <c r="E1187">
        <v>314200</v>
      </c>
      <c r="F1187">
        <v>2790461</v>
      </c>
      <c r="G1187">
        <v>207900</v>
      </c>
      <c r="H1187">
        <v>3464724</v>
      </c>
      <c r="I1187">
        <v>69900</v>
      </c>
      <c r="J1187">
        <v>3452461</v>
      </c>
      <c r="K1187">
        <v>81000</v>
      </c>
    </row>
    <row r="1188" spans="1:11" x14ac:dyDescent="0.3">
      <c r="A1188" t="s">
        <v>1197</v>
      </c>
      <c r="B1188">
        <v>179700</v>
      </c>
      <c r="C1188">
        <v>1395800</v>
      </c>
      <c r="D1188">
        <v>92951</v>
      </c>
      <c r="E1188">
        <v>323400</v>
      </c>
      <c r="F1188">
        <v>2795256</v>
      </c>
      <c r="G1188">
        <v>210300</v>
      </c>
      <c r="H1188">
        <v>3471050</v>
      </c>
      <c r="I1188">
        <v>71400</v>
      </c>
      <c r="J1188">
        <v>3458525</v>
      </c>
      <c r="K1188">
        <v>80700</v>
      </c>
    </row>
    <row r="1189" spans="1:11" x14ac:dyDescent="0.3">
      <c r="A1189" t="s">
        <v>1198</v>
      </c>
      <c r="B1189">
        <v>179700</v>
      </c>
      <c r="C1189">
        <v>1368000</v>
      </c>
      <c r="D1189">
        <v>91627</v>
      </c>
      <c r="E1189">
        <v>327600</v>
      </c>
      <c r="F1189">
        <v>2800068</v>
      </c>
      <c r="G1189">
        <v>207900</v>
      </c>
      <c r="H1189">
        <v>3477137</v>
      </c>
      <c r="I1189">
        <v>69600</v>
      </c>
      <c r="J1189">
        <v>3464247</v>
      </c>
      <c r="K1189">
        <v>77800</v>
      </c>
    </row>
    <row r="1190" spans="1:11" x14ac:dyDescent="0.3">
      <c r="A1190" t="s">
        <v>1199</v>
      </c>
      <c r="B1190">
        <v>179700</v>
      </c>
      <c r="C1190">
        <v>1412200</v>
      </c>
      <c r="D1190">
        <v>91741</v>
      </c>
      <c r="E1190">
        <v>319300</v>
      </c>
      <c r="F1190">
        <v>2804858</v>
      </c>
      <c r="G1190">
        <v>209800</v>
      </c>
      <c r="H1190">
        <v>3483667</v>
      </c>
      <c r="I1190">
        <v>73800</v>
      </c>
      <c r="J1190">
        <v>3470060</v>
      </c>
      <c r="K1190">
        <v>78600</v>
      </c>
    </row>
    <row r="1191" spans="1:11" x14ac:dyDescent="0.3">
      <c r="A1191" t="s">
        <v>1200</v>
      </c>
      <c r="B1191">
        <v>179700</v>
      </c>
      <c r="C1191">
        <v>1746900</v>
      </c>
      <c r="D1191">
        <v>85149</v>
      </c>
      <c r="E1191">
        <v>522000</v>
      </c>
      <c r="F1191">
        <v>2809677</v>
      </c>
      <c r="G1191">
        <v>320000</v>
      </c>
      <c r="H1191">
        <v>3489890</v>
      </c>
      <c r="I1191">
        <v>97000</v>
      </c>
      <c r="J1191">
        <v>3475373</v>
      </c>
      <c r="K1191">
        <v>90000</v>
      </c>
    </row>
    <row r="1192" spans="1:11" x14ac:dyDescent="0.3">
      <c r="A1192" t="s">
        <v>1201</v>
      </c>
      <c r="B1192">
        <v>179700</v>
      </c>
      <c r="C1192">
        <v>1466000</v>
      </c>
      <c r="D1192">
        <v>90850</v>
      </c>
      <c r="E1192">
        <v>317400</v>
      </c>
      <c r="F1192">
        <v>2814472</v>
      </c>
      <c r="G1192">
        <v>211700</v>
      </c>
      <c r="H1192">
        <v>3495774</v>
      </c>
      <c r="I1192">
        <v>69500</v>
      </c>
      <c r="J1192">
        <v>3482263</v>
      </c>
      <c r="K1192">
        <v>85400</v>
      </c>
    </row>
    <row r="1193" spans="1:11" x14ac:dyDescent="0.3">
      <c r="A1193" t="s">
        <v>1202</v>
      </c>
      <c r="B1193">
        <v>179700</v>
      </c>
      <c r="C1193">
        <v>1458800</v>
      </c>
      <c r="D1193">
        <v>90199</v>
      </c>
      <c r="E1193">
        <v>429700</v>
      </c>
      <c r="F1193">
        <v>2819275</v>
      </c>
      <c r="G1193">
        <v>283200</v>
      </c>
      <c r="H1193">
        <v>3501631</v>
      </c>
      <c r="I1193">
        <v>95000</v>
      </c>
      <c r="J1193">
        <v>3488060</v>
      </c>
      <c r="K1193">
        <v>84700</v>
      </c>
    </row>
    <row r="1194" spans="1:11" x14ac:dyDescent="0.3">
      <c r="A1194" t="s">
        <v>1203</v>
      </c>
      <c r="B1194">
        <v>179700</v>
      </c>
      <c r="C1194">
        <v>1614800</v>
      </c>
      <c r="D1194">
        <v>89373</v>
      </c>
      <c r="E1194">
        <v>341300</v>
      </c>
      <c r="F1194">
        <v>2824085</v>
      </c>
      <c r="G1194">
        <v>215000</v>
      </c>
      <c r="H1194">
        <v>3507759</v>
      </c>
      <c r="I1194">
        <v>74700</v>
      </c>
      <c r="J1194">
        <v>3494939</v>
      </c>
      <c r="K1194">
        <v>81100</v>
      </c>
    </row>
    <row r="1195" spans="1:11" x14ac:dyDescent="0.3">
      <c r="A1195" t="s">
        <v>1204</v>
      </c>
      <c r="B1195">
        <v>179700</v>
      </c>
      <c r="C1195">
        <v>1319800</v>
      </c>
      <c r="D1195">
        <v>87720</v>
      </c>
      <c r="E1195">
        <v>305600</v>
      </c>
      <c r="F1195">
        <v>2828873</v>
      </c>
      <c r="G1195">
        <v>213200</v>
      </c>
      <c r="H1195">
        <v>3514543</v>
      </c>
      <c r="I1195">
        <v>71000</v>
      </c>
      <c r="J1195">
        <v>3500828</v>
      </c>
      <c r="K1195">
        <v>77000</v>
      </c>
    </row>
    <row r="1196" spans="1:11" x14ac:dyDescent="0.3">
      <c r="A1196" t="s">
        <v>1205</v>
      </c>
      <c r="B1196">
        <v>179700</v>
      </c>
      <c r="C1196">
        <v>1315600</v>
      </c>
      <c r="D1196">
        <v>95497</v>
      </c>
      <c r="E1196">
        <v>342300</v>
      </c>
      <c r="F1196">
        <v>2833645</v>
      </c>
      <c r="G1196">
        <v>214500</v>
      </c>
      <c r="H1196">
        <v>3520689</v>
      </c>
      <c r="I1196">
        <v>68600</v>
      </c>
      <c r="J1196">
        <v>3507410</v>
      </c>
      <c r="K1196">
        <v>79300</v>
      </c>
    </row>
    <row r="1197" spans="1:11" x14ac:dyDescent="0.3">
      <c r="A1197" t="s">
        <v>1206</v>
      </c>
      <c r="B1197">
        <v>179700</v>
      </c>
      <c r="C1197">
        <v>1259100</v>
      </c>
      <c r="D1197">
        <v>94048</v>
      </c>
      <c r="E1197">
        <v>337200</v>
      </c>
      <c r="F1197">
        <v>2838442</v>
      </c>
      <c r="G1197">
        <v>210800</v>
      </c>
      <c r="H1197">
        <v>3526353</v>
      </c>
      <c r="I1197">
        <v>68300</v>
      </c>
      <c r="J1197">
        <v>3513631</v>
      </c>
      <c r="K1197">
        <v>81100</v>
      </c>
    </row>
    <row r="1198" spans="1:11" x14ac:dyDescent="0.3">
      <c r="A1198" t="s">
        <v>1207</v>
      </c>
      <c r="B1198">
        <v>179700</v>
      </c>
      <c r="C1198">
        <v>1585100</v>
      </c>
      <c r="D1198">
        <v>88958</v>
      </c>
      <c r="E1198">
        <v>315300</v>
      </c>
      <c r="F1198">
        <v>2843222</v>
      </c>
      <c r="G1198">
        <v>214000</v>
      </c>
      <c r="H1198">
        <v>3532423</v>
      </c>
      <c r="I1198">
        <v>72700</v>
      </c>
      <c r="J1198">
        <v>3519160</v>
      </c>
      <c r="K1198">
        <v>81500</v>
      </c>
    </row>
    <row r="1199" spans="1:11" x14ac:dyDescent="0.3">
      <c r="A1199" t="s">
        <v>1208</v>
      </c>
      <c r="B1199">
        <v>179700</v>
      </c>
      <c r="C1199">
        <v>1444800</v>
      </c>
      <c r="D1199">
        <v>88734</v>
      </c>
      <c r="E1199">
        <v>322100</v>
      </c>
      <c r="F1199">
        <v>2848037</v>
      </c>
      <c r="G1199">
        <v>212300</v>
      </c>
      <c r="H1199">
        <v>3538632</v>
      </c>
      <c r="I1199">
        <v>71400</v>
      </c>
      <c r="J1199">
        <v>3524884</v>
      </c>
      <c r="K1199">
        <v>78600</v>
      </c>
    </row>
    <row r="1200" spans="1:11" x14ac:dyDescent="0.3">
      <c r="A1200" t="s">
        <v>1209</v>
      </c>
      <c r="B1200">
        <v>179700</v>
      </c>
      <c r="C1200">
        <v>1295300</v>
      </c>
      <c r="D1200">
        <v>92466</v>
      </c>
      <c r="E1200">
        <v>322200</v>
      </c>
      <c r="F1200">
        <v>2852824</v>
      </c>
      <c r="G1200">
        <v>208300</v>
      </c>
      <c r="H1200">
        <v>3544832</v>
      </c>
      <c r="I1200">
        <v>69600</v>
      </c>
      <c r="J1200">
        <v>3531649</v>
      </c>
      <c r="K1200">
        <v>84400</v>
      </c>
    </row>
    <row r="1201" spans="1:11" x14ac:dyDescent="0.3">
      <c r="A1201" t="s">
        <v>1210</v>
      </c>
      <c r="B1201">
        <v>179700</v>
      </c>
      <c r="C1201">
        <v>1386400</v>
      </c>
      <c r="D1201">
        <v>91065</v>
      </c>
      <c r="E1201">
        <v>324800</v>
      </c>
      <c r="F1201">
        <v>2857621</v>
      </c>
      <c r="G1201">
        <v>214500</v>
      </c>
      <c r="H1201">
        <v>3550603</v>
      </c>
      <c r="I1201">
        <v>69000</v>
      </c>
      <c r="J1201">
        <v>3537316</v>
      </c>
      <c r="K1201">
        <v>79600</v>
      </c>
    </row>
    <row r="1202" spans="1:11" x14ac:dyDescent="0.3">
      <c r="A1202" t="s">
        <v>1211</v>
      </c>
      <c r="B1202">
        <v>210925</v>
      </c>
      <c r="C1202">
        <v>1843000</v>
      </c>
      <c r="D1202">
        <v>105509</v>
      </c>
      <c r="E1202">
        <v>368000</v>
      </c>
      <c r="F1202">
        <v>2862911</v>
      </c>
      <c r="G1202">
        <v>230500</v>
      </c>
      <c r="H1202">
        <v>3557288</v>
      </c>
      <c r="I1202">
        <v>78100</v>
      </c>
      <c r="J1202">
        <v>3544061</v>
      </c>
      <c r="K1202">
        <v>87000</v>
      </c>
    </row>
    <row r="1203" spans="1:11" x14ac:dyDescent="0.3">
      <c r="A1203" t="s">
        <v>1212</v>
      </c>
      <c r="B1203">
        <v>210925</v>
      </c>
      <c r="C1203">
        <v>1542500</v>
      </c>
      <c r="D1203">
        <v>102977</v>
      </c>
      <c r="E1203">
        <v>358800</v>
      </c>
      <c r="F1203">
        <v>2868191</v>
      </c>
      <c r="G1203">
        <v>232600</v>
      </c>
      <c r="H1203">
        <v>3564344</v>
      </c>
      <c r="I1203">
        <v>77700</v>
      </c>
      <c r="J1203">
        <v>3550418</v>
      </c>
      <c r="K1203">
        <v>83900</v>
      </c>
    </row>
    <row r="1204" spans="1:11" x14ac:dyDescent="0.3">
      <c r="A1204" t="s">
        <v>1213</v>
      </c>
      <c r="B1204">
        <v>210925</v>
      </c>
      <c r="C1204">
        <v>1606600</v>
      </c>
      <c r="D1204">
        <v>110797</v>
      </c>
      <c r="E1204">
        <v>388100</v>
      </c>
      <c r="F1204">
        <v>2873437</v>
      </c>
      <c r="G1204">
        <v>227600</v>
      </c>
      <c r="H1204">
        <v>3570985</v>
      </c>
      <c r="I1204">
        <v>78800</v>
      </c>
      <c r="J1204">
        <v>3556926</v>
      </c>
      <c r="K1204">
        <v>84000</v>
      </c>
    </row>
    <row r="1205" spans="1:11" x14ac:dyDescent="0.3">
      <c r="A1205" t="s">
        <v>1214</v>
      </c>
      <c r="B1205">
        <v>210925</v>
      </c>
      <c r="C1205">
        <v>1510800</v>
      </c>
      <c r="D1205">
        <v>103670</v>
      </c>
      <c r="E1205">
        <v>360100</v>
      </c>
      <c r="F1205">
        <v>2878702</v>
      </c>
      <c r="G1205">
        <v>228500</v>
      </c>
      <c r="H1205">
        <v>3577530</v>
      </c>
      <c r="I1205">
        <v>75300</v>
      </c>
      <c r="J1205">
        <v>3563406</v>
      </c>
      <c r="K1205">
        <v>84700</v>
      </c>
    </row>
    <row r="1206" spans="1:11" x14ac:dyDescent="0.3">
      <c r="A1206" t="s">
        <v>1215</v>
      </c>
      <c r="B1206">
        <v>210925</v>
      </c>
      <c r="C1206">
        <v>1497700</v>
      </c>
      <c r="D1206">
        <v>105027</v>
      </c>
      <c r="E1206">
        <v>374700</v>
      </c>
      <c r="F1206">
        <v>2883958</v>
      </c>
      <c r="G1206">
        <v>258900</v>
      </c>
      <c r="H1206">
        <v>3584039</v>
      </c>
      <c r="I1206">
        <v>75000</v>
      </c>
      <c r="J1206">
        <v>3570093</v>
      </c>
      <c r="K1206">
        <v>88300</v>
      </c>
    </row>
    <row r="1207" spans="1:11" x14ac:dyDescent="0.3">
      <c r="A1207" t="s">
        <v>1216</v>
      </c>
      <c r="B1207">
        <v>210925</v>
      </c>
      <c r="C1207">
        <v>1553900</v>
      </c>
      <c r="D1207">
        <v>107548</v>
      </c>
      <c r="E1207">
        <v>372000</v>
      </c>
      <c r="F1207">
        <v>2889229</v>
      </c>
      <c r="G1207">
        <v>229700</v>
      </c>
      <c r="H1207">
        <v>3590455</v>
      </c>
      <c r="I1207">
        <v>75500</v>
      </c>
      <c r="J1207">
        <v>3576595</v>
      </c>
      <c r="K1207">
        <v>87400</v>
      </c>
    </row>
    <row r="1208" spans="1:11" x14ac:dyDescent="0.3">
      <c r="A1208" t="s">
        <v>1217</v>
      </c>
      <c r="B1208">
        <v>210925</v>
      </c>
      <c r="C1208">
        <v>1758800</v>
      </c>
      <c r="D1208">
        <v>99873</v>
      </c>
      <c r="E1208">
        <v>418400</v>
      </c>
      <c r="F1208">
        <v>2894486</v>
      </c>
      <c r="G1208">
        <v>272200</v>
      </c>
      <c r="H1208">
        <v>3596931</v>
      </c>
      <c r="I1208">
        <v>92900</v>
      </c>
      <c r="J1208">
        <v>3582781</v>
      </c>
      <c r="K1208">
        <v>89400</v>
      </c>
    </row>
    <row r="1209" spans="1:11" x14ac:dyDescent="0.3">
      <c r="A1209" t="s">
        <v>1218</v>
      </c>
      <c r="B1209">
        <v>210925</v>
      </c>
      <c r="C1209">
        <v>1596000</v>
      </c>
      <c r="D1209">
        <v>102643</v>
      </c>
      <c r="E1209">
        <v>357000</v>
      </c>
      <c r="F1209">
        <v>2899770</v>
      </c>
      <c r="G1209">
        <v>227400</v>
      </c>
      <c r="H1209">
        <v>3604518</v>
      </c>
      <c r="I1209">
        <v>80600</v>
      </c>
      <c r="J1209">
        <v>3589367</v>
      </c>
      <c r="K1209">
        <v>86500</v>
      </c>
    </row>
    <row r="1210" spans="1:11" x14ac:dyDescent="0.3">
      <c r="A1210" t="s">
        <v>1219</v>
      </c>
      <c r="B1210">
        <v>210925</v>
      </c>
      <c r="C1210">
        <v>1651100</v>
      </c>
      <c r="D1210">
        <v>105739</v>
      </c>
      <c r="E1210">
        <v>367900</v>
      </c>
      <c r="F1210">
        <v>2905059</v>
      </c>
      <c r="G1210">
        <v>231100</v>
      </c>
      <c r="H1210">
        <v>3611548</v>
      </c>
      <c r="I1210">
        <v>77800</v>
      </c>
      <c r="J1210">
        <v>3596207</v>
      </c>
      <c r="K1210">
        <v>85700</v>
      </c>
    </row>
    <row r="1211" spans="1:11" x14ac:dyDescent="0.3">
      <c r="A1211" t="s">
        <v>1220</v>
      </c>
      <c r="B1211">
        <v>210925</v>
      </c>
      <c r="C1211">
        <v>1710800</v>
      </c>
      <c r="D1211">
        <v>108984</v>
      </c>
      <c r="E1211">
        <v>378700</v>
      </c>
      <c r="F1211">
        <v>2910287</v>
      </c>
      <c r="G1211">
        <v>229400</v>
      </c>
      <c r="H1211">
        <v>3618688</v>
      </c>
      <c r="I1211">
        <v>77600</v>
      </c>
      <c r="J1211">
        <v>3602798</v>
      </c>
      <c r="K1211">
        <v>88200</v>
      </c>
    </row>
    <row r="1212" spans="1:11" x14ac:dyDescent="0.3">
      <c r="A1212" t="s">
        <v>1221</v>
      </c>
      <c r="B1212">
        <v>210925</v>
      </c>
      <c r="C1212">
        <v>1795100</v>
      </c>
      <c r="D1212">
        <v>103669</v>
      </c>
      <c r="E1212">
        <v>365900</v>
      </c>
      <c r="F1212">
        <v>2915535</v>
      </c>
      <c r="G1212">
        <v>308800</v>
      </c>
      <c r="H1212">
        <v>3625475</v>
      </c>
      <c r="I1212">
        <v>106400</v>
      </c>
      <c r="J1212">
        <v>3610089</v>
      </c>
      <c r="K1212">
        <v>100500</v>
      </c>
    </row>
    <row r="1213" spans="1:11" x14ac:dyDescent="0.3">
      <c r="A1213" t="s">
        <v>1222</v>
      </c>
      <c r="B1213">
        <v>210925</v>
      </c>
      <c r="C1213">
        <v>1783000</v>
      </c>
      <c r="D1213">
        <v>105363</v>
      </c>
      <c r="E1213">
        <v>440100</v>
      </c>
      <c r="F1213">
        <v>2920808</v>
      </c>
      <c r="G1213">
        <v>229500</v>
      </c>
      <c r="H1213">
        <v>3631854</v>
      </c>
      <c r="I1213">
        <v>76100</v>
      </c>
      <c r="J1213">
        <v>3616482</v>
      </c>
      <c r="K1213">
        <v>88500</v>
      </c>
    </row>
    <row r="1214" spans="1:11" x14ac:dyDescent="0.3">
      <c r="A1214" t="s">
        <v>1223</v>
      </c>
      <c r="B1214">
        <v>210925</v>
      </c>
      <c r="C1214">
        <v>1648000</v>
      </c>
      <c r="D1214">
        <v>109635</v>
      </c>
      <c r="E1214">
        <v>399300</v>
      </c>
      <c r="F1214">
        <v>2926076</v>
      </c>
      <c r="G1214">
        <v>230400</v>
      </c>
      <c r="H1214">
        <v>3639060</v>
      </c>
      <c r="I1214">
        <v>79100</v>
      </c>
      <c r="J1214">
        <v>3623154</v>
      </c>
      <c r="K1214">
        <v>90600</v>
      </c>
    </row>
    <row r="1215" spans="1:11" x14ac:dyDescent="0.3">
      <c r="A1215" t="s">
        <v>1224</v>
      </c>
      <c r="B1215">
        <v>210925</v>
      </c>
      <c r="C1215">
        <v>1523800</v>
      </c>
      <c r="D1215">
        <v>102455</v>
      </c>
      <c r="E1215">
        <v>356000</v>
      </c>
      <c r="F1215">
        <v>2931375</v>
      </c>
      <c r="G1215">
        <v>225800</v>
      </c>
      <c r="H1215">
        <v>3645500</v>
      </c>
      <c r="I1215">
        <v>78200</v>
      </c>
      <c r="J1215">
        <v>3629421</v>
      </c>
      <c r="K1215">
        <v>86700</v>
      </c>
    </row>
    <row r="1216" spans="1:11" x14ac:dyDescent="0.3">
      <c r="A1216" t="s">
        <v>1225</v>
      </c>
      <c r="B1216">
        <v>210925</v>
      </c>
      <c r="C1216">
        <v>1645400</v>
      </c>
      <c r="D1216">
        <v>109660</v>
      </c>
      <c r="E1216">
        <v>387100</v>
      </c>
      <c r="F1216">
        <v>2936635</v>
      </c>
      <c r="G1216">
        <v>226900</v>
      </c>
      <c r="H1216">
        <v>3652151</v>
      </c>
      <c r="I1216">
        <v>76500</v>
      </c>
      <c r="J1216">
        <v>3635298</v>
      </c>
      <c r="K1216">
        <v>85800</v>
      </c>
    </row>
    <row r="1217" spans="1:11" x14ac:dyDescent="0.3">
      <c r="A1217" t="s">
        <v>1226</v>
      </c>
      <c r="B1217">
        <v>210925</v>
      </c>
      <c r="C1217">
        <v>1545700</v>
      </c>
      <c r="D1217">
        <v>102487</v>
      </c>
      <c r="E1217">
        <v>366000</v>
      </c>
      <c r="F1217">
        <v>2941911</v>
      </c>
      <c r="G1217">
        <v>227600</v>
      </c>
      <c r="H1217">
        <v>3658764</v>
      </c>
      <c r="I1217">
        <v>77400</v>
      </c>
      <c r="J1217">
        <v>3641105</v>
      </c>
      <c r="K1217">
        <v>84400</v>
      </c>
    </row>
    <row r="1218" spans="1:11" x14ac:dyDescent="0.3">
      <c r="A1218" t="s">
        <v>1227</v>
      </c>
      <c r="B1218">
        <v>210925</v>
      </c>
      <c r="C1218">
        <v>1655800</v>
      </c>
      <c r="D1218">
        <v>109269</v>
      </c>
      <c r="E1218">
        <v>395800</v>
      </c>
      <c r="F1218">
        <v>2947172</v>
      </c>
      <c r="G1218">
        <v>233600</v>
      </c>
      <c r="H1218">
        <v>3665285</v>
      </c>
      <c r="I1218">
        <v>76900</v>
      </c>
      <c r="J1218">
        <v>3648331</v>
      </c>
      <c r="K1218">
        <v>90800</v>
      </c>
    </row>
    <row r="1219" spans="1:11" x14ac:dyDescent="0.3">
      <c r="A1219" t="s">
        <v>1228</v>
      </c>
      <c r="B1219">
        <v>210925</v>
      </c>
      <c r="C1219">
        <v>1652100</v>
      </c>
      <c r="D1219">
        <v>106515</v>
      </c>
      <c r="E1219">
        <v>370000</v>
      </c>
      <c r="F1219">
        <v>2952426</v>
      </c>
      <c r="G1219">
        <v>249200</v>
      </c>
      <c r="H1219">
        <v>3671538</v>
      </c>
      <c r="I1219">
        <v>77900</v>
      </c>
      <c r="J1219">
        <v>3654533</v>
      </c>
      <c r="K1219">
        <v>85400</v>
      </c>
    </row>
    <row r="1220" spans="1:11" x14ac:dyDescent="0.3">
      <c r="A1220" t="s">
        <v>1229</v>
      </c>
      <c r="B1220">
        <v>210925</v>
      </c>
      <c r="C1220">
        <v>1774600</v>
      </c>
      <c r="D1220">
        <v>106882</v>
      </c>
      <c r="E1220">
        <v>372400</v>
      </c>
      <c r="F1220">
        <v>2957697</v>
      </c>
      <c r="G1220">
        <v>236800</v>
      </c>
      <c r="H1220">
        <v>3678467</v>
      </c>
      <c r="I1220">
        <v>80700</v>
      </c>
      <c r="J1220">
        <v>3661131</v>
      </c>
      <c r="K1220">
        <v>84300</v>
      </c>
    </row>
    <row r="1221" spans="1:11" x14ac:dyDescent="0.3">
      <c r="A1221" t="s">
        <v>1230</v>
      </c>
      <c r="B1221">
        <v>210925</v>
      </c>
      <c r="C1221">
        <v>1926400</v>
      </c>
      <c r="D1221">
        <v>104465</v>
      </c>
      <c r="E1221">
        <v>404800</v>
      </c>
      <c r="F1221">
        <v>2962963</v>
      </c>
      <c r="G1221">
        <v>226400</v>
      </c>
      <c r="H1221">
        <v>3684916</v>
      </c>
      <c r="I1221">
        <v>78800</v>
      </c>
      <c r="J1221">
        <v>3667243</v>
      </c>
      <c r="K1221">
        <v>85700</v>
      </c>
    </row>
    <row r="1222" spans="1:11" x14ac:dyDescent="0.3">
      <c r="A1222" t="s">
        <v>1231</v>
      </c>
      <c r="B1222">
        <v>210925</v>
      </c>
      <c r="C1222">
        <v>1789600</v>
      </c>
      <c r="D1222">
        <v>107916</v>
      </c>
      <c r="E1222">
        <v>546200</v>
      </c>
      <c r="F1222">
        <v>2968237</v>
      </c>
      <c r="G1222">
        <v>228000</v>
      </c>
      <c r="H1222">
        <v>3691409</v>
      </c>
      <c r="I1222">
        <v>76900</v>
      </c>
      <c r="J1222">
        <v>3674025</v>
      </c>
      <c r="K1222">
        <v>86800</v>
      </c>
    </row>
    <row r="1223" spans="1:11" x14ac:dyDescent="0.3">
      <c r="A1223" t="s">
        <v>1232</v>
      </c>
      <c r="B1223">
        <v>210925</v>
      </c>
      <c r="C1223">
        <v>1544200</v>
      </c>
      <c r="D1223">
        <v>106639</v>
      </c>
      <c r="E1223">
        <v>375400</v>
      </c>
      <c r="F1223">
        <v>2973511</v>
      </c>
      <c r="G1223">
        <v>226600</v>
      </c>
      <c r="H1223">
        <v>3698017</v>
      </c>
      <c r="I1223">
        <v>77800</v>
      </c>
      <c r="J1223">
        <v>3680473</v>
      </c>
      <c r="K1223">
        <v>86500</v>
      </c>
    </row>
    <row r="1224" spans="1:11" x14ac:dyDescent="0.3">
      <c r="A1224" t="s">
        <v>1233</v>
      </c>
      <c r="B1224">
        <v>210925</v>
      </c>
      <c r="C1224">
        <v>1601800</v>
      </c>
      <c r="D1224">
        <v>102778</v>
      </c>
      <c r="E1224">
        <v>357900</v>
      </c>
      <c r="F1224">
        <v>2978758</v>
      </c>
      <c r="G1224">
        <v>229600</v>
      </c>
      <c r="H1224">
        <v>3704808</v>
      </c>
      <c r="I1224">
        <v>78100</v>
      </c>
      <c r="J1224">
        <v>3686846</v>
      </c>
      <c r="K1224">
        <v>87400</v>
      </c>
    </row>
    <row r="1225" spans="1:11" x14ac:dyDescent="0.3">
      <c r="A1225" t="s">
        <v>1234</v>
      </c>
      <c r="B1225">
        <v>210925</v>
      </c>
      <c r="C1225">
        <v>1824000</v>
      </c>
      <c r="D1225">
        <v>105778</v>
      </c>
      <c r="E1225">
        <v>369200</v>
      </c>
      <c r="F1225">
        <v>2984037</v>
      </c>
      <c r="G1225">
        <v>231700</v>
      </c>
      <c r="H1225">
        <v>3710966</v>
      </c>
      <c r="I1225">
        <v>76300</v>
      </c>
      <c r="J1225">
        <v>3694577</v>
      </c>
      <c r="K1225">
        <v>92800</v>
      </c>
    </row>
    <row r="1226" spans="1:11" x14ac:dyDescent="0.3">
      <c r="A1226" t="s">
        <v>1235</v>
      </c>
      <c r="B1226">
        <v>210925</v>
      </c>
      <c r="C1226">
        <v>1572900</v>
      </c>
      <c r="D1226">
        <v>110016</v>
      </c>
      <c r="E1226">
        <v>387900</v>
      </c>
      <c r="F1226">
        <v>2989285</v>
      </c>
      <c r="G1226">
        <v>227300</v>
      </c>
      <c r="H1226">
        <v>3717600</v>
      </c>
      <c r="I1226">
        <v>79000</v>
      </c>
      <c r="J1226">
        <v>3701761</v>
      </c>
      <c r="K1226">
        <v>88200</v>
      </c>
    </row>
    <row r="1227" spans="1:11" x14ac:dyDescent="0.3">
      <c r="A1227" t="s">
        <v>1236</v>
      </c>
      <c r="B1227">
        <v>210925</v>
      </c>
      <c r="C1227">
        <v>1871200</v>
      </c>
      <c r="D1227">
        <v>106815</v>
      </c>
      <c r="E1227">
        <v>382400</v>
      </c>
      <c r="F1227">
        <v>2994549</v>
      </c>
      <c r="G1227">
        <v>230300</v>
      </c>
      <c r="H1227">
        <v>3724690</v>
      </c>
      <c r="I1227">
        <v>78000</v>
      </c>
      <c r="J1227">
        <v>3708417</v>
      </c>
      <c r="K1227">
        <v>89700</v>
      </c>
    </row>
    <row r="1228" spans="1:11" x14ac:dyDescent="0.3">
      <c r="A1228" t="s">
        <v>1237</v>
      </c>
      <c r="B1228">
        <v>210925</v>
      </c>
      <c r="C1228">
        <v>1597400</v>
      </c>
      <c r="D1228">
        <v>104666</v>
      </c>
      <c r="E1228">
        <v>363900</v>
      </c>
      <c r="F1228">
        <v>2999803</v>
      </c>
      <c r="G1228">
        <v>229900</v>
      </c>
      <c r="H1228">
        <v>3731415</v>
      </c>
      <c r="I1228">
        <v>75800</v>
      </c>
      <c r="J1228">
        <v>3715096</v>
      </c>
      <c r="K1228">
        <v>88200</v>
      </c>
    </row>
    <row r="1229" spans="1:11" x14ac:dyDescent="0.3">
      <c r="A1229" t="s">
        <v>1238</v>
      </c>
      <c r="B1229">
        <v>210925</v>
      </c>
      <c r="C1229">
        <v>1894000</v>
      </c>
      <c r="D1229">
        <v>111182</v>
      </c>
      <c r="E1229">
        <v>427800</v>
      </c>
      <c r="F1229">
        <v>3005105</v>
      </c>
      <c r="G1229">
        <v>229100</v>
      </c>
      <c r="H1229">
        <v>3738460</v>
      </c>
      <c r="I1229">
        <v>79900</v>
      </c>
      <c r="J1229">
        <v>3721238</v>
      </c>
      <c r="K1229">
        <v>87700</v>
      </c>
    </row>
    <row r="1230" spans="1:11" x14ac:dyDescent="0.3">
      <c r="A1230" t="s">
        <v>1239</v>
      </c>
      <c r="B1230">
        <v>210925</v>
      </c>
      <c r="C1230">
        <v>1523800</v>
      </c>
      <c r="D1230">
        <v>109651</v>
      </c>
      <c r="E1230">
        <v>381800</v>
      </c>
      <c r="F1230">
        <v>3010351</v>
      </c>
      <c r="G1230">
        <v>228000</v>
      </c>
      <c r="H1230">
        <v>3745532</v>
      </c>
      <c r="I1230">
        <v>81300</v>
      </c>
      <c r="J1230">
        <v>3728474</v>
      </c>
      <c r="K1230">
        <v>89300</v>
      </c>
    </row>
    <row r="1231" spans="1:11" x14ac:dyDescent="0.3">
      <c r="A1231" t="s">
        <v>1240</v>
      </c>
      <c r="B1231">
        <v>210925</v>
      </c>
      <c r="C1231">
        <v>1529200</v>
      </c>
      <c r="D1231">
        <v>108022</v>
      </c>
      <c r="E1231">
        <v>380000</v>
      </c>
      <c r="F1231">
        <v>3015626</v>
      </c>
      <c r="G1231">
        <v>225500</v>
      </c>
      <c r="H1231">
        <v>3751874</v>
      </c>
      <c r="I1231">
        <v>77700</v>
      </c>
      <c r="J1231">
        <v>3734616</v>
      </c>
      <c r="K1231">
        <v>85400</v>
      </c>
    </row>
    <row r="1232" spans="1:11" x14ac:dyDescent="0.3">
      <c r="A1232" t="s">
        <v>1241</v>
      </c>
      <c r="B1232">
        <v>210925</v>
      </c>
      <c r="C1232">
        <v>1524200</v>
      </c>
      <c r="D1232">
        <v>110243</v>
      </c>
      <c r="E1232">
        <v>382400</v>
      </c>
      <c r="F1232">
        <v>3020913</v>
      </c>
      <c r="G1232">
        <v>226300</v>
      </c>
      <c r="H1232">
        <v>3758662</v>
      </c>
      <c r="I1232">
        <v>79200</v>
      </c>
      <c r="J1232">
        <v>3741424</v>
      </c>
      <c r="K1232">
        <v>85300</v>
      </c>
    </row>
    <row r="1233" spans="1:11" x14ac:dyDescent="0.3">
      <c r="A1233" t="s">
        <v>1242</v>
      </c>
      <c r="B1233">
        <v>210925</v>
      </c>
      <c r="C1233">
        <v>1845000</v>
      </c>
      <c r="D1233">
        <v>103917</v>
      </c>
      <c r="E1233">
        <v>371200</v>
      </c>
      <c r="F1233">
        <v>3026188</v>
      </c>
      <c r="G1233">
        <v>231900</v>
      </c>
      <c r="H1233">
        <v>3764774</v>
      </c>
      <c r="I1233">
        <v>76400</v>
      </c>
      <c r="J1233">
        <v>3748039</v>
      </c>
      <c r="K1233">
        <v>87700</v>
      </c>
    </row>
    <row r="1234" spans="1:11" x14ac:dyDescent="0.3">
      <c r="A1234" t="s">
        <v>1243</v>
      </c>
      <c r="B1234">
        <v>210925</v>
      </c>
      <c r="C1234">
        <v>1532300</v>
      </c>
      <c r="D1234">
        <v>110472</v>
      </c>
      <c r="E1234">
        <v>383400</v>
      </c>
      <c r="F1234">
        <v>3031480</v>
      </c>
      <c r="G1234">
        <v>228900</v>
      </c>
      <c r="H1234">
        <v>3770954</v>
      </c>
      <c r="I1234">
        <v>77100</v>
      </c>
      <c r="J1234">
        <v>3754458</v>
      </c>
      <c r="K1234">
        <v>85700</v>
      </c>
    </row>
    <row r="1235" spans="1:11" x14ac:dyDescent="0.3">
      <c r="A1235" t="s">
        <v>1244</v>
      </c>
      <c r="B1235">
        <v>210925</v>
      </c>
      <c r="C1235">
        <v>1536700</v>
      </c>
      <c r="D1235">
        <v>111842</v>
      </c>
      <c r="E1235">
        <v>388500</v>
      </c>
      <c r="F1235">
        <v>3036757</v>
      </c>
      <c r="G1235">
        <v>225200</v>
      </c>
      <c r="H1235">
        <v>3777462</v>
      </c>
      <c r="I1235">
        <v>74500</v>
      </c>
      <c r="J1235">
        <v>3760288</v>
      </c>
      <c r="K1235">
        <v>86600</v>
      </c>
    </row>
    <row r="1236" spans="1:11" x14ac:dyDescent="0.3">
      <c r="A1236" t="s">
        <v>1245</v>
      </c>
      <c r="B1236">
        <v>210925</v>
      </c>
      <c r="C1236">
        <v>1637500</v>
      </c>
      <c r="D1236">
        <v>106491</v>
      </c>
      <c r="E1236">
        <v>374100</v>
      </c>
      <c r="F1236">
        <v>3042010</v>
      </c>
      <c r="G1236">
        <v>225400</v>
      </c>
      <c r="H1236">
        <v>3783955</v>
      </c>
      <c r="I1236">
        <v>79200</v>
      </c>
      <c r="J1236">
        <v>3766404</v>
      </c>
      <c r="K1236">
        <v>86500</v>
      </c>
    </row>
    <row r="1237" spans="1:11" x14ac:dyDescent="0.3">
      <c r="A1237" t="s">
        <v>1246</v>
      </c>
      <c r="B1237">
        <v>210925</v>
      </c>
      <c r="C1237">
        <v>1586800</v>
      </c>
      <c r="D1237">
        <v>104701</v>
      </c>
      <c r="E1237">
        <v>369200</v>
      </c>
      <c r="F1237">
        <v>3047267</v>
      </c>
      <c r="G1237">
        <v>337700</v>
      </c>
      <c r="H1237">
        <v>3790594</v>
      </c>
      <c r="I1237">
        <v>101500</v>
      </c>
      <c r="J1237">
        <v>3772747</v>
      </c>
      <c r="K1237">
        <v>88200</v>
      </c>
    </row>
    <row r="1238" spans="1:11" x14ac:dyDescent="0.3">
      <c r="A1238" t="s">
        <v>1247</v>
      </c>
      <c r="B1238">
        <v>210925</v>
      </c>
      <c r="C1238">
        <v>1543300</v>
      </c>
      <c r="D1238">
        <v>105146</v>
      </c>
      <c r="E1238">
        <v>370000</v>
      </c>
      <c r="F1238">
        <v>3052515</v>
      </c>
      <c r="G1238">
        <v>226700</v>
      </c>
      <c r="H1238">
        <v>3797324</v>
      </c>
      <c r="I1238">
        <v>74700</v>
      </c>
      <c r="J1238">
        <v>3779035</v>
      </c>
      <c r="K1238">
        <v>85500</v>
      </c>
    </row>
    <row r="1239" spans="1:11" x14ac:dyDescent="0.3">
      <c r="A1239" t="s">
        <v>1248</v>
      </c>
      <c r="B1239">
        <v>210925</v>
      </c>
      <c r="C1239">
        <v>1663400</v>
      </c>
      <c r="D1239">
        <v>104132</v>
      </c>
      <c r="E1239">
        <v>563900</v>
      </c>
      <c r="F1239">
        <v>3057785</v>
      </c>
      <c r="G1239">
        <v>235500</v>
      </c>
      <c r="H1239">
        <v>3804322</v>
      </c>
      <c r="I1239">
        <v>78300</v>
      </c>
      <c r="J1239">
        <v>3785453</v>
      </c>
      <c r="K1239">
        <v>84400</v>
      </c>
    </row>
    <row r="1240" spans="1:11" x14ac:dyDescent="0.3">
      <c r="A1240" t="s">
        <v>1249</v>
      </c>
      <c r="B1240">
        <v>210925</v>
      </c>
      <c r="C1240">
        <v>1512800</v>
      </c>
      <c r="D1240">
        <v>102965</v>
      </c>
      <c r="E1240">
        <v>358000</v>
      </c>
      <c r="F1240">
        <v>3063061</v>
      </c>
      <c r="G1240">
        <v>225500</v>
      </c>
      <c r="H1240">
        <v>3810540</v>
      </c>
      <c r="I1240">
        <v>76700</v>
      </c>
      <c r="J1240">
        <v>3792823</v>
      </c>
      <c r="K1240">
        <v>85800</v>
      </c>
    </row>
    <row r="1241" spans="1:11" x14ac:dyDescent="0.3">
      <c r="A1241" t="s">
        <v>1250</v>
      </c>
      <c r="B1241">
        <v>210925</v>
      </c>
      <c r="C1241">
        <v>1458500</v>
      </c>
      <c r="D1241">
        <v>105600</v>
      </c>
      <c r="E1241">
        <v>555800</v>
      </c>
      <c r="F1241">
        <v>3068313</v>
      </c>
      <c r="G1241">
        <v>228200</v>
      </c>
      <c r="H1241">
        <v>3817100</v>
      </c>
      <c r="I1241">
        <v>74100</v>
      </c>
      <c r="J1241">
        <v>3799059</v>
      </c>
      <c r="K1241">
        <v>88600</v>
      </c>
    </row>
    <row r="1242" spans="1:11" x14ac:dyDescent="0.3">
      <c r="A1242" t="s">
        <v>1251</v>
      </c>
      <c r="B1242">
        <v>210925</v>
      </c>
      <c r="C1242">
        <v>1761900</v>
      </c>
      <c r="D1242">
        <v>108574</v>
      </c>
      <c r="E1242">
        <v>429100</v>
      </c>
      <c r="F1242">
        <v>3073573</v>
      </c>
      <c r="G1242">
        <v>228200</v>
      </c>
      <c r="H1242">
        <v>3824035</v>
      </c>
      <c r="I1242">
        <v>77900</v>
      </c>
      <c r="J1242">
        <v>3805205</v>
      </c>
      <c r="K1242">
        <v>84200</v>
      </c>
    </row>
    <row r="1243" spans="1:11" x14ac:dyDescent="0.3">
      <c r="A1243" t="s">
        <v>1252</v>
      </c>
      <c r="B1243">
        <v>210925</v>
      </c>
      <c r="C1243">
        <v>1993500</v>
      </c>
      <c r="D1243">
        <v>104074</v>
      </c>
      <c r="E1243">
        <v>374200</v>
      </c>
      <c r="F1243">
        <v>3078853</v>
      </c>
      <c r="G1243">
        <v>228300</v>
      </c>
      <c r="H1243">
        <v>3830235</v>
      </c>
      <c r="I1243">
        <v>79100</v>
      </c>
      <c r="J1243">
        <v>3811739</v>
      </c>
      <c r="K1243">
        <v>87300</v>
      </c>
    </row>
    <row r="1244" spans="1:11" x14ac:dyDescent="0.3">
      <c r="A1244" t="s">
        <v>1253</v>
      </c>
      <c r="B1244">
        <v>210925</v>
      </c>
      <c r="C1244">
        <v>1820100</v>
      </c>
      <c r="D1244">
        <v>108069</v>
      </c>
      <c r="E1244">
        <v>375900</v>
      </c>
      <c r="F1244">
        <v>3084130</v>
      </c>
      <c r="G1244">
        <v>227900</v>
      </c>
      <c r="H1244">
        <v>3836442</v>
      </c>
      <c r="I1244">
        <v>79300</v>
      </c>
      <c r="J1244">
        <v>3818947</v>
      </c>
      <c r="K1244">
        <v>86000</v>
      </c>
    </row>
    <row r="1245" spans="1:11" x14ac:dyDescent="0.3">
      <c r="A1245" t="s">
        <v>1254</v>
      </c>
      <c r="B1245">
        <v>210925</v>
      </c>
      <c r="C1245">
        <v>2035500</v>
      </c>
      <c r="D1245">
        <v>105843</v>
      </c>
      <c r="E1245">
        <v>372000</v>
      </c>
      <c r="F1245">
        <v>3089378</v>
      </c>
      <c r="G1245">
        <v>267600</v>
      </c>
      <c r="H1245">
        <v>3843097</v>
      </c>
      <c r="I1245">
        <v>77900</v>
      </c>
      <c r="J1245">
        <v>3825438</v>
      </c>
      <c r="K1245">
        <v>84100</v>
      </c>
    </row>
    <row r="1246" spans="1:11" x14ac:dyDescent="0.3">
      <c r="A1246" t="s">
        <v>1255</v>
      </c>
      <c r="B1246">
        <v>210925</v>
      </c>
      <c r="C1246">
        <v>1529700</v>
      </c>
      <c r="D1246">
        <v>101841</v>
      </c>
      <c r="E1246">
        <v>359000</v>
      </c>
      <c r="F1246">
        <v>3094652</v>
      </c>
      <c r="G1246">
        <v>224200</v>
      </c>
      <c r="H1246">
        <v>3849143</v>
      </c>
      <c r="I1246">
        <v>74200</v>
      </c>
      <c r="J1246">
        <v>3832088</v>
      </c>
      <c r="K1246">
        <v>84100</v>
      </c>
    </row>
    <row r="1247" spans="1:11" x14ac:dyDescent="0.3">
      <c r="A1247" t="s">
        <v>1256</v>
      </c>
      <c r="B1247">
        <v>210925</v>
      </c>
      <c r="C1247">
        <v>1572300</v>
      </c>
      <c r="D1247">
        <v>105764</v>
      </c>
      <c r="E1247">
        <v>366600</v>
      </c>
      <c r="F1247">
        <v>3099905</v>
      </c>
      <c r="G1247">
        <v>226100</v>
      </c>
      <c r="H1247">
        <v>3855697</v>
      </c>
      <c r="I1247">
        <v>78900</v>
      </c>
      <c r="J1247">
        <v>3838990</v>
      </c>
      <c r="K1247">
        <v>92900</v>
      </c>
    </row>
    <row r="1248" spans="1:11" x14ac:dyDescent="0.3">
      <c r="A1248" t="s">
        <v>1257</v>
      </c>
      <c r="B1248">
        <v>210925</v>
      </c>
      <c r="C1248">
        <v>1539800</v>
      </c>
      <c r="D1248">
        <v>103521</v>
      </c>
      <c r="E1248">
        <v>359900</v>
      </c>
      <c r="F1248">
        <v>3105192</v>
      </c>
      <c r="G1248">
        <v>225900</v>
      </c>
      <c r="H1248">
        <v>3862727</v>
      </c>
      <c r="I1248">
        <v>77800</v>
      </c>
      <c r="J1248">
        <v>3845228</v>
      </c>
      <c r="K1248">
        <v>84700</v>
      </c>
    </row>
    <row r="1249" spans="1:11" x14ac:dyDescent="0.3">
      <c r="A1249" t="s">
        <v>1258</v>
      </c>
      <c r="B1249">
        <v>210925</v>
      </c>
      <c r="C1249">
        <v>1526400</v>
      </c>
      <c r="D1249">
        <v>105778</v>
      </c>
      <c r="E1249">
        <v>625100</v>
      </c>
      <c r="F1249">
        <v>3110431</v>
      </c>
      <c r="G1249">
        <v>313000</v>
      </c>
      <c r="H1249">
        <v>3868782</v>
      </c>
      <c r="I1249">
        <v>82700</v>
      </c>
      <c r="J1249">
        <v>3851976</v>
      </c>
      <c r="K1249">
        <v>94300</v>
      </c>
    </row>
    <row r="1250" spans="1:11" x14ac:dyDescent="0.3">
      <c r="A1250" t="s">
        <v>1259</v>
      </c>
      <c r="B1250">
        <v>210925</v>
      </c>
      <c r="C1250">
        <v>1556900</v>
      </c>
      <c r="D1250">
        <v>105364</v>
      </c>
      <c r="E1250">
        <v>366800</v>
      </c>
      <c r="F1250">
        <v>3115701</v>
      </c>
      <c r="G1250">
        <v>230900</v>
      </c>
      <c r="H1250">
        <v>3875642</v>
      </c>
      <c r="I1250">
        <v>81200</v>
      </c>
      <c r="J1250">
        <v>3858070</v>
      </c>
      <c r="K1250">
        <v>86700</v>
      </c>
    </row>
    <row r="1251" spans="1:11" x14ac:dyDescent="0.3">
      <c r="A1251" t="s">
        <v>1260</v>
      </c>
      <c r="B1251">
        <v>210925</v>
      </c>
      <c r="C1251">
        <v>1643500</v>
      </c>
      <c r="D1251">
        <v>109077</v>
      </c>
      <c r="E1251">
        <v>383700</v>
      </c>
      <c r="F1251">
        <v>3120963</v>
      </c>
      <c r="G1251">
        <v>231700</v>
      </c>
      <c r="H1251">
        <v>3882697</v>
      </c>
      <c r="I1251">
        <v>77300</v>
      </c>
      <c r="J1251">
        <v>3864220</v>
      </c>
      <c r="K1251">
        <v>88000</v>
      </c>
    </row>
    <row r="1252" spans="1:11" x14ac:dyDescent="0.3">
      <c r="A1252" t="s">
        <v>1261</v>
      </c>
      <c r="B1252">
        <v>210925</v>
      </c>
      <c r="C1252">
        <v>1735400</v>
      </c>
      <c r="D1252">
        <v>102340</v>
      </c>
      <c r="E1252">
        <v>358000</v>
      </c>
      <c r="F1252">
        <v>3126230</v>
      </c>
      <c r="G1252">
        <v>228000</v>
      </c>
      <c r="H1252">
        <v>3889073</v>
      </c>
      <c r="I1252">
        <v>78500</v>
      </c>
      <c r="J1252">
        <v>3871196</v>
      </c>
      <c r="K1252">
        <v>87200</v>
      </c>
    </row>
    <row r="1253" spans="1:11" x14ac:dyDescent="0.3">
      <c r="A1253" t="s">
        <v>1262</v>
      </c>
      <c r="B1253">
        <v>210925</v>
      </c>
      <c r="C1253">
        <v>1703500</v>
      </c>
      <c r="D1253">
        <v>102888</v>
      </c>
      <c r="E1253">
        <v>359100</v>
      </c>
      <c r="F1253">
        <v>3131502</v>
      </c>
      <c r="G1253">
        <v>236000</v>
      </c>
      <c r="H1253">
        <v>3895512</v>
      </c>
      <c r="I1253">
        <v>77800</v>
      </c>
      <c r="J1253">
        <v>3877738</v>
      </c>
      <c r="K1253">
        <v>85200</v>
      </c>
    </row>
    <row r="1254" spans="1:11" x14ac:dyDescent="0.3">
      <c r="A1254" t="s">
        <v>1263</v>
      </c>
      <c r="B1254">
        <v>210925</v>
      </c>
      <c r="C1254">
        <v>1946900</v>
      </c>
      <c r="D1254">
        <v>105023</v>
      </c>
      <c r="E1254">
        <v>365400</v>
      </c>
      <c r="F1254">
        <v>3136749</v>
      </c>
      <c r="G1254">
        <v>232400</v>
      </c>
      <c r="H1254">
        <v>3901853</v>
      </c>
      <c r="I1254">
        <v>77300</v>
      </c>
      <c r="J1254">
        <v>3884226</v>
      </c>
      <c r="K1254">
        <v>88800</v>
      </c>
    </row>
    <row r="1255" spans="1:11" x14ac:dyDescent="0.3">
      <c r="A1255" t="s">
        <v>1264</v>
      </c>
      <c r="B1255">
        <v>210925</v>
      </c>
      <c r="C1255">
        <v>1755900</v>
      </c>
      <c r="D1255">
        <v>108573</v>
      </c>
      <c r="E1255">
        <v>377100</v>
      </c>
      <c r="F1255">
        <v>3142036</v>
      </c>
      <c r="G1255">
        <v>231100</v>
      </c>
      <c r="H1255">
        <v>3908388</v>
      </c>
      <c r="I1255">
        <v>79200</v>
      </c>
      <c r="J1255">
        <v>3890507</v>
      </c>
      <c r="K1255">
        <v>85200</v>
      </c>
    </row>
    <row r="1256" spans="1:11" x14ac:dyDescent="0.3">
      <c r="A1256" t="s">
        <v>1265</v>
      </c>
      <c r="B1256">
        <v>210925</v>
      </c>
      <c r="C1256">
        <v>1660000</v>
      </c>
      <c r="D1256">
        <v>107621</v>
      </c>
      <c r="E1256">
        <v>379400</v>
      </c>
      <c r="F1256">
        <v>3147317</v>
      </c>
      <c r="G1256">
        <v>229900</v>
      </c>
      <c r="H1256">
        <v>3914771</v>
      </c>
      <c r="I1256">
        <v>77200</v>
      </c>
      <c r="J1256">
        <v>3896932</v>
      </c>
      <c r="K1256">
        <v>87800</v>
      </c>
    </row>
    <row r="1257" spans="1:11" x14ac:dyDescent="0.3">
      <c r="A1257" t="s">
        <v>1266</v>
      </c>
      <c r="B1257">
        <v>210925</v>
      </c>
      <c r="C1257">
        <v>1848500</v>
      </c>
      <c r="D1257">
        <v>106177</v>
      </c>
      <c r="E1257">
        <v>404000</v>
      </c>
      <c r="F1257">
        <v>3152570</v>
      </c>
      <c r="G1257">
        <v>229600</v>
      </c>
      <c r="H1257">
        <v>3921039</v>
      </c>
      <c r="I1257">
        <v>74400</v>
      </c>
      <c r="J1257">
        <v>3902965</v>
      </c>
      <c r="K1257">
        <v>85500</v>
      </c>
    </row>
    <row r="1258" spans="1:11" x14ac:dyDescent="0.3">
      <c r="A1258" t="s">
        <v>1267</v>
      </c>
      <c r="B1258">
        <v>210925</v>
      </c>
      <c r="C1258">
        <v>1774400</v>
      </c>
      <c r="D1258">
        <v>106730</v>
      </c>
      <c r="E1258">
        <v>479300</v>
      </c>
      <c r="F1258">
        <v>3157861</v>
      </c>
      <c r="G1258">
        <v>319300</v>
      </c>
      <c r="H1258">
        <v>3927680</v>
      </c>
      <c r="I1258">
        <v>77900</v>
      </c>
      <c r="J1258">
        <v>3910407</v>
      </c>
      <c r="K1258">
        <v>86800</v>
      </c>
    </row>
    <row r="1259" spans="1:11" x14ac:dyDescent="0.3">
      <c r="A1259" t="s">
        <v>1268</v>
      </c>
      <c r="B1259">
        <v>210925</v>
      </c>
      <c r="C1259">
        <v>1548000</v>
      </c>
      <c r="D1259">
        <v>105729</v>
      </c>
      <c r="E1259">
        <v>368000</v>
      </c>
      <c r="F1259">
        <v>3163122</v>
      </c>
      <c r="G1259">
        <v>227000</v>
      </c>
      <c r="H1259">
        <v>3934781</v>
      </c>
      <c r="I1259">
        <v>79200</v>
      </c>
      <c r="J1259">
        <v>3918367</v>
      </c>
      <c r="K1259">
        <v>85000</v>
      </c>
    </row>
    <row r="1260" spans="1:11" x14ac:dyDescent="0.3">
      <c r="A1260" t="s">
        <v>1269</v>
      </c>
      <c r="B1260">
        <v>210925</v>
      </c>
      <c r="C1260">
        <v>1762900</v>
      </c>
      <c r="D1260">
        <v>103785</v>
      </c>
      <c r="E1260">
        <v>365600</v>
      </c>
      <c r="F1260">
        <v>3168386</v>
      </c>
      <c r="G1260">
        <v>232900</v>
      </c>
      <c r="H1260">
        <v>3940765</v>
      </c>
      <c r="I1260">
        <v>82200</v>
      </c>
      <c r="J1260">
        <v>3924557</v>
      </c>
      <c r="K1260">
        <v>86300</v>
      </c>
    </row>
    <row r="1261" spans="1:11" x14ac:dyDescent="0.3">
      <c r="A1261" t="s">
        <v>1270</v>
      </c>
      <c r="B1261">
        <v>210925</v>
      </c>
      <c r="C1261">
        <v>1500800</v>
      </c>
      <c r="D1261">
        <v>105700</v>
      </c>
      <c r="E1261">
        <v>367800</v>
      </c>
      <c r="F1261">
        <v>3173666</v>
      </c>
      <c r="G1261">
        <v>227000</v>
      </c>
      <c r="H1261">
        <v>3947967</v>
      </c>
      <c r="I1261">
        <v>81300</v>
      </c>
      <c r="J1261">
        <v>3931540</v>
      </c>
      <c r="K1261">
        <v>88600</v>
      </c>
    </row>
    <row r="1262" spans="1:11" x14ac:dyDescent="0.3">
      <c r="A1262" t="s">
        <v>1271</v>
      </c>
      <c r="B1262">
        <v>210925</v>
      </c>
      <c r="C1262">
        <v>1734400</v>
      </c>
      <c r="D1262">
        <v>104432</v>
      </c>
      <c r="E1262">
        <v>364000</v>
      </c>
      <c r="F1262">
        <v>3178940</v>
      </c>
      <c r="G1262">
        <v>226200</v>
      </c>
      <c r="H1262">
        <v>3955093</v>
      </c>
      <c r="I1262">
        <v>78900</v>
      </c>
      <c r="J1262">
        <v>3938022</v>
      </c>
      <c r="K1262">
        <v>85600</v>
      </c>
    </row>
    <row r="1263" spans="1:11" x14ac:dyDescent="0.3">
      <c r="A1263" t="s">
        <v>1272</v>
      </c>
      <c r="B1263">
        <v>210925</v>
      </c>
      <c r="C1263">
        <v>1616100</v>
      </c>
      <c r="D1263">
        <v>105827</v>
      </c>
      <c r="E1263">
        <v>375800</v>
      </c>
      <c r="F1263">
        <v>3184216</v>
      </c>
      <c r="G1263">
        <v>226000</v>
      </c>
      <c r="H1263">
        <v>3960890</v>
      </c>
      <c r="I1263">
        <v>75700</v>
      </c>
      <c r="J1263">
        <v>3944934</v>
      </c>
      <c r="K1263">
        <v>84600</v>
      </c>
    </row>
    <row r="1264" spans="1:11" x14ac:dyDescent="0.3">
      <c r="A1264" t="s">
        <v>1273</v>
      </c>
      <c r="B1264">
        <v>210925</v>
      </c>
      <c r="C1264">
        <v>1720900</v>
      </c>
      <c r="D1264">
        <v>106736</v>
      </c>
      <c r="E1264">
        <v>371200</v>
      </c>
      <c r="F1264">
        <v>3189494</v>
      </c>
      <c r="G1264">
        <v>227000</v>
      </c>
      <c r="H1264">
        <v>3967452</v>
      </c>
      <c r="I1264">
        <v>77600</v>
      </c>
      <c r="J1264">
        <v>3951197</v>
      </c>
      <c r="K1264">
        <v>85000</v>
      </c>
    </row>
    <row r="1265" spans="1:11" x14ac:dyDescent="0.3">
      <c r="A1265" t="s">
        <v>1274</v>
      </c>
      <c r="B1265">
        <v>210925</v>
      </c>
      <c r="C1265">
        <v>1616000</v>
      </c>
      <c r="D1265">
        <v>103551</v>
      </c>
      <c r="E1265">
        <v>406700</v>
      </c>
      <c r="F1265">
        <v>3194747</v>
      </c>
      <c r="G1265">
        <v>224500</v>
      </c>
      <c r="H1265">
        <v>3974572</v>
      </c>
      <c r="I1265">
        <v>79400</v>
      </c>
      <c r="J1265">
        <v>3957373</v>
      </c>
      <c r="K1265">
        <v>86100</v>
      </c>
    </row>
    <row r="1266" spans="1:11" x14ac:dyDescent="0.3">
      <c r="A1266" t="s">
        <v>1275</v>
      </c>
      <c r="B1266">
        <v>210925</v>
      </c>
      <c r="C1266">
        <v>1653600</v>
      </c>
      <c r="D1266">
        <v>110472</v>
      </c>
      <c r="E1266">
        <v>456100</v>
      </c>
      <c r="F1266">
        <v>3200029</v>
      </c>
      <c r="G1266">
        <v>233800</v>
      </c>
      <c r="H1266">
        <v>3981172</v>
      </c>
      <c r="I1266">
        <v>86800</v>
      </c>
      <c r="J1266">
        <v>3963754</v>
      </c>
      <c r="K1266">
        <v>85700</v>
      </c>
    </row>
    <row r="1267" spans="1:11" x14ac:dyDescent="0.3">
      <c r="A1267" t="s">
        <v>1276</v>
      </c>
      <c r="B1267">
        <v>210925</v>
      </c>
      <c r="C1267">
        <v>1568600</v>
      </c>
      <c r="D1267">
        <v>107888</v>
      </c>
      <c r="E1267">
        <v>383800</v>
      </c>
      <c r="F1267">
        <v>3205293</v>
      </c>
      <c r="G1267">
        <v>225500</v>
      </c>
      <c r="H1267">
        <v>3987530</v>
      </c>
      <c r="I1267">
        <v>74500</v>
      </c>
      <c r="J1267">
        <v>3970320</v>
      </c>
      <c r="K1267">
        <v>83100</v>
      </c>
    </row>
    <row r="1268" spans="1:11" x14ac:dyDescent="0.3">
      <c r="A1268" t="s">
        <v>1277</v>
      </c>
      <c r="B1268">
        <v>210925</v>
      </c>
      <c r="C1268">
        <v>1814700</v>
      </c>
      <c r="D1268">
        <v>111788</v>
      </c>
      <c r="E1268">
        <v>589300</v>
      </c>
      <c r="F1268">
        <v>3210599</v>
      </c>
      <c r="G1268">
        <v>232700</v>
      </c>
      <c r="H1268">
        <v>3993549</v>
      </c>
      <c r="I1268">
        <v>77200</v>
      </c>
      <c r="J1268">
        <v>3976980</v>
      </c>
      <c r="K1268">
        <v>85900</v>
      </c>
    </row>
    <row r="1269" spans="1:11" x14ac:dyDescent="0.3">
      <c r="A1269" t="s">
        <v>1278</v>
      </c>
      <c r="B1269">
        <v>210925</v>
      </c>
      <c r="C1269">
        <v>1706800</v>
      </c>
      <c r="D1269">
        <v>107252</v>
      </c>
      <c r="E1269">
        <v>381000</v>
      </c>
      <c r="F1269">
        <v>3215890</v>
      </c>
      <c r="G1269">
        <v>234700</v>
      </c>
      <c r="H1269">
        <v>3999861</v>
      </c>
      <c r="I1269">
        <v>89300</v>
      </c>
      <c r="J1269">
        <v>3983714</v>
      </c>
      <c r="K1269">
        <v>90300</v>
      </c>
    </row>
    <row r="1270" spans="1:11" x14ac:dyDescent="0.3">
      <c r="A1270" t="s">
        <v>1279</v>
      </c>
      <c r="B1270">
        <v>210925</v>
      </c>
      <c r="C1270">
        <v>1572500</v>
      </c>
      <c r="D1270">
        <v>97200</v>
      </c>
      <c r="E1270">
        <v>339400</v>
      </c>
      <c r="F1270">
        <v>3221137</v>
      </c>
      <c r="G1270">
        <v>235100</v>
      </c>
      <c r="H1270">
        <v>4006201</v>
      </c>
      <c r="I1270">
        <v>73800</v>
      </c>
      <c r="J1270">
        <v>3990032</v>
      </c>
      <c r="K1270">
        <v>85000</v>
      </c>
    </row>
    <row r="1271" spans="1:11" x14ac:dyDescent="0.3">
      <c r="A1271" t="s">
        <v>1280</v>
      </c>
      <c r="B1271">
        <v>210925</v>
      </c>
      <c r="C1271">
        <v>1615000</v>
      </c>
      <c r="D1271">
        <v>101071</v>
      </c>
      <c r="E1271">
        <v>423900</v>
      </c>
      <c r="F1271">
        <v>3226398</v>
      </c>
      <c r="G1271">
        <v>230500</v>
      </c>
      <c r="H1271">
        <v>4012785</v>
      </c>
      <c r="I1271">
        <v>76600</v>
      </c>
      <c r="J1271">
        <v>3996324</v>
      </c>
      <c r="K1271">
        <v>86000</v>
      </c>
    </row>
    <row r="1272" spans="1:11" x14ac:dyDescent="0.3">
      <c r="A1272" t="s">
        <v>1281</v>
      </c>
      <c r="B1272">
        <v>210925</v>
      </c>
      <c r="C1272">
        <v>1538700</v>
      </c>
      <c r="D1272">
        <v>106444</v>
      </c>
      <c r="E1272">
        <v>376600</v>
      </c>
      <c r="F1272">
        <v>3231652</v>
      </c>
      <c r="G1272">
        <v>255900</v>
      </c>
      <c r="H1272">
        <v>4019224</v>
      </c>
      <c r="I1272">
        <v>74600</v>
      </c>
      <c r="J1272">
        <v>4003198</v>
      </c>
      <c r="K1272">
        <v>87800</v>
      </c>
    </row>
    <row r="1273" spans="1:11" x14ac:dyDescent="0.3">
      <c r="A1273" t="s">
        <v>1282</v>
      </c>
      <c r="B1273">
        <v>210925</v>
      </c>
      <c r="C1273">
        <v>1581700</v>
      </c>
      <c r="D1273">
        <v>105766</v>
      </c>
      <c r="E1273">
        <v>381500</v>
      </c>
      <c r="F1273">
        <v>3236907</v>
      </c>
      <c r="G1273">
        <v>229400</v>
      </c>
      <c r="H1273">
        <v>4025677</v>
      </c>
      <c r="I1273">
        <v>75100</v>
      </c>
      <c r="J1273">
        <v>4009786</v>
      </c>
      <c r="K1273">
        <v>85500</v>
      </c>
    </row>
    <row r="1274" spans="1:11" x14ac:dyDescent="0.3">
      <c r="A1274" t="s">
        <v>1283</v>
      </c>
      <c r="B1274">
        <v>210925</v>
      </c>
      <c r="C1274">
        <v>1749800</v>
      </c>
      <c r="D1274">
        <v>106767</v>
      </c>
      <c r="E1274">
        <v>371500</v>
      </c>
      <c r="F1274">
        <v>3242197</v>
      </c>
      <c r="G1274">
        <v>232200</v>
      </c>
      <c r="H1274">
        <v>4032552</v>
      </c>
      <c r="I1274">
        <v>79100</v>
      </c>
      <c r="J1274">
        <v>4016457</v>
      </c>
      <c r="K1274">
        <v>87200</v>
      </c>
    </row>
    <row r="1275" spans="1:11" x14ac:dyDescent="0.3">
      <c r="A1275" t="s">
        <v>1284</v>
      </c>
      <c r="B1275">
        <v>210925</v>
      </c>
      <c r="C1275">
        <v>1835800</v>
      </c>
      <c r="D1275">
        <v>108104</v>
      </c>
      <c r="E1275">
        <v>389000</v>
      </c>
      <c r="F1275">
        <v>3247472</v>
      </c>
      <c r="G1275">
        <v>230200</v>
      </c>
      <c r="H1275">
        <v>4038741</v>
      </c>
      <c r="I1275">
        <v>77300</v>
      </c>
      <c r="J1275">
        <v>4023829</v>
      </c>
      <c r="K1275">
        <v>91500</v>
      </c>
    </row>
    <row r="1276" spans="1:11" x14ac:dyDescent="0.3">
      <c r="A1276" t="s">
        <v>1285</v>
      </c>
      <c r="B1276">
        <v>210925</v>
      </c>
      <c r="C1276">
        <v>1522900</v>
      </c>
      <c r="D1276">
        <v>109622</v>
      </c>
      <c r="E1276">
        <v>379900</v>
      </c>
      <c r="F1276">
        <v>3252747</v>
      </c>
      <c r="G1276">
        <v>227400</v>
      </c>
      <c r="H1276">
        <v>4044812</v>
      </c>
      <c r="I1276">
        <v>77200</v>
      </c>
      <c r="J1276">
        <v>4030203</v>
      </c>
      <c r="K1276">
        <v>85500</v>
      </c>
    </row>
    <row r="1277" spans="1:11" x14ac:dyDescent="0.3">
      <c r="A1277" t="s">
        <v>1286</v>
      </c>
      <c r="B1277">
        <v>210925</v>
      </c>
      <c r="C1277">
        <v>1894500</v>
      </c>
      <c r="D1277">
        <v>113188</v>
      </c>
      <c r="E1277">
        <v>396800</v>
      </c>
      <c r="F1277">
        <v>3258028</v>
      </c>
      <c r="G1277">
        <v>268800</v>
      </c>
      <c r="H1277">
        <v>4051276</v>
      </c>
      <c r="I1277">
        <v>78500</v>
      </c>
      <c r="J1277">
        <v>4037433</v>
      </c>
      <c r="K1277">
        <v>84900</v>
      </c>
    </row>
    <row r="1278" spans="1:11" x14ac:dyDescent="0.3">
      <c r="A1278" t="s">
        <v>1287</v>
      </c>
      <c r="B1278">
        <v>210925</v>
      </c>
      <c r="C1278">
        <v>1493800</v>
      </c>
      <c r="D1278">
        <v>108361</v>
      </c>
      <c r="E1278">
        <v>376800</v>
      </c>
      <c r="F1278">
        <v>3263304</v>
      </c>
      <c r="G1278">
        <v>232000</v>
      </c>
      <c r="H1278">
        <v>4058345</v>
      </c>
      <c r="I1278">
        <v>85400</v>
      </c>
      <c r="J1278">
        <v>4043809</v>
      </c>
      <c r="K1278">
        <v>87400</v>
      </c>
    </row>
    <row r="1279" spans="1:11" x14ac:dyDescent="0.3">
      <c r="A1279" t="s">
        <v>1288</v>
      </c>
      <c r="B1279">
        <v>210925</v>
      </c>
      <c r="C1279">
        <v>1996300</v>
      </c>
      <c r="D1279">
        <v>113534</v>
      </c>
      <c r="E1279">
        <v>443000</v>
      </c>
      <c r="F1279">
        <v>3268550</v>
      </c>
      <c r="G1279">
        <v>231700</v>
      </c>
      <c r="H1279">
        <v>4065551</v>
      </c>
      <c r="I1279">
        <v>82400</v>
      </c>
      <c r="J1279">
        <v>4050407</v>
      </c>
      <c r="K1279">
        <v>88700</v>
      </c>
    </row>
    <row r="1280" spans="1:11" x14ac:dyDescent="0.3">
      <c r="A1280" t="s">
        <v>1289</v>
      </c>
      <c r="B1280">
        <v>210925</v>
      </c>
      <c r="C1280">
        <v>1526400</v>
      </c>
      <c r="D1280">
        <v>106712</v>
      </c>
      <c r="E1280">
        <v>370700</v>
      </c>
      <c r="F1280">
        <v>3273825</v>
      </c>
      <c r="G1280">
        <v>227400</v>
      </c>
      <c r="H1280">
        <v>4071711</v>
      </c>
      <c r="I1280">
        <v>78600</v>
      </c>
      <c r="J1280">
        <v>4056735</v>
      </c>
      <c r="K1280">
        <v>85300</v>
      </c>
    </row>
    <row r="1281" spans="1:11" x14ac:dyDescent="0.3">
      <c r="A1281" t="s">
        <v>1290</v>
      </c>
      <c r="B1281">
        <v>210925</v>
      </c>
      <c r="C1281">
        <v>1924600</v>
      </c>
      <c r="D1281">
        <v>107935</v>
      </c>
      <c r="E1281">
        <v>374100</v>
      </c>
      <c r="F1281">
        <v>3279104</v>
      </c>
      <c r="G1281">
        <v>239700</v>
      </c>
      <c r="H1281">
        <v>4077904</v>
      </c>
      <c r="I1281">
        <v>80500</v>
      </c>
      <c r="J1281">
        <v>4063293</v>
      </c>
      <c r="K1281">
        <v>89600</v>
      </c>
    </row>
    <row r="1282" spans="1:11" x14ac:dyDescent="0.3">
      <c r="A1282" t="s">
        <v>1291</v>
      </c>
      <c r="B1282">
        <v>210925</v>
      </c>
      <c r="C1282">
        <v>1700100</v>
      </c>
      <c r="D1282">
        <v>108398</v>
      </c>
      <c r="E1282">
        <v>392800</v>
      </c>
      <c r="F1282">
        <v>3284355</v>
      </c>
      <c r="G1282">
        <v>228400</v>
      </c>
      <c r="H1282">
        <v>4084099</v>
      </c>
      <c r="I1282">
        <v>76800</v>
      </c>
      <c r="J1282">
        <v>4070319</v>
      </c>
      <c r="K1282">
        <v>86600</v>
      </c>
    </row>
    <row r="1283" spans="1:11" x14ac:dyDescent="0.3">
      <c r="A1283" t="s">
        <v>1292</v>
      </c>
      <c r="B1283">
        <v>210925</v>
      </c>
      <c r="C1283">
        <v>1521900</v>
      </c>
      <c r="D1283">
        <v>103573</v>
      </c>
      <c r="E1283">
        <v>370900</v>
      </c>
      <c r="F1283">
        <v>3289583</v>
      </c>
      <c r="G1283">
        <v>228700</v>
      </c>
      <c r="H1283">
        <v>4090294</v>
      </c>
      <c r="I1283">
        <v>79700</v>
      </c>
      <c r="J1283">
        <v>4076698</v>
      </c>
      <c r="K1283">
        <v>88400</v>
      </c>
    </row>
    <row r="1284" spans="1:11" x14ac:dyDescent="0.3">
      <c r="A1284" t="s">
        <v>1293</v>
      </c>
      <c r="B1284">
        <v>210925</v>
      </c>
      <c r="C1284">
        <v>1471300</v>
      </c>
      <c r="D1284">
        <v>109353</v>
      </c>
      <c r="E1284">
        <v>416100</v>
      </c>
      <c r="F1284">
        <v>3294872</v>
      </c>
      <c r="G1284">
        <v>224900</v>
      </c>
      <c r="H1284">
        <v>4097297</v>
      </c>
      <c r="I1284">
        <v>80500</v>
      </c>
      <c r="J1284">
        <v>4083444</v>
      </c>
      <c r="K1284">
        <v>83400</v>
      </c>
    </row>
    <row r="1285" spans="1:11" x14ac:dyDescent="0.3">
      <c r="A1285" t="s">
        <v>1294</v>
      </c>
      <c r="B1285">
        <v>210925</v>
      </c>
      <c r="C1285">
        <v>1886100</v>
      </c>
      <c r="D1285">
        <v>106780</v>
      </c>
      <c r="E1285">
        <v>577700</v>
      </c>
      <c r="F1285">
        <v>3300144</v>
      </c>
      <c r="G1285">
        <v>229100</v>
      </c>
      <c r="H1285">
        <v>4103688</v>
      </c>
      <c r="I1285">
        <v>77800</v>
      </c>
      <c r="J1285">
        <v>4091207</v>
      </c>
      <c r="K1285">
        <v>87600</v>
      </c>
    </row>
    <row r="1286" spans="1:11" x14ac:dyDescent="0.3">
      <c r="A1286" t="s">
        <v>1295</v>
      </c>
      <c r="B1286">
        <v>210925</v>
      </c>
      <c r="C1286">
        <v>1727400</v>
      </c>
      <c r="D1286">
        <v>107179</v>
      </c>
      <c r="E1286">
        <v>373000</v>
      </c>
      <c r="F1286">
        <v>3305408</v>
      </c>
      <c r="G1286">
        <v>228800</v>
      </c>
      <c r="H1286">
        <v>4111164</v>
      </c>
      <c r="I1286">
        <v>78300</v>
      </c>
      <c r="J1286">
        <v>4097936</v>
      </c>
      <c r="K1286">
        <v>85200</v>
      </c>
    </row>
    <row r="1287" spans="1:11" x14ac:dyDescent="0.3">
      <c r="A1287" t="s">
        <v>1296</v>
      </c>
      <c r="B1287">
        <v>210925</v>
      </c>
      <c r="C1287">
        <v>1621900</v>
      </c>
      <c r="D1287">
        <v>109287</v>
      </c>
      <c r="E1287">
        <v>387900</v>
      </c>
      <c r="F1287">
        <v>3310667</v>
      </c>
      <c r="G1287">
        <v>232300</v>
      </c>
      <c r="H1287">
        <v>4117609</v>
      </c>
      <c r="I1287">
        <v>78000</v>
      </c>
      <c r="J1287">
        <v>4104433</v>
      </c>
      <c r="K1287">
        <v>83800</v>
      </c>
    </row>
    <row r="1288" spans="1:11" x14ac:dyDescent="0.3">
      <c r="A1288" t="s">
        <v>1297</v>
      </c>
      <c r="B1288">
        <v>210925</v>
      </c>
      <c r="C1288">
        <v>1555000</v>
      </c>
      <c r="D1288">
        <v>108099</v>
      </c>
      <c r="E1288">
        <v>385000</v>
      </c>
      <c r="F1288">
        <v>3315951</v>
      </c>
      <c r="G1288">
        <v>228100</v>
      </c>
      <c r="H1288">
        <v>4124060</v>
      </c>
      <c r="I1288">
        <v>76800</v>
      </c>
      <c r="J1288">
        <v>4111501</v>
      </c>
      <c r="K1288">
        <v>85100</v>
      </c>
    </row>
    <row r="1289" spans="1:11" x14ac:dyDescent="0.3">
      <c r="A1289" t="s">
        <v>1298</v>
      </c>
      <c r="B1289">
        <v>210925</v>
      </c>
      <c r="C1289">
        <v>1764700</v>
      </c>
      <c r="D1289">
        <v>104847</v>
      </c>
      <c r="E1289">
        <v>365700</v>
      </c>
      <c r="F1289">
        <v>3321214</v>
      </c>
      <c r="G1289">
        <v>229400</v>
      </c>
      <c r="H1289">
        <v>4130337</v>
      </c>
      <c r="I1289">
        <v>73700</v>
      </c>
      <c r="J1289">
        <v>4117787</v>
      </c>
      <c r="K1289">
        <v>89900</v>
      </c>
    </row>
    <row r="1290" spans="1:11" x14ac:dyDescent="0.3">
      <c r="A1290" t="s">
        <v>1299</v>
      </c>
      <c r="B1290">
        <v>210925</v>
      </c>
      <c r="C1290">
        <v>1613100</v>
      </c>
      <c r="D1290">
        <v>108943</v>
      </c>
      <c r="E1290">
        <v>378600</v>
      </c>
      <c r="F1290">
        <v>3326477</v>
      </c>
      <c r="G1290">
        <v>230900</v>
      </c>
      <c r="H1290">
        <v>4136560</v>
      </c>
      <c r="I1290">
        <v>78000</v>
      </c>
      <c r="J1290">
        <v>4124167</v>
      </c>
      <c r="K1290">
        <v>85700</v>
      </c>
    </row>
    <row r="1291" spans="1:11" x14ac:dyDescent="0.3">
      <c r="A1291" t="s">
        <v>1300</v>
      </c>
      <c r="B1291">
        <v>210925</v>
      </c>
      <c r="C1291">
        <v>1727800</v>
      </c>
      <c r="D1291">
        <v>105219</v>
      </c>
      <c r="E1291">
        <v>367700</v>
      </c>
      <c r="F1291">
        <v>3331739</v>
      </c>
      <c r="G1291">
        <v>240000</v>
      </c>
      <c r="H1291">
        <v>4143477</v>
      </c>
      <c r="I1291">
        <v>77400</v>
      </c>
      <c r="J1291">
        <v>4130823</v>
      </c>
      <c r="K1291">
        <v>102400</v>
      </c>
    </row>
    <row r="1292" spans="1:11" x14ac:dyDescent="0.3">
      <c r="A1292" t="s">
        <v>1301</v>
      </c>
      <c r="B1292">
        <v>210925</v>
      </c>
      <c r="C1292">
        <v>1551400</v>
      </c>
      <c r="D1292">
        <v>105556</v>
      </c>
      <c r="E1292">
        <v>378500</v>
      </c>
      <c r="F1292">
        <v>3337020</v>
      </c>
      <c r="G1292">
        <v>229800</v>
      </c>
      <c r="H1292">
        <v>4149987</v>
      </c>
      <c r="I1292">
        <v>75100</v>
      </c>
      <c r="J1292">
        <v>4138708</v>
      </c>
      <c r="K1292">
        <v>88300</v>
      </c>
    </row>
    <row r="1293" spans="1:11" x14ac:dyDescent="0.3">
      <c r="A1293" t="s">
        <v>1302</v>
      </c>
      <c r="B1293">
        <v>210925</v>
      </c>
      <c r="C1293">
        <v>1756500</v>
      </c>
      <c r="D1293">
        <v>109216</v>
      </c>
      <c r="E1293">
        <v>409100</v>
      </c>
      <c r="F1293">
        <v>3342288</v>
      </c>
      <c r="G1293">
        <v>232300</v>
      </c>
      <c r="H1293">
        <v>4156757</v>
      </c>
      <c r="I1293">
        <v>78700</v>
      </c>
      <c r="J1293">
        <v>4145439</v>
      </c>
      <c r="K1293">
        <v>87800</v>
      </c>
    </row>
    <row r="1294" spans="1:11" x14ac:dyDescent="0.3">
      <c r="A1294" t="s">
        <v>1303</v>
      </c>
      <c r="B1294">
        <v>210925</v>
      </c>
      <c r="C1294">
        <v>1857800</v>
      </c>
      <c r="D1294">
        <v>108990</v>
      </c>
      <c r="E1294">
        <v>474700</v>
      </c>
      <c r="F1294">
        <v>3347564</v>
      </c>
      <c r="G1294">
        <v>234100</v>
      </c>
      <c r="H1294">
        <v>4162845</v>
      </c>
      <c r="I1294">
        <v>78900</v>
      </c>
      <c r="J1294">
        <v>4152088</v>
      </c>
      <c r="K1294">
        <v>88000</v>
      </c>
    </row>
    <row r="1295" spans="1:11" x14ac:dyDescent="0.3">
      <c r="A1295" t="s">
        <v>1304</v>
      </c>
      <c r="B1295">
        <v>210925</v>
      </c>
      <c r="C1295">
        <v>1687800</v>
      </c>
      <c r="D1295">
        <v>105754</v>
      </c>
      <c r="E1295">
        <v>367600</v>
      </c>
      <c r="F1295">
        <v>3352846</v>
      </c>
      <c r="G1295">
        <v>235000</v>
      </c>
      <c r="H1295">
        <v>4169763</v>
      </c>
      <c r="I1295">
        <v>77000</v>
      </c>
      <c r="J1295">
        <v>4158345</v>
      </c>
      <c r="K1295">
        <v>87900</v>
      </c>
    </row>
    <row r="1296" spans="1:11" x14ac:dyDescent="0.3">
      <c r="A1296" t="s">
        <v>1305</v>
      </c>
      <c r="B1296">
        <v>210925</v>
      </c>
      <c r="C1296">
        <v>1564900</v>
      </c>
      <c r="D1296">
        <v>112804</v>
      </c>
      <c r="E1296">
        <v>396100</v>
      </c>
      <c r="F1296">
        <v>3358135</v>
      </c>
      <c r="G1296">
        <v>231400</v>
      </c>
      <c r="H1296">
        <v>4177392</v>
      </c>
      <c r="I1296">
        <v>80200</v>
      </c>
      <c r="J1296">
        <v>4164501</v>
      </c>
      <c r="K1296">
        <v>86200</v>
      </c>
    </row>
    <row r="1297" spans="1:11" x14ac:dyDescent="0.3">
      <c r="A1297" t="s">
        <v>1306</v>
      </c>
      <c r="B1297">
        <v>210925</v>
      </c>
      <c r="C1297">
        <v>1714100</v>
      </c>
      <c r="D1297">
        <v>104646</v>
      </c>
      <c r="E1297">
        <v>376800</v>
      </c>
      <c r="F1297">
        <v>3363419</v>
      </c>
      <c r="G1297">
        <v>228800</v>
      </c>
      <c r="H1297">
        <v>4184284</v>
      </c>
      <c r="I1297">
        <v>77000</v>
      </c>
      <c r="J1297">
        <v>4170465</v>
      </c>
      <c r="K1297">
        <v>88700</v>
      </c>
    </row>
    <row r="1298" spans="1:11" x14ac:dyDescent="0.3">
      <c r="A1298" t="s">
        <v>1307</v>
      </c>
      <c r="B1298">
        <v>210925</v>
      </c>
      <c r="C1298">
        <v>1903100</v>
      </c>
      <c r="D1298">
        <v>107666</v>
      </c>
      <c r="E1298">
        <v>420500</v>
      </c>
      <c r="F1298">
        <v>3368686</v>
      </c>
      <c r="G1298">
        <v>228800</v>
      </c>
      <c r="H1298">
        <v>4191889</v>
      </c>
      <c r="I1298">
        <v>79800</v>
      </c>
      <c r="J1298">
        <v>4176952</v>
      </c>
      <c r="K1298">
        <v>87600</v>
      </c>
    </row>
    <row r="1299" spans="1:11" x14ac:dyDescent="0.3">
      <c r="A1299" t="s">
        <v>1308</v>
      </c>
      <c r="B1299">
        <v>210925</v>
      </c>
      <c r="C1299">
        <v>1585600</v>
      </c>
      <c r="D1299">
        <v>106441</v>
      </c>
      <c r="E1299">
        <v>376300</v>
      </c>
      <c r="F1299">
        <v>3373953</v>
      </c>
      <c r="G1299">
        <v>230300</v>
      </c>
      <c r="H1299">
        <v>4198153</v>
      </c>
      <c r="I1299">
        <v>77300</v>
      </c>
      <c r="J1299">
        <v>4183355</v>
      </c>
      <c r="K1299">
        <v>84300</v>
      </c>
    </row>
    <row r="1300" spans="1:11" x14ac:dyDescent="0.3">
      <c r="A1300" t="s">
        <v>1309</v>
      </c>
      <c r="B1300">
        <v>210925</v>
      </c>
      <c r="C1300">
        <v>1824800</v>
      </c>
      <c r="D1300">
        <v>106032</v>
      </c>
      <c r="E1300">
        <v>472800</v>
      </c>
      <c r="F1300">
        <v>3379218</v>
      </c>
      <c r="G1300">
        <v>227100</v>
      </c>
      <c r="H1300">
        <v>4205187</v>
      </c>
      <c r="I1300">
        <v>76100</v>
      </c>
      <c r="J1300">
        <v>4189702</v>
      </c>
      <c r="K1300">
        <v>86200</v>
      </c>
    </row>
    <row r="1301" spans="1:11" x14ac:dyDescent="0.3">
      <c r="A1301" t="s">
        <v>1310</v>
      </c>
      <c r="B1301">
        <v>210925</v>
      </c>
      <c r="C1301">
        <v>1477700</v>
      </c>
      <c r="D1301">
        <v>103388</v>
      </c>
      <c r="E1301">
        <v>359800</v>
      </c>
      <c r="F1301">
        <v>3384454</v>
      </c>
      <c r="G1301">
        <v>229900</v>
      </c>
      <c r="H1301">
        <v>4211662</v>
      </c>
      <c r="I1301">
        <v>77300</v>
      </c>
      <c r="J1301">
        <v>4197113</v>
      </c>
      <c r="K1301">
        <v>90400</v>
      </c>
    </row>
    <row r="1302" spans="1:11" x14ac:dyDescent="0.3">
      <c r="A1302" t="s">
        <v>1311</v>
      </c>
      <c r="B1302">
        <v>244650</v>
      </c>
      <c r="C1302">
        <v>2063300</v>
      </c>
      <c r="D1302">
        <v>120020</v>
      </c>
      <c r="E1302">
        <v>417800</v>
      </c>
      <c r="F1302">
        <v>3390210</v>
      </c>
      <c r="G1302">
        <v>247600</v>
      </c>
      <c r="H1302">
        <v>4219278</v>
      </c>
      <c r="I1302">
        <v>85200</v>
      </c>
      <c r="J1302">
        <v>4204439</v>
      </c>
      <c r="K1302">
        <v>94100</v>
      </c>
    </row>
    <row r="1303" spans="1:11" x14ac:dyDescent="0.3">
      <c r="A1303" t="s">
        <v>1312</v>
      </c>
      <c r="B1303">
        <v>244650</v>
      </c>
      <c r="C1303">
        <v>1840100</v>
      </c>
      <c r="D1303">
        <v>117780</v>
      </c>
      <c r="E1303">
        <v>419600</v>
      </c>
      <c r="F1303">
        <v>3395954</v>
      </c>
      <c r="G1303">
        <v>247800</v>
      </c>
      <c r="H1303">
        <v>4226654</v>
      </c>
      <c r="I1303">
        <v>82800</v>
      </c>
      <c r="J1303">
        <v>4211543</v>
      </c>
      <c r="K1303">
        <v>93900</v>
      </c>
    </row>
    <row r="1304" spans="1:11" x14ac:dyDescent="0.3">
      <c r="A1304" t="s">
        <v>1313</v>
      </c>
      <c r="B1304">
        <v>244650</v>
      </c>
      <c r="C1304">
        <v>1916500</v>
      </c>
      <c r="D1304">
        <v>129007</v>
      </c>
      <c r="E1304">
        <v>666700</v>
      </c>
      <c r="F1304">
        <v>3401687</v>
      </c>
      <c r="G1304">
        <v>253900</v>
      </c>
      <c r="H1304">
        <v>4233648</v>
      </c>
      <c r="I1304">
        <v>83900</v>
      </c>
      <c r="J1304">
        <v>4218386</v>
      </c>
      <c r="K1304">
        <v>92800</v>
      </c>
    </row>
    <row r="1305" spans="1:11" x14ac:dyDescent="0.3">
      <c r="A1305" t="s">
        <v>1314</v>
      </c>
      <c r="B1305">
        <v>244650</v>
      </c>
      <c r="C1305">
        <v>1740000</v>
      </c>
      <c r="D1305">
        <v>129900</v>
      </c>
      <c r="E1305">
        <v>449600</v>
      </c>
      <c r="F1305">
        <v>3407424</v>
      </c>
      <c r="G1305">
        <v>251200</v>
      </c>
      <c r="H1305">
        <v>4240683</v>
      </c>
      <c r="I1305">
        <v>82100</v>
      </c>
      <c r="J1305">
        <v>4225672</v>
      </c>
      <c r="K1305">
        <v>91100</v>
      </c>
    </row>
    <row r="1306" spans="1:11" x14ac:dyDescent="0.3">
      <c r="A1306" t="s">
        <v>1315</v>
      </c>
      <c r="B1306">
        <v>244650</v>
      </c>
      <c r="C1306">
        <v>1922900</v>
      </c>
      <c r="D1306">
        <v>126723</v>
      </c>
      <c r="E1306">
        <v>457500</v>
      </c>
      <c r="F1306">
        <v>3413201</v>
      </c>
      <c r="G1306">
        <v>249300</v>
      </c>
      <c r="H1306">
        <v>4247400</v>
      </c>
      <c r="I1306">
        <v>83900</v>
      </c>
      <c r="J1306">
        <v>4232344</v>
      </c>
      <c r="K1306">
        <v>90600</v>
      </c>
    </row>
    <row r="1307" spans="1:11" x14ac:dyDescent="0.3">
      <c r="A1307" t="s">
        <v>1316</v>
      </c>
      <c r="B1307">
        <v>244650</v>
      </c>
      <c r="C1307">
        <v>2215800</v>
      </c>
      <c r="D1307">
        <v>123309</v>
      </c>
      <c r="E1307">
        <v>428900</v>
      </c>
      <c r="F1307">
        <v>3418977</v>
      </c>
      <c r="G1307">
        <v>252700</v>
      </c>
      <c r="H1307">
        <v>4254007</v>
      </c>
      <c r="I1307">
        <v>85300</v>
      </c>
      <c r="J1307">
        <v>4239234</v>
      </c>
      <c r="K1307">
        <v>94200</v>
      </c>
    </row>
    <row r="1308" spans="1:11" x14ac:dyDescent="0.3">
      <c r="A1308" t="s">
        <v>1317</v>
      </c>
      <c r="B1308">
        <v>244650</v>
      </c>
      <c r="C1308">
        <v>1831000</v>
      </c>
      <c r="D1308">
        <v>120264</v>
      </c>
      <c r="E1308">
        <v>428000</v>
      </c>
      <c r="F1308">
        <v>3424744</v>
      </c>
      <c r="G1308">
        <v>248800</v>
      </c>
      <c r="H1308">
        <v>4260451</v>
      </c>
      <c r="I1308">
        <v>84100</v>
      </c>
      <c r="J1308">
        <v>4247958</v>
      </c>
      <c r="K1308">
        <v>100400</v>
      </c>
    </row>
    <row r="1309" spans="1:11" x14ac:dyDescent="0.3">
      <c r="A1309" t="s">
        <v>1318</v>
      </c>
      <c r="B1309">
        <v>244650</v>
      </c>
      <c r="C1309">
        <v>2162400</v>
      </c>
      <c r="D1309">
        <v>123091</v>
      </c>
      <c r="E1309">
        <v>472300</v>
      </c>
      <c r="F1309">
        <v>3430481</v>
      </c>
      <c r="G1309">
        <v>251100</v>
      </c>
      <c r="H1309">
        <v>4267234</v>
      </c>
      <c r="I1309">
        <v>83100</v>
      </c>
      <c r="J1309">
        <v>4255114</v>
      </c>
      <c r="K1309">
        <v>92200</v>
      </c>
    </row>
    <row r="1310" spans="1:11" x14ac:dyDescent="0.3">
      <c r="A1310" t="s">
        <v>1319</v>
      </c>
      <c r="B1310">
        <v>244650</v>
      </c>
      <c r="C1310">
        <v>1843500</v>
      </c>
      <c r="D1310">
        <v>122174</v>
      </c>
      <c r="E1310">
        <v>424100</v>
      </c>
      <c r="F1310">
        <v>3436249</v>
      </c>
      <c r="G1310">
        <v>246900</v>
      </c>
      <c r="H1310">
        <v>4274111</v>
      </c>
      <c r="I1310">
        <v>82100</v>
      </c>
      <c r="J1310">
        <v>4262389</v>
      </c>
      <c r="K1310">
        <v>93700</v>
      </c>
    </row>
    <row r="1311" spans="1:11" x14ac:dyDescent="0.3">
      <c r="A1311" t="s">
        <v>1320</v>
      </c>
      <c r="B1311">
        <v>244650</v>
      </c>
      <c r="C1311">
        <v>1825600</v>
      </c>
      <c r="D1311">
        <v>123718</v>
      </c>
      <c r="E1311">
        <v>445500</v>
      </c>
      <c r="F1311">
        <v>3441990</v>
      </c>
      <c r="G1311">
        <v>261400</v>
      </c>
      <c r="H1311">
        <v>4280898</v>
      </c>
      <c r="I1311">
        <v>95600</v>
      </c>
      <c r="J1311">
        <v>4269061</v>
      </c>
      <c r="K1311">
        <v>134400</v>
      </c>
    </row>
    <row r="1312" spans="1:11" x14ac:dyDescent="0.3">
      <c r="A1312" t="s">
        <v>1321</v>
      </c>
      <c r="B1312">
        <v>244650</v>
      </c>
      <c r="C1312">
        <v>2349700</v>
      </c>
      <c r="D1312">
        <v>121079</v>
      </c>
      <c r="E1312">
        <v>420900</v>
      </c>
      <c r="F1312">
        <v>3447746</v>
      </c>
      <c r="G1312">
        <v>251200</v>
      </c>
      <c r="H1312">
        <v>4288502</v>
      </c>
      <c r="I1312">
        <v>87800</v>
      </c>
      <c r="J1312">
        <v>4277661</v>
      </c>
      <c r="K1312">
        <v>98500</v>
      </c>
    </row>
    <row r="1313" spans="1:11" x14ac:dyDescent="0.3">
      <c r="A1313" t="s">
        <v>1322</v>
      </c>
      <c r="B1313">
        <v>244650</v>
      </c>
      <c r="C1313">
        <v>2082400</v>
      </c>
      <c r="D1313">
        <v>125409</v>
      </c>
      <c r="E1313">
        <v>456600</v>
      </c>
      <c r="F1313">
        <v>3453508</v>
      </c>
      <c r="G1313">
        <v>255600</v>
      </c>
      <c r="H1313">
        <v>4295109</v>
      </c>
      <c r="I1313">
        <v>84000</v>
      </c>
      <c r="J1313">
        <v>4286090</v>
      </c>
      <c r="K1313">
        <v>97800</v>
      </c>
    </row>
    <row r="1314" spans="1:11" x14ac:dyDescent="0.3">
      <c r="A1314" t="s">
        <v>1323</v>
      </c>
      <c r="B1314">
        <v>244650</v>
      </c>
      <c r="C1314">
        <v>1866400</v>
      </c>
      <c r="D1314">
        <v>121801</v>
      </c>
      <c r="E1314">
        <v>422300</v>
      </c>
      <c r="F1314">
        <v>3459250</v>
      </c>
      <c r="G1314">
        <v>273700</v>
      </c>
      <c r="H1314">
        <v>4302339</v>
      </c>
      <c r="I1314">
        <v>88500</v>
      </c>
      <c r="J1314">
        <v>4292515</v>
      </c>
      <c r="K1314">
        <v>93000</v>
      </c>
    </row>
    <row r="1315" spans="1:11" x14ac:dyDescent="0.3">
      <c r="A1315" t="s">
        <v>1324</v>
      </c>
      <c r="B1315">
        <v>244650</v>
      </c>
      <c r="C1315">
        <v>1938500</v>
      </c>
      <c r="D1315">
        <v>124538</v>
      </c>
      <c r="E1315">
        <v>432200</v>
      </c>
      <c r="F1315">
        <v>3465028</v>
      </c>
      <c r="G1315">
        <v>250000</v>
      </c>
      <c r="H1315">
        <v>4309775</v>
      </c>
      <c r="I1315">
        <v>84300</v>
      </c>
      <c r="J1315">
        <v>4299738</v>
      </c>
      <c r="K1315">
        <v>93600</v>
      </c>
    </row>
    <row r="1316" spans="1:11" x14ac:dyDescent="0.3">
      <c r="A1316" t="s">
        <v>1325</v>
      </c>
      <c r="B1316">
        <v>244650</v>
      </c>
      <c r="C1316">
        <v>1823900</v>
      </c>
      <c r="D1316">
        <v>125951</v>
      </c>
      <c r="E1316">
        <v>437200</v>
      </c>
      <c r="F1316">
        <v>3470769</v>
      </c>
      <c r="G1316">
        <v>248000</v>
      </c>
      <c r="H1316">
        <v>4317130</v>
      </c>
      <c r="I1316">
        <v>84000</v>
      </c>
      <c r="J1316">
        <v>4306510</v>
      </c>
      <c r="K1316">
        <v>93500</v>
      </c>
    </row>
    <row r="1317" spans="1:11" x14ac:dyDescent="0.3">
      <c r="A1317" t="s">
        <v>1326</v>
      </c>
      <c r="B1317">
        <v>244650</v>
      </c>
      <c r="C1317">
        <v>2075300</v>
      </c>
      <c r="D1317">
        <v>123784</v>
      </c>
      <c r="E1317">
        <v>441500</v>
      </c>
      <c r="F1317">
        <v>3476519</v>
      </c>
      <c r="G1317">
        <v>251300</v>
      </c>
      <c r="H1317">
        <v>4324817</v>
      </c>
      <c r="I1317">
        <v>86200</v>
      </c>
      <c r="J1317">
        <v>4314549</v>
      </c>
      <c r="K1317">
        <v>99200</v>
      </c>
    </row>
    <row r="1318" spans="1:11" x14ac:dyDescent="0.3">
      <c r="A1318" t="s">
        <v>1327</v>
      </c>
      <c r="B1318">
        <v>244650</v>
      </c>
      <c r="C1318">
        <v>1781400</v>
      </c>
      <c r="D1318">
        <v>119315</v>
      </c>
      <c r="E1318">
        <v>413800</v>
      </c>
      <c r="F1318">
        <v>3482233</v>
      </c>
      <c r="G1318">
        <v>252500</v>
      </c>
      <c r="H1318">
        <v>4331468</v>
      </c>
      <c r="I1318">
        <v>82900</v>
      </c>
      <c r="J1318">
        <v>4322976</v>
      </c>
      <c r="K1318">
        <v>99400</v>
      </c>
    </row>
    <row r="1319" spans="1:11" x14ac:dyDescent="0.3">
      <c r="A1319" t="s">
        <v>1328</v>
      </c>
      <c r="B1319">
        <v>244650</v>
      </c>
      <c r="C1319">
        <v>1815800</v>
      </c>
      <c r="D1319">
        <v>123770</v>
      </c>
      <c r="E1319">
        <v>637800</v>
      </c>
      <c r="F1319">
        <v>3487968</v>
      </c>
      <c r="G1319">
        <v>299600</v>
      </c>
      <c r="H1319">
        <v>4338162</v>
      </c>
      <c r="I1319">
        <v>99300</v>
      </c>
      <c r="J1319">
        <v>4329950</v>
      </c>
      <c r="K1319">
        <v>93300</v>
      </c>
    </row>
    <row r="1320" spans="1:11" x14ac:dyDescent="0.3">
      <c r="A1320" t="s">
        <v>1329</v>
      </c>
      <c r="B1320">
        <v>244650</v>
      </c>
      <c r="C1320">
        <v>1908600</v>
      </c>
      <c r="D1320">
        <v>123430</v>
      </c>
      <c r="E1320">
        <v>432800</v>
      </c>
      <c r="F1320">
        <v>3493745</v>
      </c>
      <c r="G1320">
        <v>247700</v>
      </c>
      <c r="H1320">
        <v>4344883</v>
      </c>
      <c r="I1320">
        <v>84100</v>
      </c>
      <c r="J1320">
        <v>4337736</v>
      </c>
      <c r="K1320">
        <v>98600</v>
      </c>
    </row>
    <row r="1321" spans="1:11" x14ac:dyDescent="0.3">
      <c r="A1321" t="s">
        <v>1330</v>
      </c>
      <c r="B1321">
        <v>244650</v>
      </c>
      <c r="C1321">
        <v>2108500</v>
      </c>
      <c r="D1321">
        <v>122724</v>
      </c>
      <c r="E1321">
        <v>438100</v>
      </c>
      <c r="F1321">
        <v>3499508</v>
      </c>
      <c r="G1321">
        <v>247400</v>
      </c>
      <c r="H1321">
        <v>4352092</v>
      </c>
      <c r="I1321">
        <v>83900</v>
      </c>
      <c r="J1321">
        <v>4345227</v>
      </c>
      <c r="K1321">
        <v>94200</v>
      </c>
    </row>
    <row r="1322" spans="1:11" x14ac:dyDescent="0.3">
      <c r="A1322" t="s">
        <v>1331</v>
      </c>
      <c r="B1322">
        <v>244650</v>
      </c>
      <c r="C1322">
        <v>1806900</v>
      </c>
      <c r="D1322">
        <v>120763</v>
      </c>
      <c r="E1322">
        <v>418700</v>
      </c>
      <c r="F1322">
        <v>3505268</v>
      </c>
      <c r="G1322">
        <v>250300</v>
      </c>
      <c r="H1322">
        <v>4359151</v>
      </c>
      <c r="I1322">
        <v>83800</v>
      </c>
      <c r="J1322">
        <v>4352194</v>
      </c>
      <c r="K1322">
        <v>90700</v>
      </c>
    </row>
    <row r="1323" spans="1:11" x14ac:dyDescent="0.3">
      <c r="A1323" t="s">
        <v>1332</v>
      </c>
      <c r="B1323">
        <v>244650</v>
      </c>
      <c r="C1323">
        <v>1810100</v>
      </c>
      <c r="D1323">
        <v>123001</v>
      </c>
      <c r="E1323">
        <v>426400</v>
      </c>
      <c r="F1323">
        <v>3511004</v>
      </c>
      <c r="G1323">
        <v>251000</v>
      </c>
      <c r="H1323">
        <v>4366315</v>
      </c>
      <c r="I1323">
        <v>86500</v>
      </c>
      <c r="J1323">
        <v>4358755</v>
      </c>
      <c r="K1323">
        <v>94700</v>
      </c>
    </row>
    <row r="1324" spans="1:11" x14ac:dyDescent="0.3">
      <c r="A1324" t="s">
        <v>1333</v>
      </c>
      <c r="B1324">
        <v>244650</v>
      </c>
      <c r="C1324">
        <v>1915500</v>
      </c>
      <c r="D1324">
        <v>122797</v>
      </c>
      <c r="E1324">
        <v>433800</v>
      </c>
      <c r="F1324">
        <v>3516737</v>
      </c>
      <c r="G1324">
        <v>247200</v>
      </c>
      <c r="H1324">
        <v>4373813</v>
      </c>
      <c r="I1324">
        <v>82800</v>
      </c>
      <c r="J1324">
        <v>4365778</v>
      </c>
      <c r="K1324">
        <v>101100</v>
      </c>
    </row>
    <row r="1325" spans="1:11" x14ac:dyDescent="0.3">
      <c r="A1325" t="s">
        <v>1334</v>
      </c>
      <c r="B1325">
        <v>244650</v>
      </c>
      <c r="C1325">
        <v>1859000</v>
      </c>
      <c r="D1325">
        <v>131557</v>
      </c>
      <c r="E1325">
        <v>670300</v>
      </c>
      <c r="F1325">
        <v>3522482</v>
      </c>
      <c r="G1325">
        <v>247700</v>
      </c>
      <c r="H1325">
        <v>4380727</v>
      </c>
      <c r="I1325">
        <v>89000</v>
      </c>
      <c r="J1325">
        <v>4373150</v>
      </c>
      <c r="K1325">
        <v>98800</v>
      </c>
    </row>
    <row r="1326" spans="1:11" x14ac:dyDescent="0.3">
      <c r="A1326" t="s">
        <v>1335</v>
      </c>
      <c r="B1326">
        <v>244650</v>
      </c>
      <c r="C1326">
        <v>1804500</v>
      </c>
      <c r="D1326">
        <v>119090</v>
      </c>
      <c r="E1326">
        <v>427000</v>
      </c>
      <c r="F1326">
        <v>3528242</v>
      </c>
      <c r="G1326">
        <v>246900</v>
      </c>
      <c r="H1326">
        <v>4387666</v>
      </c>
      <c r="I1326">
        <v>82500</v>
      </c>
      <c r="J1326">
        <v>4380785</v>
      </c>
      <c r="K1326">
        <v>92000</v>
      </c>
    </row>
    <row r="1327" spans="1:11" x14ac:dyDescent="0.3">
      <c r="A1327" t="s">
        <v>1336</v>
      </c>
      <c r="B1327">
        <v>244650</v>
      </c>
      <c r="C1327">
        <v>1934600</v>
      </c>
      <c r="D1327">
        <v>121005</v>
      </c>
      <c r="E1327">
        <v>458800</v>
      </c>
      <c r="F1327">
        <v>3533986</v>
      </c>
      <c r="G1327">
        <v>254200</v>
      </c>
      <c r="H1327">
        <v>4394613</v>
      </c>
      <c r="I1327">
        <v>83000</v>
      </c>
      <c r="J1327">
        <v>4388097</v>
      </c>
      <c r="K1327">
        <v>95400</v>
      </c>
    </row>
    <row r="1328" spans="1:11" x14ac:dyDescent="0.3">
      <c r="A1328" t="s">
        <v>1337</v>
      </c>
      <c r="B1328">
        <v>244650</v>
      </c>
      <c r="C1328">
        <v>1885600</v>
      </c>
      <c r="D1328">
        <v>118509</v>
      </c>
      <c r="E1328">
        <v>411000</v>
      </c>
      <c r="F1328">
        <v>3539730</v>
      </c>
      <c r="G1328">
        <v>255200</v>
      </c>
      <c r="H1328">
        <v>4402986</v>
      </c>
      <c r="I1328">
        <v>89700</v>
      </c>
      <c r="J1328">
        <v>4395959</v>
      </c>
      <c r="K1328">
        <v>99200</v>
      </c>
    </row>
    <row r="1329" spans="1:11" x14ac:dyDescent="0.3">
      <c r="A1329" t="s">
        <v>1338</v>
      </c>
      <c r="B1329">
        <v>244650</v>
      </c>
      <c r="C1329">
        <v>1892100</v>
      </c>
      <c r="D1329">
        <v>122700</v>
      </c>
      <c r="E1329">
        <v>441700</v>
      </c>
      <c r="F1329">
        <v>3545478</v>
      </c>
      <c r="G1329">
        <v>248200</v>
      </c>
      <c r="H1329">
        <v>4410037</v>
      </c>
      <c r="I1329">
        <v>83000</v>
      </c>
      <c r="J1329">
        <v>4403719</v>
      </c>
      <c r="K1329">
        <v>99000</v>
      </c>
    </row>
    <row r="1330" spans="1:11" x14ac:dyDescent="0.3">
      <c r="A1330" t="s">
        <v>1339</v>
      </c>
      <c r="B1330">
        <v>244650</v>
      </c>
      <c r="C1330">
        <v>2252400</v>
      </c>
      <c r="D1330">
        <v>125295</v>
      </c>
      <c r="E1330">
        <v>435900</v>
      </c>
      <c r="F1330">
        <v>3551223</v>
      </c>
      <c r="G1330">
        <v>251100</v>
      </c>
      <c r="H1330">
        <v>4417096</v>
      </c>
      <c r="I1330">
        <v>85400</v>
      </c>
      <c r="J1330">
        <v>4410756</v>
      </c>
      <c r="K1330">
        <v>96100</v>
      </c>
    </row>
    <row r="1331" spans="1:11" x14ac:dyDescent="0.3">
      <c r="A1331" t="s">
        <v>1340</v>
      </c>
      <c r="B1331">
        <v>244650</v>
      </c>
      <c r="C1331">
        <v>1824800</v>
      </c>
      <c r="D1331">
        <v>121240</v>
      </c>
      <c r="E1331">
        <v>420100</v>
      </c>
      <c r="F1331">
        <v>3556998</v>
      </c>
      <c r="G1331">
        <v>247400</v>
      </c>
      <c r="H1331">
        <v>4424410</v>
      </c>
      <c r="I1331">
        <v>85600</v>
      </c>
      <c r="J1331">
        <v>4417897</v>
      </c>
      <c r="K1331">
        <v>92900</v>
      </c>
    </row>
    <row r="1332" spans="1:11" x14ac:dyDescent="0.3">
      <c r="A1332" t="s">
        <v>1341</v>
      </c>
      <c r="B1332">
        <v>244650</v>
      </c>
      <c r="C1332">
        <v>1787400</v>
      </c>
      <c r="D1332">
        <v>120814</v>
      </c>
      <c r="E1332">
        <v>419500</v>
      </c>
      <c r="F1332">
        <v>3562743</v>
      </c>
      <c r="G1332">
        <v>273900</v>
      </c>
      <c r="H1332">
        <v>4431390</v>
      </c>
      <c r="I1332">
        <v>82800</v>
      </c>
      <c r="J1332">
        <v>4425002</v>
      </c>
      <c r="K1332">
        <v>93400</v>
      </c>
    </row>
    <row r="1333" spans="1:11" x14ac:dyDescent="0.3">
      <c r="A1333" t="s">
        <v>1342</v>
      </c>
      <c r="B1333">
        <v>244650</v>
      </c>
      <c r="C1333">
        <v>2248900</v>
      </c>
      <c r="D1333">
        <v>122526</v>
      </c>
      <c r="E1333">
        <v>467500</v>
      </c>
      <c r="F1333">
        <v>3568486</v>
      </c>
      <c r="G1333">
        <v>252000</v>
      </c>
      <c r="H1333">
        <v>4439475</v>
      </c>
      <c r="I1333">
        <v>84400</v>
      </c>
      <c r="J1333">
        <v>4432316</v>
      </c>
      <c r="K1333">
        <v>96500</v>
      </c>
    </row>
    <row r="1334" spans="1:11" x14ac:dyDescent="0.3">
      <c r="A1334" t="s">
        <v>1343</v>
      </c>
      <c r="B1334">
        <v>244650</v>
      </c>
      <c r="C1334">
        <v>1893600</v>
      </c>
      <c r="D1334">
        <v>123266</v>
      </c>
      <c r="E1334">
        <v>573100</v>
      </c>
      <c r="F1334">
        <v>3574199</v>
      </c>
      <c r="G1334">
        <v>283700</v>
      </c>
      <c r="H1334">
        <v>4446692</v>
      </c>
      <c r="I1334">
        <v>82600</v>
      </c>
      <c r="J1334">
        <v>4440571</v>
      </c>
      <c r="K1334">
        <v>95700</v>
      </c>
    </row>
    <row r="1335" spans="1:11" x14ac:dyDescent="0.3">
      <c r="A1335" t="s">
        <v>1344</v>
      </c>
      <c r="B1335">
        <v>244650</v>
      </c>
      <c r="C1335">
        <v>2084500</v>
      </c>
      <c r="D1335">
        <v>116604</v>
      </c>
      <c r="E1335">
        <v>405200</v>
      </c>
      <c r="F1335">
        <v>3579966</v>
      </c>
      <c r="G1335">
        <v>249100</v>
      </c>
      <c r="H1335">
        <v>4453580</v>
      </c>
      <c r="I1335">
        <v>83100</v>
      </c>
      <c r="J1335">
        <v>4448273</v>
      </c>
      <c r="K1335">
        <v>93200</v>
      </c>
    </row>
    <row r="1336" spans="1:11" x14ac:dyDescent="0.3">
      <c r="A1336" t="s">
        <v>1345</v>
      </c>
      <c r="B1336">
        <v>244650</v>
      </c>
      <c r="C1336">
        <v>1814500</v>
      </c>
      <c r="D1336">
        <v>124311</v>
      </c>
      <c r="E1336">
        <v>444600</v>
      </c>
      <c r="F1336">
        <v>3585725</v>
      </c>
      <c r="G1336">
        <v>249300</v>
      </c>
      <c r="H1336">
        <v>4461355</v>
      </c>
      <c r="I1336">
        <v>82000</v>
      </c>
      <c r="J1336">
        <v>4455336</v>
      </c>
      <c r="K1336">
        <v>93700</v>
      </c>
    </row>
    <row r="1337" spans="1:11" x14ac:dyDescent="0.3">
      <c r="A1337" t="s">
        <v>1346</v>
      </c>
      <c r="B1337">
        <v>244650</v>
      </c>
      <c r="C1337">
        <v>1871400</v>
      </c>
      <c r="D1337">
        <v>118114</v>
      </c>
      <c r="E1337">
        <v>409900</v>
      </c>
      <c r="F1337">
        <v>3591493</v>
      </c>
      <c r="G1337">
        <v>245600</v>
      </c>
      <c r="H1337">
        <v>4467968</v>
      </c>
      <c r="I1337">
        <v>80900</v>
      </c>
      <c r="J1337">
        <v>4462280</v>
      </c>
      <c r="K1337">
        <v>90700</v>
      </c>
    </row>
    <row r="1338" spans="1:11" x14ac:dyDescent="0.3">
      <c r="A1338" t="s">
        <v>1347</v>
      </c>
      <c r="B1338">
        <v>244650</v>
      </c>
      <c r="C1338">
        <v>1878900</v>
      </c>
      <c r="D1338">
        <v>126649</v>
      </c>
      <c r="E1338">
        <v>438500</v>
      </c>
      <c r="F1338">
        <v>3597234</v>
      </c>
      <c r="G1338">
        <v>253000</v>
      </c>
      <c r="H1338">
        <v>4476814</v>
      </c>
      <c r="I1338">
        <v>87500</v>
      </c>
      <c r="J1338">
        <v>4469544</v>
      </c>
      <c r="K1338">
        <v>93900</v>
      </c>
    </row>
    <row r="1339" spans="1:11" x14ac:dyDescent="0.3">
      <c r="A1339" t="s">
        <v>1348</v>
      </c>
      <c r="B1339">
        <v>244650</v>
      </c>
      <c r="C1339">
        <v>1881100</v>
      </c>
      <c r="D1339">
        <v>122525</v>
      </c>
      <c r="E1339">
        <v>431800</v>
      </c>
      <c r="F1339">
        <v>3603004</v>
      </c>
      <c r="G1339">
        <v>247700</v>
      </c>
      <c r="H1339">
        <v>4484741</v>
      </c>
      <c r="I1339">
        <v>83900</v>
      </c>
      <c r="J1339">
        <v>4476751</v>
      </c>
      <c r="K1339">
        <v>98200</v>
      </c>
    </row>
    <row r="1340" spans="1:11" x14ac:dyDescent="0.3">
      <c r="A1340" t="s">
        <v>1349</v>
      </c>
      <c r="B1340">
        <v>244650</v>
      </c>
      <c r="C1340">
        <v>1753400</v>
      </c>
      <c r="D1340">
        <v>125792</v>
      </c>
      <c r="E1340">
        <v>435700</v>
      </c>
      <c r="F1340">
        <v>3608767</v>
      </c>
      <c r="G1340">
        <v>247900</v>
      </c>
      <c r="H1340">
        <v>4492329</v>
      </c>
      <c r="I1340">
        <v>87700</v>
      </c>
      <c r="J1340">
        <v>4483581</v>
      </c>
      <c r="K1340">
        <v>92800</v>
      </c>
    </row>
    <row r="1341" spans="1:11" x14ac:dyDescent="0.3">
      <c r="A1341" t="s">
        <v>1350</v>
      </c>
      <c r="B1341">
        <v>244650</v>
      </c>
      <c r="C1341">
        <v>1905700</v>
      </c>
      <c r="D1341">
        <v>119575</v>
      </c>
      <c r="E1341">
        <v>416000</v>
      </c>
      <c r="F1341">
        <v>3614507</v>
      </c>
      <c r="G1341">
        <v>258400</v>
      </c>
      <c r="H1341">
        <v>4498968</v>
      </c>
      <c r="I1341">
        <v>83600</v>
      </c>
      <c r="J1341">
        <v>4490403</v>
      </c>
      <c r="K1341">
        <v>92300</v>
      </c>
    </row>
    <row r="1342" spans="1:11" x14ac:dyDescent="0.3">
      <c r="A1342" t="s">
        <v>1351</v>
      </c>
      <c r="B1342">
        <v>244650</v>
      </c>
      <c r="C1342">
        <v>1843900</v>
      </c>
      <c r="D1342">
        <v>122306</v>
      </c>
      <c r="E1342">
        <v>425000</v>
      </c>
      <c r="F1342">
        <v>3620239</v>
      </c>
      <c r="G1342">
        <v>245800</v>
      </c>
      <c r="H1342">
        <v>4505871</v>
      </c>
      <c r="I1342">
        <v>84600</v>
      </c>
      <c r="J1342">
        <v>4497766</v>
      </c>
      <c r="K1342">
        <v>93400</v>
      </c>
    </row>
    <row r="1343" spans="1:11" x14ac:dyDescent="0.3">
      <c r="A1343" t="s">
        <v>1352</v>
      </c>
      <c r="B1343">
        <v>244650</v>
      </c>
      <c r="C1343">
        <v>1833600</v>
      </c>
      <c r="D1343">
        <v>126423</v>
      </c>
      <c r="E1343">
        <v>438600</v>
      </c>
      <c r="F1343">
        <v>3625991</v>
      </c>
      <c r="G1343">
        <v>247400</v>
      </c>
      <c r="H1343">
        <v>4512469</v>
      </c>
      <c r="I1343">
        <v>84300</v>
      </c>
      <c r="J1343">
        <v>4505353</v>
      </c>
      <c r="K1343">
        <v>96700</v>
      </c>
    </row>
    <row r="1344" spans="1:11" x14ac:dyDescent="0.3">
      <c r="A1344" t="s">
        <v>1353</v>
      </c>
      <c r="B1344">
        <v>244650</v>
      </c>
      <c r="C1344">
        <v>1904700</v>
      </c>
      <c r="D1344">
        <v>122834</v>
      </c>
      <c r="E1344">
        <v>426000</v>
      </c>
      <c r="F1344">
        <v>3631732</v>
      </c>
      <c r="G1344">
        <v>244800</v>
      </c>
      <c r="H1344">
        <v>4519190</v>
      </c>
      <c r="I1344">
        <v>79800</v>
      </c>
      <c r="J1344">
        <v>4512175</v>
      </c>
      <c r="K1344">
        <v>91200</v>
      </c>
    </row>
    <row r="1345" spans="1:11" x14ac:dyDescent="0.3">
      <c r="A1345" t="s">
        <v>1354</v>
      </c>
      <c r="B1345">
        <v>244650</v>
      </c>
      <c r="C1345">
        <v>1924100</v>
      </c>
      <c r="D1345">
        <v>121809</v>
      </c>
      <c r="E1345">
        <v>424100</v>
      </c>
      <c r="F1345">
        <v>3637495</v>
      </c>
      <c r="G1345">
        <v>248900</v>
      </c>
      <c r="H1345">
        <v>4526694</v>
      </c>
      <c r="I1345">
        <v>83100</v>
      </c>
      <c r="J1345">
        <v>4519150</v>
      </c>
      <c r="K1345">
        <v>91200</v>
      </c>
    </row>
    <row r="1346" spans="1:11" x14ac:dyDescent="0.3">
      <c r="A1346" t="s">
        <v>1355</v>
      </c>
      <c r="B1346">
        <v>244650</v>
      </c>
      <c r="C1346">
        <v>2368500</v>
      </c>
      <c r="D1346">
        <v>121171</v>
      </c>
      <c r="E1346">
        <v>431400</v>
      </c>
      <c r="F1346">
        <v>3643245</v>
      </c>
      <c r="G1346">
        <v>247700</v>
      </c>
      <c r="H1346">
        <v>4533713</v>
      </c>
      <c r="I1346">
        <v>86400</v>
      </c>
      <c r="J1346">
        <v>4526778</v>
      </c>
      <c r="K1346">
        <v>93800</v>
      </c>
    </row>
    <row r="1347" spans="1:11" x14ac:dyDescent="0.3">
      <c r="A1347" t="s">
        <v>1356</v>
      </c>
      <c r="B1347">
        <v>244650</v>
      </c>
      <c r="C1347">
        <v>1843300</v>
      </c>
      <c r="D1347">
        <v>119407</v>
      </c>
      <c r="E1347">
        <v>414300</v>
      </c>
      <c r="F1347">
        <v>3648994</v>
      </c>
      <c r="G1347">
        <v>249500</v>
      </c>
      <c r="H1347">
        <v>4542011</v>
      </c>
      <c r="I1347">
        <v>84100</v>
      </c>
      <c r="J1347">
        <v>4533184</v>
      </c>
      <c r="K1347">
        <v>92400</v>
      </c>
    </row>
    <row r="1348" spans="1:11" x14ac:dyDescent="0.3">
      <c r="A1348" t="s">
        <v>1357</v>
      </c>
      <c r="B1348">
        <v>244650</v>
      </c>
      <c r="C1348">
        <v>1866800</v>
      </c>
      <c r="D1348">
        <v>124365</v>
      </c>
      <c r="E1348">
        <v>432300</v>
      </c>
      <c r="F1348">
        <v>3654736</v>
      </c>
      <c r="G1348">
        <v>333200</v>
      </c>
      <c r="H1348">
        <v>4549778</v>
      </c>
      <c r="I1348">
        <v>119000</v>
      </c>
      <c r="J1348">
        <v>4540454</v>
      </c>
      <c r="K1348">
        <v>101700</v>
      </c>
    </row>
    <row r="1349" spans="1:11" x14ac:dyDescent="0.3">
      <c r="A1349" t="s">
        <v>1358</v>
      </c>
      <c r="B1349">
        <v>244650</v>
      </c>
      <c r="C1349">
        <v>1940100</v>
      </c>
      <c r="D1349">
        <v>118943</v>
      </c>
      <c r="E1349">
        <v>423200</v>
      </c>
      <c r="F1349">
        <v>3660515</v>
      </c>
      <c r="G1349">
        <v>245800</v>
      </c>
      <c r="H1349">
        <v>4557309</v>
      </c>
      <c r="I1349">
        <v>84200</v>
      </c>
      <c r="J1349">
        <v>4548090</v>
      </c>
      <c r="K1349">
        <v>93500</v>
      </c>
    </row>
    <row r="1350" spans="1:11" x14ac:dyDescent="0.3">
      <c r="A1350" t="s">
        <v>1359</v>
      </c>
      <c r="B1350">
        <v>244650</v>
      </c>
      <c r="C1350">
        <v>1875500</v>
      </c>
      <c r="D1350">
        <v>127040</v>
      </c>
      <c r="E1350">
        <v>445600</v>
      </c>
      <c r="F1350">
        <v>3666257</v>
      </c>
      <c r="G1350">
        <v>284400</v>
      </c>
      <c r="H1350">
        <v>4564183</v>
      </c>
      <c r="I1350">
        <v>81800</v>
      </c>
      <c r="J1350">
        <v>4554557</v>
      </c>
      <c r="K1350">
        <v>93300</v>
      </c>
    </row>
    <row r="1351" spans="1:11" x14ac:dyDescent="0.3">
      <c r="A1351" t="s">
        <v>1360</v>
      </c>
      <c r="B1351">
        <v>244650</v>
      </c>
      <c r="C1351">
        <v>1890500</v>
      </c>
      <c r="D1351">
        <v>125405</v>
      </c>
      <c r="E1351">
        <v>504400</v>
      </c>
      <c r="F1351">
        <v>3671995</v>
      </c>
      <c r="G1351">
        <v>249900</v>
      </c>
      <c r="H1351">
        <v>4571420</v>
      </c>
      <c r="I1351">
        <v>84700</v>
      </c>
      <c r="J1351">
        <v>4561730</v>
      </c>
      <c r="K1351">
        <v>97700</v>
      </c>
    </row>
    <row r="1352" spans="1:11" x14ac:dyDescent="0.3">
      <c r="A1352" t="s">
        <v>1361</v>
      </c>
      <c r="B1352">
        <v>244650</v>
      </c>
      <c r="C1352">
        <v>1810400</v>
      </c>
      <c r="D1352">
        <v>120583</v>
      </c>
      <c r="E1352">
        <v>418500</v>
      </c>
      <c r="F1352">
        <v>3677718</v>
      </c>
      <c r="G1352">
        <v>247100</v>
      </c>
      <c r="H1352">
        <v>4579797</v>
      </c>
      <c r="I1352">
        <v>86400</v>
      </c>
      <c r="J1352">
        <v>4568994</v>
      </c>
      <c r="K1352">
        <v>97700</v>
      </c>
    </row>
    <row r="1353" spans="1:11" x14ac:dyDescent="0.3">
      <c r="A1353" t="s">
        <v>1362</v>
      </c>
      <c r="B1353">
        <v>244650</v>
      </c>
      <c r="C1353">
        <v>2077000</v>
      </c>
      <c r="D1353">
        <v>125869</v>
      </c>
      <c r="E1353">
        <v>437800</v>
      </c>
      <c r="F1353">
        <v>3683503</v>
      </c>
      <c r="G1353">
        <v>247300</v>
      </c>
      <c r="H1353">
        <v>4587425</v>
      </c>
      <c r="I1353">
        <v>85700</v>
      </c>
      <c r="J1353">
        <v>4575773</v>
      </c>
      <c r="K1353">
        <v>93000</v>
      </c>
    </row>
    <row r="1354" spans="1:11" x14ac:dyDescent="0.3">
      <c r="A1354" t="s">
        <v>1363</v>
      </c>
      <c r="B1354">
        <v>244650</v>
      </c>
      <c r="C1354">
        <v>1899100</v>
      </c>
      <c r="D1354">
        <v>118081</v>
      </c>
      <c r="E1354">
        <v>409800</v>
      </c>
      <c r="F1354">
        <v>3689274</v>
      </c>
      <c r="G1354">
        <v>253700</v>
      </c>
      <c r="H1354">
        <v>4594673</v>
      </c>
      <c r="I1354">
        <v>88100</v>
      </c>
      <c r="J1354">
        <v>4582479</v>
      </c>
      <c r="K1354">
        <v>93300</v>
      </c>
    </row>
    <row r="1355" spans="1:11" x14ac:dyDescent="0.3">
      <c r="A1355" t="s">
        <v>1364</v>
      </c>
      <c r="B1355">
        <v>244650</v>
      </c>
      <c r="C1355">
        <v>1887600</v>
      </c>
      <c r="D1355">
        <v>120791</v>
      </c>
      <c r="E1355">
        <v>422100</v>
      </c>
      <c r="F1355">
        <v>3695027</v>
      </c>
      <c r="G1355">
        <v>274200</v>
      </c>
      <c r="H1355">
        <v>4601231</v>
      </c>
      <c r="I1355">
        <v>83600</v>
      </c>
      <c r="J1355">
        <v>4589951</v>
      </c>
      <c r="K1355">
        <v>95100</v>
      </c>
    </row>
    <row r="1356" spans="1:11" x14ac:dyDescent="0.3">
      <c r="A1356" t="s">
        <v>1365</v>
      </c>
      <c r="B1356">
        <v>244650</v>
      </c>
      <c r="C1356">
        <v>2257000</v>
      </c>
      <c r="D1356">
        <v>125932</v>
      </c>
      <c r="E1356">
        <v>441200</v>
      </c>
      <c r="F1356">
        <v>3700746</v>
      </c>
      <c r="G1356">
        <v>251900</v>
      </c>
      <c r="H1356">
        <v>4608515</v>
      </c>
      <c r="I1356">
        <v>92000</v>
      </c>
      <c r="J1356">
        <v>4597240</v>
      </c>
      <c r="K1356">
        <v>95300</v>
      </c>
    </row>
    <row r="1357" spans="1:11" x14ac:dyDescent="0.3">
      <c r="A1357" t="s">
        <v>1366</v>
      </c>
      <c r="B1357">
        <v>244650</v>
      </c>
      <c r="C1357">
        <v>2348600</v>
      </c>
      <c r="D1357">
        <v>122237</v>
      </c>
      <c r="E1357">
        <v>705800</v>
      </c>
      <c r="F1357">
        <v>3706499</v>
      </c>
      <c r="G1357">
        <v>331300</v>
      </c>
      <c r="H1357">
        <v>4615206</v>
      </c>
      <c r="I1357">
        <v>101800</v>
      </c>
      <c r="J1357">
        <v>4604247</v>
      </c>
      <c r="K1357">
        <v>128300</v>
      </c>
    </row>
    <row r="1358" spans="1:11" x14ac:dyDescent="0.3">
      <c r="A1358" t="s">
        <v>1367</v>
      </c>
      <c r="B1358">
        <v>244650</v>
      </c>
      <c r="C1358">
        <v>2259600</v>
      </c>
      <c r="D1358">
        <v>120722</v>
      </c>
      <c r="E1358">
        <v>417900</v>
      </c>
      <c r="F1358">
        <v>3712246</v>
      </c>
      <c r="G1358">
        <v>249200</v>
      </c>
      <c r="H1358">
        <v>4622250</v>
      </c>
      <c r="I1358">
        <v>85800</v>
      </c>
      <c r="J1358">
        <v>4610915</v>
      </c>
      <c r="K1358">
        <v>93600</v>
      </c>
    </row>
    <row r="1359" spans="1:11" x14ac:dyDescent="0.3">
      <c r="A1359" t="s">
        <v>1368</v>
      </c>
      <c r="B1359">
        <v>244650</v>
      </c>
      <c r="C1359">
        <v>1761000</v>
      </c>
      <c r="D1359">
        <v>117629</v>
      </c>
      <c r="E1359">
        <v>571800</v>
      </c>
      <c r="F1359">
        <v>3717993</v>
      </c>
      <c r="G1359">
        <v>251600</v>
      </c>
      <c r="H1359">
        <v>4629051</v>
      </c>
      <c r="I1359">
        <v>84700</v>
      </c>
      <c r="J1359">
        <v>4618148</v>
      </c>
      <c r="K1359">
        <v>95100</v>
      </c>
    </row>
    <row r="1360" spans="1:11" x14ac:dyDescent="0.3">
      <c r="A1360" t="s">
        <v>1369</v>
      </c>
      <c r="B1360">
        <v>244650</v>
      </c>
      <c r="C1360">
        <v>2085900</v>
      </c>
      <c r="D1360">
        <v>123618</v>
      </c>
      <c r="E1360">
        <v>516400</v>
      </c>
      <c r="F1360">
        <v>3723748</v>
      </c>
      <c r="G1360">
        <v>331600</v>
      </c>
      <c r="H1360">
        <v>4635911</v>
      </c>
      <c r="I1360">
        <v>99900</v>
      </c>
      <c r="J1360">
        <v>4625414</v>
      </c>
      <c r="K1360">
        <v>114600</v>
      </c>
    </row>
    <row r="1361" spans="1:11" x14ac:dyDescent="0.3">
      <c r="A1361" t="s">
        <v>1370</v>
      </c>
      <c r="B1361">
        <v>244650</v>
      </c>
      <c r="C1361">
        <v>1843500</v>
      </c>
      <c r="D1361">
        <v>119760</v>
      </c>
      <c r="E1361">
        <v>414600</v>
      </c>
      <c r="F1361">
        <v>3729504</v>
      </c>
      <c r="G1361">
        <v>249600</v>
      </c>
      <c r="H1361">
        <v>4643027</v>
      </c>
      <c r="I1361">
        <v>84600</v>
      </c>
      <c r="J1361">
        <v>4632307</v>
      </c>
      <c r="K1361">
        <v>92800</v>
      </c>
    </row>
    <row r="1362" spans="1:11" x14ac:dyDescent="0.3">
      <c r="A1362" t="s">
        <v>1371</v>
      </c>
      <c r="B1362">
        <v>244650</v>
      </c>
      <c r="C1362">
        <v>2003500</v>
      </c>
      <c r="D1362">
        <v>124186</v>
      </c>
      <c r="E1362">
        <v>466200</v>
      </c>
      <c r="F1362">
        <v>3735263</v>
      </c>
      <c r="G1362">
        <v>249500</v>
      </c>
      <c r="H1362">
        <v>4650139</v>
      </c>
      <c r="I1362">
        <v>81900</v>
      </c>
      <c r="J1362">
        <v>4639488</v>
      </c>
      <c r="K1362">
        <v>95000</v>
      </c>
    </row>
    <row r="1363" spans="1:11" x14ac:dyDescent="0.3">
      <c r="A1363" t="s">
        <v>1372</v>
      </c>
      <c r="B1363">
        <v>244650</v>
      </c>
      <c r="C1363">
        <v>1767500</v>
      </c>
      <c r="D1363">
        <v>120049</v>
      </c>
      <c r="E1363">
        <v>427100</v>
      </c>
      <c r="F1363">
        <v>3740992</v>
      </c>
      <c r="G1363">
        <v>250700</v>
      </c>
      <c r="H1363">
        <v>4657723</v>
      </c>
      <c r="I1363">
        <v>84800</v>
      </c>
      <c r="J1363">
        <v>4647297</v>
      </c>
      <c r="K1363">
        <v>92900</v>
      </c>
    </row>
    <row r="1364" spans="1:11" x14ac:dyDescent="0.3">
      <c r="A1364" t="s">
        <v>1373</v>
      </c>
      <c r="B1364">
        <v>244650</v>
      </c>
      <c r="C1364">
        <v>1908000</v>
      </c>
      <c r="D1364">
        <v>120505</v>
      </c>
      <c r="E1364">
        <v>550200</v>
      </c>
      <c r="F1364">
        <v>3746750</v>
      </c>
      <c r="G1364">
        <v>251900</v>
      </c>
      <c r="H1364">
        <v>4665515</v>
      </c>
      <c r="I1364">
        <v>85400</v>
      </c>
      <c r="J1364">
        <v>4654239</v>
      </c>
      <c r="K1364">
        <v>93200</v>
      </c>
    </row>
    <row r="1365" spans="1:11" x14ac:dyDescent="0.3">
      <c r="A1365" t="s">
        <v>1374</v>
      </c>
      <c r="B1365">
        <v>244650</v>
      </c>
      <c r="C1365">
        <v>1866300</v>
      </c>
      <c r="D1365">
        <v>124139</v>
      </c>
      <c r="E1365">
        <v>431500</v>
      </c>
      <c r="F1365">
        <v>3752484</v>
      </c>
      <c r="G1365">
        <v>248800</v>
      </c>
      <c r="H1365">
        <v>4672816</v>
      </c>
      <c r="I1365">
        <v>86400</v>
      </c>
      <c r="J1365">
        <v>4662288</v>
      </c>
      <c r="K1365">
        <v>93100</v>
      </c>
    </row>
    <row r="1366" spans="1:11" x14ac:dyDescent="0.3">
      <c r="A1366" t="s">
        <v>1375</v>
      </c>
      <c r="B1366">
        <v>244650</v>
      </c>
      <c r="C1366">
        <v>1758200</v>
      </c>
      <c r="D1366">
        <v>119358</v>
      </c>
      <c r="E1366">
        <v>415000</v>
      </c>
      <c r="F1366">
        <v>3758239</v>
      </c>
      <c r="G1366">
        <v>253100</v>
      </c>
      <c r="H1366">
        <v>4679972</v>
      </c>
      <c r="I1366">
        <v>83500</v>
      </c>
      <c r="J1366">
        <v>4669103</v>
      </c>
      <c r="K1366">
        <v>89700</v>
      </c>
    </row>
    <row r="1367" spans="1:11" x14ac:dyDescent="0.3">
      <c r="A1367" t="s">
        <v>1376</v>
      </c>
      <c r="B1367">
        <v>244650</v>
      </c>
      <c r="C1367">
        <v>1826400</v>
      </c>
      <c r="D1367">
        <v>118386</v>
      </c>
      <c r="E1367">
        <v>425300</v>
      </c>
      <c r="F1367">
        <v>3763989</v>
      </c>
      <c r="G1367">
        <v>254000</v>
      </c>
      <c r="H1367">
        <v>4687288</v>
      </c>
      <c r="I1367">
        <v>85100</v>
      </c>
      <c r="J1367">
        <v>4676800</v>
      </c>
      <c r="K1367">
        <v>95200</v>
      </c>
    </row>
    <row r="1368" spans="1:11" x14ac:dyDescent="0.3">
      <c r="A1368" t="s">
        <v>1377</v>
      </c>
      <c r="B1368">
        <v>244650</v>
      </c>
      <c r="C1368">
        <v>1835700</v>
      </c>
      <c r="D1368">
        <v>121865</v>
      </c>
      <c r="E1368">
        <v>423600</v>
      </c>
      <c r="F1368">
        <v>3769727</v>
      </c>
      <c r="G1368">
        <v>246200</v>
      </c>
      <c r="H1368">
        <v>4694795</v>
      </c>
      <c r="I1368">
        <v>85100</v>
      </c>
      <c r="J1368">
        <v>4684616</v>
      </c>
      <c r="K1368">
        <v>93000</v>
      </c>
    </row>
    <row r="1369" spans="1:11" x14ac:dyDescent="0.3">
      <c r="A1369" t="s">
        <v>1378</v>
      </c>
      <c r="B1369">
        <v>244650</v>
      </c>
      <c r="C1369">
        <v>1861800</v>
      </c>
      <c r="D1369">
        <v>122396</v>
      </c>
      <c r="E1369">
        <v>431100</v>
      </c>
      <c r="F1369">
        <v>3775468</v>
      </c>
      <c r="G1369">
        <v>249000</v>
      </c>
      <c r="H1369">
        <v>4701402</v>
      </c>
      <c r="I1369">
        <v>81300</v>
      </c>
      <c r="J1369">
        <v>4691873</v>
      </c>
      <c r="K1369">
        <v>94000</v>
      </c>
    </row>
    <row r="1370" spans="1:11" x14ac:dyDescent="0.3">
      <c r="A1370" t="s">
        <v>1379</v>
      </c>
      <c r="B1370">
        <v>244650</v>
      </c>
      <c r="C1370">
        <v>1778500</v>
      </c>
      <c r="D1370">
        <v>119422</v>
      </c>
      <c r="E1370">
        <v>414100</v>
      </c>
      <c r="F1370">
        <v>3781204</v>
      </c>
      <c r="G1370">
        <v>247200</v>
      </c>
      <c r="H1370">
        <v>4707970</v>
      </c>
      <c r="I1370">
        <v>81900</v>
      </c>
      <c r="J1370">
        <v>4699819</v>
      </c>
      <c r="K1370">
        <v>95400</v>
      </c>
    </row>
    <row r="1371" spans="1:11" x14ac:dyDescent="0.3">
      <c r="A1371" t="s">
        <v>1380</v>
      </c>
      <c r="B1371">
        <v>244650</v>
      </c>
      <c r="C1371">
        <v>1754800</v>
      </c>
      <c r="D1371">
        <v>128320</v>
      </c>
      <c r="E1371">
        <v>444700</v>
      </c>
      <c r="F1371">
        <v>3786976</v>
      </c>
      <c r="G1371">
        <v>252600</v>
      </c>
      <c r="H1371">
        <v>4715361</v>
      </c>
      <c r="I1371">
        <v>83800</v>
      </c>
      <c r="J1371">
        <v>4707019</v>
      </c>
      <c r="K1371">
        <v>97000</v>
      </c>
    </row>
    <row r="1372" spans="1:11" x14ac:dyDescent="0.3">
      <c r="A1372" t="s">
        <v>1381</v>
      </c>
      <c r="B1372">
        <v>244650</v>
      </c>
      <c r="C1372">
        <v>1802700</v>
      </c>
      <c r="D1372">
        <v>124050</v>
      </c>
      <c r="E1372">
        <v>429800</v>
      </c>
      <c r="F1372">
        <v>3792719</v>
      </c>
      <c r="G1372">
        <v>245300</v>
      </c>
      <c r="H1372">
        <v>4722966</v>
      </c>
      <c r="I1372">
        <v>84300</v>
      </c>
      <c r="J1372">
        <v>4713824</v>
      </c>
      <c r="K1372">
        <v>91900</v>
      </c>
    </row>
    <row r="1373" spans="1:11" x14ac:dyDescent="0.3">
      <c r="A1373" t="s">
        <v>1382</v>
      </c>
      <c r="B1373">
        <v>244650</v>
      </c>
      <c r="C1373">
        <v>1792200</v>
      </c>
      <c r="D1373">
        <v>120936</v>
      </c>
      <c r="E1373">
        <v>421000</v>
      </c>
      <c r="F1373">
        <v>3798455</v>
      </c>
      <c r="G1373">
        <v>248600</v>
      </c>
      <c r="H1373">
        <v>4730459</v>
      </c>
      <c r="I1373">
        <v>80700</v>
      </c>
      <c r="J1373">
        <v>4721385</v>
      </c>
      <c r="K1373">
        <v>91200</v>
      </c>
    </row>
    <row r="1374" spans="1:11" x14ac:dyDescent="0.3">
      <c r="A1374" t="s">
        <v>1383</v>
      </c>
      <c r="B1374">
        <v>244650</v>
      </c>
      <c r="C1374">
        <v>1914800</v>
      </c>
      <c r="D1374">
        <v>122147</v>
      </c>
      <c r="E1374">
        <v>437500</v>
      </c>
      <c r="F1374">
        <v>3804224</v>
      </c>
      <c r="G1374">
        <v>246400</v>
      </c>
      <c r="H1374">
        <v>4736846</v>
      </c>
      <c r="I1374">
        <v>83100</v>
      </c>
      <c r="J1374">
        <v>4727909</v>
      </c>
      <c r="K1374">
        <v>90800</v>
      </c>
    </row>
    <row r="1375" spans="1:11" x14ac:dyDescent="0.3">
      <c r="A1375" t="s">
        <v>1384</v>
      </c>
      <c r="B1375">
        <v>244650</v>
      </c>
      <c r="C1375">
        <v>1991700</v>
      </c>
      <c r="D1375">
        <v>118929</v>
      </c>
      <c r="E1375">
        <v>424500</v>
      </c>
      <c r="F1375">
        <v>3809976</v>
      </c>
      <c r="G1375">
        <v>252000</v>
      </c>
      <c r="H1375">
        <v>4743498</v>
      </c>
      <c r="I1375">
        <v>81900</v>
      </c>
      <c r="J1375">
        <v>4735513</v>
      </c>
      <c r="K1375">
        <v>93100</v>
      </c>
    </row>
    <row r="1376" spans="1:11" x14ac:dyDescent="0.3">
      <c r="A1376" t="s">
        <v>1385</v>
      </c>
      <c r="B1376">
        <v>244650</v>
      </c>
      <c r="C1376">
        <v>2340400</v>
      </c>
      <c r="D1376">
        <v>121400</v>
      </c>
      <c r="E1376">
        <v>510400</v>
      </c>
      <c r="F1376">
        <v>3815756</v>
      </c>
      <c r="G1376">
        <v>352300</v>
      </c>
      <c r="H1376">
        <v>4750749</v>
      </c>
      <c r="I1376">
        <v>87100</v>
      </c>
      <c r="J1376">
        <v>4742414</v>
      </c>
      <c r="K1376">
        <v>94600</v>
      </c>
    </row>
    <row r="1377" spans="1:11" x14ac:dyDescent="0.3">
      <c r="A1377" t="s">
        <v>1386</v>
      </c>
      <c r="B1377">
        <v>244650</v>
      </c>
      <c r="C1377">
        <v>1801400</v>
      </c>
      <c r="D1377">
        <v>125383</v>
      </c>
      <c r="E1377">
        <v>438000</v>
      </c>
      <c r="F1377">
        <v>3821515</v>
      </c>
      <c r="G1377">
        <v>244400</v>
      </c>
      <c r="H1377">
        <v>4758491</v>
      </c>
      <c r="I1377">
        <v>82100</v>
      </c>
      <c r="J1377">
        <v>4749957</v>
      </c>
      <c r="K1377">
        <v>95300</v>
      </c>
    </row>
    <row r="1378" spans="1:11" x14ac:dyDescent="0.3">
      <c r="A1378" t="s">
        <v>1387</v>
      </c>
      <c r="B1378">
        <v>244650</v>
      </c>
      <c r="C1378">
        <v>1958800</v>
      </c>
      <c r="D1378">
        <v>127546</v>
      </c>
      <c r="E1378">
        <v>480500</v>
      </c>
      <c r="F1378">
        <v>3827258</v>
      </c>
      <c r="G1378">
        <v>246600</v>
      </c>
      <c r="H1378">
        <v>4765857</v>
      </c>
      <c r="I1378">
        <v>84800</v>
      </c>
      <c r="J1378">
        <v>4756874</v>
      </c>
      <c r="K1378">
        <v>96000</v>
      </c>
    </row>
    <row r="1379" spans="1:11" x14ac:dyDescent="0.3">
      <c r="A1379" t="s">
        <v>1388</v>
      </c>
      <c r="B1379">
        <v>244650</v>
      </c>
      <c r="C1379">
        <v>2173700</v>
      </c>
      <c r="D1379">
        <v>120995</v>
      </c>
      <c r="E1379">
        <v>420200</v>
      </c>
      <c r="F1379">
        <v>3833010</v>
      </c>
      <c r="G1379">
        <v>247500</v>
      </c>
      <c r="H1379">
        <v>4772601</v>
      </c>
      <c r="I1379">
        <v>84800</v>
      </c>
      <c r="J1379">
        <v>4763775</v>
      </c>
      <c r="K1379">
        <v>93200</v>
      </c>
    </row>
    <row r="1380" spans="1:11" x14ac:dyDescent="0.3">
      <c r="A1380" t="s">
        <v>1389</v>
      </c>
      <c r="B1380">
        <v>244650</v>
      </c>
      <c r="C1380">
        <v>1881300</v>
      </c>
      <c r="D1380">
        <v>122804</v>
      </c>
      <c r="E1380">
        <v>425700</v>
      </c>
      <c r="F1380">
        <v>3838737</v>
      </c>
      <c r="G1380">
        <v>259900</v>
      </c>
      <c r="H1380">
        <v>4779493</v>
      </c>
      <c r="I1380">
        <v>81500</v>
      </c>
      <c r="J1380">
        <v>4770682</v>
      </c>
      <c r="K1380">
        <v>92600</v>
      </c>
    </row>
    <row r="1381" spans="1:11" x14ac:dyDescent="0.3">
      <c r="A1381" t="s">
        <v>1390</v>
      </c>
      <c r="B1381">
        <v>244650</v>
      </c>
      <c r="C1381">
        <v>2033500</v>
      </c>
      <c r="D1381">
        <v>124234</v>
      </c>
      <c r="E1381">
        <v>433500</v>
      </c>
      <c r="F1381">
        <v>3844498</v>
      </c>
      <c r="G1381">
        <v>248700</v>
      </c>
      <c r="H1381">
        <v>4786614</v>
      </c>
      <c r="I1381">
        <v>84800</v>
      </c>
      <c r="J1381">
        <v>4777964</v>
      </c>
      <c r="K1381">
        <v>150900</v>
      </c>
    </row>
    <row r="1382" spans="1:11" x14ac:dyDescent="0.3">
      <c r="A1382" t="s">
        <v>1391</v>
      </c>
      <c r="B1382">
        <v>244650</v>
      </c>
      <c r="C1382">
        <v>1838200</v>
      </c>
      <c r="D1382">
        <v>124234</v>
      </c>
      <c r="E1382">
        <v>430800</v>
      </c>
      <c r="F1382">
        <v>3850262</v>
      </c>
      <c r="G1382">
        <v>247400</v>
      </c>
      <c r="H1382">
        <v>4793323</v>
      </c>
      <c r="I1382">
        <v>86500</v>
      </c>
      <c r="J1382">
        <v>4785600</v>
      </c>
      <c r="K1382">
        <v>118500</v>
      </c>
    </row>
    <row r="1383" spans="1:11" x14ac:dyDescent="0.3">
      <c r="A1383" t="s">
        <v>1392</v>
      </c>
      <c r="B1383">
        <v>244650</v>
      </c>
      <c r="C1383">
        <v>1767000</v>
      </c>
      <c r="D1383">
        <v>121023</v>
      </c>
      <c r="E1383">
        <v>420300</v>
      </c>
      <c r="F1383">
        <v>3856004</v>
      </c>
      <c r="G1383">
        <v>250600</v>
      </c>
      <c r="H1383">
        <v>4800593</v>
      </c>
      <c r="I1383">
        <v>85300</v>
      </c>
      <c r="J1383">
        <v>4792887</v>
      </c>
      <c r="K1383">
        <v>107900</v>
      </c>
    </row>
    <row r="1384" spans="1:11" x14ac:dyDescent="0.3">
      <c r="A1384" t="s">
        <v>1393</v>
      </c>
      <c r="B1384">
        <v>244650</v>
      </c>
      <c r="C1384">
        <v>2268500</v>
      </c>
      <c r="D1384">
        <v>121288</v>
      </c>
      <c r="E1384">
        <v>493800</v>
      </c>
      <c r="F1384">
        <v>3861749</v>
      </c>
      <c r="G1384">
        <v>251700</v>
      </c>
      <c r="H1384">
        <v>4807699</v>
      </c>
      <c r="I1384">
        <v>84500</v>
      </c>
      <c r="J1384">
        <v>4799844</v>
      </c>
      <c r="K1384">
        <v>94400</v>
      </c>
    </row>
    <row r="1385" spans="1:11" x14ac:dyDescent="0.3">
      <c r="A1385" t="s">
        <v>1394</v>
      </c>
      <c r="B1385">
        <v>244650</v>
      </c>
      <c r="C1385">
        <v>1893100</v>
      </c>
      <c r="D1385">
        <v>129037</v>
      </c>
      <c r="E1385">
        <v>448000</v>
      </c>
      <c r="F1385">
        <v>3867501</v>
      </c>
      <c r="G1385">
        <v>248000</v>
      </c>
      <c r="H1385">
        <v>4814892</v>
      </c>
      <c r="I1385">
        <v>84800</v>
      </c>
      <c r="J1385">
        <v>4806711</v>
      </c>
      <c r="K1385">
        <v>94400</v>
      </c>
    </row>
    <row r="1386" spans="1:11" x14ac:dyDescent="0.3">
      <c r="A1386" t="s">
        <v>1395</v>
      </c>
      <c r="B1386">
        <v>244650</v>
      </c>
      <c r="C1386">
        <v>2208100</v>
      </c>
      <c r="D1386">
        <v>115188</v>
      </c>
      <c r="E1386">
        <v>401200</v>
      </c>
      <c r="F1386">
        <v>3873256</v>
      </c>
      <c r="G1386">
        <v>251300</v>
      </c>
      <c r="H1386">
        <v>4821813</v>
      </c>
      <c r="I1386">
        <v>82500</v>
      </c>
      <c r="J1386">
        <v>4814453</v>
      </c>
      <c r="K1386">
        <v>93600</v>
      </c>
    </row>
    <row r="1387" spans="1:11" x14ac:dyDescent="0.3">
      <c r="A1387" t="s">
        <v>1396</v>
      </c>
      <c r="B1387">
        <v>244650</v>
      </c>
      <c r="C1387">
        <v>2356700</v>
      </c>
      <c r="D1387">
        <v>125878</v>
      </c>
      <c r="E1387">
        <v>487300</v>
      </c>
      <c r="F1387">
        <v>3878969</v>
      </c>
      <c r="G1387">
        <v>263900</v>
      </c>
      <c r="H1387">
        <v>4828627</v>
      </c>
      <c r="I1387">
        <v>85200</v>
      </c>
      <c r="J1387">
        <v>4822654</v>
      </c>
      <c r="K1387">
        <v>98500</v>
      </c>
    </row>
    <row r="1388" spans="1:11" x14ac:dyDescent="0.3">
      <c r="A1388" t="s">
        <v>1397</v>
      </c>
      <c r="B1388">
        <v>244650</v>
      </c>
      <c r="C1388">
        <v>2369900</v>
      </c>
      <c r="D1388">
        <v>125325</v>
      </c>
      <c r="E1388">
        <v>475800</v>
      </c>
      <c r="F1388">
        <v>3884722</v>
      </c>
      <c r="G1388">
        <v>249500</v>
      </c>
      <c r="H1388">
        <v>4836369</v>
      </c>
      <c r="I1388">
        <v>84700</v>
      </c>
      <c r="J1388">
        <v>4830172</v>
      </c>
      <c r="K1388">
        <v>94600</v>
      </c>
    </row>
    <row r="1389" spans="1:11" x14ac:dyDescent="0.3">
      <c r="A1389" t="s">
        <v>1398</v>
      </c>
      <c r="B1389">
        <v>244650</v>
      </c>
      <c r="C1389">
        <v>1975700</v>
      </c>
      <c r="D1389">
        <v>124257</v>
      </c>
      <c r="E1389">
        <v>429800</v>
      </c>
      <c r="F1389">
        <v>3890475</v>
      </c>
      <c r="G1389">
        <v>249200</v>
      </c>
      <c r="H1389">
        <v>4842933</v>
      </c>
      <c r="I1389">
        <v>85700</v>
      </c>
      <c r="J1389">
        <v>4837153</v>
      </c>
      <c r="K1389">
        <v>95300</v>
      </c>
    </row>
    <row r="1390" spans="1:11" x14ac:dyDescent="0.3">
      <c r="A1390" t="s">
        <v>1399</v>
      </c>
      <c r="B1390">
        <v>244650</v>
      </c>
      <c r="C1390">
        <v>1842100</v>
      </c>
      <c r="D1390">
        <v>126556</v>
      </c>
      <c r="E1390">
        <v>452200</v>
      </c>
      <c r="F1390">
        <v>3896214</v>
      </c>
      <c r="G1390">
        <v>246200</v>
      </c>
      <c r="H1390">
        <v>4849864</v>
      </c>
      <c r="I1390">
        <v>83400</v>
      </c>
      <c r="J1390">
        <v>4844460</v>
      </c>
      <c r="K1390">
        <v>93200</v>
      </c>
    </row>
    <row r="1391" spans="1:11" x14ac:dyDescent="0.3">
      <c r="A1391" t="s">
        <v>1400</v>
      </c>
      <c r="B1391">
        <v>244650</v>
      </c>
      <c r="C1391">
        <v>2103200</v>
      </c>
      <c r="D1391">
        <v>126924</v>
      </c>
      <c r="E1391">
        <v>439800</v>
      </c>
      <c r="F1391">
        <v>3901961</v>
      </c>
      <c r="G1391">
        <v>249600</v>
      </c>
      <c r="H1391">
        <v>4857194</v>
      </c>
      <c r="I1391">
        <v>85000</v>
      </c>
      <c r="J1391">
        <v>4851548</v>
      </c>
      <c r="K1391">
        <v>97300</v>
      </c>
    </row>
    <row r="1392" spans="1:11" x14ac:dyDescent="0.3">
      <c r="A1392" t="s">
        <v>1401</v>
      </c>
      <c r="B1392">
        <v>244650</v>
      </c>
      <c r="C1392">
        <v>2121200</v>
      </c>
      <c r="D1392">
        <v>121056</v>
      </c>
      <c r="E1392">
        <v>505500</v>
      </c>
      <c r="F1392">
        <v>3907700</v>
      </c>
      <c r="G1392">
        <v>250700</v>
      </c>
      <c r="H1392">
        <v>4864588</v>
      </c>
      <c r="I1392">
        <v>87100</v>
      </c>
      <c r="J1392">
        <v>4858277</v>
      </c>
      <c r="K1392">
        <v>93900</v>
      </c>
    </row>
    <row r="1393" spans="1:11" x14ac:dyDescent="0.3">
      <c r="A1393" t="s">
        <v>1402</v>
      </c>
      <c r="B1393">
        <v>244650</v>
      </c>
      <c r="C1393">
        <v>1852800</v>
      </c>
      <c r="D1393">
        <v>122440</v>
      </c>
      <c r="E1393">
        <v>633700</v>
      </c>
      <c r="F1393">
        <v>3913448</v>
      </c>
      <c r="G1393">
        <v>256300</v>
      </c>
      <c r="H1393">
        <v>4871640</v>
      </c>
      <c r="I1393">
        <v>85400</v>
      </c>
      <c r="J1393">
        <v>4865891</v>
      </c>
      <c r="K1393">
        <v>92500</v>
      </c>
    </row>
    <row r="1394" spans="1:11" x14ac:dyDescent="0.3">
      <c r="A1394" t="s">
        <v>1403</v>
      </c>
      <c r="B1394">
        <v>244650</v>
      </c>
      <c r="C1394">
        <v>1851600</v>
      </c>
      <c r="D1394">
        <v>125480</v>
      </c>
      <c r="E1394">
        <v>435100</v>
      </c>
      <c r="F1394">
        <v>3919201</v>
      </c>
      <c r="G1394">
        <v>245100</v>
      </c>
      <c r="H1394">
        <v>4878570</v>
      </c>
      <c r="I1394">
        <v>83600</v>
      </c>
      <c r="J1394">
        <v>4872613</v>
      </c>
      <c r="K1394">
        <v>94400</v>
      </c>
    </row>
    <row r="1395" spans="1:11" x14ac:dyDescent="0.3">
      <c r="A1395" t="s">
        <v>1404</v>
      </c>
      <c r="B1395">
        <v>244650</v>
      </c>
      <c r="C1395">
        <v>1913300</v>
      </c>
      <c r="D1395">
        <v>128208</v>
      </c>
      <c r="E1395">
        <v>561300</v>
      </c>
      <c r="F1395">
        <v>3924952</v>
      </c>
      <c r="G1395">
        <v>248900</v>
      </c>
      <c r="H1395">
        <v>4885584</v>
      </c>
      <c r="I1395">
        <v>84100</v>
      </c>
      <c r="J1395">
        <v>4879085</v>
      </c>
      <c r="K1395">
        <v>98400</v>
      </c>
    </row>
    <row r="1396" spans="1:11" x14ac:dyDescent="0.3">
      <c r="A1396" t="s">
        <v>1405</v>
      </c>
      <c r="B1396">
        <v>244650</v>
      </c>
      <c r="C1396">
        <v>1836000</v>
      </c>
      <c r="D1396">
        <v>123873</v>
      </c>
      <c r="E1396">
        <v>443300</v>
      </c>
      <c r="F1396">
        <v>3930723</v>
      </c>
      <c r="G1396">
        <v>247300</v>
      </c>
      <c r="H1396">
        <v>4893138</v>
      </c>
      <c r="I1396">
        <v>83300</v>
      </c>
      <c r="J1396">
        <v>4886599</v>
      </c>
      <c r="K1396">
        <v>96100</v>
      </c>
    </row>
    <row r="1397" spans="1:11" x14ac:dyDescent="0.3">
      <c r="A1397" t="s">
        <v>1406</v>
      </c>
      <c r="B1397">
        <v>244650</v>
      </c>
      <c r="C1397">
        <v>1847500</v>
      </c>
      <c r="D1397">
        <v>120379</v>
      </c>
      <c r="E1397">
        <v>489500</v>
      </c>
      <c r="F1397">
        <v>3936455</v>
      </c>
      <c r="G1397">
        <v>282600</v>
      </c>
      <c r="H1397">
        <v>4900398</v>
      </c>
      <c r="I1397">
        <v>86300</v>
      </c>
      <c r="J1397">
        <v>4894618</v>
      </c>
      <c r="K1397">
        <v>97000</v>
      </c>
    </row>
    <row r="1398" spans="1:11" x14ac:dyDescent="0.3">
      <c r="A1398" t="s">
        <v>1407</v>
      </c>
      <c r="B1398">
        <v>244650</v>
      </c>
      <c r="C1398">
        <v>1884000</v>
      </c>
      <c r="D1398">
        <v>118911</v>
      </c>
      <c r="E1398">
        <v>415700</v>
      </c>
      <c r="F1398">
        <v>3942201</v>
      </c>
      <c r="G1398">
        <v>250000</v>
      </c>
      <c r="H1398">
        <v>4907646</v>
      </c>
      <c r="I1398">
        <v>81100</v>
      </c>
      <c r="J1398">
        <v>4902111</v>
      </c>
      <c r="K1398">
        <v>93000</v>
      </c>
    </row>
    <row r="1399" spans="1:11" x14ac:dyDescent="0.3">
      <c r="A1399" t="s">
        <v>1408</v>
      </c>
      <c r="B1399">
        <v>244650</v>
      </c>
      <c r="C1399">
        <v>1793500</v>
      </c>
      <c r="D1399">
        <v>121430</v>
      </c>
      <c r="E1399">
        <v>437000</v>
      </c>
      <c r="F1399">
        <v>3947984</v>
      </c>
      <c r="G1399">
        <v>249900</v>
      </c>
      <c r="H1399">
        <v>4915201</v>
      </c>
      <c r="I1399">
        <v>85200</v>
      </c>
      <c r="J1399">
        <v>4908493</v>
      </c>
      <c r="K1399">
        <v>91400</v>
      </c>
    </row>
    <row r="1400" spans="1:11" x14ac:dyDescent="0.3">
      <c r="A1400" t="s">
        <v>1409</v>
      </c>
      <c r="B1400">
        <v>244650</v>
      </c>
      <c r="C1400">
        <v>2335700</v>
      </c>
      <c r="D1400">
        <v>120089</v>
      </c>
      <c r="E1400">
        <v>511700</v>
      </c>
      <c r="F1400">
        <v>3953722</v>
      </c>
      <c r="G1400">
        <v>343000</v>
      </c>
      <c r="H1400">
        <v>4921933</v>
      </c>
      <c r="I1400">
        <v>81500</v>
      </c>
      <c r="J1400">
        <v>4914957</v>
      </c>
      <c r="K1400">
        <v>94700</v>
      </c>
    </row>
    <row r="1401" spans="1:11" x14ac:dyDescent="0.3">
      <c r="A1401" t="s">
        <v>1410</v>
      </c>
      <c r="B1401">
        <v>244650</v>
      </c>
      <c r="C1401">
        <v>2232900</v>
      </c>
      <c r="D1401">
        <v>116761</v>
      </c>
      <c r="E1401">
        <v>419600</v>
      </c>
      <c r="F1401">
        <v>3959457</v>
      </c>
      <c r="G1401">
        <v>253700</v>
      </c>
      <c r="H1401">
        <v>4928632</v>
      </c>
      <c r="I1401">
        <v>85300</v>
      </c>
      <c r="J1401">
        <v>4921753</v>
      </c>
      <c r="K1401">
        <v>93600</v>
      </c>
    </row>
    <row r="1402" spans="1:11" x14ac:dyDescent="0.3">
      <c r="A1402" t="s">
        <v>1411</v>
      </c>
      <c r="B1402">
        <v>280875</v>
      </c>
      <c r="C1402">
        <v>2632700</v>
      </c>
      <c r="D1402">
        <v>141889</v>
      </c>
      <c r="E1402">
        <v>788700</v>
      </c>
      <c r="F1402">
        <v>3965709</v>
      </c>
      <c r="G1402">
        <v>272800</v>
      </c>
      <c r="H1402">
        <v>4935740</v>
      </c>
      <c r="I1402">
        <v>95800</v>
      </c>
      <c r="J1402">
        <v>4930842</v>
      </c>
      <c r="K1402">
        <v>104900</v>
      </c>
    </row>
    <row r="1403" spans="1:11" x14ac:dyDescent="0.3">
      <c r="A1403" t="s">
        <v>1412</v>
      </c>
      <c r="B1403">
        <v>280875</v>
      </c>
      <c r="C1403">
        <v>2692800</v>
      </c>
      <c r="D1403">
        <v>142055</v>
      </c>
      <c r="E1403">
        <v>492400</v>
      </c>
      <c r="F1403">
        <v>3971949</v>
      </c>
      <c r="G1403">
        <v>271400</v>
      </c>
      <c r="H1403">
        <v>4945366</v>
      </c>
      <c r="I1403">
        <v>95600</v>
      </c>
      <c r="J1403">
        <v>4937943</v>
      </c>
      <c r="K1403">
        <v>104100</v>
      </c>
    </row>
    <row r="1404" spans="1:11" x14ac:dyDescent="0.3">
      <c r="A1404" t="s">
        <v>1413</v>
      </c>
      <c r="B1404">
        <v>280875</v>
      </c>
      <c r="C1404">
        <v>2097500</v>
      </c>
      <c r="D1404">
        <v>142865</v>
      </c>
      <c r="E1404">
        <v>514800</v>
      </c>
      <c r="F1404">
        <v>3978187</v>
      </c>
      <c r="G1404">
        <v>273400</v>
      </c>
      <c r="H1404">
        <v>4952450</v>
      </c>
      <c r="I1404">
        <v>89600</v>
      </c>
      <c r="J1404">
        <v>4945722</v>
      </c>
      <c r="K1404">
        <v>98400</v>
      </c>
    </row>
    <row r="1405" spans="1:11" x14ac:dyDescent="0.3">
      <c r="A1405" t="s">
        <v>1414</v>
      </c>
      <c r="B1405">
        <v>280875</v>
      </c>
      <c r="C1405">
        <v>2344900</v>
      </c>
      <c r="D1405">
        <v>136588</v>
      </c>
      <c r="E1405">
        <v>484900</v>
      </c>
      <c r="F1405">
        <v>3984455</v>
      </c>
      <c r="G1405">
        <v>287000</v>
      </c>
      <c r="H1405">
        <v>4959538</v>
      </c>
      <c r="I1405">
        <v>90400</v>
      </c>
      <c r="J1405">
        <v>4953045</v>
      </c>
      <c r="K1405">
        <v>100700</v>
      </c>
    </row>
    <row r="1406" spans="1:11" x14ac:dyDescent="0.3">
      <c r="A1406" t="s">
        <v>1415</v>
      </c>
      <c r="B1406">
        <v>280875</v>
      </c>
      <c r="C1406">
        <v>2132500</v>
      </c>
      <c r="D1406">
        <v>146111</v>
      </c>
      <c r="E1406">
        <v>505600</v>
      </c>
      <c r="F1406">
        <v>3990742</v>
      </c>
      <c r="G1406">
        <v>270200</v>
      </c>
      <c r="H1406">
        <v>4966725</v>
      </c>
      <c r="I1406">
        <v>90600</v>
      </c>
      <c r="J1406">
        <v>4960812</v>
      </c>
      <c r="K1406">
        <v>98300</v>
      </c>
    </row>
    <row r="1407" spans="1:11" x14ac:dyDescent="0.3">
      <c r="A1407" t="s">
        <v>1416</v>
      </c>
      <c r="B1407">
        <v>280875</v>
      </c>
      <c r="C1407">
        <v>2257300</v>
      </c>
      <c r="D1407">
        <v>142282</v>
      </c>
      <c r="E1407">
        <v>504700</v>
      </c>
      <c r="F1407">
        <v>3996983</v>
      </c>
      <c r="G1407">
        <v>268000</v>
      </c>
      <c r="H1407">
        <v>4974200</v>
      </c>
      <c r="I1407">
        <v>91700</v>
      </c>
      <c r="J1407">
        <v>4968253</v>
      </c>
      <c r="K1407">
        <v>101900</v>
      </c>
    </row>
    <row r="1408" spans="1:11" x14ac:dyDescent="0.3">
      <c r="A1408" t="s">
        <v>1417</v>
      </c>
      <c r="B1408">
        <v>280875</v>
      </c>
      <c r="C1408">
        <v>2254900</v>
      </c>
      <c r="D1408">
        <v>139047</v>
      </c>
      <c r="E1408">
        <v>481600</v>
      </c>
      <c r="F1408">
        <v>4003219</v>
      </c>
      <c r="G1408">
        <v>272000</v>
      </c>
      <c r="H1408">
        <v>4981139</v>
      </c>
      <c r="I1408">
        <v>95600</v>
      </c>
      <c r="J1408">
        <v>4975569</v>
      </c>
      <c r="K1408">
        <v>113500</v>
      </c>
    </row>
    <row r="1409" spans="1:11" x14ac:dyDescent="0.3">
      <c r="A1409" t="s">
        <v>1418</v>
      </c>
      <c r="B1409">
        <v>280875</v>
      </c>
      <c r="C1409">
        <v>2182400</v>
      </c>
      <c r="D1409">
        <v>142230</v>
      </c>
      <c r="E1409">
        <v>494300</v>
      </c>
      <c r="F1409">
        <v>4009455</v>
      </c>
      <c r="G1409">
        <v>266900</v>
      </c>
      <c r="H1409">
        <v>4988541</v>
      </c>
      <c r="I1409">
        <v>90300</v>
      </c>
      <c r="J1409">
        <v>4983333</v>
      </c>
      <c r="K1409">
        <v>110400</v>
      </c>
    </row>
    <row r="1410" spans="1:11" x14ac:dyDescent="0.3">
      <c r="A1410" t="s">
        <v>1419</v>
      </c>
      <c r="B1410">
        <v>280875</v>
      </c>
      <c r="C1410">
        <v>2199500</v>
      </c>
      <c r="D1410">
        <v>141508</v>
      </c>
      <c r="E1410">
        <v>509300</v>
      </c>
      <c r="F1410">
        <v>4015690</v>
      </c>
      <c r="G1410">
        <v>270200</v>
      </c>
      <c r="H1410">
        <v>4995612</v>
      </c>
      <c r="I1410">
        <v>88600</v>
      </c>
      <c r="J1410">
        <v>4990853</v>
      </c>
      <c r="K1410">
        <v>103600</v>
      </c>
    </row>
    <row r="1411" spans="1:11" x14ac:dyDescent="0.3">
      <c r="A1411" t="s">
        <v>1420</v>
      </c>
      <c r="B1411">
        <v>280875</v>
      </c>
      <c r="C1411">
        <v>2097300</v>
      </c>
      <c r="D1411">
        <v>140622</v>
      </c>
      <c r="E1411">
        <v>555900</v>
      </c>
      <c r="F1411">
        <v>4021951</v>
      </c>
      <c r="G1411">
        <v>273700</v>
      </c>
      <c r="H1411">
        <v>5003410</v>
      </c>
      <c r="I1411">
        <v>92800</v>
      </c>
      <c r="J1411">
        <v>4999412</v>
      </c>
      <c r="K1411">
        <v>104100</v>
      </c>
    </row>
    <row r="1412" spans="1:11" x14ac:dyDescent="0.3">
      <c r="A1412" t="s">
        <v>1421</v>
      </c>
      <c r="B1412">
        <v>280875</v>
      </c>
      <c r="C1412">
        <v>2227100</v>
      </c>
      <c r="D1412">
        <v>142629</v>
      </c>
      <c r="E1412">
        <v>494800</v>
      </c>
      <c r="F1412">
        <v>4028179</v>
      </c>
      <c r="G1412">
        <v>269800</v>
      </c>
      <c r="H1412">
        <v>5011104</v>
      </c>
      <c r="I1412">
        <v>89400</v>
      </c>
      <c r="J1412">
        <v>5006947</v>
      </c>
      <c r="K1412">
        <v>99400</v>
      </c>
    </row>
    <row r="1413" spans="1:11" x14ac:dyDescent="0.3">
      <c r="A1413" t="s">
        <v>1422</v>
      </c>
      <c r="B1413">
        <v>280875</v>
      </c>
      <c r="C1413">
        <v>2222000</v>
      </c>
      <c r="D1413">
        <v>136856</v>
      </c>
      <c r="E1413">
        <v>488000</v>
      </c>
      <c r="F1413">
        <v>4034429</v>
      </c>
      <c r="G1413">
        <v>283400</v>
      </c>
      <c r="H1413">
        <v>5018823</v>
      </c>
      <c r="I1413">
        <v>106500</v>
      </c>
      <c r="J1413">
        <v>5015013</v>
      </c>
      <c r="K1413">
        <v>105000</v>
      </c>
    </row>
    <row r="1414" spans="1:11" x14ac:dyDescent="0.3">
      <c r="A1414" t="s">
        <v>1423</v>
      </c>
      <c r="B1414">
        <v>280875</v>
      </c>
      <c r="C1414">
        <v>2147900</v>
      </c>
      <c r="D1414">
        <v>138277</v>
      </c>
      <c r="E1414">
        <v>480400</v>
      </c>
      <c r="F1414">
        <v>4040660</v>
      </c>
      <c r="G1414">
        <v>267500</v>
      </c>
      <c r="H1414">
        <v>5026418</v>
      </c>
      <c r="I1414">
        <v>89700</v>
      </c>
      <c r="J1414">
        <v>5023571</v>
      </c>
      <c r="K1414">
        <v>102400</v>
      </c>
    </row>
    <row r="1415" spans="1:11" x14ac:dyDescent="0.3">
      <c r="A1415" t="s">
        <v>1424</v>
      </c>
      <c r="B1415">
        <v>280875</v>
      </c>
      <c r="C1415">
        <v>2045900</v>
      </c>
      <c r="D1415">
        <v>138024</v>
      </c>
      <c r="E1415">
        <v>477300</v>
      </c>
      <c r="F1415">
        <v>4046901</v>
      </c>
      <c r="G1415">
        <v>267700</v>
      </c>
      <c r="H1415">
        <v>5034275</v>
      </c>
      <c r="I1415">
        <v>95400</v>
      </c>
      <c r="J1415">
        <v>5031302</v>
      </c>
      <c r="K1415">
        <v>98000</v>
      </c>
    </row>
    <row r="1416" spans="1:11" x14ac:dyDescent="0.3">
      <c r="A1416" t="s">
        <v>1425</v>
      </c>
      <c r="B1416">
        <v>280875</v>
      </c>
      <c r="C1416">
        <v>2275100</v>
      </c>
      <c r="D1416">
        <v>145507</v>
      </c>
      <c r="E1416">
        <v>503600</v>
      </c>
      <c r="F1416">
        <v>4053118</v>
      </c>
      <c r="G1416">
        <v>306600</v>
      </c>
      <c r="H1416">
        <v>5042069</v>
      </c>
      <c r="I1416">
        <v>122000</v>
      </c>
      <c r="J1416">
        <v>5039244</v>
      </c>
      <c r="K1416">
        <v>140700</v>
      </c>
    </row>
    <row r="1417" spans="1:11" x14ac:dyDescent="0.3">
      <c r="A1417" t="s">
        <v>1426</v>
      </c>
      <c r="B1417">
        <v>280875</v>
      </c>
      <c r="C1417">
        <v>2635700</v>
      </c>
      <c r="D1417">
        <v>140170</v>
      </c>
      <c r="E1417">
        <v>486700</v>
      </c>
      <c r="F1417">
        <v>4059344</v>
      </c>
      <c r="G1417">
        <v>269400</v>
      </c>
      <c r="H1417">
        <v>5049025</v>
      </c>
      <c r="I1417">
        <v>90100</v>
      </c>
      <c r="J1417">
        <v>5047045</v>
      </c>
      <c r="K1417">
        <v>100200</v>
      </c>
    </row>
    <row r="1418" spans="1:11" x14ac:dyDescent="0.3">
      <c r="A1418" t="s">
        <v>1427</v>
      </c>
      <c r="B1418">
        <v>280875</v>
      </c>
      <c r="C1418">
        <v>2241000</v>
      </c>
      <c r="D1418">
        <v>143115</v>
      </c>
      <c r="E1418">
        <v>517300</v>
      </c>
      <c r="F1418">
        <v>4065581</v>
      </c>
      <c r="G1418">
        <v>272100</v>
      </c>
      <c r="H1418">
        <v>5056763</v>
      </c>
      <c r="I1418">
        <v>91000</v>
      </c>
      <c r="J1418">
        <v>5054730</v>
      </c>
      <c r="K1418">
        <v>100900</v>
      </c>
    </row>
    <row r="1419" spans="1:11" x14ac:dyDescent="0.3">
      <c r="A1419" t="s">
        <v>1428</v>
      </c>
      <c r="B1419">
        <v>280875</v>
      </c>
      <c r="C1419">
        <v>2083200</v>
      </c>
      <c r="D1419">
        <v>145690</v>
      </c>
      <c r="E1419">
        <v>505700</v>
      </c>
      <c r="F1419">
        <v>4071795</v>
      </c>
      <c r="G1419">
        <v>266300</v>
      </c>
      <c r="H1419">
        <v>5064188</v>
      </c>
      <c r="I1419">
        <v>89400</v>
      </c>
      <c r="J1419">
        <v>5062450</v>
      </c>
      <c r="K1419">
        <v>101200</v>
      </c>
    </row>
    <row r="1420" spans="1:11" x14ac:dyDescent="0.3">
      <c r="A1420" t="s">
        <v>1429</v>
      </c>
      <c r="B1420">
        <v>280875</v>
      </c>
      <c r="C1420">
        <v>2170800</v>
      </c>
      <c r="D1420">
        <v>141027</v>
      </c>
      <c r="E1420">
        <v>489700</v>
      </c>
      <c r="F1420">
        <v>4078011</v>
      </c>
      <c r="G1420">
        <v>272500</v>
      </c>
      <c r="H1420">
        <v>5072088</v>
      </c>
      <c r="I1420">
        <v>91200</v>
      </c>
      <c r="J1420">
        <v>5069830</v>
      </c>
      <c r="K1420">
        <v>99200</v>
      </c>
    </row>
    <row r="1421" spans="1:11" x14ac:dyDescent="0.3">
      <c r="A1421" t="s">
        <v>1430</v>
      </c>
      <c r="B1421">
        <v>280875</v>
      </c>
      <c r="C1421">
        <v>2308100</v>
      </c>
      <c r="D1421">
        <v>143978</v>
      </c>
      <c r="E1421">
        <v>508600</v>
      </c>
      <c r="F1421">
        <v>4084236</v>
      </c>
      <c r="G1421">
        <v>277900</v>
      </c>
      <c r="H1421">
        <v>5079722</v>
      </c>
      <c r="I1421">
        <v>90400</v>
      </c>
      <c r="J1421">
        <v>5077685</v>
      </c>
      <c r="K1421">
        <v>101800</v>
      </c>
    </row>
    <row r="1422" spans="1:11" x14ac:dyDescent="0.3">
      <c r="A1422" t="s">
        <v>1431</v>
      </c>
      <c r="B1422">
        <v>280875</v>
      </c>
      <c r="C1422">
        <v>2354000</v>
      </c>
      <c r="D1422">
        <v>142502</v>
      </c>
      <c r="E1422">
        <v>501700</v>
      </c>
      <c r="F1422">
        <v>4090466</v>
      </c>
      <c r="G1422">
        <v>269300</v>
      </c>
      <c r="H1422">
        <v>5086641</v>
      </c>
      <c r="I1422">
        <v>91800</v>
      </c>
      <c r="J1422">
        <v>5085395</v>
      </c>
      <c r="K1422">
        <v>102100</v>
      </c>
    </row>
    <row r="1423" spans="1:11" x14ac:dyDescent="0.3">
      <c r="A1423" t="s">
        <v>1432</v>
      </c>
      <c r="B1423">
        <v>280875</v>
      </c>
      <c r="C1423">
        <v>2216700</v>
      </c>
      <c r="D1423">
        <v>137198</v>
      </c>
      <c r="E1423">
        <v>475600</v>
      </c>
      <c r="F1423">
        <v>4096704</v>
      </c>
      <c r="G1423">
        <v>271800</v>
      </c>
      <c r="H1423">
        <v>5094660</v>
      </c>
      <c r="I1423">
        <v>93500</v>
      </c>
      <c r="J1423">
        <v>5093930</v>
      </c>
      <c r="K1423">
        <v>101600</v>
      </c>
    </row>
    <row r="1424" spans="1:11" x14ac:dyDescent="0.3">
      <c r="A1424" t="s">
        <v>1433</v>
      </c>
      <c r="B1424">
        <v>280875</v>
      </c>
      <c r="C1424">
        <v>2146600</v>
      </c>
      <c r="D1424">
        <v>138613</v>
      </c>
      <c r="E1424">
        <v>485100</v>
      </c>
      <c r="F1424">
        <v>4102943</v>
      </c>
      <c r="G1424">
        <v>270000</v>
      </c>
      <c r="H1424">
        <v>5102521</v>
      </c>
      <c r="I1424">
        <v>94900</v>
      </c>
      <c r="J1424">
        <v>5101730</v>
      </c>
      <c r="K1424">
        <v>102000</v>
      </c>
    </row>
    <row r="1425" spans="1:11" x14ac:dyDescent="0.3">
      <c r="A1425" t="s">
        <v>1434</v>
      </c>
      <c r="B1425">
        <v>280875</v>
      </c>
      <c r="C1425">
        <v>2203600</v>
      </c>
      <c r="D1425">
        <v>139772</v>
      </c>
      <c r="E1425">
        <v>484700</v>
      </c>
      <c r="F1425">
        <v>4109190</v>
      </c>
      <c r="G1425">
        <v>275300</v>
      </c>
      <c r="H1425">
        <v>5109936</v>
      </c>
      <c r="I1425">
        <v>93500</v>
      </c>
      <c r="J1425">
        <v>5109780</v>
      </c>
      <c r="K1425">
        <v>103200</v>
      </c>
    </row>
    <row r="1426" spans="1:11" x14ac:dyDescent="0.3">
      <c r="A1426" t="s">
        <v>1435</v>
      </c>
      <c r="B1426">
        <v>280875</v>
      </c>
      <c r="C1426">
        <v>2702700</v>
      </c>
      <c r="D1426">
        <v>141968</v>
      </c>
      <c r="E1426">
        <v>510400</v>
      </c>
      <c r="F1426">
        <v>4115390</v>
      </c>
      <c r="G1426">
        <v>271400</v>
      </c>
      <c r="H1426">
        <v>5118832</v>
      </c>
      <c r="I1426">
        <v>94200</v>
      </c>
      <c r="J1426">
        <v>5117403</v>
      </c>
      <c r="K1426">
        <v>102400</v>
      </c>
    </row>
    <row r="1427" spans="1:11" x14ac:dyDescent="0.3">
      <c r="A1427" t="s">
        <v>1436</v>
      </c>
      <c r="B1427">
        <v>280875</v>
      </c>
      <c r="C1427">
        <v>2606200</v>
      </c>
      <c r="D1427">
        <v>140481</v>
      </c>
      <c r="E1427">
        <v>510100</v>
      </c>
      <c r="F1427">
        <v>4121632</v>
      </c>
      <c r="G1427">
        <v>274900</v>
      </c>
      <c r="H1427">
        <v>5126078</v>
      </c>
      <c r="I1427">
        <v>89600</v>
      </c>
      <c r="J1427">
        <v>5124845</v>
      </c>
      <c r="K1427">
        <v>100200</v>
      </c>
    </row>
    <row r="1428" spans="1:11" x14ac:dyDescent="0.3">
      <c r="A1428" t="s">
        <v>1437</v>
      </c>
      <c r="B1428">
        <v>280875</v>
      </c>
      <c r="C1428">
        <v>2214000</v>
      </c>
      <c r="D1428">
        <v>145784</v>
      </c>
      <c r="E1428">
        <v>504200</v>
      </c>
      <c r="F1428">
        <v>4127846</v>
      </c>
      <c r="G1428">
        <v>267400</v>
      </c>
      <c r="H1428">
        <v>5133930</v>
      </c>
      <c r="I1428">
        <v>96400</v>
      </c>
      <c r="J1428">
        <v>5133417</v>
      </c>
      <c r="K1428">
        <v>101800</v>
      </c>
    </row>
    <row r="1429" spans="1:11" x14ac:dyDescent="0.3">
      <c r="A1429" t="s">
        <v>1438</v>
      </c>
      <c r="B1429">
        <v>280875</v>
      </c>
      <c r="C1429">
        <v>2675000</v>
      </c>
      <c r="D1429">
        <v>139040</v>
      </c>
      <c r="E1429">
        <v>502100</v>
      </c>
      <c r="F1429">
        <v>4134109</v>
      </c>
      <c r="G1429">
        <v>301400</v>
      </c>
      <c r="H1429">
        <v>5142175</v>
      </c>
      <c r="I1429">
        <v>92200</v>
      </c>
      <c r="J1429">
        <v>5141556</v>
      </c>
      <c r="K1429">
        <v>104500</v>
      </c>
    </row>
    <row r="1430" spans="1:11" x14ac:dyDescent="0.3">
      <c r="A1430" t="s">
        <v>1439</v>
      </c>
      <c r="B1430">
        <v>280875</v>
      </c>
      <c r="C1430">
        <v>2506300</v>
      </c>
      <c r="D1430">
        <v>138802</v>
      </c>
      <c r="E1430">
        <v>486300</v>
      </c>
      <c r="F1430">
        <v>4140351</v>
      </c>
      <c r="G1430">
        <v>269000</v>
      </c>
      <c r="H1430">
        <v>5150393</v>
      </c>
      <c r="I1430">
        <v>87900</v>
      </c>
      <c r="J1430">
        <v>5149741</v>
      </c>
      <c r="K1430">
        <v>104100</v>
      </c>
    </row>
    <row r="1431" spans="1:11" x14ac:dyDescent="0.3">
      <c r="A1431" t="s">
        <v>1440</v>
      </c>
      <c r="B1431">
        <v>280875</v>
      </c>
      <c r="C1431">
        <v>2300600</v>
      </c>
      <c r="D1431">
        <v>138900</v>
      </c>
      <c r="E1431">
        <v>487100</v>
      </c>
      <c r="F1431">
        <v>4146594</v>
      </c>
      <c r="G1431">
        <v>269400</v>
      </c>
      <c r="H1431">
        <v>5157690</v>
      </c>
      <c r="I1431">
        <v>89000</v>
      </c>
      <c r="J1431">
        <v>5156883</v>
      </c>
      <c r="K1431">
        <v>101500</v>
      </c>
    </row>
    <row r="1432" spans="1:11" x14ac:dyDescent="0.3">
      <c r="A1432" t="s">
        <v>1441</v>
      </c>
      <c r="B1432">
        <v>280875</v>
      </c>
      <c r="C1432">
        <v>2650300</v>
      </c>
      <c r="D1432">
        <v>145164</v>
      </c>
      <c r="E1432">
        <v>540000</v>
      </c>
      <c r="F1432">
        <v>4152846</v>
      </c>
      <c r="G1432">
        <v>291900</v>
      </c>
      <c r="H1432">
        <v>5164902</v>
      </c>
      <c r="I1432">
        <v>94700</v>
      </c>
      <c r="J1432">
        <v>5164777</v>
      </c>
      <c r="K1432">
        <v>104300</v>
      </c>
    </row>
    <row r="1433" spans="1:11" x14ac:dyDescent="0.3">
      <c r="A1433" t="s">
        <v>1442</v>
      </c>
      <c r="B1433">
        <v>280875</v>
      </c>
      <c r="C1433">
        <v>2194300</v>
      </c>
      <c r="D1433">
        <v>142795</v>
      </c>
      <c r="E1433">
        <v>497500</v>
      </c>
      <c r="F1433">
        <v>4159069</v>
      </c>
      <c r="G1433">
        <v>268200</v>
      </c>
      <c r="H1433">
        <v>5172735</v>
      </c>
      <c r="I1433">
        <v>91500</v>
      </c>
      <c r="J1433">
        <v>5172332</v>
      </c>
      <c r="K1433">
        <v>99600</v>
      </c>
    </row>
    <row r="1434" spans="1:11" x14ac:dyDescent="0.3">
      <c r="A1434" t="s">
        <v>1443</v>
      </c>
      <c r="B1434">
        <v>280875</v>
      </c>
      <c r="C1434">
        <v>2206400</v>
      </c>
      <c r="D1434">
        <v>132563</v>
      </c>
      <c r="E1434">
        <v>460900</v>
      </c>
      <c r="F1434">
        <v>4165280</v>
      </c>
      <c r="G1434">
        <v>274000</v>
      </c>
      <c r="H1434">
        <v>5180681</v>
      </c>
      <c r="I1434">
        <v>93900</v>
      </c>
      <c r="J1434">
        <v>5179840</v>
      </c>
      <c r="K1434">
        <v>104100</v>
      </c>
    </row>
    <row r="1435" spans="1:11" x14ac:dyDescent="0.3">
      <c r="A1435" t="s">
        <v>1444</v>
      </c>
      <c r="B1435">
        <v>280875</v>
      </c>
      <c r="C1435">
        <v>2613900</v>
      </c>
      <c r="D1435">
        <v>142163</v>
      </c>
      <c r="E1435">
        <v>492500</v>
      </c>
      <c r="F1435">
        <v>4171538</v>
      </c>
      <c r="G1435">
        <v>269900</v>
      </c>
      <c r="H1435">
        <v>5188028</v>
      </c>
      <c r="I1435">
        <v>94700</v>
      </c>
      <c r="J1435">
        <v>5187487</v>
      </c>
      <c r="K1435">
        <v>104500</v>
      </c>
    </row>
    <row r="1436" spans="1:11" x14ac:dyDescent="0.3">
      <c r="A1436" t="s">
        <v>1445</v>
      </c>
      <c r="B1436">
        <v>280875</v>
      </c>
      <c r="C1436">
        <v>2233700</v>
      </c>
      <c r="D1436">
        <v>141332</v>
      </c>
      <c r="E1436">
        <v>489900</v>
      </c>
      <c r="F1436">
        <v>4177791</v>
      </c>
      <c r="G1436">
        <v>272900</v>
      </c>
      <c r="H1436">
        <v>5195697</v>
      </c>
      <c r="I1436">
        <v>97900</v>
      </c>
      <c r="J1436">
        <v>5196561</v>
      </c>
      <c r="K1436">
        <v>105900</v>
      </c>
    </row>
    <row r="1437" spans="1:11" x14ac:dyDescent="0.3">
      <c r="A1437" t="s">
        <v>1446</v>
      </c>
      <c r="B1437">
        <v>280875</v>
      </c>
      <c r="C1437">
        <v>2426200</v>
      </c>
      <c r="D1437">
        <v>138706</v>
      </c>
      <c r="E1437">
        <v>504300</v>
      </c>
      <c r="F1437">
        <v>4183999</v>
      </c>
      <c r="G1437">
        <v>270900</v>
      </c>
      <c r="H1437">
        <v>5203496</v>
      </c>
      <c r="I1437">
        <v>89800</v>
      </c>
      <c r="J1437">
        <v>5204858</v>
      </c>
      <c r="K1437">
        <v>102800</v>
      </c>
    </row>
    <row r="1438" spans="1:11" x14ac:dyDescent="0.3">
      <c r="A1438" t="s">
        <v>1447</v>
      </c>
      <c r="B1438">
        <v>280875</v>
      </c>
      <c r="C1438">
        <v>2119600</v>
      </c>
      <c r="D1438">
        <v>135882</v>
      </c>
      <c r="E1438">
        <v>470300</v>
      </c>
      <c r="F1438">
        <v>4190218</v>
      </c>
      <c r="G1438">
        <v>270000</v>
      </c>
      <c r="H1438">
        <v>5211225</v>
      </c>
      <c r="I1438">
        <v>92400</v>
      </c>
      <c r="J1438">
        <v>5212706</v>
      </c>
      <c r="K1438">
        <v>100800</v>
      </c>
    </row>
    <row r="1439" spans="1:11" x14ac:dyDescent="0.3">
      <c r="A1439" t="s">
        <v>1448</v>
      </c>
      <c r="B1439">
        <v>280875</v>
      </c>
      <c r="C1439">
        <v>2316600</v>
      </c>
      <c r="D1439">
        <v>138212</v>
      </c>
      <c r="E1439">
        <v>482900</v>
      </c>
      <c r="F1439">
        <v>4196469</v>
      </c>
      <c r="G1439">
        <v>270600</v>
      </c>
      <c r="H1439">
        <v>5219264</v>
      </c>
      <c r="I1439">
        <v>90000</v>
      </c>
      <c r="J1439">
        <v>5220621</v>
      </c>
      <c r="K1439">
        <v>100300</v>
      </c>
    </row>
    <row r="1440" spans="1:11" x14ac:dyDescent="0.3">
      <c r="A1440" t="s">
        <v>1449</v>
      </c>
      <c r="B1440">
        <v>280875</v>
      </c>
      <c r="C1440">
        <v>2530600</v>
      </c>
      <c r="D1440">
        <v>139832</v>
      </c>
      <c r="E1440">
        <v>488700</v>
      </c>
      <c r="F1440">
        <v>4202674</v>
      </c>
      <c r="G1440">
        <v>269300</v>
      </c>
      <c r="H1440">
        <v>5228263</v>
      </c>
      <c r="I1440">
        <v>95700</v>
      </c>
      <c r="J1440">
        <v>5228911</v>
      </c>
      <c r="K1440">
        <v>102500</v>
      </c>
    </row>
    <row r="1441" spans="1:11" x14ac:dyDescent="0.3">
      <c r="A1441" t="s">
        <v>1450</v>
      </c>
      <c r="B1441">
        <v>280875</v>
      </c>
      <c r="C1441">
        <v>2177800</v>
      </c>
      <c r="D1441">
        <v>136650</v>
      </c>
      <c r="E1441">
        <v>473400</v>
      </c>
      <c r="F1441">
        <v>4208907</v>
      </c>
      <c r="G1441">
        <v>273400</v>
      </c>
      <c r="H1441">
        <v>5235798</v>
      </c>
      <c r="I1441">
        <v>90900</v>
      </c>
      <c r="J1441">
        <v>5236383</v>
      </c>
      <c r="K1441">
        <v>101200</v>
      </c>
    </row>
    <row r="1442" spans="1:11" x14ac:dyDescent="0.3">
      <c r="A1442" t="s">
        <v>1451</v>
      </c>
      <c r="B1442">
        <v>280875</v>
      </c>
      <c r="C1442">
        <v>2137300</v>
      </c>
      <c r="D1442">
        <v>140678</v>
      </c>
      <c r="E1442">
        <v>489400</v>
      </c>
      <c r="F1442">
        <v>4215163</v>
      </c>
      <c r="G1442">
        <v>273000</v>
      </c>
      <c r="H1442">
        <v>5244000</v>
      </c>
      <c r="I1442">
        <v>89700</v>
      </c>
      <c r="J1442">
        <v>5244177</v>
      </c>
      <c r="K1442">
        <v>100500</v>
      </c>
    </row>
    <row r="1443" spans="1:11" x14ac:dyDescent="0.3">
      <c r="A1443" t="s">
        <v>1452</v>
      </c>
      <c r="B1443">
        <v>280875</v>
      </c>
      <c r="C1443">
        <v>2453400</v>
      </c>
      <c r="D1443">
        <v>140950</v>
      </c>
      <c r="E1443">
        <v>489500</v>
      </c>
      <c r="F1443">
        <v>4221391</v>
      </c>
      <c r="G1443">
        <v>270500</v>
      </c>
      <c r="H1443">
        <v>5252855</v>
      </c>
      <c r="I1443">
        <v>95800</v>
      </c>
      <c r="J1443">
        <v>5251202</v>
      </c>
      <c r="K1443">
        <v>98800</v>
      </c>
    </row>
    <row r="1444" spans="1:11" x14ac:dyDescent="0.3">
      <c r="A1444" t="s">
        <v>1453</v>
      </c>
      <c r="B1444">
        <v>280875</v>
      </c>
      <c r="C1444">
        <v>2277500</v>
      </c>
      <c r="D1444">
        <v>134755</v>
      </c>
      <c r="E1444">
        <v>468200</v>
      </c>
      <c r="F1444">
        <v>4227616</v>
      </c>
      <c r="G1444">
        <v>274600</v>
      </c>
      <c r="H1444">
        <v>5260727</v>
      </c>
      <c r="I1444">
        <v>93200</v>
      </c>
      <c r="J1444">
        <v>5260336</v>
      </c>
      <c r="K1444">
        <v>103000</v>
      </c>
    </row>
    <row r="1445" spans="1:11" x14ac:dyDescent="0.3">
      <c r="A1445" t="s">
        <v>1454</v>
      </c>
      <c r="B1445">
        <v>280875</v>
      </c>
      <c r="C1445">
        <v>2463300</v>
      </c>
      <c r="D1445">
        <v>133991</v>
      </c>
      <c r="E1445">
        <v>472200</v>
      </c>
      <c r="F1445">
        <v>4233859</v>
      </c>
      <c r="G1445">
        <v>271700</v>
      </c>
      <c r="H1445">
        <v>5268680</v>
      </c>
      <c r="I1445">
        <v>91200</v>
      </c>
      <c r="J1445">
        <v>5267820</v>
      </c>
      <c r="K1445">
        <v>100200</v>
      </c>
    </row>
    <row r="1446" spans="1:11" x14ac:dyDescent="0.3">
      <c r="A1446" t="s">
        <v>1455</v>
      </c>
      <c r="B1446">
        <v>280875</v>
      </c>
      <c r="C1446">
        <v>2167900</v>
      </c>
      <c r="D1446">
        <v>143604</v>
      </c>
      <c r="E1446">
        <v>500200</v>
      </c>
      <c r="F1446">
        <v>4240069</v>
      </c>
      <c r="G1446">
        <v>272200</v>
      </c>
      <c r="H1446">
        <v>5276567</v>
      </c>
      <c r="I1446">
        <v>93500</v>
      </c>
      <c r="J1446">
        <v>5275521</v>
      </c>
      <c r="K1446">
        <v>99400</v>
      </c>
    </row>
    <row r="1447" spans="1:11" x14ac:dyDescent="0.3">
      <c r="A1447" t="s">
        <v>1456</v>
      </c>
      <c r="B1447">
        <v>280875</v>
      </c>
      <c r="C1447">
        <v>2141600</v>
      </c>
      <c r="D1447">
        <v>139923</v>
      </c>
      <c r="E1447">
        <v>495200</v>
      </c>
      <c r="F1447">
        <v>4246308</v>
      </c>
      <c r="G1447">
        <v>273200</v>
      </c>
      <c r="H1447">
        <v>5284758</v>
      </c>
      <c r="I1447">
        <v>94100</v>
      </c>
      <c r="J1447">
        <v>5284035</v>
      </c>
      <c r="K1447">
        <v>103300</v>
      </c>
    </row>
    <row r="1448" spans="1:11" x14ac:dyDescent="0.3">
      <c r="A1448" t="s">
        <v>1457</v>
      </c>
      <c r="B1448">
        <v>280875</v>
      </c>
      <c r="C1448">
        <v>2242700</v>
      </c>
      <c r="D1448">
        <v>140999</v>
      </c>
      <c r="E1448">
        <v>553300</v>
      </c>
      <c r="F1448">
        <v>4252527</v>
      </c>
      <c r="G1448">
        <v>288500</v>
      </c>
      <c r="H1448">
        <v>5291995</v>
      </c>
      <c r="I1448">
        <v>90700</v>
      </c>
      <c r="J1448">
        <v>5292292</v>
      </c>
      <c r="K1448">
        <v>101400</v>
      </c>
    </row>
    <row r="1449" spans="1:11" x14ac:dyDescent="0.3">
      <c r="A1449" t="s">
        <v>1458</v>
      </c>
      <c r="B1449">
        <v>280875</v>
      </c>
      <c r="C1449">
        <v>2131900</v>
      </c>
      <c r="D1449">
        <v>138521</v>
      </c>
      <c r="E1449">
        <v>500000</v>
      </c>
      <c r="F1449">
        <v>4258781</v>
      </c>
      <c r="G1449">
        <v>267200</v>
      </c>
      <c r="H1449">
        <v>5300156</v>
      </c>
      <c r="I1449">
        <v>91100</v>
      </c>
      <c r="J1449">
        <v>5299389</v>
      </c>
      <c r="K1449">
        <v>99100</v>
      </c>
    </row>
    <row r="1450" spans="1:11" x14ac:dyDescent="0.3">
      <c r="A1450" t="s">
        <v>1459</v>
      </c>
      <c r="B1450">
        <v>280875</v>
      </c>
      <c r="C1450">
        <v>2136100</v>
      </c>
      <c r="D1450">
        <v>143922</v>
      </c>
      <c r="E1450">
        <v>502600</v>
      </c>
      <c r="F1450">
        <v>4265016</v>
      </c>
      <c r="G1450">
        <v>268100</v>
      </c>
      <c r="H1450">
        <v>5308068</v>
      </c>
      <c r="I1450">
        <v>91500</v>
      </c>
      <c r="J1450">
        <v>5307124</v>
      </c>
      <c r="K1450">
        <v>101100</v>
      </c>
    </row>
    <row r="1451" spans="1:11" x14ac:dyDescent="0.3">
      <c r="A1451" t="s">
        <v>1460</v>
      </c>
      <c r="B1451">
        <v>280875</v>
      </c>
      <c r="C1451">
        <v>2168600</v>
      </c>
      <c r="D1451">
        <v>143547</v>
      </c>
      <c r="E1451">
        <v>506700</v>
      </c>
      <c r="F1451">
        <v>4271238</v>
      </c>
      <c r="G1451">
        <v>269000</v>
      </c>
      <c r="H1451">
        <v>5316083</v>
      </c>
      <c r="I1451">
        <v>92000</v>
      </c>
      <c r="J1451">
        <v>5315182</v>
      </c>
      <c r="K1451">
        <v>101300</v>
      </c>
    </row>
    <row r="1452" spans="1:11" x14ac:dyDescent="0.3">
      <c r="A1452" t="s">
        <v>1461</v>
      </c>
      <c r="B1452">
        <v>280875</v>
      </c>
      <c r="C1452">
        <v>2444800</v>
      </c>
      <c r="D1452">
        <v>138893</v>
      </c>
      <c r="E1452">
        <v>483000</v>
      </c>
      <c r="F1452">
        <v>4277498</v>
      </c>
      <c r="G1452">
        <v>273900</v>
      </c>
      <c r="H1452">
        <v>5323824</v>
      </c>
      <c r="I1452">
        <v>94300</v>
      </c>
      <c r="J1452">
        <v>5323514</v>
      </c>
      <c r="K1452">
        <v>101900</v>
      </c>
    </row>
    <row r="1453" spans="1:11" x14ac:dyDescent="0.3">
      <c r="A1453" t="s">
        <v>1462</v>
      </c>
      <c r="B1453">
        <v>280875</v>
      </c>
      <c r="C1453">
        <v>2607100</v>
      </c>
      <c r="D1453">
        <v>134969</v>
      </c>
      <c r="E1453">
        <v>494300</v>
      </c>
      <c r="F1453">
        <v>4283708</v>
      </c>
      <c r="G1453">
        <v>271200</v>
      </c>
      <c r="H1453">
        <v>5331393</v>
      </c>
      <c r="I1453">
        <v>89600</v>
      </c>
      <c r="J1453">
        <v>5332043</v>
      </c>
      <c r="K1453">
        <v>100900</v>
      </c>
    </row>
    <row r="1454" spans="1:11" x14ac:dyDescent="0.3">
      <c r="A1454" t="s">
        <v>1463</v>
      </c>
      <c r="B1454">
        <v>280875</v>
      </c>
      <c r="C1454">
        <v>2559900</v>
      </c>
      <c r="D1454">
        <v>139611</v>
      </c>
      <c r="E1454">
        <v>492000</v>
      </c>
      <c r="F1454">
        <v>4289931</v>
      </c>
      <c r="G1454">
        <v>270400</v>
      </c>
      <c r="H1454">
        <v>5339567</v>
      </c>
      <c r="I1454">
        <v>98500</v>
      </c>
      <c r="J1454">
        <v>5339605</v>
      </c>
      <c r="K1454">
        <v>101900</v>
      </c>
    </row>
    <row r="1455" spans="1:11" x14ac:dyDescent="0.3">
      <c r="A1455" t="s">
        <v>1464</v>
      </c>
      <c r="B1455">
        <v>280875</v>
      </c>
      <c r="C1455">
        <v>2365000</v>
      </c>
      <c r="D1455">
        <v>141564</v>
      </c>
      <c r="E1455">
        <v>491000</v>
      </c>
      <c r="F1455">
        <v>4296139</v>
      </c>
      <c r="G1455">
        <v>274000</v>
      </c>
      <c r="H1455">
        <v>5347280</v>
      </c>
      <c r="I1455">
        <v>90500</v>
      </c>
      <c r="J1455">
        <v>5347762</v>
      </c>
      <c r="K1455">
        <v>101400</v>
      </c>
    </row>
    <row r="1456" spans="1:11" x14ac:dyDescent="0.3">
      <c r="A1456" t="s">
        <v>1465</v>
      </c>
      <c r="B1456">
        <v>280875</v>
      </c>
      <c r="C1456">
        <v>2659700</v>
      </c>
      <c r="D1456">
        <v>143728</v>
      </c>
      <c r="E1456">
        <v>615300</v>
      </c>
      <c r="F1456">
        <v>4302373</v>
      </c>
      <c r="G1456">
        <v>325200</v>
      </c>
      <c r="H1456">
        <v>5356128</v>
      </c>
      <c r="I1456">
        <v>110600</v>
      </c>
      <c r="J1456">
        <v>5355245</v>
      </c>
      <c r="K1456">
        <v>123700</v>
      </c>
    </row>
    <row r="1457" spans="1:11" x14ac:dyDescent="0.3">
      <c r="A1457" t="s">
        <v>1466</v>
      </c>
      <c r="B1457">
        <v>280875</v>
      </c>
      <c r="C1457">
        <v>2358300</v>
      </c>
      <c r="D1457">
        <v>139645</v>
      </c>
      <c r="E1457">
        <v>486500</v>
      </c>
      <c r="F1457">
        <v>4308623</v>
      </c>
      <c r="G1457">
        <v>273700</v>
      </c>
      <c r="H1457">
        <v>5364177</v>
      </c>
      <c r="I1457">
        <v>93300</v>
      </c>
      <c r="J1457">
        <v>5363864</v>
      </c>
      <c r="K1457">
        <v>99700</v>
      </c>
    </row>
    <row r="1458" spans="1:11" x14ac:dyDescent="0.3">
      <c r="A1458" t="s">
        <v>1467</v>
      </c>
      <c r="B1458">
        <v>280875</v>
      </c>
      <c r="C1458">
        <v>2181500</v>
      </c>
      <c r="D1458">
        <v>137874</v>
      </c>
      <c r="E1458">
        <v>478400</v>
      </c>
      <c r="F1458">
        <v>4314834</v>
      </c>
      <c r="G1458">
        <v>275000</v>
      </c>
      <c r="H1458">
        <v>5372128</v>
      </c>
      <c r="I1458">
        <v>93800</v>
      </c>
      <c r="J1458">
        <v>5371493</v>
      </c>
      <c r="K1458">
        <v>100400</v>
      </c>
    </row>
    <row r="1459" spans="1:11" x14ac:dyDescent="0.3">
      <c r="A1459" t="s">
        <v>1468</v>
      </c>
      <c r="B1459">
        <v>280875</v>
      </c>
      <c r="C1459">
        <v>2456700</v>
      </c>
      <c r="D1459">
        <v>141019</v>
      </c>
      <c r="E1459">
        <v>511700</v>
      </c>
      <c r="F1459">
        <v>4321066</v>
      </c>
      <c r="G1459">
        <v>285500</v>
      </c>
      <c r="H1459">
        <v>5379094</v>
      </c>
      <c r="I1459">
        <v>91600</v>
      </c>
      <c r="J1459">
        <v>5378899</v>
      </c>
      <c r="K1459">
        <v>98300</v>
      </c>
    </row>
    <row r="1460" spans="1:11" x14ac:dyDescent="0.3">
      <c r="A1460" t="s">
        <v>1469</v>
      </c>
      <c r="B1460">
        <v>280875</v>
      </c>
      <c r="C1460">
        <v>2182300</v>
      </c>
      <c r="D1460">
        <v>147048</v>
      </c>
      <c r="E1460">
        <v>510200</v>
      </c>
      <c r="F1460">
        <v>4327294</v>
      </c>
      <c r="G1460">
        <v>269600</v>
      </c>
      <c r="H1460">
        <v>5386644</v>
      </c>
      <c r="I1460">
        <v>92300</v>
      </c>
      <c r="J1460">
        <v>5386936</v>
      </c>
      <c r="K1460">
        <v>104900</v>
      </c>
    </row>
    <row r="1461" spans="1:11" x14ac:dyDescent="0.3">
      <c r="A1461" t="s">
        <v>1470</v>
      </c>
      <c r="B1461">
        <v>280875</v>
      </c>
      <c r="C1461">
        <v>2101900</v>
      </c>
      <c r="D1461">
        <v>136311</v>
      </c>
      <c r="E1461">
        <v>472000</v>
      </c>
      <c r="F1461">
        <v>4333524</v>
      </c>
      <c r="G1461">
        <v>268200</v>
      </c>
      <c r="H1461">
        <v>5395242</v>
      </c>
      <c r="I1461">
        <v>97300</v>
      </c>
      <c r="J1461">
        <v>5395374</v>
      </c>
      <c r="K1461">
        <v>106500</v>
      </c>
    </row>
    <row r="1462" spans="1:11" x14ac:dyDescent="0.3">
      <c r="A1462" t="s">
        <v>1471</v>
      </c>
      <c r="B1462">
        <v>280875</v>
      </c>
      <c r="C1462">
        <v>2261700</v>
      </c>
      <c r="D1462">
        <v>138701</v>
      </c>
      <c r="E1462">
        <v>483900</v>
      </c>
      <c r="F1462">
        <v>4339733</v>
      </c>
      <c r="G1462">
        <v>273600</v>
      </c>
      <c r="H1462">
        <v>5402432</v>
      </c>
      <c r="I1462">
        <v>89600</v>
      </c>
      <c r="J1462">
        <v>5403479</v>
      </c>
      <c r="K1462">
        <v>102400</v>
      </c>
    </row>
    <row r="1463" spans="1:11" x14ac:dyDescent="0.3">
      <c r="A1463" t="s">
        <v>1472</v>
      </c>
      <c r="B1463">
        <v>280875</v>
      </c>
      <c r="C1463">
        <v>2157600</v>
      </c>
      <c r="D1463">
        <v>141662</v>
      </c>
      <c r="E1463">
        <v>492900</v>
      </c>
      <c r="F1463">
        <v>4345984</v>
      </c>
      <c r="G1463">
        <v>275000</v>
      </c>
      <c r="H1463">
        <v>5410746</v>
      </c>
      <c r="I1463">
        <v>94600</v>
      </c>
      <c r="J1463">
        <v>5410942</v>
      </c>
      <c r="K1463">
        <v>99400</v>
      </c>
    </row>
    <row r="1464" spans="1:11" x14ac:dyDescent="0.3">
      <c r="A1464" t="s">
        <v>1473</v>
      </c>
      <c r="B1464">
        <v>280875</v>
      </c>
      <c r="C1464">
        <v>2679900</v>
      </c>
      <c r="D1464">
        <v>142303</v>
      </c>
      <c r="E1464">
        <v>502100</v>
      </c>
      <c r="F1464">
        <v>4352234</v>
      </c>
      <c r="G1464">
        <v>278100</v>
      </c>
      <c r="H1464">
        <v>5418322</v>
      </c>
      <c r="I1464">
        <v>87900</v>
      </c>
      <c r="J1464">
        <v>5418451</v>
      </c>
      <c r="K1464">
        <v>103100</v>
      </c>
    </row>
    <row r="1465" spans="1:11" x14ac:dyDescent="0.3">
      <c r="A1465" t="s">
        <v>1474</v>
      </c>
      <c r="B1465">
        <v>280875</v>
      </c>
      <c r="C1465">
        <v>2096600</v>
      </c>
      <c r="D1465">
        <v>138395</v>
      </c>
      <c r="E1465">
        <v>480200</v>
      </c>
      <c r="F1465">
        <v>4358454</v>
      </c>
      <c r="G1465">
        <v>267100</v>
      </c>
      <c r="H1465">
        <v>5426139</v>
      </c>
      <c r="I1465">
        <v>95300</v>
      </c>
      <c r="J1465">
        <v>5427016</v>
      </c>
      <c r="K1465">
        <v>102700</v>
      </c>
    </row>
    <row r="1466" spans="1:11" x14ac:dyDescent="0.3">
      <c r="A1466" t="s">
        <v>1475</v>
      </c>
      <c r="B1466">
        <v>280875</v>
      </c>
      <c r="C1466">
        <v>2147400</v>
      </c>
      <c r="D1466">
        <v>132962</v>
      </c>
      <c r="E1466">
        <v>461800</v>
      </c>
      <c r="F1466">
        <v>4364720</v>
      </c>
      <c r="G1466">
        <v>270900</v>
      </c>
      <c r="H1466">
        <v>5433579</v>
      </c>
      <c r="I1466">
        <v>95500</v>
      </c>
      <c r="J1466">
        <v>5434919</v>
      </c>
      <c r="K1466">
        <v>101900</v>
      </c>
    </row>
    <row r="1467" spans="1:11" x14ac:dyDescent="0.3">
      <c r="A1467" t="s">
        <v>1476</v>
      </c>
      <c r="B1467">
        <v>280875</v>
      </c>
      <c r="C1467">
        <v>2137700</v>
      </c>
      <c r="D1467">
        <v>138282</v>
      </c>
      <c r="E1467">
        <v>481200</v>
      </c>
      <c r="F1467">
        <v>4370942</v>
      </c>
      <c r="G1467">
        <v>267300</v>
      </c>
      <c r="H1467">
        <v>5441516</v>
      </c>
      <c r="I1467">
        <v>89500</v>
      </c>
      <c r="J1467">
        <v>5442769</v>
      </c>
      <c r="K1467">
        <v>96700</v>
      </c>
    </row>
    <row r="1468" spans="1:11" x14ac:dyDescent="0.3">
      <c r="A1468" t="s">
        <v>1477</v>
      </c>
      <c r="B1468">
        <v>280875</v>
      </c>
      <c r="C1468">
        <v>2297300</v>
      </c>
      <c r="D1468">
        <v>140109</v>
      </c>
      <c r="E1468">
        <v>484300</v>
      </c>
      <c r="F1468">
        <v>4377201</v>
      </c>
      <c r="G1468">
        <v>274000</v>
      </c>
      <c r="H1468">
        <v>5449091</v>
      </c>
      <c r="I1468">
        <v>91200</v>
      </c>
      <c r="J1468">
        <v>5450112</v>
      </c>
      <c r="K1468">
        <v>100700</v>
      </c>
    </row>
    <row r="1469" spans="1:11" x14ac:dyDescent="0.3">
      <c r="A1469" t="s">
        <v>1478</v>
      </c>
      <c r="B1469">
        <v>280875</v>
      </c>
      <c r="C1469">
        <v>2149600</v>
      </c>
      <c r="D1469">
        <v>149493</v>
      </c>
      <c r="E1469">
        <v>547900</v>
      </c>
      <c r="F1469">
        <v>4383423</v>
      </c>
      <c r="G1469">
        <v>275100</v>
      </c>
      <c r="H1469">
        <v>5456493</v>
      </c>
      <c r="I1469">
        <v>92300</v>
      </c>
      <c r="J1469">
        <v>5457639</v>
      </c>
      <c r="K1469">
        <v>98700</v>
      </c>
    </row>
    <row r="1470" spans="1:11" x14ac:dyDescent="0.3">
      <c r="A1470" t="s">
        <v>1479</v>
      </c>
      <c r="B1470">
        <v>280875</v>
      </c>
      <c r="C1470">
        <v>2162500</v>
      </c>
      <c r="D1470">
        <v>144862</v>
      </c>
      <c r="E1470">
        <v>502000</v>
      </c>
      <c r="F1470">
        <v>4389626</v>
      </c>
      <c r="G1470">
        <v>272500</v>
      </c>
      <c r="H1470">
        <v>5464071</v>
      </c>
      <c r="I1470">
        <v>87700</v>
      </c>
      <c r="J1470">
        <v>5465022</v>
      </c>
      <c r="K1470">
        <v>101900</v>
      </c>
    </row>
    <row r="1471" spans="1:11" x14ac:dyDescent="0.3">
      <c r="A1471" t="s">
        <v>1480</v>
      </c>
      <c r="B1471">
        <v>280875</v>
      </c>
      <c r="C1471">
        <v>2407200</v>
      </c>
      <c r="D1471">
        <v>136771</v>
      </c>
      <c r="E1471">
        <v>479900</v>
      </c>
      <c r="F1471">
        <v>4395863</v>
      </c>
      <c r="G1471">
        <v>270600</v>
      </c>
      <c r="H1471">
        <v>5471953</v>
      </c>
      <c r="I1471">
        <v>92700</v>
      </c>
      <c r="J1471">
        <v>5472923</v>
      </c>
      <c r="K1471">
        <v>101400</v>
      </c>
    </row>
    <row r="1472" spans="1:11" x14ac:dyDescent="0.3">
      <c r="A1472" t="s">
        <v>1481</v>
      </c>
      <c r="B1472">
        <v>280875</v>
      </c>
      <c r="C1472">
        <v>2533600</v>
      </c>
      <c r="D1472">
        <v>142388</v>
      </c>
      <c r="E1472">
        <v>646100</v>
      </c>
      <c r="F1472">
        <v>4402102</v>
      </c>
      <c r="G1472">
        <v>280000</v>
      </c>
      <c r="H1472">
        <v>5480296</v>
      </c>
      <c r="I1472">
        <v>96400</v>
      </c>
      <c r="J1472">
        <v>5481050</v>
      </c>
      <c r="K1472">
        <v>99800</v>
      </c>
    </row>
    <row r="1473" spans="1:11" x14ac:dyDescent="0.3">
      <c r="A1473" t="s">
        <v>1482</v>
      </c>
      <c r="B1473">
        <v>280875</v>
      </c>
      <c r="C1473">
        <v>2234900</v>
      </c>
      <c r="D1473">
        <v>133572</v>
      </c>
      <c r="E1473">
        <v>463900</v>
      </c>
      <c r="F1473">
        <v>4408358</v>
      </c>
      <c r="G1473">
        <v>271500</v>
      </c>
      <c r="H1473">
        <v>5488732</v>
      </c>
      <c r="I1473">
        <v>93700</v>
      </c>
      <c r="J1473">
        <v>5489587</v>
      </c>
      <c r="K1473">
        <v>97600</v>
      </c>
    </row>
    <row r="1474" spans="1:11" x14ac:dyDescent="0.3">
      <c r="A1474" t="s">
        <v>1483</v>
      </c>
      <c r="B1474">
        <v>280875</v>
      </c>
      <c r="C1474">
        <v>2296000</v>
      </c>
      <c r="D1474">
        <v>137714</v>
      </c>
      <c r="E1474">
        <v>483900</v>
      </c>
      <c r="F1474">
        <v>4414579</v>
      </c>
      <c r="G1474">
        <v>267800</v>
      </c>
      <c r="H1474">
        <v>5496433</v>
      </c>
      <c r="I1474">
        <v>92600</v>
      </c>
      <c r="J1474">
        <v>5497631</v>
      </c>
      <c r="K1474">
        <v>100600</v>
      </c>
    </row>
    <row r="1475" spans="1:11" x14ac:dyDescent="0.3">
      <c r="A1475" t="s">
        <v>1484</v>
      </c>
      <c r="B1475">
        <v>280875</v>
      </c>
      <c r="C1475">
        <v>2106800</v>
      </c>
      <c r="D1475">
        <v>149803</v>
      </c>
      <c r="E1475">
        <v>518700</v>
      </c>
      <c r="F1475">
        <v>4420807</v>
      </c>
      <c r="G1475">
        <v>268000</v>
      </c>
      <c r="H1475">
        <v>5504761</v>
      </c>
      <c r="I1475">
        <v>91500</v>
      </c>
      <c r="J1475">
        <v>5505061</v>
      </c>
      <c r="K1475">
        <v>99400</v>
      </c>
    </row>
    <row r="1476" spans="1:11" x14ac:dyDescent="0.3">
      <c r="A1476" t="s">
        <v>1485</v>
      </c>
      <c r="B1476">
        <v>280875</v>
      </c>
      <c r="C1476">
        <v>2130500</v>
      </c>
      <c r="D1476">
        <v>142285</v>
      </c>
      <c r="E1476">
        <v>491800</v>
      </c>
      <c r="F1476">
        <v>4427034</v>
      </c>
      <c r="G1476">
        <v>271200</v>
      </c>
      <c r="H1476">
        <v>5512557</v>
      </c>
      <c r="I1476">
        <v>87900</v>
      </c>
      <c r="J1476">
        <v>5512307</v>
      </c>
      <c r="K1476">
        <v>99700</v>
      </c>
    </row>
    <row r="1477" spans="1:11" x14ac:dyDescent="0.3">
      <c r="A1477" t="s">
        <v>1486</v>
      </c>
      <c r="B1477">
        <v>280875</v>
      </c>
      <c r="C1477">
        <v>2531700</v>
      </c>
      <c r="D1477">
        <v>138081</v>
      </c>
      <c r="E1477">
        <v>566600</v>
      </c>
      <c r="F1477">
        <v>4433265</v>
      </c>
      <c r="G1477">
        <v>275600</v>
      </c>
      <c r="H1477">
        <v>5520238</v>
      </c>
      <c r="I1477">
        <v>97400</v>
      </c>
      <c r="J1477">
        <v>5519643</v>
      </c>
      <c r="K1477">
        <v>116400</v>
      </c>
    </row>
    <row r="1478" spans="1:11" x14ac:dyDescent="0.3">
      <c r="A1478" t="s">
        <v>1487</v>
      </c>
      <c r="B1478">
        <v>280875</v>
      </c>
      <c r="C1478">
        <v>2111300</v>
      </c>
      <c r="D1478">
        <v>141109</v>
      </c>
      <c r="E1478">
        <v>504000</v>
      </c>
      <c r="F1478">
        <v>4439487</v>
      </c>
      <c r="G1478">
        <v>268300</v>
      </c>
      <c r="H1478">
        <v>5529066</v>
      </c>
      <c r="I1478">
        <v>91300</v>
      </c>
      <c r="J1478">
        <v>5528247</v>
      </c>
      <c r="K1478">
        <v>105000</v>
      </c>
    </row>
    <row r="1479" spans="1:11" x14ac:dyDescent="0.3">
      <c r="A1479" t="s">
        <v>1488</v>
      </c>
      <c r="B1479">
        <v>280875</v>
      </c>
      <c r="C1479">
        <v>2126700</v>
      </c>
      <c r="D1479">
        <v>141873</v>
      </c>
      <c r="E1479">
        <v>491800</v>
      </c>
      <c r="F1479">
        <v>4445715</v>
      </c>
      <c r="G1479">
        <v>267900</v>
      </c>
      <c r="H1479">
        <v>5537560</v>
      </c>
      <c r="I1479">
        <v>94100</v>
      </c>
      <c r="J1479">
        <v>5535617</v>
      </c>
      <c r="K1479">
        <v>101400</v>
      </c>
    </row>
    <row r="1480" spans="1:11" x14ac:dyDescent="0.3">
      <c r="A1480" t="s">
        <v>1489</v>
      </c>
      <c r="B1480">
        <v>280875</v>
      </c>
      <c r="C1480">
        <v>2081800</v>
      </c>
      <c r="D1480">
        <v>147560</v>
      </c>
      <c r="E1480">
        <v>510800</v>
      </c>
      <c r="F1480">
        <v>4451927</v>
      </c>
      <c r="G1480">
        <v>269200</v>
      </c>
      <c r="H1480">
        <v>5546422</v>
      </c>
      <c r="I1480">
        <v>91600</v>
      </c>
      <c r="J1480">
        <v>5543312</v>
      </c>
      <c r="K1480">
        <v>154700</v>
      </c>
    </row>
    <row r="1481" spans="1:11" x14ac:dyDescent="0.3">
      <c r="A1481" t="s">
        <v>1490</v>
      </c>
      <c r="B1481">
        <v>280875</v>
      </c>
      <c r="C1481">
        <v>2517800</v>
      </c>
      <c r="D1481">
        <v>140468</v>
      </c>
      <c r="E1481">
        <v>488100</v>
      </c>
      <c r="F1481">
        <v>4458145</v>
      </c>
      <c r="G1481">
        <v>280700</v>
      </c>
      <c r="H1481">
        <v>5554830</v>
      </c>
      <c r="I1481">
        <v>97200</v>
      </c>
      <c r="J1481">
        <v>5551256</v>
      </c>
      <c r="K1481">
        <v>102400</v>
      </c>
    </row>
    <row r="1482" spans="1:11" x14ac:dyDescent="0.3">
      <c r="A1482" t="s">
        <v>1491</v>
      </c>
      <c r="B1482">
        <v>280875</v>
      </c>
      <c r="C1482">
        <v>2403900</v>
      </c>
      <c r="D1482">
        <v>146080</v>
      </c>
      <c r="E1482">
        <v>514300</v>
      </c>
      <c r="F1482">
        <v>4464387</v>
      </c>
      <c r="G1482">
        <v>272400</v>
      </c>
      <c r="H1482">
        <v>5562288</v>
      </c>
      <c r="I1482">
        <v>91700</v>
      </c>
      <c r="J1482">
        <v>5559352</v>
      </c>
      <c r="K1482">
        <v>104900</v>
      </c>
    </row>
    <row r="1483" spans="1:11" x14ac:dyDescent="0.3">
      <c r="A1483" t="s">
        <v>1492</v>
      </c>
      <c r="B1483">
        <v>280875</v>
      </c>
      <c r="C1483">
        <v>2107700</v>
      </c>
      <c r="D1483">
        <v>144895</v>
      </c>
      <c r="E1483">
        <v>501000</v>
      </c>
      <c r="F1483">
        <v>4470646</v>
      </c>
      <c r="G1483">
        <v>270300</v>
      </c>
      <c r="H1483">
        <v>5572340</v>
      </c>
      <c r="I1483">
        <v>97200</v>
      </c>
      <c r="J1483">
        <v>5566564</v>
      </c>
      <c r="K1483">
        <v>141200</v>
      </c>
    </row>
    <row r="1484" spans="1:11" x14ac:dyDescent="0.3">
      <c r="A1484" t="s">
        <v>1493</v>
      </c>
      <c r="B1484">
        <v>280875</v>
      </c>
      <c r="C1484">
        <v>2357000</v>
      </c>
      <c r="D1484">
        <v>146821</v>
      </c>
      <c r="E1484">
        <v>509100</v>
      </c>
      <c r="F1484">
        <v>4476872</v>
      </c>
      <c r="G1484">
        <v>275700</v>
      </c>
      <c r="H1484">
        <v>5580454</v>
      </c>
      <c r="I1484">
        <v>93900</v>
      </c>
      <c r="J1484">
        <v>5574148</v>
      </c>
      <c r="K1484">
        <v>102900</v>
      </c>
    </row>
    <row r="1485" spans="1:11" x14ac:dyDescent="0.3">
      <c r="A1485" t="s">
        <v>1494</v>
      </c>
      <c r="B1485">
        <v>280875</v>
      </c>
      <c r="C1485">
        <v>2237100</v>
      </c>
      <c r="D1485">
        <v>144603</v>
      </c>
      <c r="E1485">
        <v>502300</v>
      </c>
      <c r="F1485">
        <v>4483135</v>
      </c>
      <c r="G1485">
        <v>301900</v>
      </c>
      <c r="H1485">
        <v>5587840</v>
      </c>
      <c r="I1485">
        <v>90700</v>
      </c>
      <c r="J1485">
        <v>5582257</v>
      </c>
      <c r="K1485">
        <v>101900</v>
      </c>
    </row>
    <row r="1486" spans="1:11" x14ac:dyDescent="0.3">
      <c r="A1486" t="s">
        <v>1495</v>
      </c>
      <c r="B1486">
        <v>280875</v>
      </c>
      <c r="C1486">
        <v>2095700</v>
      </c>
      <c r="D1486">
        <v>142295</v>
      </c>
      <c r="E1486">
        <v>492500</v>
      </c>
      <c r="F1486">
        <v>4489374</v>
      </c>
      <c r="G1486">
        <v>268000</v>
      </c>
      <c r="H1486">
        <v>5595688</v>
      </c>
      <c r="I1486">
        <v>88800</v>
      </c>
      <c r="J1486">
        <v>5590604</v>
      </c>
      <c r="K1486">
        <v>134500</v>
      </c>
    </row>
    <row r="1487" spans="1:11" x14ac:dyDescent="0.3">
      <c r="A1487" t="s">
        <v>1496</v>
      </c>
      <c r="B1487">
        <v>280875</v>
      </c>
      <c r="C1487">
        <v>2308200</v>
      </c>
      <c r="D1487">
        <v>144172</v>
      </c>
      <c r="E1487">
        <v>499300</v>
      </c>
      <c r="F1487">
        <v>4495607</v>
      </c>
      <c r="G1487">
        <v>271700</v>
      </c>
      <c r="H1487">
        <v>5604246</v>
      </c>
      <c r="I1487">
        <v>94600</v>
      </c>
      <c r="J1487">
        <v>5597972</v>
      </c>
      <c r="K1487">
        <v>99300</v>
      </c>
    </row>
    <row r="1488" spans="1:11" x14ac:dyDescent="0.3">
      <c r="A1488" t="s">
        <v>1497</v>
      </c>
      <c r="B1488">
        <v>280875</v>
      </c>
      <c r="C1488">
        <v>2394600</v>
      </c>
      <c r="D1488">
        <v>129878</v>
      </c>
      <c r="E1488">
        <v>455100</v>
      </c>
      <c r="F1488">
        <v>4501829</v>
      </c>
      <c r="G1488">
        <v>296100</v>
      </c>
      <c r="H1488">
        <v>5612598</v>
      </c>
      <c r="I1488">
        <v>129300</v>
      </c>
      <c r="J1488">
        <v>5605242</v>
      </c>
      <c r="K1488">
        <v>137300</v>
      </c>
    </row>
    <row r="1489" spans="1:11" x14ac:dyDescent="0.3">
      <c r="A1489" t="s">
        <v>1498</v>
      </c>
      <c r="B1489">
        <v>280875</v>
      </c>
      <c r="C1489">
        <v>2107300</v>
      </c>
      <c r="D1489">
        <v>138795</v>
      </c>
      <c r="E1489">
        <v>620100</v>
      </c>
      <c r="F1489">
        <v>4508080</v>
      </c>
      <c r="G1489">
        <v>332100</v>
      </c>
      <c r="H1489">
        <v>5620787</v>
      </c>
      <c r="I1489">
        <v>112500</v>
      </c>
      <c r="J1489">
        <v>5613025</v>
      </c>
      <c r="K1489">
        <v>121400</v>
      </c>
    </row>
    <row r="1490" spans="1:11" x14ac:dyDescent="0.3">
      <c r="A1490" t="s">
        <v>1499</v>
      </c>
      <c r="B1490">
        <v>280875</v>
      </c>
      <c r="C1490">
        <v>2288100</v>
      </c>
      <c r="D1490">
        <v>147494</v>
      </c>
      <c r="E1490">
        <v>510900</v>
      </c>
      <c r="F1490">
        <v>4514318</v>
      </c>
      <c r="G1490">
        <v>273500</v>
      </c>
      <c r="H1490">
        <v>5628986</v>
      </c>
      <c r="I1490">
        <v>91900</v>
      </c>
      <c r="J1490">
        <v>5620227</v>
      </c>
      <c r="K1490">
        <v>98400</v>
      </c>
    </row>
    <row r="1491" spans="1:11" x14ac:dyDescent="0.3">
      <c r="A1491" t="s">
        <v>1500</v>
      </c>
      <c r="B1491">
        <v>280875</v>
      </c>
      <c r="C1491">
        <v>2278700</v>
      </c>
      <c r="D1491">
        <v>145210</v>
      </c>
      <c r="E1491">
        <v>520300</v>
      </c>
      <c r="F1491">
        <v>4520537</v>
      </c>
      <c r="G1491">
        <v>272000</v>
      </c>
      <c r="H1491">
        <v>5636616</v>
      </c>
      <c r="I1491">
        <v>90800</v>
      </c>
      <c r="J1491">
        <v>5628656</v>
      </c>
      <c r="K1491">
        <v>101300</v>
      </c>
    </row>
    <row r="1492" spans="1:11" x14ac:dyDescent="0.3">
      <c r="A1492" t="s">
        <v>1501</v>
      </c>
      <c r="B1492">
        <v>280875</v>
      </c>
      <c r="C1492">
        <v>2770700</v>
      </c>
      <c r="D1492">
        <v>137242</v>
      </c>
      <c r="E1492">
        <v>536800</v>
      </c>
      <c r="F1492">
        <v>4526747</v>
      </c>
      <c r="G1492">
        <v>271800</v>
      </c>
      <c r="H1492">
        <v>5644463</v>
      </c>
      <c r="I1492">
        <v>92300</v>
      </c>
      <c r="J1492">
        <v>5635866</v>
      </c>
      <c r="K1492">
        <v>105100</v>
      </c>
    </row>
    <row r="1493" spans="1:11" x14ac:dyDescent="0.3">
      <c r="A1493" t="s">
        <v>1502</v>
      </c>
      <c r="B1493">
        <v>280875</v>
      </c>
      <c r="C1493">
        <v>2288600</v>
      </c>
      <c r="D1493">
        <v>146392</v>
      </c>
      <c r="E1493">
        <v>544300</v>
      </c>
      <c r="F1493">
        <v>4532993</v>
      </c>
      <c r="G1493">
        <v>274400</v>
      </c>
      <c r="H1493">
        <v>5652779</v>
      </c>
      <c r="I1493">
        <v>87300</v>
      </c>
      <c r="J1493">
        <v>5645286</v>
      </c>
      <c r="K1493">
        <v>103900</v>
      </c>
    </row>
    <row r="1494" spans="1:11" x14ac:dyDescent="0.3">
      <c r="A1494" t="s">
        <v>1503</v>
      </c>
      <c r="B1494">
        <v>280875</v>
      </c>
      <c r="C1494">
        <v>2243600</v>
      </c>
      <c r="D1494">
        <v>137861</v>
      </c>
      <c r="E1494">
        <v>478700</v>
      </c>
      <c r="F1494">
        <v>4539235</v>
      </c>
      <c r="G1494">
        <v>280600</v>
      </c>
      <c r="H1494">
        <v>5660434</v>
      </c>
      <c r="I1494">
        <v>90400</v>
      </c>
      <c r="J1494">
        <v>5652997</v>
      </c>
      <c r="K1494">
        <v>100500</v>
      </c>
    </row>
    <row r="1495" spans="1:11" x14ac:dyDescent="0.3">
      <c r="A1495" t="s">
        <v>1504</v>
      </c>
      <c r="B1495">
        <v>280875</v>
      </c>
      <c r="C1495">
        <v>2162200</v>
      </c>
      <c r="D1495">
        <v>136893</v>
      </c>
      <c r="E1495">
        <v>522000</v>
      </c>
      <c r="F1495">
        <v>4545474</v>
      </c>
      <c r="G1495">
        <v>273100</v>
      </c>
      <c r="H1495">
        <v>5668177</v>
      </c>
      <c r="I1495">
        <v>94600</v>
      </c>
      <c r="J1495">
        <v>5661083</v>
      </c>
      <c r="K1495">
        <v>105300</v>
      </c>
    </row>
    <row r="1496" spans="1:11" x14ac:dyDescent="0.3">
      <c r="A1496" t="s">
        <v>1505</v>
      </c>
      <c r="B1496">
        <v>280875</v>
      </c>
      <c r="C1496">
        <v>2361300</v>
      </c>
      <c r="D1496">
        <v>135723</v>
      </c>
      <c r="E1496">
        <v>632300</v>
      </c>
      <c r="F1496">
        <v>4551682</v>
      </c>
      <c r="G1496">
        <v>414800</v>
      </c>
      <c r="H1496">
        <v>5675596</v>
      </c>
      <c r="I1496">
        <v>111100</v>
      </c>
      <c r="J1496">
        <v>5668937</v>
      </c>
      <c r="K1496">
        <v>133400</v>
      </c>
    </row>
    <row r="1497" spans="1:11" x14ac:dyDescent="0.3">
      <c r="A1497" t="s">
        <v>1506</v>
      </c>
      <c r="B1497">
        <v>280875</v>
      </c>
      <c r="C1497">
        <v>1968200</v>
      </c>
      <c r="D1497">
        <v>142819</v>
      </c>
      <c r="E1497">
        <v>496100</v>
      </c>
      <c r="F1497">
        <v>4557916</v>
      </c>
      <c r="G1497">
        <v>273500</v>
      </c>
      <c r="H1497">
        <v>5683363</v>
      </c>
      <c r="I1497">
        <v>91800</v>
      </c>
      <c r="J1497">
        <v>5676001</v>
      </c>
      <c r="K1497">
        <v>107000</v>
      </c>
    </row>
    <row r="1498" spans="1:11" x14ac:dyDescent="0.3">
      <c r="A1498" t="s">
        <v>1507</v>
      </c>
      <c r="B1498">
        <v>280875</v>
      </c>
      <c r="C1498">
        <v>2224600</v>
      </c>
      <c r="D1498">
        <v>133445</v>
      </c>
      <c r="E1498">
        <v>510000</v>
      </c>
      <c r="F1498">
        <v>4564143</v>
      </c>
      <c r="G1498">
        <v>275400</v>
      </c>
      <c r="H1498">
        <v>5690705</v>
      </c>
      <c r="I1498">
        <v>91400</v>
      </c>
      <c r="J1498">
        <v>5684031</v>
      </c>
      <c r="K1498">
        <v>102500</v>
      </c>
    </row>
    <row r="1499" spans="1:11" x14ac:dyDescent="0.3">
      <c r="A1499" t="s">
        <v>1508</v>
      </c>
      <c r="B1499">
        <v>280875</v>
      </c>
      <c r="C1499">
        <v>2500300</v>
      </c>
      <c r="D1499">
        <v>135248</v>
      </c>
      <c r="E1499">
        <v>469400</v>
      </c>
      <c r="F1499">
        <v>4570351</v>
      </c>
      <c r="G1499">
        <v>269600</v>
      </c>
      <c r="H1499">
        <v>5698008</v>
      </c>
      <c r="I1499">
        <v>87800</v>
      </c>
      <c r="J1499">
        <v>5692277</v>
      </c>
      <c r="K1499">
        <v>102400</v>
      </c>
    </row>
    <row r="1500" spans="1:11" x14ac:dyDescent="0.3">
      <c r="A1500" t="s">
        <v>1509</v>
      </c>
      <c r="B1500">
        <v>280875</v>
      </c>
      <c r="C1500">
        <v>2169100</v>
      </c>
      <c r="D1500">
        <v>136827</v>
      </c>
      <c r="E1500">
        <v>474200</v>
      </c>
      <c r="F1500">
        <v>4576585</v>
      </c>
      <c r="G1500">
        <v>271700</v>
      </c>
      <c r="H1500">
        <v>5705755</v>
      </c>
      <c r="I1500">
        <v>92700</v>
      </c>
      <c r="J1500">
        <v>5700068</v>
      </c>
      <c r="K1500">
        <v>98900</v>
      </c>
    </row>
    <row r="1501" spans="1:11" x14ac:dyDescent="0.3">
      <c r="A1501" t="s">
        <v>1510</v>
      </c>
      <c r="B1501">
        <v>280875</v>
      </c>
      <c r="C1501">
        <v>2376400</v>
      </c>
      <c r="D1501">
        <v>144288</v>
      </c>
      <c r="E1501">
        <v>504500</v>
      </c>
      <c r="F1501">
        <v>4582833</v>
      </c>
      <c r="G1501">
        <v>278500</v>
      </c>
      <c r="H1501">
        <v>5714166</v>
      </c>
      <c r="I1501">
        <v>89400</v>
      </c>
      <c r="J1501">
        <v>5707616</v>
      </c>
      <c r="K1501">
        <v>105400</v>
      </c>
    </row>
    <row r="1502" spans="1:11" x14ac:dyDescent="0.3">
      <c r="A1502" t="s">
        <v>1511</v>
      </c>
      <c r="B1502">
        <v>319600</v>
      </c>
      <c r="C1502">
        <v>2467700</v>
      </c>
      <c r="D1502">
        <v>166458</v>
      </c>
      <c r="E1502">
        <v>581300</v>
      </c>
      <c r="F1502">
        <v>4589564</v>
      </c>
      <c r="G1502">
        <v>288500</v>
      </c>
      <c r="H1502">
        <v>5722286</v>
      </c>
      <c r="I1502">
        <v>96400</v>
      </c>
      <c r="J1502">
        <v>5715515</v>
      </c>
      <c r="K1502">
        <v>109200</v>
      </c>
    </row>
    <row r="1503" spans="1:11" x14ac:dyDescent="0.3">
      <c r="A1503" t="s">
        <v>1512</v>
      </c>
      <c r="B1503">
        <v>319600</v>
      </c>
      <c r="C1503">
        <v>2452000</v>
      </c>
      <c r="D1503">
        <v>163119</v>
      </c>
      <c r="E1503">
        <v>565400</v>
      </c>
      <c r="F1503">
        <v>4596286</v>
      </c>
      <c r="G1503">
        <v>296900</v>
      </c>
      <c r="H1503">
        <v>5730560</v>
      </c>
      <c r="I1503">
        <v>98000</v>
      </c>
      <c r="J1503">
        <v>5724268</v>
      </c>
      <c r="K1503">
        <v>106300</v>
      </c>
    </row>
    <row r="1504" spans="1:11" x14ac:dyDescent="0.3">
      <c r="A1504" t="s">
        <v>1513</v>
      </c>
      <c r="B1504">
        <v>319600</v>
      </c>
      <c r="C1504">
        <v>2607800</v>
      </c>
      <c r="D1504">
        <v>154096</v>
      </c>
      <c r="E1504">
        <v>561000</v>
      </c>
      <c r="F1504">
        <v>4603029</v>
      </c>
      <c r="G1504">
        <v>291500</v>
      </c>
      <c r="H1504">
        <v>5739239</v>
      </c>
      <c r="I1504">
        <v>100800</v>
      </c>
      <c r="J1504">
        <v>5732743</v>
      </c>
      <c r="K1504">
        <v>111100</v>
      </c>
    </row>
    <row r="1505" spans="1:11" x14ac:dyDescent="0.3">
      <c r="A1505" t="s">
        <v>1514</v>
      </c>
      <c r="B1505">
        <v>319600</v>
      </c>
      <c r="C1505">
        <v>2434100</v>
      </c>
      <c r="D1505">
        <v>159565</v>
      </c>
      <c r="E1505">
        <v>575900</v>
      </c>
      <c r="F1505">
        <v>4609713</v>
      </c>
      <c r="G1505">
        <v>293800</v>
      </c>
      <c r="H1505">
        <v>5747637</v>
      </c>
      <c r="I1505">
        <v>98300</v>
      </c>
      <c r="J1505">
        <v>5740989</v>
      </c>
      <c r="K1505">
        <v>108300</v>
      </c>
    </row>
    <row r="1506" spans="1:11" x14ac:dyDescent="0.3">
      <c r="A1506" t="s">
        <v>1515</v>
      </c>
      <c r="B1506">
        <v>319600</v>
      </c>
      <c r="C1506">
        <v>2531800</v>
      </c>
      <c r="D1506">
        <v>159998</v>
      </c>
      <c r="E1506">
        <v>555300</v>
      </c>
      <c r="F1506">
        <v>4616440</v>
      </c>
      <c r="G1506">
        <v>293100</v>
      </c>
      <c r="H1506">
        <v>5756260</v>
      </c>
      <c r="I1506">
        <v>102500</v>
      </c>
      <c r="J1506">
        <v>5749096</v>
      </c>
      <c r="K1506">
        <v>107100</v>
      </c>
    </row>
    <row r="1507" spans="1:11" x14ac:dyDescent="0.3">
      <c r="A1507" t="s">
        <v>1516</v>
      </c>
      <c r="B1507">
        <v>319600</v>
      </c>
      <c r="C1507">
        <v>2564800</v>
      </c>
      <c r="D1507">
        <v>162704</v>
      </c>
      <c r="E1507">
        <v>563400</v>
      </c>
      <c r="F1507">
        <v>4623176</v>
      </c>
      <c r="G1507">
        <v>294400</v>
      </c>
      <c r="H1507">
        <v>5764745</v>
      </c>
      <c r="I1507">
        <v>97900</v>
      </c>
      <c r="J1507">
        <v>5757180</v>
      </c>
      <c r="K1507">
        <v>111200</v>
      </c>
    </row>
    <row r="1508" spans="1:11" x14ac:dyDescent="0.3">
      <c r="A1508" t="s">
        <v>1517</v>
      </c>
      <c r="B1508">
        <v>319600</v>
      </c>
      <c r="C1508">
        <v>2503100</v>
      </c>
      <c r="D1508">
        <v>163661</v>
      </c>
      <c r="E1508">
        <v>694900</v>
      </c>
      <c r="F1508">
        <v>4629903</v>
      </c>
      <c r="G1508">
        <v>291100</v>
      </c>
      <c r="H1508">
        <v>5773491</v>
      </c>
      <c r="I1508">
        <v>99100</v>
      </c>
      <c r="J1508">
        <v>5765178</v>
      </c>
      <c r="K1508">
        <v>109600</v>
      </c>
    </row>
    <row r="1509" spans="1:11" x14ac:dyDescent="0.3">
      <c r="A1509" t="s">
        <v>1518</v>
      </c>
      <c r="B1509">
        <v>319600</v>
      </c>
      <c r="C1509">
        <v>2413000</v>
      </c>
      <c r="D1509">
        <v>155155</v>
      </c>
      <c r="E1509">
        <v>537000</v>
      </c>
      <c r="F1509">
        <v>4636650</v>
      </c>
      <c r="G1509">
        <v>292800</v>
      </c>
      <c r="H1509">
        <v>5781191</v>
      </c>
      <c r="I1509">
        <v>96800</v>
      </c>
      <c r="J1509">
        <v>5773236</v>
      </c>
      <c r="K1509">
        <v>109500</v>
      </c>
    </row>
    <row r="1510" spans="1:11" x14ac:dyDescent="0.3">
      <c r="A1510" t="s">
        <v>1519</v>
      </c>
      <c r="B1510">
        <v>319600</v>
      </c>
      <c r="C1510">
        <v>2631500</v>
      </c>
      <c r="D1510">
        <v>165263</v>
      </c>
      <c r="E1510">
        <v>578200</v>
      </c>
      <c r="F1510">
        <v>4643396</v>
      </c>
      <c r="G1510">
        <v>298300</v>
      </c>
      <c r="H1510">
        <v>5789306</v>
      </c>
      <c r="I1510">
        <v>95700</v>
      </c>
      <c r="J1510">
        <v>5780877</v>
      </c>
      <c r="K1510">
        <v>110200</v>
      </c>
    </row>
    <row r="1511" spans="1:11" x14ac:dyDescent="0.3">
      <c r="A1511" t="s">
        <v>1520</v>
      </c>
      <c r="B1511">
        <v>319600</v>
      </c>
      <c r="C1511">
        <v>2976200</v>
      </c>
      <c r="D1511">
        <v>163541</v>
      </c>
      <c r="E1511">
        <v>589300</v>
      </c>
      <c r="F1511">
        <v>4650131</v>
      </c>
      <c r="G1511">
        <v>294300</v>
      </c>
      <c r="H1511">
        <v>5797818</v>
      </c>
      <c r="I1511">
        <v>97000</v>
      </c>
      <c r="J1511">
        <v>5789290</v>
      </c>
      <c r="K1511">
        <v>109200</v>
      </c>
    </row>
    <row r="1512" spans="1:11" x14ac:dyDescent="0.3">
      <c r="A1512" t="s">
        <v>1521</v>
      </c>
      <c r="B1512">
        <v>319600</v>
      </c>
      <c r="C1512">
        <v>2797400</v>
      </c>
      <c r="D1512">
        <v>162624</v>
      </c>
      <c r="E1512">
        <v>595800</v>
      </c>
      <c r="F1512">
        <v>4656867</v>
      </c>
      <c r="G1512">
        <v>299800</v>
      </c>
      <c r="H1512">
        <v>5806282</v>
      </c>
      <c r="I1512">
        <v>101900</v>
      </c>
      <c r="J1512">
        <v>5797430</v>
      </c>
      <c r="K1512">
        <v>112400</v>
      </c>
    </row>
    <row r="1513" spans="1:11" x14ac:dyDescent="0.3">
      <c r="A1513" t="s">
        <v>1522</v>
      </c>
      <c r="B1513">
        <v>319600</v>
      </c>
      <c r="C1513">
        <v>2437400</v>
      </c>
      <c r="D1513">
        <v>161161</v>
      </c>
      <c r="E1513">
        <v>561400</v>
      </c>
      <c r="F1513">
        <v>4663592</v>
      </c>
      <c r="G1513">
        <v>290000</v>
      </c>
      <c r="H1513">
        <v>5815121</v>
      </c>
      <c r="I1513">
        <v>97400</v>
      </c>
      <c r="J1513">
        <v>5806752</v>
      </c>
      <c r="K1513">
        <v>111700</v>
      </c>
    </row>
    <row r="1514" spans="1:11" x14ac:dyDescent="0.3">
      <c r="A1514" t="s">
        <v>1523</v>
      </c>
      <c r="B1514">
        <v>319600</v>
      </c>
      <c r="C1514">
        <v>2379600</v>
      </c>
      <c r="D1514">
        <v>161722</v>
      </c>
      <c r="E1514">
        <v>566100</v>
      </c>
      <c r="F1514">
        <v>4670331</v>
      </c>
      <c r="G1514">
        <v>288100</v>
      </c>
      <c r="H1514">
        <v>5823094</v>
      </c>
      <c r="I1514">
        <v>95500</v>
      </c>
      <c r="J1514">
        <v>5815451</v>
      </c>
      <c r="K1514">
        <v>108700</v>
      </c>
    </row>
    <row r="1515" spans="1:11" x14ac:dyDescent="0.3">
      <c r="A1515" t="s">
        <v>1524</v>
      </c>
      <c r="B1515">
        <v>319600</v>
      </c>
      <c r="C1515">
        <v>3291200</v>
      </c>
      <c r="D1515">
        <v>152227</v>
      </c>
      <c r="E1515">
        <v>541400</v>
      </c>
      <c r="F1515">
        <v>4677054</v>
      </c>
      <c r="G1515">
        <v>293100</v>
      </c>
      <c r="H1515">
        <v>5830755</v>
      </c>
      <c r="I1515">
        <v>99200</v>
      </c>
      <c r="J1515">
        <v>5824094</v>
      </c>
      <c r="K1515">
        <v>114200</v>
      </c>
    </row>
    <row r="1516" spans="1:11" x14ac:dyDescent="0.3">
      <c r="A1516" t="s">
        <v>1525</v>
      </c>
      <c r="B1516">
        <v>319600</v>
      </c>
      <c r="C1516">
        <v>2563300</v>
      </c>
      <c r="D1516">
        <v>158420</v>
      </c>
      <c r="E1516">
        <v>553400</v>
      </c>
      <c r="F1516">
        <v>4683777</v>
      </c>
      <c r="G1516">
        <v>295500</v>
      </c>
      <c r="H1516">
        <v>5838765</v>
      </c>
      <c r="I1516">
        <v>96200</v>
      </c>
      <c r="J1516">
        <v>5832096</v>
      </c>
      <c r="K1516">
        <v>108100</v>
      </c>
    </row>
    <row r="1517" spans="1:11" x14ac:dyDescent="0.3">
      <c r="A1517" t="s">
        <v>1526</v>
      </c>
      <c r="B1517">
        <v>319600</v>
      </c>
      <c r="C1517">
        <v>2575400</v>
      </c>
      <c r="D1517">
        <v>158777</v>
      </c>
      <c r="E1517">
        <v>554000</v>
      </c>
      <c r="F1517">
        <v>4690495</v>
      </c>
      <c r="G1517">
        <v>291800</v>
      </c>
      <c r="H1517">
        <v>5847218</v>
      </c>
      <c r="I1517">
        <v>100300</v>
      </c>
      <c r="J1517">
        <v>5840609</v>
      </c>
      <c r="K1517">
        <v>109000</v>
      </c>
    </row>
    <row r="1518" spans="1:11" x14ac:dyDescent="0.3">
      <c r="A1518" t="s">
        <v>1527</v>
      </c>
      <c r="B1518">
        <v>319600</v>
      </c>
      <c r="C1518">
        <v>2396300</v>
      </c>
      <c r="D1518">
        <v>155446</v>
      </c>
      <c r="E1518">
        <v>541600</v>
      </c>
      <c r="F1518">
        <v>4697219</v>
      </c>
      <c r="G1518">
        <v>291900</v>
      </c>
      <c r="H1518">
        <v>5856221</v>
      </c>
      <c r="I1518">
        <v>100600</v>
      </c>
      <c r="J1518">
        <v>5849154</v>
      </c>
      <c r="K1518">
        <v>108900</v>
      </c>
    </row>
    <row r="1519" spans="1:11" x14ac:dyDescent="0.3">
      <c r="A1519" t="s">
        <v>1528</v>
      </c>
      <c r="B1519">
        <v>319600</v>
      </c>
      <c r="C1519">
        <v>2633700</v>
      </c>
      <c r="D1519">
        <v>156028</v>
      </c>
      <c r="E1519">
        <v>554000</v>
      </c>
      <c r="F1519">
        <v>4703919</v>
      </c>
      <c r="G1519">
        <v>289400</v>
      </c>
      <c r="H1519">
        <v>5864356</v>
      </c>
      <c r="I1519">
        <v>98400</v>
      </c>
      <c r="J1519">
        <v>5857324</v>
      </c>
      <c r="K1519">
        <v>111200</v>
      </c>
    </row>
    <row r="1520" spans="1:11" x14ac:dyDescent="0.3">
      <c r="A1520" t="s">
        <v>1529</v>
      </c>
      <c r="B1520">
        <v>319600</v>
      </c>
      <c r="C1520">
        <v>2623800</v>
      </c>
      <c r="D1520">
        <v>164036</v>
      </c>
      <c r="E1520">
        <v>572100</v>
      </c>
      <c r="F1520">
        <v>4710655</v>
      </c>
      <c r="G1520">
        <v>289900</v>
      </c>
      <c r="H1520">
        <v>5872283</v>
      </c>
      <c r="I1520">
        <v>98600</v>
      </c>
      <c r="J1520">
        <v>5865834</v>
      </c>
      <c r="K1520">
        <v>109200</v>
      </c>
    </row>
    <row r="1521" spans="1:11" x14ac:dyDescent="0.3">
      <c r="A1521" t="s">
        <v>1530</v>
      </c>
      <c r="B1521">
        <v>319600</v>
      </c>
      <c r="C1521">
        <v>2389400</v>
      </c>
      <c r="D1521">
        <v>156885</v>
      </c>
      <c r="E1521">
        <v>545700</v>
      </c>
      <c r="F1521">
        <v>4717388</v>
      </c>
      <c r="G1521">
        <v>292800</v>
      </c>
      <c r="H1521">
        <v>5880041</v>
      </c>
      <c r="I1521">
        <v>99900</v>
      </c>
      <c r="J1521">
        <v>5874387</v>
      </c>
      <c r="K1521">
        <v>107700</v>
      </c>
    </row>
    <row r="1522" spans="1:11" x14ac:dyDescent="0.3">
      <c r="A1522" t="s">
        <v>1531</v>
      </c>
      <c r="B1522">
        <v>319600</v>
      </c>
      <c r="C1522">
        <v>2506500</v>
      </c>
      <c r="D1522">
        <v>166522</v>
      </c>
      <c r="E1522">
        <v>688100</v>
      </c>
      <c r="F1522">
        <v>4724145</v>
      </c>
      <c r="G1522">
        <v>297500</v>
      </c>
      <c r="H1522">
        <v>5888313</v>
      </c>
      <c r="I1522">
        <v>99500</v>
      </c>
      <c r="J1522">
        <v>5882842</v>
      </c>
      <c r="K1522">
        <v>108800</v>
      </c>
    </row>
    <row r="1523" spans="1:11" x14ac:dyDescent="0.3">
      <c r="A1523" t="s">
        <v>1532</v>
      </c>
      <c r="B1523">
        <v>319600</v>
      </c>
      <c r="C1523">
        <v>3003400</v>
      </c>
      <c r="D1523">
        <v>158795</v>
      </c>
      <c r="E1523">
        <v>549700</v>
      </c>
      <c r="F1523">
        <v>4730866</v>
      </c>
      <c r="G1523">
        <v>382300</v>
      </c>
      <c r="H1523">
        <v>5896399</v>
      </c>
      <c r="I1523">
        <v>117900</v>
      </c>
      <c r="J1523">
        <v>5891035</v>
      </c>
      <c r="K1523">
        <v>159300</v>
      </c>
    </row>
    <row r="1524" spans="1:11" x14ac:dyDescent="0.3">
      <c r="A1524" t="s">
        <v>1533</v>
      </c>
      <c r="B1524">
        <v>319600</v>
      </c>
      <c r="C1524">
        <v>2414500</v>
      </c>
      <c r="D1524">
        <v>158311</v>
      </c>
      <c r="E1524">
        <v>551600</v>
      </c>
      <c r="F1524">
        <v>4737597</v>
      </c>
      <c r="G1524">
        <v>1582400</v>
      </c>
      <c r="H1524">
        <v>5904618</v>
      </c>
      <c r="I1524">
        <v>96000</v>
      </c>
      <c r="J1524">
        <v>5898932</v>
      </c>
      <c r="K1524">
        <v>104600</v>
      </c>
    </row>
    <row r="1525" spans="1:11" x14ac:dyDescent="0.3">
      <c r="A1525" t="s">
        <v>1534</v>
      </c>
      <c r="B1525">
        <v>319600</v>
      </c>
      <c r="C1525">
        <v>2586800</v>
      </c>
      <c r="D1525">
        <v>162865</v>
      </c>
      <c r="E1525">
        <v>582400</v>
      </c>
      <c r="F1525">
        <v>4744339</v>
      </c>
      <c r="G1525">
        <v>289100</v>
      </c>
      <c r="H1525">
        <v>5912693</v>
      </c>
      <c r="I1525">
        <v>98600</v>
      </c>
      <c r="J1525">
        <v>5906862</v>
      </c>
      <c r="K1525">
        <v>108600</v>
      </c>
    </row>
    <row r="1526" spans="1:11" x14ac:dyDescent="0.3">
      <c r="A1526" t="s">
        <v>1535</v>
      </c>
      <c r="B1526">
        <v>319600</v>
      </c>
      <c r="C1526">
        <v>2557800</v>
      </c>
      <c r="D1526">
        <v>159740</v>
      </c>
      <c r="E1526">
        <v>662000</v>
      </c>
      <c r="F1526">
        <v>4751082</v>
      </c>
      <c r="G1526">
        <v>312400</v>
      </c>
      <c r="H1526">
        <v>5921109</v>
      </c>
      <c r="I1526">
        <v>95600</v>
      </c>
      <c r="J1526">
        <v>5915686</v>
      </c>
      <c r="K1526">
        <v>106600</v>
      </c>
    </row>
    <row r="1527" spans="1:11" x14ac:dyDescent="0.3">
      <c r="A1527" t="s">
        <v>1536</v>
      </c>
      <c r="B1527">
        <v>319600</v>
      </c>
      <c r="C1527">
        <v>2347000</v>
      </c>
      <c r="D1527">
        <v>162001</v>
      </c>
      <c r="E1527">
        <v>561100</v>
      </c>
      <c r="F1527">
        <v>4757821</v>
      </c>
      <c r="G1527">
        <v>287800</v>
      </c>
      <c r="H1527">
        <v>5929477</v>
      </c>
      <c r="I1527">
        <v>98200</v>
      </c>
      <c r="J1527">
        <v>5924281</v>
      </c>
      <c r="K1527">
        <v>106100</v>
      </c>
    </row>
    <row r="1528" spans="1:11" x14ac:dyDescent="0.3">
      <c r="A1528" t="s">
        <v>1537</v>
      </c>
      <c r="B1528">
        <v>319600</v>
      </c>
      <c r="C1528">
        <v>2551600</v>
      </c>
      <c r="D1528">
        <v>160537</v>
      </c>
      <c r="E1528">
        <v>560100</v>
      </c>
      <c r="F1528">
        <v>4764528</v>
      </c>
      <c r="G1528">
        <v>294100</v>
      </c>
      <c r="H1528">
        <v>5937554</v>
      </c>
      <c r="I1528">
        <v>95200</v>
      </c>
      <c r="J1528">
        <v>5932524</v>
      </c>
      <c r="K1528">
        <v>110100</v>
      </c>
    </row>
    <row r="1529" spans="1:11" x14ac:dyDescent="0.3">
      <c r="A1529" t="s">
        <v>1538</v>
      </c>
      <c r="B1529">
        <v>319600</v>
      </c>
      <c r="C1529">
        <v>2618700</v>
      </c>
      <c r="D1529">
        <v>154843</v>
      </c>
      <c r="E1529">
        <v>544700</v>
      </c>
      <c r="F1529">
        <v>4771248</v>
      </c>
      <c r="G1529">
        <v>296900</v>
      </c>
      <c r="H1529">
        <v>5946280</v>
      </c>
      <c r="I1529">
        <v>107600</v>
      </c>
      <c r="J1529">
        <v>5941173</v>
      </c>
      <c r="K1529">
        <v>116600</v>
      </c>
    </row>
    <row r="1530" spans="1:11" x14ac:dyDescent="0.3">
      <c r="A1530" t="s">
        <v>1539</v>
      </c>
      <c r="B1530">
        <v>319600</v>
      </c>
      <c r="C1530">
        <v>2506000</v>
      </c>
      <c r="D1530">
        <v>156496</v>
      </c>
      <c r="E1530">
        <v>545600</v>
      </c>
      <c r="F1530">
        <v>4777949</v>
      </c>
      <c r="G1530">
        <v>288300</v>
      </c>
      <c r="H1530">
        <v>5954019</v>
      </c>
      <c r="I1530">
        <v>94700</v>
      </c>
      <c r="J1530">
        <v>5949300</v>
      </c>
      <c r="K1530">
        <v>106500</v>
      </c>
    </row>
    <row r="1531" spans="1:11" x14ac:dyDescent="0.3">
      <c r="A1531" t="s">
        <v>1540</v>
      </c>
      <c r="B1531">
        <v>319600</v>
      </c>
      <c r="C1531">
        <v>2707200</v>
      </c>
      <c r="D1531">
        <v>160079</v>
      </c>
      <c r="E1531">
        <v>555900</v>
      </c>
      <c r="F1531">
        <v>4784728</v>
      </c>
      <c r="G1531">
        <v>295500</v>
      </c>
      <c r="H1531">
        <v>5963207</v>
      </c>
      <c r="I1531">
        <v>100200</v>
      </c>
      <c r="J1531">
        <v>5957124</v>
      </c>
      <c r="K1531">
        <v>109100</v>
      </c>
    </row>
    <row r="1532" spans="1:11" x14ac:dyDescent="0.3">
      <c r="A1532" t="s">
        <v>1541</v>
      </c>
      <c r="B1532">
        <v>319600</v>
      </c>
      <c r="C1532">
        <v>2445500</v>
      </c>
      <c r="D1532">
        <v>158796</v>
      </c>
      <c r="E1532">
        <v>558400</v>
      </c>
      <c r="F1532">
        <v>4791416</v>
      </c>
      <c r="G1532">
        <v>295500</v>
      </c>
      <c r="H1532">
        <v>5971888</v>
      </c>
      <c r="I1532">
        <v>99000</v>
      </c>
      <c r="J1532">
        <v>5965339</v>
      </c>
      <c r="K1532">
        <v>109900</v>
      </c>
    </row>
    <row r="1533" spans="1:11" x14ac:dyDescent="0.3">
      <c r="A1533" t="s">
        <v>1542</v>
      </c>
      <c r="B1533">
        <v>319600</v>
      </c>
      <c r="C1533">
        <v>3224600</v>
      </c>
      <c r="D1533">
        <v>155698</v>
      </c>
      <c r="E1533">
        <v>650800</v>
      </c>
      <c r="F1533">
        <v>4798161</v>
      </c>
      <c r="G1533">
        <v>347400</v>
      </c>
      <c r="H1533">
        <v>5979808</v>
      </c>
      <c r="I1533">
        <v>118900</v>
      </c>
      <c r="J1533">
        <v>5974371</v>
      </c>
      <c r="K1533">
        <v>139300</v>
      </c>
    </row>
    <row r="1534" spans="1:11" x14ac:dyDescent="0.3">
      <c r="A1534" t="s">
        <v>1543</v>
      </c>
      <c r="B1534">
        <v>319600</v>
      </c>
      <c r="C1534">
        <v>2610700</v>
      </c>
      <c r="D1534">
        <v>159091</v>
      </c>
      <c r="E1534">
        <v>555200</v>
      </c>
      <c r="F1534">
        <v>4804874</v>
      </c>
      <c r="G1534">
        <v>286800</v>
      </c>
      <c r="H1534">
        <v>5988845</v>
      </c>
      <c r="I1534">
        <v>101600</v>
      </c>
      <c r="J1534">
        <v>5982282</v>
      </c>
      <c r="K1534">
        <v>104400</v>
      </c>
    </row>
    <row r="1535" spans="1:11" x14ac:dyDescent="0.3">
      <c r="A1535" t="s">
        <v>1544</v>
      </c>
      <c r="B1535">
        <v>319600</v>
      </c>
      <c r="C1535">
        <v>2568000</v>
      </c>
      <c r="D1535">
        <v>159119</v>
      </c>
      <c r="E1535">
        <v>585700</v>
      </c>
      <c r="F1535">
        <v>4811586</v>
      </c>
      <c r="G1535">
        <v>290700</v>
      </c>
      <c r="H1535">
        <v>5997823</v>
      </c>
      <c r="I1535">
        <v>103300</v>
      </c>
      <c r="J1535">
        <v>5990624</v>
      </c>
      <c r="K1535">
        <v>113600</v>
      </c>
    </row>
    <row r="1536" spans="1:11" x14ac:dyDescent="0.3">
      <c r="A1536" t="s">
        <v>1545</v>
      </c>
      <c r="B1536">
        <v>319600</v>
      </c>
      <c r="C1536">
        <v>2636800</v>
      </c>
      <c r="D1536">
        <v>164924</v>
      </c>
      <c r="E1536">
        <v>575400</v>
      </c>
      <c r="F1536">
        <v>4818326</v>
      </c>
      <c r="G1536">
        <v>294300</v>
      </c>
      <c r="H1536">
        <v>6006400</v>
      </c>
      <c r="I1536">
        <v>104500</v>
      </c>
      <c r="J1536">
        <v>5999212</v>
      </c>
      <c r="K1536">
        <v>112700</v>
      </c>
    </row>
    <row r="1537" spans="1:11" x14ac:dyDescent="0.3">
      <c r="A1537" t="s">
        <v>1546</v>
      </c>
      <c r="B1537">
        <v>319600</v>
      </c>
      <c r="C1537">
        <v>2554500</v>
      </c>
      <c r="D1537">
        <v>156308</v>
      </c>
      <c r="E1537">
        <v>542900</v>
      </c>
      <c r="F1537">
        <v>4825048</v>
      </c>
      <c r="G1537">
        <v>287400</v>
      </c>
      <c r="H1537">
        <v>6014488</v>
      </c>
      <c r="I1537">
        <v>99300</v>
      </c>
      <c r="J1537">
        <v>6007378</v>
      </c>
      <c r="K1537">
        <v>109500</v>
      </c>
    </row>
    <row r="1538" spans="1:11" x14ac:dyDescent="0.3">
      <c r="A1538" t="s">
        <v>1547</v>
      </c>
      <c r="B1538">
        <v>319600</v>
      </c>
      <c r="C1538">
        <v>2560600</v>
      </c>
      <c r="D1538">
        <v>158913</v>
      </c>
      <c r="E1538">
        <v>572500</v>
      </c>
      <c r="F1538">
        <v>4831781</v>
      </c>
      <c r="G1538">
        <v>289000</v>
      </c>
      <c r="H1538">
        <v>6022715</v>
      </c>
      <c r="I1538">
        <v>98300</v>
      </c>
      <c r="J1538">
        <v>6015133</v>
      </c>
      <c r="K1538">
        <v>112700</v>
      </c>
    </row>
    <row r="1539" spans="1:11" x14ac:dyDescent="0.3">
      <c r="A1539" t="s">
        <v>1548</v>
      </c>
      <c r="B1539">
        <v>319600</v>
      </c>
      <c r="C1539">
        <v>2520000</v>
      </c>
      <c r="D1539">
        <v>165569</v>
      </c>
      <c r="E1539">
        <v>593300</v>
      </c>
      <c r="F1539">
        <v>4838524</v>
      </c>
      <c r="G1539">
        <v>300900</v>
      </c>
      <c r="H1539">
        <v>6031125</v>
      </c>
      <c r="I1539">
        <v>97000</v>
      </c>
      <c r="J1539">
        <v>6024303</v>
      </c>
      <c r="K1539">
        <v>117700</v>
      </c>
    </row>
    <row r="1540" spans="1:11" x14ac:dyDescent="0.3">
      <c r="A1540" t="s">
        <v>1549</v>
      </c>
      <c r="B1540">
        <v>319600</v>
      </c>
      <c r="C1540">
        <v>2726800</v>
      </c>
      <c r="D1540">
        <v>157482</v>
      </c>
      <c r="E1540">
        <v>550100</v>
      </c>
      <c r="F1540">
        <v>4845244</v>
      </c>
      <c r="G1540">
        <v>286800</v>
      </c>
      <c r="H1540">
        <v>6040229</v>
      </c>
      <c r="I1540">
        <v>100700</v>
      </c>
      <c r="J1540">
        <v>6032192</v>
      </c>
      <c r="K1540">
        <v>107700</v>
      </c>
    </row>
    <row r="1541" spans="1:11" x14ac:dyDescent="0.3">
      <c r="A1541" t="s">
        <v>1550</v>
      </c>
      <c r="B1541">
        <v>319600</v>
      </c>
      <c r="C1541">
        <v>2324000</v>
      </c>
      <c r="D1541">
        <v>159716</v>
      </c>
      <c r="E1541">
        <v>553900</v>
      </c>
      <c r="F1541">
        <v>4851978</v>
      </c>
      <c r="G1541">
        <v>288300</v>
      </c>
      <c r="H1541">
        <v>6048340</v>
      </c>
      <c r="I1541">
        <v>96600</v>
      </c>
      <c r="J1541">
        <v>6041336</v>
      </c>
      <c r="K1541">
        <v>112100</v>
      </c>
    </row>
    <row r="1542" spans="1:11" x14ac:dyDescent="0.3">
      <c r="A1542" t="s">
        <v>1551</v>
      </c>
      <c r="B1542">
        <v>319600</v>
      </c>
      <c r="C1542">
        <v>2957500</v>
      </c>
      <c r="D1542">
        <v>159765</v>
      </c>
      <c r="E1542">
        <v>560200</v>
      </c>
      <c r="F1542">
        <v>4858709</v>
      </c>
      <c r="G1542">
        <v>379800</v>
      </c>
      <c r="H1542">
        <v>6057132</v>
      </c>
      <c r="I1542">
        <v>118200</v>
      </c>
      <c r="J1542">
        <v>6049362</v>
      </c>
      <c r="K1542">
        <v>139000</v>
      </c>
    </row>
    <row r="1543" spans="1:11" x14ac:dyDescent="0.3">
      <c r="A1543" t="s">
        <v>1552</v>
      </c>
      <c r="B1543">
        <v>319600</v>
      </c>
      <c r="C1543">
        <v>2498600</v>
      </c>
      <c r="D1543">
        <v>161015</v>
      </c>
      <c r="E1543">
        <v>582700</v>
      </c>
      <c r="F1543">
        <v>4865422</v>
      </c>
      <c r="G1543">
        <v>296100</v>
      </c>
      <c r="H1543">
        <v>6066420</v>
      </c>
      <c r="I1543">
        <v>102800</v>
      </c>
      <c r="J1543">
        <v>6057904</v>
      </c>
      <c r="K1543">
        <v>107600</v>
      </c>
    </row>
    <row r="1544" spans="1:11" x14ac:dyDescent="0.3">
      <c r="A1544" t="s">
        <v>1553</v>
      </c>
      <c r="B1544">
        <v>319600</v>
      </c>
      <c r="C1544">
        <v>2661800</v>
      </c>
      <c r="D1544">
        <v>158124</v>
      </c>
      <c r="E1544">
        <v>553300</v>
      </c>
      <c r="F1544">
        <v>4872115</v>
      </c>
      <c r="G1544">
        <v>294000</v>
      </c>
      <c r="H1544">
        <v>6075670</v>
      </c>
      <c r="I1544">
        <v>104300</v>
      </c>
      <c r="J1544">
        <v>6066116</v>
      </c>
      <c r="K1544">
        <v>109000</v>
      </c>
    </row>
    <row r="1545" spans="1:11" x14ac:dyDescent="0.3">
      <c r="A1545" t="s">
        <v>1554</v>
      </c>
      <c r="B1545">
        <v>319600</v>
      </c>
      <c r="C1545">
        <v>2536500</v>
      </c>
      <c r="D1545">
        <v>154871</v>
      </c>
      <c r="E1545">
        <v>706400</v>
      </c>
      <c r="F1545">
        <v>4878834</v>
      </c>
      <c r="G1545">
        <v>303100</v>
      </c>
      <c r="H1545">
        <v>6084362</v>
      </c>
      <c r="I1545">
        <v>104900</v>
      </c>
      <c r="J1545">
        <v>6074314</v>
      </c>
      <c r="K1545">
        <v>109400</v>
      </c>
    </row>
    <row r="1546" spans="1:11" x14ac:dyDescent="0.3">
      <c r="A1546" t="s">
        <v>1555</v>
      </c>
      <c r="B1546">
        <v>319600</v>
      </c>
      <c r="C1546">
        <v>2601400</v>
      </c>
      <c r="D1546">
        <v>154478</v>
      </c>
      <c r="E1546">
        <v>553400</v>
      </c>
      <c r="F1546">
        <v>4885558</v>
      </c>
      <c r="G1546">
        <v>292300</v>
      </c>
      <c r="H1546">
        <v>6092823</v>
      </c>
      <c r="I1546">
        <v>97300</v>
      </c>
      <c r="J1546">
        <v>6082322</v>
      </c>
      <c r="K1546">
        <v>109400</v>
      </c>
    </row>
    <row r="1547" spans="1:11" x14ac:dyDescent="0.3">
      <c r="A1547" t="s">
        <v>1556</v>
      </c>
      <c r="B1547">
        <v>319600</v>
      </c>
      <c r="C1547">
        <v>3034800</v>
      </c>
      <c r="D1547">
        <v>165701</v>
      </c>
      <c r="E1547">
        <v>579300</v>
      </c>
      <c r="F1547">
        <v>4892268</v>
      </c>
      <c r="G1547">
        <v>289500</v>
      </c>
      <c r="H1547">
        <v>6102232</v>
      </c>
      <c r="I1547">
        <v>101100</v>
      </c>
      <c r="J1547">
        <v>6091052</v>
      </c>
      <c r="K1547">
        <v>108600</v>
      </c>
    </row>
    <row r="1548" spans="1:11" x14ac:dyDescent="0.3">
      <c r="A1548" t="s">
        <v>1557</v>
      </c>
      <c r="B1548">
        <v>319600</v>
      </c>
      <c r="C1548">
        <v>2737800</v>
      </c>
      <c r="D1548">
        <v>166629</v>
      </c>
      <c r="E1548">
        <v>683900</v>
      </c>
      <c r="F1548">
        <v>4899002</v>
      </c>
      <c r="G1548">
        <v>291200</v>
      </c>
      <c r="H1548">
        <v>6109714</v>
      </c>
      <c r="I1548">
        <v>96500</v>
      </c>
      <c r="J1548">
        <v>6098913</v>
      </c>
      <c r="K1548">
        <v>111200</v>
      </c>
    </row>
    <row r="1549" spans="1:11" x14ac:dyDescent="0.3">
      <c r="A1549" t="s">
        <v>1558</v>
      </c>
      <c r="B1549">
        <v>319600</v>
      </c>
      <c r="C1549">
        <v>3025900</v>
      </c>
      <c r="D1549">
        <v>159756</v>
      </c>
      <c r="E1549">
        <v>554900</v>
      </c>
      <c r="F1549">
        <v>4905734</v>
      </c>
      <c r="G1549">
        <v>292300</v>
      </c>
      <c r="H1549">
        <v>6118584</v>
      </c>
      <c r="I1549">
        <v>102400</v>
      </c>
      <c r="J1549">
        <v>6108360</v>
      </c>
      <c r="K1549">
        <v>107100</v>
      </c>
    </row>
    <row r="1550" spans="1:11" x14ac:dyDescent="0.3">
      <c r="A1550" t="s">
        <v>1559</v>
      </c>
      <c r="B1550">
        <v>319600</v>
      </c>
      <c r="C1550">
        <v>2503600</v>
      </c>
      <c r="D1550">
        <v>156282</v>
      </c>
      <c r="E1550">
        <v>545000</v>
      </c>
      <c r="F1550">
        <v>4912469</v>
      </c>
      <c r="G1550">
        <v>294300</v>
      </c>
      <c r="H1550">
        <v>6126421</v>
      </c>
      <c r="I1550">
        <v>99600</v>
      </c>
      <c r="J1550">
        <v>6116413</v>
      </c>
      <c r="K1550">
        <v>109600</v>
      </c>
    </row>
    <row r="1551" spans="1:11" x14ac:dyDescent="0.3">
      <c r="A1551" t="s">
        <v>1560</v>
      </c>
      <c r="B1551">
        <v>319600</v>
      </c>
      <c r="C1551">
        <v>2398500</v>
      </c>
      <c r="D1551">
        <v>165614</v>
      </c>
      <c r="E1551">
        <v>605600</v>
      </c>
      <c r="F1551">
        <v>4919205</v>
      </c>
      <c r="G1551">
        <v>291800</v>
      </c>
      <c r="H1551">
        <v>6134247</v>
      </c>
      <c r="I1551">
        <v>96100</v>
      </c>
      <c r="J1551">
        <v>6124503</v>
      </c>
      <c r="K1551">
        <v>108600</v>
      </c>
    </row>
    <row r="1552" spans="1:11" x14ac:dyDescent="0.3">
      <c r="A1552" t="s">
        <v>1561</v>
      </c>
      <c r="B1552">
        <v>319600</v>
      </c>
      <c r="C1552">
        <v>2862200</v>
      </c>
      <c r="D1552">
        <v>154876</v>
      </c>
      <c r="E1552">
        <v>556600</v>
      </c>
      <c r="F1552">
        <v>4925884</v>
      </c>
      <c r="G1552">
        <v>297100</v>
      </c>
      <c r="H1552">
        <v>6142548</v>
      </c>
      <c r="I1552">
        <v>98700</v>
      </c>
      <c r="J1552">
        <v>6132736</v>
      </c>
      <c r="K1552">
        <v>120000</v>
      </c>
    </row>
    <row r="1553" spans="1:11" x14ac:dyDescent="0.3">
      <c r="A1553" t="s">
        <v>1562</v>
      </c>
      <c r="B1553">
        <v>319600</v>
      </c>
      <c r="C1553">
        <v>2496200</v>
      </c>
      <c r="D1553">
        <v>150876</v>
      </c>
      <c r="E1553">
        <v>524500</v>
      </c>
      <c r="F1553">
        <v>4932618</v>
      </c>
      <c r="G1553">
        <v>292500</v>
      </c>
      <c r="H1553">
        <v>6151261</v>
      </c>
      <c r="I1553">
        <v>100300</v>
      </c>
      <c r="J1553">
        <v>6141122</v>
      </c>
      <c r="K1553">
        <v>108900</v>
      </c>
    </row>
    <row r="1554" spans="1:11" x14ac:dyDescent="0.3">
      <c r="A1554" t="s">
        <v>1563</v>
      </c>
      <c r="B1554">
        <v>319600</v>
      </c>
      <c r="C1554">
        <v>2671900</v>
      </c>
      <c r="D1554">
        <v>164688</v>
      </c>
      <c r="E1554">
        <v>591800</v>
      </c>
      <c r="F1554">
        <v>4939348</v>
      </c>
      <c r="G1554">
        <v>296500</v>
      </c>
      <c r="H1554">
        <v>6160730</v>
      </c>
      <c r="I1554">
        <v>104500</v>
      </c>
      <c r="J1554">
        <v>6149686</v>
      </c>
      <c r="K1554">
        <v>109900</v>
      </c>
    </row>
    <row r="1555" spans="1:11" x14ac:dyDescent="0.3">
      <c r="A1555" t="s">
        <v>1564</v>
      </c>
      <c r="B1555">
        <v>319600</v>
      </c>
      <c r="C1555">
        <v>2953700</v>
      </c>
      <c r="D1555">
        <v>160810</v>
      </c>
      <c r="E1555">
        <v>566300</v>
      </c>
      <c r="F1555">
        <v>4946067</v>
      </c>
      <c r="G1555">
        <v>295100</v>
      </c>
      <c r="H1555">
        <v>6169550</v>
      </c>
      <c r="I1555">
        <v>96400</v>
      </c>
      <c r="J1555">
        <v>6158111</v>
      </c>
      <c r="K1555">
        <v>112200</v>
      </c>
    </row>
    <row r="1556" spans="1:11" x14ac:dyDescent="0.3">
      <c r="A1556" t="s">
        <v>1565</v>
      </c>
      <c r="B1556">
        <v>319600</v>
      </c>
      <c r="C1556">
        <v>2487700</v>
      </c>
      <c r="D1556">
        <v>156547</v>
      </c>
      <c r="E1556">
        <v>542600</v>
      </c>
      <c r="F1556">
        <v>4952789</v>
      </c>
      <c r="G1556">
        <v>291200</v>
      </c>
      <c r="H1556">
        <v>6178387</v>
      </c>
      <c r="I1556">
        <v>99200</v>
      </c>
      <c r="J1556">
        <v>6167047</v>
      </c>
      <c r="K1556">
        <v>110700</v>
      </c>
    </row>
    <row r="1557" spans="1:11" x14ac:dyDescent="0.3">
      <c r="A1557" t="s">
        <v>1566</v>
      </c>
      <c r="B1557">
        <v>319600</v>
      </c>
      <c r="C1557">
        <v>2579900</v>
      </c>
      <c r="D1557">
        <v>163015</v>
      </c>
      <c r="E1557">
        <v>574700</v>
      </c>
      <c r="F1557">
        <v>4959475</v>
      </c>
      <c r="G1557">
        <v>290800</v>
      </c>
      <c r="H1557">
        <v>6187045</v>
      </c>
      <c r="I1557">
        <v>96500</v>
      </c>
      <c r="J1557">
        <v>6176064</v>
      </c>
      <c r="K1557">
        <v>109800</v>
      </c>
    </row>
    <row r="1558" spans="1:11" x14ac:dyDescent="0.3">
      <c r="A1558" t="s">
        <v>1567</v>
      </c>
      <c r="B1558">
        <v>319600</v>
      </c>
      <c r="C1558">
        <v>2622400</v>
      </c>
      <c r="D1558">
        <v>160162</v>
      </c>
      <c r="E1558">
        <v>562100</v>
      </c>
      <c r="F1558">
        <v>4966221</v>
      </c>
      <c r="G1558">
        <v>290400</v>
      </c>
      <c r="H1558">
        <v>6195528</v>
      </c>
      <c r="I1558">
        <v>99300</v>
      </c>
      <c r="J1558">
        <v>6183954</v>
      </c>
      <c r="K1558">
        <v>105600</v>
      </c>
    </row>
    <row r="1559" spans="1:11" x14ac:dyDescent="0.3">
      <c r="A1559" t="s">
        <v>1568</v>
      </c>
      <c r="B1559">
        <v>319600</v>
      </c>
      <c r="C1559">
        <v>2491600</v>
      </c>
      <c r="D1559">
        <v>166797</v>
      </c>
      <c r="E1559">
        <v>580300</v>
      </c>
      <c r="F1559">
        <v>4972932</v>
      </c>
      <c r="G1559">
        <v>324100</v>
      </c>
      <c r="H1559">
        <v>6204012</v>
      </c>
      <c r="I1559">
        <v>125300</v>
      </c>
      <c r="J1559">
        <v>6192049</v>
      </c>
      <c r="K1559">
        <v>115100</v>
      </c>
    </row>
    <row r="1560" spans="1:11" x14ac:dyDescent="0.3">
      <c r="A1560" t="s">
        <v>1569</v>
      </c>
      <c r="B1560">
        <v>319600</v>
      </c>
      <c r="C1560">
        <v>2591400</v>
      </c>
      <c r="D1560">
        <v>166584</v>
      </c>
      <c r="E1560">
        <v>582400</v>
      </c>
      <c r="F1560">
        <v>4979659</v>
      </c>
      <c r="G1560">
        <v>294200</v>
      </c>
      <c r="H1560">
        <v>6212105</v>
      </c>
      <c r="I1560">
        <v>98000</v>
      </c>
      <c r="J1560">
        <v>6200675</v>
      </c>
      <c r="K1560">
        <v>107400</v>
      </c>
    </row>
    <row r="1561" spans="1:11" x14ac:dyDescent="0.3">
      <c r="A1561" t="s">
        <v>1570</v>
      </c>
      <c r="B1561">
        <v>319600</v>
      </c>
      <c r="C1561">
        <v>2614800</v>
      </c>
      <c r="D1561">
        <v>159903</v>
      </c>
      <c r="E1561">
        <v>573500</v>
      </c>
      <c r="F1561">
        <v>4986388</v>
      </c>
      <c r="G1561">
        <v>294800</v>
      </c>
      <c r="H1561">
        <v>6220064</v>
      </c>
      <c r="I1561">
        <v>98500</v>
      </c>
      <c r="J1561">
        <v>6209239</v>
      </c>
      <c r="K1561">
        <v>116600</v>
      </c>
    </row>
    <row r="1562" spans="1:11" x14ac:dyDescent="0.3">
      <c r="A1562" t="s">
        <v>1571</v>
      </c>
      <c r="B1562">
        <v>319600</v>
      </c>
      <c r="C1562">
        <v>2482600</v>
      </c>
      <c r="D1562">
        <v>157767</v>
      </c>
      <c r="E1562">
        <v>552800</v>
      </c>
      <c r="F1562">
        <v>4993171</v>
      </c>
      <c r="G1562">
        <v>289600</v>
      </c>
      <c r="H1562">
        <v>6228479</v>
      </c>
      <c r="I1562">
        <v>98600</v>
      </c>
      <c r="J1562">
        <v>6217610</v>
      </c>
      <c r="K1562">
        <v>109500</v>
      </c>
    </row>
    <row r="1563" spans="1:11" x14ac:dyDescent="0.3">
      <c r="A1563" t="s">
        <v>1572</v>
      </c>
      <c r="B1563">
        <v>319600</v>
      </c>
      <c r="C1563">
        <v>2597700</v>
      </c>
      <c r="D1563">
        <v>159686</v>
      </c>
      <c r="E1563">
        <v>557000</v>
      </c>
      <c r="F1563">
        <v>4999921</v>
      </c>
      <c r="G1563">
        <v>289200</v>
      </c>
      <c r="H1563">
        <v>6236362</v>
      </c>
      <c r="I1563">
        <v>96900</v>
      </c>
      <c r="J1563">
        <v>6226119</v>
      </c>
      <c r="K1563">
        <v>110600</v>
      </c>
    </row>
    <row r="1564" spans="1:11" x14ac:dyDescent="0.3">
      <c r="A1564" t="s">
        <v>1573</v>
      </c>
      <c r="B1564">
        <v>319600</v>
      </c>
      <c r="C1564">
        <v>2548100</v>
      </c>
      <c r="D1564">
        <v>159333</v>
      </c>
      <c r="E1564">
        <v>559300</v>
      </c>
      <c r="F1564">
        <v>5006648</v>
      </c>
      <c r="G1564">
        <v>292800</v>
      </c>
      <c r="H1564">
        <v>6244448</v>
      </c>
      <c r="I1564">
        <v>97600</v>
      </c>
      <c r="J1564">
        <v>6234627</v>
      </c>
      <c r="K1564">
        <v>112200</v>
      </c>
    </row>
    <row r="1565" spans="1:11" x14ac:dyDescent="0.3">
      <c r="A1565" t="s">
        <v>1574</v>
      </c>
      <c r="B1565">
        <v>319600</v>
      </c>
      <c r="C1565">
        <v>2348800</v>
      </c>
      <c r="D1565">
        <v>163012</v>
      </c>
      <c r="E1565">
        <v>565400</v>
      </c>
      <c r="F1565">
        <v>5013392</v>
      </c>
      <c r="G1565">
        <v>296300</v>
      </c>
      <c r="H1565">
        <v>6252599</v>
      </c>
      <c r="I1565">
        <v>96900</v>
      </c>
      <c r="J1565">
        <v>6242852</v>
      </c>
      <c r="K1565">
        <v>105700</v>
      </c>
    </row>
    <row r="1566" spans="1:11" x14ac:dyDescent="0.3">
      <c r="A1566" t="s">
        <v>1575</v>
      </c>
      <c r="B1566">
        <v>319600</v>
      </c>
      <c r="C1566">
        <v>2489900</v>
      </c>
      <c r="D1566">
        <v>153168</v>
      </c>
      <c r="E1566">
        <v>583200</v>
      </c>
      <c r="F1566">
        <v>5020123</v>
      </c>
      <c r="G1566">
        <v>303800</v>
      </c>
      <c r="H1566">
        <v>6260505</v>
      </c>
      <c r="I1566">
        <v>95100</v>
      </c>
      <c r="J1566">
        <v>6251029</v>
      </c>
      <c r="K1566">
        <v>109900</v>
      </c>
    </row>
    <row r="1567" spans="1:11" x14ac:dyDescent="0.3">
      <c r="A1567" t="s">
        <v>1576</v>
      </c>
      <c r="B1567">
        <v>319600</v>
      </c>
      <c r="C1567">
        <v>2885800</v>
      </c>
      <c r="D1567">
        <v>162194</v>
      </c>
      <c r="E1567">
        <v>569000</v>
      </c>
      <c r="F1567">
        <v>5026845</v>
      </c>
      <c r="G1567">
        <v>294300</v>
      </c>
      <c r="H1567">
        <v>6269013</v>
      </c>
      <c r="I1567">
        <v>96300</v>
      </c>
      <c r="J1567">
        <v>6259098</v>
      </c>
      <c r="K1567">
        <v>112600</v>
      </c>
    </row>
    <row r="1568" spans="1:11" x14ac:dyDescent="0.3">
      <c r="A1568" t="s">
        <v>1577</v>
      </c>
      <c r="B1568">
        <v>319600</v>
      </c>
      <c r="C1568">
        <v>2953900</v>
      </c>
      <c r="D1568">
        <v>159683</v>
      </c>
      <c r="E1568">
        <v>561700</v>
      </c>
      <c r="F1568">
        <v>5033550</v>
      </c>
      <c r="G1568">
        <v>294900</v>
      </c>
      <c r="H1568">
        <v>6277978</v>
      </c>
      <c r="I1568">
        <v>100900</v>
      </c>
      <c r="J1568">
        <v>6267110</v>
      </c>
      <c r="K1568">
        <v>113300</v>
      </c>
    </row>
    <row r="1569" spans="1:11" x14ac:dyDescent="0.3">
      <c r="A1569" t="s">
        <v>1578</v>
      </c>
      <c r="B1569">
        <v>319600</v>
      </c>
      <c r="C1569">
        <v>2405000</v>
      </c>
      <c r="D1569">
        <v>155285</v>
      </c>
      <c r="E1569">
        <v>542500</v>
      </c>
      <c r="F1569">
        <v>5040277</v>
      </c>
      <c r="G1569">
        <v>296800</v>
      </c>
      <c r="H1569">
        <v>6286404</v>
      </c>
      <c r="I1569">
        <v>99000</v>
      </c>
      <c r="J1569">
        <v>6276041</v>
      </c>
      <c r="K1569">
        <v>110900</v>
      </c>
    </row>
    <row r="1570" spans="1:11" x14ac:dyDescent="0.3">
      <c r="A1570" t="s">
        <v>1579</v>
      </c>
      <c r="B1570">
        <v>319600</v>
      </c>
      <c r="C1570">
        <v>2835800</v>
      </c>
      <c r="D1570">
        <v>164885</v>
      </c>
      <c r="E1570">
        <v>732700</v>
      </c>
      <c r="F1570">
        <v>5047011</v>
      </c>
      <c r="G1570">
        <v>313300</v>
      </c>
      <c r="H1570">
        <v>6294648</v>
      </c>
      <c r="I1570">
        <v>98200</v>
      </c>
      <c r="J1570">
        <v>6284740</v>
      </c>
      <c r="K1570">
        <v>113100</v>
      </c>
    </row>
    <row r="1571" spans="1:11" x14ac:dyDescent="0.3">
      <c r="A1571" t="s">
        <v>1580</v>
      </c>
      <c r="B1571">
        <v>319600</v>
      </c>
      <c r="C1571">
        <v>2569500</v>
      </c>
      <c r="D1571">
        <v>161151</v>
      </c>
      <c r="E1571">
        <v>578800</v>
      </c>
      <c r="F1571">
        <v>5053739</v>
      </c>
      <c r="G1571">
        <v>289000</v>
      </c>
      <c r="H1571">
        <v>6303560</v>
      </c>
      <c r="I1571">
        <v>100100</v>
      </c>
      <c r="J1571">
        <v>6292914</v>
      </c>
      <c r="K1571">
        <v>112400</v>
      </c>
    </row>
    <row r="1572" spans="1:11" x14ac:dyDescent="0.3">
      <c r="A1572" t="s">
        <v>1581</v>
      </c>
      <c r="B1572">
        <v>319600</v>
      </c>
      <c r="C1572">
        <v>2476800</v>
      </c>
      <c r="D1572">
        <v>157191</v>
      </c>
      <c r="E1572">
        <v>545100</v>
      </c>
      <c r="F1572">
        <v>5060466</v>
      </c>
      <c r="G1572">
        <v>289800</v>
      </c>
      <c r="H1572">
        <v>6311964</v>
      </c>
      <c r="I1572">
        <v>101400</v>
      </c>
      <c r="J1572">
        <v>6302175</v>
      </c>
      <c r="K1572">
        <v>111200</v>
      </c>
    </row>
    <row r="1573" spans="1:11" x14ac:dyDescent="0.3">
      <c r="A1573" t="s">
        <v>1582</v>
      </c>
      <c r="B1573">
        <v>319600</v>
      </c>
      <c r="C1573">
        <v>3000300</v>
      </c>
      <c r="D1573">
        <v>162946</v>
      </c>
      <c r="E1573">
        <v>579900</v>
      </c>
      <c r="F1573">
        <v>5067168</v>
      </c>
      <c r="G1573">
        <v>293000</v>
      </c>
      <c r="H1573">
        <v>6320273</v>
      </c>
      <c r="I1573">
        <v>98800</v>
      </c>
      <c r="J1573">
        <v>6310825</v>
      </c>
      <c r="K1573">
        <v>109600</v>
      </c>
    </row>
    <row r="1574" spans="1:11" x14ac:dyDescent="0.3">
      <c r="A1574" t="s">
        <v>1583</v>
      </c>
      <c r="B1574">
        <v>319600</v>
      </c>
      <c r="C1574">
        <v>2758200</v>
      </c>
      <c r="D1574">
        <v>162946</v>
      </c>
      <c r="E1574">
        <v>567100</v>
      </c>
      <c r="F1574">
        <v>5073897</v>
      </c>
      <c r="G1574">
        <v>291600</v>
      </c>
      <c r="H1574">
        <v>6328529</v>
      </c>
      <c r="I1574">
        <v>101900</v>
      </c>
      <c r="J1574">
        <v>6318749</v>
      </c>
      <c r="K1574">
        <v>109100</v>
      </c>
    </row>
    <row r="1575" spans="1:11" x14ac:dyDescent="0.3">
      <c r="A1575" t="s">
        <v>1584</v>
      </c>
      <c r="B1575">
        <v>319600</v>
      </c>
      <c r="C1575">
        <v>2536500</v>
      </c>
      <c r="D1575">
        <v>162921</v>
      </c>
      <c r="E1575">
        <v>570200</v>
      </c>
      <c r="F1575">
        <v>5080590</v>
      </c>
      <c r="G1575">
        <v>319100</v>
      </c>
      <c r="H1575">
        <v>6336828</v>
      </c>
      <c r="I1575">
        <v>97200</v>
      </c>
      <c r="J1575">
        <v>6328466</v>
      </c>
      <c r="K1575">
        <v>112200</v>
      </c>
    </row>
    <row r="1576" spans="1:11" x14ac:dyDescent="0.3">
      <c r="A1576" t="s">
        <v>1585</v>
      </c>
      <c r="B1576">
        <v>319600</v>
      </c>
      <c r="C1576">
        <v>2528000</v>
      </c>
      <c r="D1576">
        <v>156897</v>
      </c>
      <c r="E1576">
        <v>546000</v>
      </c>
      <c r="F1576">
        <v>5087312</v>
      </c>
      <c r="G1576">
        <v>289400</v>
      </c>
      <c r="H1576">
        <v>6345473</v>
      </c>
      <c r="I1576">
        <v>99600</v>
      </c>
      <c r="J1576">
        <v>6338068</v>
      </c>
      <c r="K1576">
        <v>104800</v>
      </c>
    </row>
    <row r="1577" spans="1:11" x14ac:dyDescent="0.3">
      <c r="A1577" t="s">
        <v>1586</v>
      </c>
      <c r="B1577">
        <v>319600</v>
      </c>
      <c r="C1577">
        <v>2934600</v>
      </c>
      <c r="D1577">
        <v>161194</v>
      </c>
      <c r="E1577">
        <v>564300</v>
      </c>
      <c r="F1577">
        <v>5094030</v>
      </c>
      <c r="G1577">
        <v>293500</v>
      </c>
      <c r="H1577">
        <v>6353937</v>
      </c>
      <c r="I1577">
        <v>98700</v>
      </c>
      <c r="J1577">
        <v>6346107</v>
      </c>
      <c r="K1577">
        <v>108400</v>
      </c>
    </row>
    <row r="1578" spans="1:11" x14ac:dyDescent="0.3">
      <c r="A1578" t="s">
        <v>1587</v>
      </c>
      <c r="B1578">
        <v>319600</v>
      </c>
      <c r="C1578">
        <v>2513400</v>
      </c>
      <c r="D1578">
        <v>150497</v>
      </c>
      <c r="E1578">
        <v>541400</v>
      </c>
      <c r="F1578">
        <v>5100731</v>
      </c>
      <c r="G1578">
        <v>291700</v>
      </c>
      <c r="H1578">
        <v>6362885</v>
      </c>
      <c r="I1578">
        <v>104600</v>
      </c>
      <c r="J1578">
        <v>6354847</v>
      </c>
      <c r="K1578">
        <v>114600</v>
      </c>
    </row>
    <row r="1579" spans="1:11" x14ac:dyDescent="0.3">
      <c r="A1579" t="s">
        <v>1588</v>
      </c>
      <c r="B1579">
        <v>319600</v>
      </c>
      <c r="C1579">
        <v>2791800</v>
      </c>
      <c r="D1579">
        <v>156725</v>
      </c>
      <c r="E1579">
        <v>725200</v>
      </c>
      <c r="F1579">
        <v>5107443</v>
      </c>
      <c r="G1579">
        <v>290500</v>
      </c>
      <c r="H1579">
        <v>6371045</v>
      </c>
      <c r="I1579">
        <v>101100</v>
      </c>
      <c r="J1579">
        <v>6363391</v>
      </c>
      <c r="K1579">
        <v>119200</v>
      </c>
    </row>
    <row r="1580" spans="1:11" x14ac:dyDescent="0.3">
      <c r="A1580" t="s">
        <v>1589</v>
      </c>
      <c r="B1580">
        <v>319600</v>
      </c>
      <c r="C1580">
        <v>2535000</v>
      </c>
      <c r="D1580">
        <v>159125</v>
      </c>
      <c r="E1580">
        <v>563200</v>
      </c>
      <c r="F1580">
        <v>5114163</v>
      </c>
      <c r="G1580">
        <v>294900</v>
      </c>
      <c r="H1580">
        <v>6379230</v>
      </c>
      <c r="I1580">
        <v>100100</v>
      </c>
      <c r="J1580">
        <v>6371577</v>
      </c>
      <c r="K1580">
        <v>109700</v>
      </c>
    </row>
    <row r="1581" spans="1:11" x14ac:dyDescent="0.3">
      <c r="A1581" t="s">
        <v>1590</v>
      </c>
      <c r="B1581">
        <v>319600</v>
      </c>
      <c r="C1581">
        <v>2461700</v>
      </c>
      <c r="D1581">
        <v>152868</v>
      </c>
      <c r="E1581">
        <v>530500</v>
      </c>
      <c r="F1581">
        <v>5120907</v>
      </c>
      <c r="G1581">
        <v>291800</v>
      </c>
      <c r="H1581">
        <v>6387158</v>
      </c>
      <c r="I1581">
        <v>97200</v>
      </c>
      <c r="J1581">
        <v>6380069</v>
      </c>
      <c r="K1581">
        <v>105400</v>
      </c>
    </row>
    <row r="1582" spans="1:11" x14ac:dyDescent="0.3">
      <c r="A1582" t="s">
        <v>1591</v>
      </c>
      <c r="B1582">
        <v>319600</v>
      </c>
      <c r="C1582">
        <v>2626600</v>
      </c>
      <c r="D1582">
        <v>162353</v>
      </c>
      <c r="E1582">
        <v>577900</v>
      </c>
      <c r="F1582">
        <v>5127631</v>
      </c>
      <c r="G1582">
        <v>291300</v>
      </c>
      <c r="H1582">
        <v>6394868</v>
      </c>
      <c r="I1582">
        <v>97000</v>
      </c>
      <c r="J1582">
        <v>6388098</v>
      </c>
      <c r="K1582">
        <v>110700</v>
      </c>
    </row>
    <row r="1583" spans="1:11" x14ac:dyDescent="0.3">
      <c r="A1583" t="s">
        <v>1592</v>
      </c>
      <c r="B1583">
        <v>319600</v>
      </c>
      <c r="C1583">
        <v>2515300</v>
      </c>
      <c r="D1583">
        <v>156726</v>
      </c>
      <c r="E1583">
        <v>550600</v>
      </c>
      <c r="F1583">
        <v>5134355</v>
      </c>
      <c r="G1583">
        <v>291600</v>
      </c>
      <c r="H1583">
        <v>6404773</v>
      </c>
      <c r="I1583">
        <v>101700</v>
      </c>
      <c r="J1583">
        <v>6396272</v>
      </c>
      <c r="K1583">
        <v>107200</v>
      </c>
    </row>
    <row r="1584" spans="1:11" x14ac:dyDescent="0.3">
      <c r="A1584" t="s">
        <v>1593</v>
      </c>
      <c r="B1584">
        <v>319600</v>
      </c>
      <c r="C1584">
        <v>2749100</v>
      </c>
      <c r="D1584">
        <v>160138</v>
      </c>
      <c r="E1584">
        <v>556200</v>
      </c>
      <c r="F1584">
        <v>5141064</v>
      </c>
      <c r="G1584">
        <v>544200</v>
      </c>
      <c r="H1584">
        <v>6413099</v>
      </c>
      <c r="I1584">
        <v>120200</v>
      </c>
      <c r="J1584">
        <v>6404226</v>
      </c>
      <c r="K1584">
        <v>132700</v>
      </c>
    </row>
    <row r="1585" spans="1:11" x14ac:dyDescent="0.3">
      <c r="A1585" t="s">
        <v>1594</v>
      </c>
      <c r="B1585">
        <v>319600</v>
      </c>
      <c r="C1585">
        <v>2615500</v>
      </c>
      <c r="D1585">
        <v>160022</v>
      </c>
      <c r="E1585">
        <v>584600</v>
      </c>
      <c r="F1585">
        <v>5147778</v>
      </c>
      <c r="G1585">
        <v>289500</v>
      </c>
      <c r="H1585">
        <v>6420852</v>
      </c>
      <c r="I1585">
        <v>97500</v>
      </c>
      <c r="J1585">
        <v>6412284</v>
      </c>
      <c r="K1585">
        <v>108800</v>
      </c>
    </row>
    <row r="1586" spans="1:11" x14ac:dyDescent="0.3">
      <c r="A1586" t="s">
        <v>1595</v>
      </c>
      <c r="B1586">
        <v>319600</v>
      </c>
      <c r="C1586">
        <v>2492800</v>
      </c>
      <c r="D1586">
        <v>161564</v>
      </c>
      <c r="E1586">
        <v>570300</v>
      </c>
      <c r="F1586">
        <v>5154513</v>
      </c>
      <c r="G1586">
        <v>291800</v>
      </c>
      <c r="H1586">
        <v>6428813</v>
      </c>
      <c r="I1586">
        <v>95900</v>
      </c>
      <c r="J1586">
        <v>6420548</v>
      </c>
      <c r="K1586">
        <v>111200</v>
      </c>
    </row>
    <row r="1587" spans="1:11" x14ac:dyDescent="0.3">
      <c r="A1587" t="s">
        <v>1596</v>
      </c>
      <c r="B1587">
        <v>319600</v>
      </c>
      <c r="C1587">
        <v>2561400</v>
      </c>
      <c r="D1587">
        <v>161666</v>
      </c>
      <c r="E1587">
        <v>566900</v>
      </c>
      <c r="F1587">
        <v>5161251</v>
      </c>
      <c r="G1587">
        <v>287600</v>
      </c>
      <c r="H1587">
        <v>6436499</v>
      </c>
      <c r="I1587">
        <v>97700</v>
      </c>
      <c r="J1587">
        <v>6428810</v>
      </c>
      <c r="K1587">
        <v>108700</v>
      </c>
    </row>
    <row r="1588" spans="1:11" x14ac:dyDescent="0.3">
      <c r="A1588" t="s">
        <v>1597</v>
      </c>
      <c r="B1588">
        <v>319600</v>
      </c>
      <c r="C1588">
        <v>2562700</v>
      </c>
      <c r="D1588">
        <v>166736</v>
      </c>
      <c r="E1588">
        <v>596400</v>
      </c>
      <c r="F1588">
        <v>5167961</v>
      </c>
      <c r="G1588">
        <v>292000</v>
      </c>
      <c r="H1588">
        <v>6444240</v>
      </c>
      <c r="I1588">
        <v>96000</v>
      </c>
      <c r="J1588">
        <v>6436719</v>
      </c>
      <c r="K1588">
        <v>108900</v>
      </c>
    </row>
    <row r="1589" spans="1:11" x14ac:dyDescent="0.3">
      <c r="A1589" t="s">
        <v>1598</v>
      </c>
      <c r="B1589">
        <v>319600</v>
      </c>
      <c r="C1589">
        <v>2517200</v>
      </c>
      <c r="D1589">
        <v>163820</v>
      </c>
      <c r="E1589">
        <v>567600</v>
      </c>
      <c r="F1589">
        <v>5174677</v>
      </c>
      <c r="G1589">
        <v>295200</v>
      </c>
      <c r="H1589">
        <v>6452927</v>
      </c>
      <c r="I1589">
        <v>101300</v>
      </c>
      <c r="J1589">
        <v>6444753</v>
      </c>
      <c r="K1589">
        <v>106300</v>
      </c>
    </row>
    <row r="1590" spans="1:11" x14ac:dyDescent="0.3">
      <c r="A1590" t="s">
        <v>1599</v>
      </c>
      <c r="B1590">
        <v>319600</v>
      </c>
      <c r="C1590">
        <v>2443600</v>
      </c>
      <c r="D1590">
        <v>165942</v>
      </c>
      <c r="E1590">
        <v>580300</v>
      </c>
      <c r="F1590">
        <v>5181391</v>
      </c>
      <c r="G1590">
        <v>289100</v>
      </c>
      <c r="H1590">
        <v>6461342</v>
      </c>
      <c r="I1590">
        <v>95200</v>
      </c>
      <c r="J1590">
        <v>6453671</v>
      </c>
      <c r="K1590">
        <v>111400</v>
      </c>
    </row>
    <row r="1591" spans="1:11" x14ac:dyDescent="0.3">
      <c r="A1591" t="s">
        <v>1600</v>
      </c>
      <c r="B1591">
        <v>319600</v>
      </c>
      <c r="C1591">
        <v>2608600</v>
      </c>
      <c r="D1591">
        <v>158358</v>
      </c>
      <c r="E1591">
        <v>624600</v>
      </c>
      <c r="F1591">
        <v>5188101</v>
      </c>
      <c r="G1591">
        <v>296700</v>
      </c>
      <c r="H1591">
        <v>6469194</v>
      </c>
      <c r="I1591">
        <v>95800</v>
      </c>
      <c r="J1591">
        <v>6461629</v>
      </c>
      <c r="K1591">
        <v>108600</v>
      </c>
    </row>
    <row r="1592" spans="1:11" x14ac:dyDescent="0.3">
      <c r="A1592" t="s">
        <v>1601</v>
      </c>
      <c r="B1592">
        <v>319600</v>
      </c>
      <c r="C1592">
        <v>2847600</v>
      </c>
      <c r="D1592">
        <v>161109</v>
      </c>
      <c r="E1592">
        <v>563700</v>
      </c>
      <c r="F1592">
        <v>5194836</v>
      </c>
      <c r="G1592">
        <v>293300</v>
      </c>
      <c r="H1592">
        <v>6477084</v>
      </c>
      <c r="I1592">
        <v>98000</v>
      </c>
      <c r="J1592">
        <v>6469702</v>
      </c>
      <c r="K1592">
        <v>107100</v>
      </c>
    </row>
    <row r="1593" spans="1:11" x14ac:dyDescent="0.3">
      <c r="A1593" t="s">
        <v>1602</v>
      </c>
      <c r="B1593">
        <v>319600</v>
      </c>
      <c r="C1593">
        <v>2531300</v>
      </c>
      <c r="D1593">
        <v>154969</v>
      </c>
      <c r="E1593">
        <v>542000</v>
      </c>
      <c r="F1593">
        <v>5201548</v>
      </c>
      <c r="G1593">
        <v>290300</v>
      </c>
      <c r="H1593">
        <v>6484924</v>
      </c>
      <c r="I1593">
        <v>98500</v>
      </c>
      <c r="J1593">
        <v>6477391</v>
      </c>
      <c r="K1593">
        <v>108900</v>
      </c>
    </row>
    <row r="1594" spans="1:11" x14ac:dyDescent="0.3">
      <c r="A1594" t="s">
        <v>1603</v>
      </c>
      <c r="B1594">
        <v>319600</v>
      </c>
      <c r="C1594">
        <v>2544800</v>
      </c>
      <c r="D1594">
        <v>164347</v>
      </c>
      <c r="E1594">
        <v>598500</v>
      </c>
      <c r="F1594">
        <v>5208269</v>
      </c>
      <c r="G1594">
        <v>290300</v>
      </c>
      <c r="H1594">
        <v>6492800</v>
      </c>
      <c r="I1594">
        <v>97300</v>
      </c>
      <c r="J1594">
        <v>6485820</v>
      </c>
      <c r="K1594">
        <v>108500</v>
      </c>
    </row>
    <row r="1595" spans="1:11" x14ac:dyDescent="0.3">
      <c r="A1595" t="s">
        <v>1604</v>
      </c>
      <c r="B1595">
        <v>319600</v>
      </c>
      <c r="C1595">
        <v>2426700</v>
      </c>
      <c r="D1595">
        <v>157690</v>
      </c>
      <c r="E1595">
        <v>549300</v>
      </c>
      <c r="F1595">
        <v>5215014</v>
      </c>
      <c r="G1595">
        <v>295800</v>
      </c>
      <c r="H1595">
        <v>6502157</v>
      </c>
      <c r="I1595">
        <v>98500</v>
      </c>
      <c r="J1595">
        <v>6493670</v>
      </c>
      <c r="K1595">
        <v>107200</v>
      </c>
    </row>
    <row r="1596" spans="1:11" x14ac:dyDescent="0.3">
      <c r="A1596" t="s">
        <v>1605</v>
      </c>
      <c r="B1596">
        <v>319600</v>
      </c>
      <c r="C1596">
        <v>2827200</v>
      </c>
      <c r="D1596">
        <v>157170</v>
      </c>
      <c r="E1596">
        <v>551700</v>
      </c>
      <c r="F1596">
        <v>5221751</v>
      </c>
      <c r="G1596">
        <v>296400</v>
      </c>
      <c r="H1596">
        <v>6510580</v>
      </c>
      <c r="I1596">
        <v>97900</v>
      </c>
      <c r="J1596">
        <v>6502190</v>
      </c>
      <c r="K1596">
        <v>108800</v>
      </c>
    </row>
    <row r="1597" spans="1:11" x14ac:dyDescent="0.3">
      <c r="A1597" t="s">
        <v>1606</v>
      </c>
      <c r="B1597">
        <v>319600</v>
      </c>
      <c r="C1597">
        <v>2417300</v>
      </c>
      <c r="D1597">
        <v>156618</v>
      </c>
      <c r="E1597">
        <v>557100</v>
      </c>
      <c r="F1597">
        <v>5228465</v>
      </c>
      <c r="G1597">
        <v>289000</v>
      </c>
      <c r="H1597">
        <v>6519306</v>
      </c>
      <c r="I1597">
        <v>95200</v>
      </c>
      <c r="J1597">
        <v>6510363</v>
      </c>
      <c r="K1597">
        <v>107200</v>
      </c>
    </row>
    <row r="1598" spans="1:11" x14ac:dyDescent="0.3">
      <c r="A1598" t="s">
        <v>1607</v>
      </c>
      <c r="B1598">
        <v>319600</v>
      </c>
      <c r="C1598">
        <v>2521700</v>
      </c>
      <c r="D1598">
        <v>154870</v>
      </c>
      <c r="E1598">
        <v>548000</v>
      </c>
      <c r="F1598">
        <v>5235155</v>
      </c>
      <c r="G1598">
        <v>298200</v>
      </c>
      <c r="H1598">
        <v>6527922</v>
      </c>
      <c r="I1598">
        <v>133100</v>
      </c>
      <c r="J1598">
        <v>6519063</v>
      </c>
      <c r="K1598">
        <v>150000</v>
      </c>
    </row>
    <row r="1599" spans="1:11" x14ac:dyDescent="0.3">
      <c r="A1599" t="s">
        <v>1608</v>
      </c>
      <c r="B1599">
        <v>319600</v>
      </c>
      <c r="C1599">
        <v>2516600</v>
      </c>
      <c r="D1599">
        <v>161347</v>
      </c>
      <c r="E1599">
        <v>588500</v>
      </c>
      <c r="F1599">
        <v>5241906</v>
      </c>
      <c r="G1599">
        <v>287300</v>
      </c>
      <c r="H1599">
        <v>6535904</v>
      </c>
      <c r="I1599">
        <v>97700</v>
      </c>
      <c r="J1599">
        <v>6528448</v>
      </c>
      <c r="K1599">
        <v>110800</v>
      </c>
    </row>
    <row r="1600" spans="1:11" x14ac:dyDescent="0.3">
      <c r="A1600" t="s">
        <v>1609</v>
      </c>
      <c r="B1600">
        <v>319600</v>
      </c>
      <c r="C1600">
        <v>2328000</v>
      </c>
      <c r="D1600">
        <v>168546</v>
      </c>
      <c r="E1600">
        <v>583900</v>
      </c>
      <c r="F1600">
        <v>5248624</v>
      </c>
      <c r="G1600">
        <v>289000</v>
      </c>
      <c r="H1600">
        <v>6544026</v>
      </c>
      <c r="I1600">
        <v>97700</v>
      </c>
      <c r="J1600">
        <v>6536691</v>
      </c>
      <c r="K1600">
        <v>105400</v>
      </c>
    </row>
    <row r="1601" spans="1:11" x14ac:dyDescent="0.3">
      <c r="A1601" t="s">
        <v>1610</v>
      </c>
      <c r="B1601">
        <v>319600</v>
      </c>
      <c r="C1601">
        <v>2375900</v>
      </c>
      <c r="D1601">
        <v>159165</v>
      </c>
      <c r="E1601">
        <v>559000</v>
      </c>
      <c r="F1601">
        <v>5255341</v>
      </c>
      <c r="G1601">
        <v>296800</v>
      </c>
      <c r="H1601">
        <v>6552435</v>
      </c>
      <c r="I1601">
        <v>123100</v>
      </c>
      <c r="J1601">
        <v>6545951</v>
      </c>
      <c r="K1601">
        <v>145600</v>
      </c>
    </row>
    <row r="1602" spans="1:11" x14ac:dyDescent="0.3">
      <c r="A1602" t="s">
        <v>1611</v>
      </c>
      <c r="B1602">
        <v>360825</v>
      </c>
      <c r="C1602">
        <v>2911700</v>
      </c>
      <c r="D1602">
        <v>176996</v>
      </c>
      <c r="E1602">
        <v>613700</v>
      </c>
      <c r="F1602">
        <v>5262512</v>
      </c>
      <c r="G1602">
        <v>315000</v>
      </c>
      <c r="H1602">
        <v>6560817</v>
      </c>
      <c r="I1602">
        <v>105200</v>
      </c>
      <c r="J1602">
        <v>6554187</v>
      </c>
      <c r="K1602">
        <v>117500</v>
      </c>
    </row>
    <row r="1603" spans="1:11" x14ac:dyDescent="0.3">
      <c r="A1603" t="s">
        <v>1612</v>
      </c>
      <c r="B1603">
        <v>360825</v>
      </c>
      <c r="C1603">
        <v>2825700</v>
      </c>
      <c r="D1603">
        <v>175449</v>
      </c>
      <c r="E1603">
        <v>610200</v>
      </c>
      <c r="F1603">
        <v>5269744</v>
      </c>
      <c r="G1603">
        <v>307800</v>
      </c>
      <c r="H1603">
        <v>6569290</v>
      </c>
      <c r="I1603">
        <v>102800</v>
      </c>
      <c r="J1603">
        <v>6563051</v>
      </c>
      <c r="K1603">
        <v>111500</v>
      </c>
    </row>
    <row r="1604" spans="1:11" x14ac:dyDescent="0.3">
      <c r="A1604" t="s">
        <v>1613</v>
      </c>
      <c r="B1604">
        <v>360825</v>
      </c>
      <c r="C1604">
        <v>2924000</v>
      </c>
      <c r="D1604">
        <v>176960</v>
      </c>
      <c r="E1604">
        <v>637100</v>
      </c>
      <c r="F1604">
        <v>5276953</v>
      </c>
      <c r="G1604">
        <v>307500</v>
      </c>
      <c r="H1604">
        <v>6578453</v>
      </c>
      <c r="I1604">
        <v>103100</v>
      </c>
      <c r="J1604">
        <v>6571942</v>
      </c>
      <c r="K1604">
        <v>120900</v>
      </c>
    </row>
    <row r="1605" spans="1:11" x14ac:dyDescent="0.3">
      <c r="A1605" t="s">
        <v>1614</v>
      </c>
      <c r="B1605">
        <v>360825</v>
      </c>
      <c r="C1605">
        <v>2728700</v>
      </c>
      <c r="D1605">
        <v>181932</v>
      </c>
      <c r="E1605">
        <v>660100</v>
      </c>
      <c r="F1605">
        <v>5284183</v>
      </c>
      <c r="G1605">
        <v>313500</v>
      </c>
      <c r="H1605">
        <v>6588029</v>
      </c>
      <c r="I1605">
        <v>104800</v>
      </c>
      <c r="J1605">
        <v>6581658</v>
      </c>
      <c r="K1605">
        <v>120900</v>
      </c>
    </row>
    <row r="1606" spans="1:11" x14ac:dyDescent="0.3">
      <c r="A1606" t="s">
        <v>1615</v>
      </c>
      <c r="B1606">
        <v>360825</v>
      </c>
      <c r="C1606">
        <v>2967500</v>
      </c>
      <c r="D1606">
        <v>188351</v>
      </c>
      <c r="E1606">
        <v>651600</v>
      </c>
      <c r="F1606">
        <v>5291416</v>
      </c>
      <c r="G1606">
        <v>318100</v>
      </c>
      <c r="H1606">
        <v>6596882</v>
      </c>
      <c r="I1606">
        <v>105600</v>
      </c>
      <c r="J1606">
        <v>6590362</v>
      </c>
      <c r="K1606">
        <v>116400</v>
      </c>
    </row>
    <row r="1607" spans="1:11" x14ac:dyDescent="0.3">
      <c r="A1607" t="s">
        <v>1616</v>
      </c>
      <c r="B1607">
        <v>360825</v>
      </c>
      <c r="C1607">
        <v>2779400</v>
      </c>
      <c r="D1607">
        <v>174598</v>
      </c>
      <c r="E1607">
        <v>642900</v>
      </c>
      <c r="F1607">
        <v>5298602</v>
      </c>
      <c r="G1607">
        <v>312400</v>
      </c>
      <c r="H1607">
        <v>6605595</v>
      </c>
      <c r="I1607">
        <v>104800</v>
      </c>
      <c r="J1607">
        <v>6599383</v>
      </c>
      <c r="K1607">
        <v>115800</v>
      </c>
    </row>
    <row r="1608" spans="1:11" x14ac:dyDescent="0.3">
      <c r="A1608" t="s">
        <v>1617</v>
      </c>
      <c r="B1608">
        <v>360825</v>
      </c>
      <c r="C1608">
        <v>2881800</v>
      </c>
      <c r="D1608">
        <v>181367</v>
      </c>
      <c r="E1608">
        <v>867600</v>
      </c>
      <c r="F1608">
        <v>5305828</v>
      </c>
      <c r="G1608">
        <v>309500</v>
      </c>
      <c r="H1608">
        <v>6613989</v>
      </c>
      <c r="I1608">
        <v>102200</v>
      </c>
      <c r="J1608">
        <v>6608942</v>
      </c>
      <c r="K1608">
        <v>114600</v>
      </c>
    </row>
    <row r="1609" spans="1:11" x14ac:dyDescent="0.3">
      <c r="A1609" t="s">
        <v>1618</v>
      </c>
      <c r="B1609">
        <v>360825</v>
      </c>
      <c r="C1609">
        <v>2817600</v>
      </c>
      <c r="D1609">
        <v>177582</v>
      </c>
      <c r="E1609">
        <v>632300</v>
      </c>
      <c r="F1609">
        <v>5313034</v>
      </c>
      <c r="G1609">
        <v>311700</v>
      </c>
      <c r="H1609">
        <v>6623459</v>
      </c>
      <c r="I1609">
        <v>107200</v>
      </c>
      <c r="J1609">
        <v>6619332</v>
      </c>
      <c r="K1609">
        <v>116600</v>
      </c>
    </row>
    <row r="1610" spans="1:11" x14ac:dyDescent="0.3">
      <c r="A1610" t="s">
        <v>1619</v>
      </c>
      <c r="B1610">
        <v>360825</v>
      </c>
      <c r="C1610">
        <v>2935100</v>
      </c>
      <c r="D1610">
        <v>185628</v>
      </c>
      <c r="E1610">
        <v>643100</v>
      </c>
      <c r="F1610">
        <v>5320254</v>
      </c>
      <c r="G1610">
        <v>309400</v>
      </c>
      <c r="H1610">
        <v>6632568</v>
      </c>
      <c r="I1610">
        <v>102800</v>
      </c>
      <c r="J1610">
        <v>6627958</v>
      </c>
      <c r="K1610">
        <v>113100</v>
      </c>
    </row>
    <row r="1611" spans="1:11" x14ac:dyDescent="0.3">
      <c r="A1611" t="s">
        <v>1620</v>
      </c>
      <c r="B1611">
        <v>360825</v>
      </c>
      <c r="C1611">
        <v>2951300</v>
      </c>
      <c r="D1611">
        <v>175584</v>
      </c>
      <c r="E1611">
        <v>610600</v>
      </c>
      <c r="F1611">
        <v>5327477</v>
      </c>
      <c r="G1611">
        <v>309200</v>
      </c>
      <c r="H1611">
        <v>6641192</v>
      </c>
      <c r="I1611">
        <v>103700</v>
      </c>
      <c r="J1611">
        <v>6636625</v>
      </c>
      <c r="K1611">
        <v>116000</v>
      </c>
    </row>
    <row r="1612" spans="1:11" x14ac:dyDescent="0.3">
      <c r="A1612" t="s">
        <v>1621</v>
      </c>
      <c r="B1612">
        <v>360825</v>
      </c>
      <c r="C1612">
        <v>3096700</v>
      </c>
      <c r="D1612">
        <v>187066</v>
      </c>
      <c r="E1612">
        <v>671200</v>
      </c>
      <c r="F1612">
        <v>5334665</v>
      </c>
      <c r="G1612">
        <v>415600</v>
      </c>
      <c r="H1612">
        <v>6651719</v>
      </c>
      <c r="I1612">
        <v>142200</v>
      </c>
      <c r="J1612">
        <v>6645297</v>
      </c>
      <c r="K1612">
        <v>163800</v>
      </c>
    </row>
    <row r="1613" spans="1:11" x14ac:dyDescent="0.3">
      <c r="A1613" t="s">
        <v>1622</v>
      </c>
      <c r="B1613">
        <v>360825</v>
      </c>
      <c r="C1613">
        <v>2902100</v>
      </c>
      <c r="D1613">
        <v>184967</v>
      </c>
      <c r="E1613">
        <v>665200</v>
      </c>
      <c r="F1613">
        <v>5341858</v>
      </c>
      <c r="G1613">
        <v>316500</v>
      </c>
      <c r="H1613">
        <v>6660310</v>
      </c>
      <c r="I1613">
        <v>104900</v>
      </c>
      <c r="J1613">
        <v>6653927</v>
      </c>
      <c r="K1613">
        <v>118600</v>
      </c>
    </row>
    <row r="1614" spans="1:11" x14ac:dyDescent="0.3">
      <c r="A1614" t="s">
        <v>1623</v>
      </c>
      <c r="B1614">
        <v>360825</v>
      </c>
      <c r="C1614">
        <v>2890200</v>
      </c>
      <c r="D1614">
        <v>177968</v>
      </c>
      <c r="E1614">
        <v>645900</v>
      </c>
      <c r="F1614">
        <v>5349064</v>
      </c>
      <c r="G1614">
        <v>309900</v>
      </c>
      <c r="H1614">
        <v>6669183</v>
      </c>
      <c r="I1614">
        <v>104000</v>
      </c>
      <c r="J1614">
        <v>6662202</v>
      </c>
      <c r="K1614">
        <v>116900</v>
      </c>
    </row>
    <row r="1615" spans="1:11" x14ac:dyDescent="0.3">
      <c r="A1615" t="s">
        <v>1624</v>
      </c>
      <c r="B1615">
        <v>360825</v>
      </c>
      <c r="C1615">
        <v>3111300</v>
      </c>
      <c r="D1615">
        <v>175789</v>
      </c>
      <c r="E1615">
        <v>621300</v>
      </c>
      <c r="F1615">
        <v>5356292</v>
      </c>
      <c r="G1615">
        <v>314500</v>
      </c>
      <c r="H1615">
        <v>6678231</v>
      </c>
      <c r="I1615">
        <v>104200</v>
      </c>
      <c r="J1615">
        <v>6670974</v>
      </c>
      <c r="K1615">
        <v>115400</v>
      </c>
    </row>
    <row r="1616" spans="1:11" x14ac:dyDescent="0.3">
      <c r="A1616" t="s">
        <v>1625</v>
      </c>
      <c r="B1616">
        <v>360825</v>
      </c>
      <c r="C1616">
        <v>2956500</v>
      </c>
      <c r="D1616">
        <v>182285</v>
      </c>
      <c r="E1616">
        <v>707300</v>
      </c>
      <c r="F1616">
        <v>5363523</v>
      </c>
      <c r="G1616">
        <v>310200</v>
      </c>
      <c r="H1616">
        <v>6687228</v>
      </c>
      <c r="I1616">
        <v>103300</v>
      </c>
      <c r="J1616">
        <v>6679840</v>
      </c>
      <c r="K1616">
        <v>116700</v>
      </c>
    </row>
    <row r="1617" spans="1:11" x14ac:dyDescent="0.3">
      <c r="A1617" t="s">
        <v>1626</v>
      </c>
      <c r="B1617">
        <v>360825</v>
      </c>
      <c r="C1617">
        <v>3123700</v>
      </c>
      <c r="D1617">
        <v>174470</v>
      </c>
      <c r="E1617">
        <v>609300</v>
      </c>
      <c r="F1617">
        <v>5370714</v>
      </c>
      <c r="G1617">
        <v>315200</v>
      </c>
      <c r="H1617">
        <v>6696395</v>
      </c>
      <c r="I1617">
        <v>104500</v>
      </c>
      <c r="J1617">
        <v>6689466</v>
      </c>
      <c r="K1617">
        <v>114700</v>
      </c>
    </row>
    <row r="1618" spans="1:11" x14ac:dyDescent="0.3">
      <c r="A1618" t="s">
        <v>1627</v>
      </c>
      <c r="B1618">
        <v>360825</v>
      </c>
      <c r="C1618">
        <v>2826000</v>
      </c>
      <c r="D1618">
        <v>180548</v>
      </c>
      <c r="E1618">
        <v>630600</v>
      </c>
      <c r="F1618">
        <v>5377954</v>
      </c>
      <c r="G1618">
        <v>311500</v>
      </c>
      <c r="H1618">
        <v>6705293</v>
      </c>
      <c r="I1618">
        <v>109000</v>
      </c>
      <c r="J1618">
        <v>6698948</v>
      </c>
      <c r="K1618">
        <v>120400</v>
      </c>
    </row>
    <row r="1619" spans="1:11" x14ac:dyDescent="0.3">
      <c r="A1619" t="s">
        <v>1628</v>
      </c>
      <c r="B1619">
        <v>360825</v>
      </c>
      <c r="C1619">
        <v>3364100</v>
      </c>
      <c r="D1619">
        <v>181662</v>
      </c>
      <c r="E1619">
        <v>648800</v>
      </c>
      <c r="F1619">
        <v>5385146</v>
      </c>
      <c r="G1619">
        <v>309800</v>
      </c>
      <c r="H1619">
        <v>6714417</v>
      </c>
      <c r="I1619">
        <v>110800</v>
      </c>
      <c r="J1619">
        <v>6707767</v>
      </c>
      <c r="K1619">
        <v>116800</v>
      </c>
    </row>
    <row r="1620" spans="1:11" x14ac:dyDescent="0.3">
      <c r="A1620" t="s">
        <v>1629</v>
      </c>
      <c r="B1620">
        <v>360825</v>
      </c>
      <c r="C1620">
        <v>3085200</v>
      </c>
      <c r="D1620">
        <v>180379</v>
      </c>
      <c r="E1620">
        <v>623900</v>
      </c>
      <c r="F1620">
        <v>5392356</v>
      </c>
      <c r="G1620">
        <v>321100</v>
      </c>
      <c r="H1620">
        <v>6722498</v>
      </c>
      <c r="I1620">
        <v>106000</v>
      </c>
      <c r="J1620">
        <v>6716540</v>
      </c>
      <c r="K1620">
        <v>114500</v>
      </c>
    </row>
    <row r="1621" spans="1:11" x14ac:dyDescent="0.3">
      <c r="A1621" t="s">
        <v>1630</v>
      </c>
      <c r="B1621">
        <v>360825</v>
      </c>
      <c r="C1621">
        <v>2907100</v>
      </c>
      <c r="D1621">
        <v>182938</v>
      </c>
      <c r="E1621">
        <v>632200</v>
      </c>
      <c r="F1621">
        <v>5399584</v>
      </c>
      <c r="G1621">
        <v>312200</v>
      </c>
      <c r="H1621">
        <v>6731295</v>
      </c>
      <c r="I1621">
        <v>107900</v>
      </c>
      <c r="J1621">
        <v>6725148</v>
      </c>
      <c r="K1621">
        <v>146100</v>
      </c>
    </row>
    <row r="1622" spans="1:11" x14ac:dyDescent="0.3">
      <c r="A1622" t="s">
        <v>1631</v>
      </c>
      <c r="B1622">
        <v>360825</v>
      </c>
      <c r="C1622">
        <v>2786300</v>
      </c>
      <c r="D1622">
        <v>180112</v>
      </c>
      <c r="E1622">
        <v>622500</v>
      </c>
      <c r="F1622">
        <v>5406811</v>
      </c>
      <c r="G1622">
        <v>309900</v>
      </c>
      <c r="H1622">
        <v>6740312</v>
      </c>
      <c r="I1622">
        <v>107700</v>
      </c>
      <c r="J1622">
        <v>6733926</v>
      </c>
      <c r="K1622">
        <v>114300</v>
      </c>
    </row>
    <row r="1623" spans="1:11" x14ac:dyDescent="0.3">
      <c r="A1623" t="s">
        <v>1632</v>
      </c>
      <c r="B1623">
        <v>360825</v>
      </c>
      <c r="C1623">
        <v>2987800</v>
      </c>
      <c r="D1623">
        <v>182123</v>
      </c>
      <c r="E1623">
        <v>643500</v>
      </c>
      <c r="F1623">
        <v>5413996</v>
      </c>
      <c r="G1623">
        <v>317300</v>
      </c>
      <c r="H1623">
        <v>6749995</v>
      </c>
      <c r="I1623">
        <v>107300</v>
      </c>
      <c r="J1623">
        <v>6743264</v>
      </c>
      <c r="K1623">
        <v>120300</v>
      </c>
    </row>
    <row r="1624" spans="1:11" x14ac:dyDescent="0.3">
      <c r="A1624" t="s">
        <v>1633</v>
      </c>
      <c r="B1624">
        <v>360825</v>
      </c>
      <c r="C1624">
        <v>3060900</v>
      </c>
      <c r="D1624">
        <v>182999</v>
      </c>
      <c r="E1624">
        <v>633200</v>
      </c>
      <c r="F1624">
        <v>5421194</v>
      </c>
      <c r="G1624">
        <v>310600</v>
      </c>
      <c r="H1624">
        <v>6758791</v>
      </c>
      <c r="I1624">
        <v>104400</v>
      </c>
      <c r="J1624">
        <v>6752023</v>
      </c>
      <c r="K1624">
        <v>116600</v>
      </c>
    </row>
    <row r="1625" spans="1:11" x14ac:dyDescent="0.3">
      <c r="A1625" t="s">
        <v>1634</v>
      </c>
      <c r="B1625">
        <v>360825</v>
      </c>
      <c r="C1625">
        <v>3056700</v>
      </c>
      <c r="D1625">
        <v>180597</v>
      </c>
      <c r="E1625">
        <v>624700</v>
      </c>
      <c r="F1625">
        <v>5428423</v>
      </c>
      <c r="G1625">
        <v>308400</v>
      </c>
      <c r="H1625">
        <v>6769008</v>
      </c>
      <c r="I1625">
        <v>126500</v>
      </c>
      <c r="J1625">
        <v>6761604</v>
      </c>
      <c r="K1625">
        <v>119800</v>
      </c>
    </row>
    <row r="1626" spans="1:11" x14ac:dyDescent="0.3">
      <c r="A1626" t="s">
        <v>1635</v>
      </c>
      <c r="B1626">
        <v>360825</v>
      </c>
      <c r="C1626">
        <v>2763500</v>
      </c>
      <c r="D1626">
        <v>182792</v>
      </c>
      <c r="E1626">
        <v>632700</v>
      </c>
      <c r="F1626">
        <v>5435633</v>
      </c>
      <c r="G1626">
        <v>314000</v>
      </c>
      <c r="H1626">
        <v>6777996</v>
      </c>
      <c r="I1626">
        <v>104700</v>
      </c>
      <c r="J1626">
        <v>6770858</v>
      </c>
      <c r="K1626">
        <v>117600</v>
      </c>
    </row>
    <row r="1627" spans="1:11" x14ac:dyDescent="0.3">
      <c r="A1627" t="s">
        <v>1636</v>
      </c>
      <c r="B1627">
        <v>360825</v>
      </c>
      <c r="C1627">
        <v>2768000</v>
      </c>
      <c r="D1627">
        <v>179815</v>
      </c>
      <c r="E1627">
        <v>626600</v>
      </c>
      <c r="F1627">
        <v>5442835</v>
      </c>
      <c r="G1627">
        <v>322700</v>
      </c>
      <c r="H1627">
        <v>6787683</v>
      </c>
      <c r="I1627">
        <v>104900</v>
      </c>
      <c r="J1627">
        <v>6779657</v>
      </c>
      <c r="K1627">
        <v>115400</v>
      </c>
    </row>
    <row r="1628" spans="1:11" x14ac:dyDescent="0.3">
      <c r="A1628" t="s">
        <v>1637</v>
      </c>
      <c r="B1628">
        <v>360825</v>
      </c>
      <c r="C1628">
        <v>2790500</v>
      </c>
      <c r="D1628">
        <v>187759</v>
      </c>
      <c r="E1628">
        <v>649200</v>
      </c>
      <c r="F1628">
        <v>5450078</v>
      </c>
      <c r="G1628">
        <v>311400</v>
      </c>
      <c r="H1628">
        <v>6797515</v>
      </c>
      <c r="I1628">
        <v>108000</v>
      </c>
      <c r="J1628">
        <v>6788443</v>
      </c>
      <c r="K1628">
        <v>116000</v>
      </c>
    </row>
    <row r="1629" spans="1:11" x14ac:dyDescent="0.3">
      <c r="A1629" t="s">
        <v>1638</v>
      </c>
      <c r="B1629">
        <v>360825</v>
      </c>
      <c r="C1629">
        <v>3103800</v>
      </c>
      <c r="D1629">
        <v>188371</v>
      </c>
      <c r="E1629">
        <v>873900</v>
      </c>
      <c r="F1629">
        <v>5457299</v>
      </c>
      <c r="G1629">
        <v>382800</v>
      </c>
      <c r="H1629">
        <v>6807310</v>
      </c>
      <c r="I1629">
        <v>132000</v>
      </c>
      <c r="J1629">
        <v>6797218</v>
      </c>
      <c r="K1629">
        <v>145000</v>
      </c>
    </row>
    <row r="1630" spans="1:11" x14ac:dyDescent="0.3">
      <c r="A1630" t="s">
        <v>1639</v>
      </c>
      <c r="B1630">
        <v>360825</v>
      </c>
      <c r="C1630">
        <v>2795900</v>
      </c>
      <c r="D1630">
        <v>182824</v>
      </c>
      <c r="E1630">
        <v>640900</v>
      </c>
      <c r="F1630">
        <v>5464521</v>
      </c>
      <c r="G1630">
        <v>330200</v>
      </c>
      <c r="H1630">
        <v>6815630</v>
      </c>
      <c r="I1630">
        <v>105500</v>
      </c>
      <c r="J1630">
        <v>6806855</v>
      </c>
      <c r="K1630">
        <v>115300</v>
      </c>
    </row>
    <row r="1631" spans="1:11" x14ac:dyDescent="0.3">
      <c r="A1631" t="s">
        <v>1640</v>
      </c>
      <c r="B1631">
        <v>360825</v>
      </c>
      <c r="C1631">
        <v>3241800</v>
      </c>
      <c r="D1631">
        <v>182856</v>
      </c>
      <c r="E1631">
        <v>663400</v>
      </c>
      <c r="F1631">
        <v>5471733</v>
      </c>
      <c r="G1631">
        <v>309500</v>
      </c>
      <c r="H1631">
        <v>6825186</v>
      </c>
      <c r="I1631">
        <v>109700</v>
      </c>
      <c r="J1631">
        <v>6815952</v>
      </c>
      <c r="K1631">
        <v>116200</v>
      </c>
    </row>
    <row r="1632" spans="1:11" x14ac:dyDescent="0.3">
      <c r="A1632" t="s">
        <v>1641</v>
      </c>
      <c r="B1632">
        <v>360825</v>
      </c>
      <c r="C1632">
        <v>3154000</v>
      </c>
      <c r="D1632">
        <v>181919</v>
      </c>
      <c r="E1632">
        <v>631400</v>
      </c>
      <c r="F1632">
        <v>5478932</v>
      </c>
      <c r="G1632">
        <v>316400</v>
      </c>
      <c r="H1632">
        <v>6834894</v>
      </c>
      <c r="I1632">
        <v>105100</v>
      </c>
      <c r="J1632">
        <v>6825078</v>
      </c>
      <c r="K1632">
        <v>115700</v>
      </c>
    </row>
    <row r="1633" spans="1:11" x14ac:dyDescent="0.3">
      <c r="A1633" t="s">
        <v>1642</v>
      </c>
      <c r="B1633">
        <v>360825</v>
      </c>
      <c r="C1633">
        <v>3052600</v>
      </c>
      <c r="D1633">
        <v>179343</v>
      </c>
      <c r="E1633">
        <v>1014300</v>
      </c>
      <c r="F1633">
        <v>5486125</v>
      </c>
      <c r="G1633">
        <v>314900</v>
      </c>
      <c r="H1633">
        <v>6843933</v>
      </c>
      <c r="I1633">
        <v>106100</v>
      </c>
      <c r="J1633">
        <v>6834944</v>
      </c>
      <c r="K1633">
        <v>121200</v>
      </c>
    </row>
    <row r="1634" spans="1:11" x14ac:dyDescent="0.3">
      <c r="A1634" t="s">
        <v>1643</v>
      </c>
      <c r="B1634">
        <v>360825</v>
      </c>
      <c r="C1634">
        <v>3531100</v>
      </c>
      <c r="D1634">
        <v>179886</v>
      </c>
      <c r="E1634">
        <v>637600</v>
      </c>
      <c r="F1634">
        <v>5493352</v>
      </c>
      <c r="G1634">
        <v>315100</v>
      </c>
      <c r="H1634">
        <v>6852246</v>
      </c>
      <c r="I1634">
        <v>105500</v>
      </c>
      <c r="J1634">
        <v>6843766</v>
      </c>
      <c r="K1634">
        <v>117000</v>
      </c>
    </row>
    <row r="1635" spans="1:11" x14ac:dyDescent="0.3">
      <c r="A1635" t="s">
        <v>1644</v>
      </c>
      <c r="B1635">
        <v>360825</v>
      </c>
      <c r="C1635">
        <v>3321300</v>
      </c>
      <c r="D1635">
        <v>175576</v>
      </c>
      <c r="E1635">
        <v>612700</v>
      </c>
      <c r="F1635">
        <v>5500581</v>
      </c>
      <c r="G1635">
        <v>317900</v>
      </c>
      <c r="H1635">
        <v>6860805</v>
      </c>
      <c r="I1635">
        <v>106400</v>
      </c>
      <c r="J1635">
        <v>6853288</v>
      </c>
      <c r="K1635">
        <v>117700</v>
      </c>
    </row>
    <row r="1636" spans="1:11" x14ac:dyDescent="0.3">
      <c r="A1636" t="s">
        <v>1645</v>
      </c>
      <c r="B1636">
        <v>360825</v>
      </c>
      <c r="C1636">
        <v>3313000</v>
      </c>
      <c r="D1636">
        <v>179429</v>
      </c>
      <c r="E1636">
        <v>627400</v>
      </c>
      <c r="F1636">
        <v>5507766</v>
      </c>
      <c r="G1636">
        <v>341100</v>
      </c>
      <c r="H1636">
        <v>6870223</v>
      </c>
      <c r="I1636">
        <v>103900</v>
      </c>
      <c r="J1636">
        <v>6862526</v>
      </c>
      <c r="K1636">
        <v>119700</v>
      </c>
    </row>
    <row r="1637" spans="1:11" x14ac:dyDescent="0.3">
      <c r="A1637" t="s">
        <v>1646</v>
      </c>
      <c r="B1637">
        <v>360825</v>
      </c>
      <c r="C1637">
        <v>2793600</v>
      </c>
      <c r="D1637">
        <v>183573</v>
      </c>
      <c r="E1637">
        <v>637700</v>
      </c>
      <c r="F1637">
        <v>5514984</v>
      </c>
      <c r="G1637">
        <v>310200</v>
      </c>
      <c r="H1637">
        <v>6879504</v>
      </c>
      <c r="I1637">
        <v>109300</v>
      </c>
      <c r="J1637">
        <v>6871628</v>
      </c>
      <c r="K1637">
        <v>115300</v>
      </c>
    </row>
    <row r="1638" spans="1:11" x14ac:dyDescent="0.3">
      <c r="A1638" t="s">
        <v>1647</v>
      </c>
      <c r="B1638">
        <v>360825</v>
      </c>
      <c r="C1638">
        <v>3792100</v>
      </c>
      <c r="D1638">
        <v>182659</v>
      </c>
      <c r="E1638">
        <v>1115000</v>
      </c>
      <c r="F1638">
        <v>5522180</v>
      </c>
      <c r="G1638">
        <v>311200</v>
      </c>
      <c r="H1638">
        <v>6888035</v>
      </c>
      <c r="I1638">
        <v>105500</v>
      </c>
      <c r="J1638">
        <v>6881892</v>
      </c>
      <c r="K1638">
        <v>123200</v>
      </c>
    </row>
    <row r="1639" spans="1:11" x14ac:dyDescent="0.3">
      <c r="A1639" t="s">
        <v>1648</v>
      </c>
      <c r="B1639">
        <v>360825</v>
      </c>
      <c r="C1639">
        <v>2731200</v>
      </c>
      <c r="D1639">
        <v>181027</v>
      </c>
      <c r="E1639">
        <v>630400</v>
      </c>
      <c r="F1639">
        <v>5529417</v>
      </c>
      <c r="G1639">
        <v>835300</v>
      </c>
      <c r="H1639">
        <v>6897711</v>
      </c>
      <c r="I1639">
        <v>106400</v>
      </c>
      <c r="J1639">
        <v>6890487</v>
      </c>
      <c r="K1639">
        <v>114600</v>
      </c>
    </row>
    <row r="1640" spans="1:11" x14ac:dyDescent="0.3">
      <c r="A1640" t="s">
        <v>1649</v>
      </c>
      <c r="B1640">
        <v>360825</v>
      </c>
      <c r="C1640">
        <v>3387800</v>
      </c>
      <c r="D1640">
        <v>185659</v>
      </c>
      <c r="E1640">
        <v>665000</v>
      </c>
      <c r="F1640">
        <v>5536636</v>
      </c>
      <c r="G1640">
        <v>310300</v>
      </c>
      <c r="H1640">
        <v>6906323</v>
      </c>
      <c r="I1640">
        <v>106400</v>
      </c>
      <c r="J1640">
        <v>6898926</v>
      </c>
      <c r="K1640">
        <v>116900</v>
      </c>
    </row>
    <row r="1641" spans="1:11" x14ac:dyDescent="0.3">
      <c r="A1641" t="s">
        <v>1650</v>
      </c>
      <c r="B1641">
        <v>360825</v>
      </c>
      <c r="C1641">
        <v>2876500</v>
      </c>
      <c r="D1641">
        <v>182492</v>
      </c>
      <c r="E1641">
        <v>658000</v>
      </c>
      <c r="F1641">
        <v>5543838</v>
      </c>
      <c r="G1641">
        <v>308200</v>
      </c>
      <c r="H1641">
        <v>6915324</v>
      </c>
      <c r="I1641">
        <v>106500</v>
      </c>
      <c r="J1641">
        <v>6907283</v>
      </c>
      <c r="K1641">
        <v>116500</v>
      </c>
    </row>
    <row r="1642" spans="1:11" x14ac:dyDescent="0.3">
      <c r="A1642" t="s">
        <v>1651</v>
      </c>
      <c r="B1642">
        <v>360825</v>
      </c>
      <c r="C1642">
        <v>3120400</v>
      </c>
      <c r="D1642">
        <v>174213</v>
      </c>
      <c r="E1642">
        <v>610200</v>
      </c>
      <c r="F1642">
        <v>5551040</v>
      </c>
      <c r="G1642">
        <v>306600</v>
      </c>
      <c r="H1642">
        <v>6924149</v>
      </c>
      <c r="I1642">
        <v>102700</v>
      </c>
      <c r="J1642">
        <v>6916310</v>
      </c>
      <c r="K1642">
        <v>118400</v>
      </c>
    </row>
    <row r="1643" spans="1:11" x14ac:dyDescent="0.3">
      <c r="A1643" t="s">
        <v>1652</v>
      </c>
      <c r="B1643">
        <v>360825</v>
      </c>
      <c r="C1643">
        <v>2988500</v>
      </c>
      <c r="D1643">
        <v>182297</v>
      </c>
      <c r="E1643">
        <v>637100</v>
      </c>
      <c r="F1643">
        <v>5558257</v>
      </c>
      <c r="G1643">
        <v>309900</v>
      </c>
      <c r="H1643">
        <v>6933188</v>
      </c>
      <c r="I1643">
        <v>104000</v>
      </c>
      <c r="J1643">
        <v>6924716</v>
      </c>
      <c r="K1643">
        <v>115900</v>
      </c>
    </row>
    <row r="1644" spans="1:11" x14ac:dyDescent="0.3">
      <c r="A1644" t="s">
        <v>1653</v>
      </c>
      <c r="B1644">
        <v>360825</v>
      </c>
      <c r="C1644">
        <v>3253500</v>
      </c>
      <c r="D1644">
        <v>179946</v>
      </c>
      <c r="E1644">
        <v>636500</v>
      </c>
      <c r="F1644">
        <v>5565486</v>
      </c>
      <c r="G1644">
        <v>312200</v>
      </c>
      <c r="H1644">
        <v>6942595</v>
      </c>
      <c r="I1644">
        <v>107000</v>
      </c>
      <c r="J1644">
        <v>6933519</v>
      </c>
      <c r="K1644">
        <v>116500</v>
      </c>
    </row>
    <row r="1645" spans="1:11" x14ac:dyDescent="0.3">
      <c r="A1645" t="s">
        <v>1654</v>
      </c>
      <c r="B1645">
        <v>360825</v>
      </c>
      <c r="C1645">
        <v>2979800</v>
      </c>
      <c r="D1645">
        <v>180731</v>
      </c>
      <c r="E1645">
        <v>629500</v>
      </c>
      <c r="F1645">
        <v>5572715</v>
      </c>
      <c r="G1645">
        <v>315100</v>
      </c>
      <c r="H1645">
        <v>6951464</v>
      </c>
      <c r="I1645">
        <v>104700</v>
      </c>
      <c r="J1645">
        <v>6943526</v>
      </c>
      <c r="K1645">
        <v>117400</v>
      </c>
    </row>
    <row r="1646" spans="1:11" x14ac:dyDescent="0.3">
      <c r="A1646" t="s">
        <v>1655</v>
      </c>
      <c r="B1646">
        <v>360825</v>
      </c>
      <c r="C1646">
        <v>3456400</v>
      </c>
      <c r="D1646">
        <v>184204</v>
      </c>
      <c r="E1646">
        <v>640800</v>
      </c>
      <c r="F1646">
        <v>5579919</v>
      </c>
      <c r="G1646">
        <v>317700</v>
      </c>
      <c r="H1646">
        <v>6960967</v>
      </c>
      <c r="I1646">
        <v>104800</v>
      </c>
      <c r="J1646">
        <v>6952620</v>
      </c>
      <c r="K1646">
        <v>117000</v>
      </c>
    </row>
    <row r="1647" spans="1:11" x14ac:dyDescent="0.3">
      <c r="A1647" t="s">
        <v>1656</v>
      </c>
      <c r="B1647">
        <v>360825</v>
      </c>
      <c r="C1647">
        <v>2872800</v>
      </c>
      <c r="D1647">
        <v>180808</v>
      </c>
      <c r="E1647">
        <v>629600</v>
      </c>
      <c r="F1647">
        <v>5587118</v>
      </c>
      <c r="G1647">
        <v>308800</v>
      </c>
      <c r="H1647">
        <v>6969614</v>
      </c>
      <c r="I1647">
        <v>106800</v>
      </c>
      <c r="J1647">
        <v>6961393</v>
      </c>
      <c r="K1647">
        <v>116500</v>
      </c>
    </row>
    <row r="1648" spans="1:11" x14ac:dyDescent="0.3">
      <c r="A1648" t="s">
        <v>1657</v>
      </c>
      <c r="B1648">
        <v>360825</v>
      </c>
      <c r="C1648">
        <v>2865000</v>
      </c>
      <c r="D1648">
        <v>179178</v>
      </c>
      <c r="E1648">
        <v>647600</v>
      </c>
      <c r="F1648">
        <v>5594326</v>
      </c>
      <c r="G1648">
        <v>310100</v>
      </c>
      <c r="H1648">
        <v>6977725</v>
      </c>
      <c r="I1648">
        <v>102500</v>
      </c>
      <c r="J1648">
        <v>6971491</v>
      </c>
      <c r="K1648">
        <v>125500</v>
      </c>
    </row>
    <row r="1649" spans="1:11" x14ac:dyDescent="0.3">
      <c r="A1649" t="s">
        <v>1658</v>
      </c>
      <c r="B1649">
        <v>360825</v>
      </c>
      <c r="C1649">
        <v>3175200</v>
      </c>
      <c r="D1649">
        <v>174840</v>
      </c>
      <c r="E1649">
        <v>635200</v>
      </c>
      <c r="F1649">
        <v>5601529</v>
      </c>
      <c r="G1649">
        <v>307400</v>
      </c>
      <c r="H1649">
        <v>6986706</v>
      </c>
      <c r="I1649">
        <v>106400</v>
      </c>
      <c r="J1649">
        <v>6980739</v>
      </c>
      <c r="K1649">
        <v>119600</v>
      </c>
    </row>
    <row r="1650" spans="1:11" x14ac:dyDescent="0.3">
      <c r="A1650" t="s">
        <v>1659</v>
      </c>
      <c r="B1650">
        <v>360825</v>
      </c>
      <c r="C1650">
        <v>3307600</v>
      </c>
      <c r="D1650">
        <v>181303</v>
      </c>
      <c r="E1650">
        <v>638700</v>
      </c>
      <c r="F1650">
        <v>5608722</v>
      </c>
      <c r="G1650">
        <v>335800</v>
      </c>
      <c r="H1650">
        <v>6996189</v>
      </c>
      <c r="I1650">
        <v>102600</v>
      </c>
      <c r="J1650">
        <v>6989611</v>
      </c>
      <c r="K1650">
        <v>115600</v>
      </c>
    </row>
    <row r="1651" spans="1:11" x14ac:dyDescent="0.3">
      <c r="A1651" t="s">
        <v>1660</v>
      </c>
      <c r="B1651">
        <v>360825</v>
      </c>
      <c r="C1651">
        <v>3099200</v>
      </c>
      <c r="D1651">
        <v>176554</v>
      </c>
      <c r="E1651">
        <v>615900</v>
      </c>
      <c r="F1651">
        <v>5615916</v>
      </c>
      <c r="G1651">
        <v>319000</v>
      </c>
      <c r="H1651">
        <v>7005200</v>
      </c>
      <c r="I1651">
        <v>101600</v>
      </c>
      <c r="J1651">
        <v>6998086</v>
      </c>
      <c r="K1651">
        <v>118200</v>
      </c>
    </row>
    <row r="1652" spans="1:11" x14ac:dyDescent="0.3">
      <c r="A1652" t="s">
        <v>1661</v>
      </c>
      <c r="B1652">
        <v>360825</v>
      </c>
      <c r="C1652">
        <v>3085800</v>
      </c>
      <c r="D1652">
        <v>178007</v>
      </c>
      <c r="E1652">
        <v>649300</v>
      </c>
      <c r="F1652">
        <v>5623132</v>
      </c>
      <c r="G1652">
        <v>315700</v>
      </c>
      <c r="H1652">
        <v>7014598</v>
      </c>
      <c r="I1652">
        <v>106100</v>
      </c>
      <c r="J1652">
        <v>7008752</v>
      </c>
      <c r="K1652">
        <v>128000</v>
      </c>
    </row>
    <row r="1653" spans="1:11" x14ac:dyDescent="0.3">
      <c r="A1653" t="s">
        <v>1662</v>
      </c>
      <c r="B1653">
        <v>360825</v>
      </c>
      <c r="C1653">
        <v>3006000</v>
      </c>
      <c r="D1653">
        <v>186502</v>
      </c>
      <c r="E1653">
        <v>666100</v>
      </c>
      <c r="F1653">
        <v>5630350</v>
      </c>
      <c r="G1653">
        <v>310100</v>
      </c>
      <c r="H1653">
        <v>7023204</v>
      </c>
      <c r="I1653">
        <v>104400</v>
      </c>
      <c r="J1653">
        <v>7017587</v>
      </c>
      <c r="K1653">
        <v>118100</v>
      </c>
    </row>
    <row r="1654" spans="1:11" x14ac:dyDescent="0.3">
      <c r="A1654" t="s">
        <v>1663</v>
      </c>
      <c r="B1654">
        <v>360825</v>
      </c>
      <c r="C1654">
        <v>2979800</v>
      </c>
      <c r="D1654">
        <v>180665</v>
      </c>
      <c r="E1654">
        <v>1148600</v>
      </c>
      <c r="F1654">
        <v>5637574</v>
      </c>
      <c r="G1654">
        <v>358200</v>
      </c>
      <c r="H1654">
        <v>7032369</v>
      </c>
      <c r="I1654">
        <v>105600</v>
      </c>
      <c r="J1654">
        <v>7026628</v>
      </c>
      <c r="K1654">
        <v>119100</v>
      </c>
    </row>
    <row r="1655" spans="1:11" x14ac:dyDescent="0.3">
      <c r="A1655" t="s">
        <v>1664</v>
      </c>
      <c r="B1655">
        <v>360825</v>
      </c>
      <c r="C1655">
        <v>2945000</v>
      </c>
      <c r="D1655">
        <v>183283</v>
      </c>
      <c r="E1655">
        <v>655000</v>
      </c>
      <c r="F1655">
        <v>5644804</v>
      </c>
      <c r="G1655">
        <v>315900</v>
      </c>
      <c r="H1655">
        <v>7040723</v>
      </c>
      <c r="I1655">
        <v>103300</v>
      </c>
      <c r="J1655">
        <v>7035386</v>
      </c>
      <c r="K1655">
        <v>116800</v>
      </c>
    </row>
    <row r="1656" spans="1:11" x14ac:dyDescent="0.3">
      <c r="A1656" t="s">
        <v>1665</v>
      </c>
      <c r="B1656">
        <v>360825</v>
      </c>
      <c r="C1656">
        <v>2913500</v>
      </c>
      <c r="D1656">
        <v>181202</v>
      </c>
      <c r="E1656">
        <v>633800</v>
      </c>
      <c r="F1656">
        <v>5652015</v>
      </c>
      <c r="G1656">
        <v>318500</v>
      </c>
      <c r="H1656">
        <v>7049177</v>
      </c>
      <c r="I1656">
        <v>106300</v>
      </c>
      <c r="J1656">
        <v>7043561</v>
      </c>
      <c r="K1656">
        <v>117500</v>
      </c>
    </row>
    <row r="1657" spans="1:11" x14ac:dyDescent="0.3">
      <c r="A1657" t="s">
        <v>1666</v>
      </c>
      <c r="B1657">
        <v>360825</v>
      </c>
      <c r="C1657">
        <v>2836900</v>
      </c>
      <c r="D1657">
        <v>179452</v>
      </c>
      <c r="E1657">
        <v>624500</v>
      </c>
      <c r="F1657">
        <v>5659244</v>
      </c>
      <c r="G1657">
        <v>309900</v>
      </c>
      <c r="H1657">
        <v>7057562</v>
      </c>
      <c r="I1657">
        <v>106200</v>
      </c>
      <c r="J1657">
        <v>7052208</v>
      </c>
      <c r="K1657">
        <v>118500</v>
      </c>
    </row>
    <row r="1658" spans="1:11" x14ac:dyDescent="0.3">
      <c r="A1658" t="s">
        <v>1667</v>
      </c>
      <c r="B1658">
        <v>360825</v>
      </c>
      <c r="C1658">
        <v>3015500</v>
      </c>
      <c r="D1658">
        <v>184067</v>
      </c>
      <c r="E1658">
        <v>804800</v>
      </c>
      <c r="F1658">
        <v>5666477</v>
      </c>
      <c r="G1658">
        <v>312800</v>
      </c>
      <c r="H1658">
        <v>7066749</v>
      </c>
      <c r="I1658">
        <v>107500</v>
      </c>
      <c r="J1658">
        <v>7060833</v>
      </c>
      <c r="K1658">
        <v>117000</v>
      </c>
    </row>
    <row r="1659" spans="1:11" x14ac:dyDescent="0.3">
      <c r="A1659" t="s">
        <v>1668</v>
      </c>
      <c r="B1659">
        <v>360825</v>
      </c>
      <c r="C1659">
        <v>2837800</v>
      </c>
      <c r="D1659">
        <v>178346</v>
      </c>
      <c r="E1659">
        <v>618400</v>
      </c>
      <c r="F1659">
        <v>5673720</v>
      </c>
      <c r="G1659">
        <v>324200</v>
      </c>
      <c r="H1659">
        <v>7076620</v>
      </c>
      <c r="I1659">
        <v>103300</v>
      </c>
      <c r="J1659">
        <v>7070946</v>
      </c>
      <c r="K1659">
        <v>119200</v>
      </c>
    </row>
    <row r="1660" spans="1:11" x14ac:dyDescent="0.3">
      <c r="A1660" t="s">
        <v>1669</v>
      </c>
      <c r="B1660">
        <v>360825</v>
      </c>
      <c r="C1660">
        <v>2835500</v>
      </c>
      <c r="D1660">
        <v>179513</v>
      </c>
      <c r="E1660">
        <v>626700</v>
      </c>
      <c r="F1660">
        <v>5680947</v>
      </c>
      <c r="G1660">
        <v>309500</v>
      </c>
      <c r="H1660">
        <v>7085143</v>
      </c>
      <c r="I1660">
        <v>104900</v>
      </c>
      <c r="J1660">
        <v>7079666</v>
      </c>
      <c r="K1660">
        <v>115300</v>
      </c>
    </row>
    <row r="1661" spans="1:11" x14ac:dyDescent="0.3">
      <c r="A1661" t="s">
        <v>1670</v>
      </c>
      <c r="B1661">
        <v>360825</v>
      </c>
      <c r="C1661">
        <v>2905300</v>
      </c>
      <c r="D1661">
        <v>180744</v>
      </c>
      <c r="E1661">
        <v>625300</v>
      </c>
      <c r="F1661">
        <v>5688185</v>
      </c>
      <c r="G1661">
        <v>315300</v>
      </c>
      <c r="H1661">
        <v>7094160</v>
      </c>
      <c r="I1661">
        <v>104900</v>
      </c>
      <c r="J1661">
        <v>7088267</v>
      </c>
      <c r="K1661">
        <v>116500</v>
      </c>
    </row>
    <row r="1662" spans="1:11" x14ac:dyDescent="0.3">
      <c r="A1662" t="s">
        <v>1671</v>
      </c>
      <c r="B1662">
        <v>360825</v>
      </c>
      <c r="C1662">
        <v>2801400</v>
      </c>
      <c r="D1662">
        <v>178436</v>
      </c>
      <c r="E1662">
        <v>620100</v>
      </c>
      <c r="F1662">
        <v>5695417</v>
      </c>
      <c r="G1662">
        <v>352900</v>
      </c>
      <c r="H1662">
        <v>7104233</v>
      </c>
      <c r="I1662">
        <v>151800</v>
      </c>
      <c r="J1662">
        <v>7096859</v>
      </c>
      <c r="K1662">
        <v>157700</v>
      </c>
    </row>
    <row r="1663" spans="1:11" x14ac:dyDescent="0.3">
      <c r="A1663" t="s">
        <v>1672</v>
      </c>
      <c r="B1663">
        <v>360825</v>
      </c>
      <c r="C1663">
        <v>3260700</v>
      </c>
      <c r="D1663">
        <v>180612</v>
      </c>
      <c r="E1663">
        <v>647500</v>
      </c>
      <c r="F1663">
        <v>5702651</v>
      </c>
      <c r="G1663">
        <v>313700</v>
      </c>
      <c r="H1663">
        <v>7113418</v>
      </c>
      <c r="I1663">
        <v>108500</v>
      </c>
      <c r="J1663">
        <v>7105395</v>
      </c>
      <c r="K1663">
        <v>117100</v>
      </c>
    </row>
    <row r="1664" spans="1:11" x14ac:dyDescent="0.3">
      <c r="A1664" t="s">
        <v>1673</v>
      </c>
      <c r="B1664">
        <v>360825</v>
      </c>
      <c r="C1664">
        <v>3053500</v>
      </c>
      <c r="D1664">
        <v>178725</v>
      </c>
      <c r="E1664">
        <v>640900</v>
      </c>
      <c r="F1664">
        <v>5709879</v>
      </c>
      <c r="G1664">
        <v>309700</v>
      </c>
      <c r="H1664">
        <v>7123132</v>
      </c>
      <c r="I1664">
        <v>106400</v>
      </c>
      <c r="J1664">
        <v>7114711</v>
      </c>
      <c r="K1664">
        <v>117400</v>
      </c>
    </row>
    <row r="1665" spans="1:11" x14ac:dyDescent="0.3">
      <c r="A1665" t="s">
        <v>1674</v>
      </c>
      <c r="B1665">
        <v>360825</v>
      </c>
      <c r="C1665">
        <v>3312100</v>
      </c>
      <c r="D1665">
        <v>180469</v>
      </c>
      <c r="E1665">
        <v>632500</v>
      </c>
      <c r="F1665">
        <v>5717085</v>
      </c>
      <c r="G1665">
        <v>312300</v>
      </c>
      <c r="H1665">
        <v>7132987</v>
      </c>
      <c r="I1665">
        <v>105600</v>
      </c>
      <c r="J1665">
        <v>7123420</v>
      </c>
      <c r="K1665">
        <v>143900</v>
      </c>
    </row>
    <row r="1666" spans="1:11" x14ac:dyDescent="0.3">
      <c r="A1666" t="s">
        <v>1675</v>
      </c>
      <c r="B1666">
        <v>360825</v>
      </c>
      <c r="C1666">
        <v>2822900</v>
      </c>
      <c r="D1666">
        <v>176785</v>
      </c>
      <c r="E1666">
        <v>614900</v>
      </c>
      <c r="F1666">
        <v>5724312</v>
      </c>
      <c r="G1666">
        <v>318100</v>
      </c>
      <c r="H1666">
        <v>7144016</v>
      </c>
      <c r="I1666">
        <v>117000</v>
      </c>
      <c r="J1666">
        <v>7132149</v>
      </c>
      <c r="K1666">
        <v>117200</v>
      </c>
    </row>
    <row r="1667" spans="1:11" x14ac:dyDescent="0.3">
      <c r="A1667" t="s">
        <v>1676</v>
      </c>
      <c r="B1667">
        <v>360825</v>
      </c>
      <c r="C1667">
        <v>2956000</v>
      </c>
      <c r="D1667">
        <v>179594</v>
      </c>
      <c r="E1667">
        <v>621700</v>
      </c>
      <c r="F1667">
        <v>5731534</v>
      </c>
      <c r="G1667">
        <v>316600</v>
      </c>
      <c r="H1667">
        <v>7153219</v>
      </c>
      <c r="I1667">
        <v>107200</v>
      </c>
      <c r="J1667">
        <v>7141183</v>
      </c>
      <c r="K1667">
        <v>116800</v>
      </c>
    </row>
    <row r="1668" spans="1:11" x14ac:dyDescent="0.3">
      <c r="A1668" t="s">
        <v>1677</v>
      </c>
      <c r="B1668">
        <v>360825</v>
      </c>
      <c r="C1668">
        <v>2908400</v>
      </c>
      <c r="D1668">
        <v>182383</v>
      </c>
      <c r="E1668">
        <v>660100</v>
      </c>
      <c r="F1668">
        <v>5738741</v>
      </c>
      <c r="G1668">
        <v>320100</v>
      </c>
      <c r="H1668">
        <v>7161615</v>
      </c>
      <c r="I1668">
        <v>105000</v>
      </c>
      <c r="J1668">
        <v>7149865</v>
      </c>
      <c r="K1668">
        <v>115800</v>
      </c>
    </row>
    <row r="1669" spans="1:11" x14ac:dyDescent="0.3">
      <c r="A1669" t="s">
        <v>1678</v>
      </c>
      <c r="B1669">
        <v>360825</v>
      </c>
      <c r="C1669">
        <v>3291100</v>
      </c>
      <c r="D1669">
        <v>183450</v>
      </c>
      <c r="E1669">
        <v>672500</v>
      </c>
      <c r="F1669">
        <v>5745949</v>
      </c>
      <c r="G1669">
        <v>312500</v>
      </c>
      <c r="H1669">
        <v>7170223</v>
      </c>
      <c r="I1669">
        <v>107300</v>
      </c>
      <c r="J1669">
        <v>7158861</v>
      </c>
      <c r="K1669">
        <v>116000</v>
      </c>
    </row>
    <row r="1670" spans="1:11" x14ac:dyDescent="0.3">
      <c r="A1670" t="s">
        <v>1679</v>
      </c>
      <c r="B1670">
        <v>360825</v>
      </c>
      <c r="C1670">
        <v>2857600</v>
      </c>
      <c r="D1670">
        <v>184674</v>
      </c>
      <c r="E1670">
        <v>642700</v>
      </c>
      <c r="F1670">
        <v>5753177</v>
      </c>
      <c r="G1670">
        <v>312300</v>
      </c>
      <c r="H1670">
        <v>7178913</v>
      </c>
      <c r="I1670">
        <v>104800</v>
      </c>
      <c r="J1670">
        <v>7167717</v>
      </c>
      <c r="K1670">
        <v>116100</v>
      </c>
    </row>
    <row r="1671" spans="1:11" x14ac:dyDescent="0.3">
      <c r="A1671" t="s">
        <v>1680</v>
      </c>
      <c r="B1671">
        <v>360825</v>
      </c>
      <c r="C1671">
        <v>3238900</v>
      </c>
      <c r="D1671">
        <v>178238</v>
      </c>
      <c r="E1671">
        <v>620100</v>
      </c>
      <c r="F1671">
        <v>5760408</v>
      </c>
      <c r="G1671">
        <v>309300</v>
      </c>
      <c r="H1671">
        <v>7187167</v>
      </c>
      <c r="I1671">
        <v>102800</v>
      </c>
      <c r="J1671">
        <v>7176817</v>
      </c>
      <c r="K1671">
        <v>117800</v>
      </c>
    </row>
    <row r="1672" spans="1:11" x14ac:dyDescent="0.3">
      <c r="A1672" t="s">
        <v>1681</v>
      </c>
      <c r="B1672">
        <v>360825</v>
      </c>
      <c r="C1672">
        <v>3048300</v>
      </c>
      <c r="D1672">
        <v>175311</v>
      </c>
      <c r="E1672">
        <v>615000</v>
      </c>
      <c r="F1672">
        <v>5767594</v>
      </c>
      <c r="G1672">
        <v>312500</v>
      </c>
      <c r="H1672">
        <v>7196227</v>
      </c>
      <c r="I1672">
        <v>106900</v>
      </c>
      <c r="J1672">
        <v>7185558</v>
      </c>
      <c r="K1672">
        <v>118500</v>
      </c>
    </row>
    <row r="1673" spans="1:11" x14ac:dyDescent="0.3">
      <c r="A1673" t="s">
        <v>1682</v>
      </c>
      <c r="B1673">
        <v>360825</v>
      </c>
      <c r="C1673">
        <v>2948000</v>
      </c>
      <c r="D1673">
        <v>186289</v>
      </c>
      <c r="E1673">
        <v>791100</v>
      </c>
      <c r="F1673">
        <v>5774774</v>
      </c>
      <c r="G1673">
        <v>324200</v>
      </c>
      <c r="H1673">
        <v>7204882</v>
      </c>
      <c r="I1673">
        <v>108500</v>
      </c>
      <c r="J1673">
        <v>7194678</v>
      </c>
      <c r="K1673">
        <v>118900</v>
      </c>
    </row>
    <row r="1674" spans="1:11" x14ac:dyDescent="0.3">
      <c r="A1674" t="s">
        <v>1683</v>
      </c>
      <c r="B1674">
        <v>360825</v>
      </c>
      <c r="C1674">
        <v>2977100</v>
      </c>
      <c r="D1674">
        <v>174420</v>
      </c>
      <c r="E1674">
        <v>607000</v>
      </c>
      <c r="F1674">
        <v>5781981</v>
      </c>
      <c r="G1674">
        <v>313400</v>
      </c>
      <c r="H1674">
        <v>7213460</v>
      </c>
      <c r="I1674">
        <v>103900</v>
      </c>
      <c r="J1674">
        <v>7203554</v>
      </c>
      <c r="K1674">
        <v>115900</v>
      </c>
    </row>
    <row r="1675" spans="1:11" x14ac:dyDescent="0.3">
      <c r="A1675" t="s">
        <v>1684</v>
      </c>
      <c r="B1675">
        <v>360825</v>
      </c>
      <c r="C1675">
        <v>2638100</v>
      </c>
      <c r="D1675">
        <v>177192</v>
      </c>
      <c r="E1675">
        <v>673300</v>
      </c>
      <c r="F1675">
        <v>5789207</v>
      </c>
      <c r="G1675">
        <v>310500</v>
      </c>
      <c r="H1675">
        <v>7222454</v>
      </c>
      <c r="I1675">
        <v>104800</v>
      </c>
      <c r="J1675">
        <v>7212495</v>
      </c>
      <c r="K1675">
        <v>116400</v>
      </c>
    </row>
    <row r="1676" spans="1:11" x14ac:dyDescent="0.3">
      <c r="A1676" t="s">
        <v>1685</v>
      </c>
      <c r="B1676">
        <v>360825</v>
      </c>
      <c r="C1676">
        <v>2834600</v>
      </c>
      <c r="D1676">
        <v>179054</v>
      </c>
      <c r="E1676">
        <v>630000</v>
      </c>
      <c r="F1676">
        <v>5796425</v>
      </c>
      <c r="G1676">
        <v>312600</v>
      </c>
      <c r="H1676">
        <v>7230574</v>
      </c>
      <c r="I1676">
        <v>102400</v>
      </c>
      <c r="J1676">
        <v>7221860</v>
      </c>
      <c r="K1676">
        <v>120900</v>
      </c>
    </row>
    <row r="1677" spans="1:11" x14ac:dyDescent="0.3">
      <c r="A1677" t="s">
        <v>1686</v>
      </c>
      <c r="B1677">
        <v>360825</v>
      </c>
      <c r="C1677">
        <v>2995800</v>
      </c>
      <c r="D1677">
        <v>181745</v>
      </c>
      <c r="E1677">
        <v>653400</v>
      </c>
      <c r="F1677">
        <v>5803630</v>
      </c>
      <c r="G1677">
        <v>314900</v>
      </c>
      <c r="H1677">
        <v>7239223</v>
      </c>
      <c r="I1677">
        <v>106500</v>
      </c>
      <c r="J1677">
        <v>7230639</v>
      </c>
      <c r="K1677">
        <v>117800</v>
      </c>
    </row>
    <row r="1678" spans="1:11" x14ac:dyDescent="0.3">
      <c r="A1678" t="s">
        <v>1687</v>
      </c>
      <c r="B1678">
        <v>360825</v>
      </c>
      <c r="C1678">
        <v>3136300</v>
      </c>
      <c r="D1678">
        <v>182585</v>
      </c>
      <c r="E1678">
        <v>641400</v>
      </c>
      <c r="F1678">
        <v>5810828</v>
      </c>
      <c r="G1678">
        <v>310700</v>
      </c>
      <c r="H1678">
        <v>7248318</v>
      </c>
      <c r="I1678">
        <v>122300</v>
      </c>
      <c r="J1678">
        <v>7239221</v>
      </c>
      <c r="K1678">
        <v>119600</v>
      </c>
    </row>
    <row r="1679" spans="1:11" x14ac:dyDescent="0.3">
      <c r="A1679" t="s">
        <v>1688</v>
      </c>
      <c r="B1679">
        <v>360825</v>
      </c>
      <c r="C1679">
        <v>2942100</v>
      </c>
      <c r="D1679">
        <v>184848</v>
      </c>
      <c r="E1679">
        <v>644200</v>
      </c>
      <c r="F1679">
        <v>5818029</v>
      </c>
      <c r="G1679">
        <v>308300</v>
      </c>
      <c r="H1679">
        <v>7257269</v>
      </c>
      <c r="I1679">
        <v>104800</v>
      </c>
      <c r="J1679">
        <v>7248070</v>
      </c>
      <c r="K1679">
        <v>115300</v>
      </c>
    </row>
    <row r="1680" spans="1:11" x14ac:dyDescent="0.3">
      <c r="A1680" t="s">
        <v>1689</v>
      </c>
      <c r="B1680">
        <v>360825</v>
      </c>
      <c r="C1680">
        <v>3092400</v>
      </c>
      <c r="D1680">
        <v>180040</v>
      </c>
      <c r="E1680">
        <v>683800</v>
      </c>
      <c r="F1680">
        <v>5825244</v>
      </c>
      <c r="G1680">
        <v>310700</v>
      </c>
      <c r="H1680">
        <v>7265758</v>
      </c>
      <c r="I1680">
        <v>106900</v>
      </c>
      <c r="J1680">
        <v>7256804</v>
      </c>
      <c r="K1680">
        <v>116900</v>
      </c>
    </row>
    <row r="1681" spans="1:11" x14ac:dyDescent="0.3">
      <c r="A1681" t="s">
        <v>1690</v>
      </c>
      <c r="B1681">
        <v>360825</v>
      </c>
      <c r="C1681">
        <v>2960400</v>
      </c>
      <c r="D1681">
        <v>180620</v>
      </c>
      <c r="E1681">
        <v>658800</v>
      </c>
      <c r="F1681">
        <v>5832451</v>
      </c>
      <c r="G1681">
        <v>315400</v>
      </c>
      <c r="H1681">
        <v>7274944</v>
      </c>
      <c r="I1681">
        <v>104200</v>
      </c>
      <c r="J1681">
        <v>7265618</v>
      </c>
      <c r="K1681">
        <v>119300</v>
      </c>
    </row>
    <row r="1682" spans="1:11" x14ac:dyDescent="0.3">
      <c r="A1682" t="s">
        <v>1691</v>
      </c>
      <c r="B1682">
        <v>360825</v>
      </c>
      <c r="C1682">
        <v>2956600</v>
      </c>
      <c r="D1682">
        <v>177234</v>
      </c>
      <c r="E1682">
        <v>631400</v>
      </c>
      <c r="F1682">
        <v>5839682</v>
      </c>
      <c r="G1682">
        <v>312100</v>
      </c>
      <c r="H1682">
        <v>7284957</v>
      </c>
      <c r="I1682">
        <v>105800</v>
      </c>
      <c r="J1682">
        <v>7274698</v>
      </c>
      <c r="K1682">
        <v>113000</v>
      </c>
    </row>
    <row r="1683" spans="1:11" x14ac:dyDescent="0.3">
      <c r="A1683" t="s">
        <v>1692</v>
      </c>
      <c r="B1683">
        <v>360825</v>
      </c>
      <c r="C1683">
        <v>2886500</v>
      </c>
      <c r="D1683">
        <v>179191</v>
      </c>
      <c r="E1683">
        <v>620900</v>
      </c>
      <c r="F1683">
        <v>5846913</v>
      </c>
      <c r="G1683">
        <v>306900</v>
      </c>
      <c r="H1683">
        <v>7293213</v>
      </c>
      <c r="I1683">
        <v>105700</v>
      </c>
      <c r="J1683">
        <v>7283498</v>
      </c>
      <c r="K1683">
        <v>117200</v>
      </c>
    </row>
    <row r="1684" spans="1:11" x14ac:dyDescent="0.3">
      <c r="A1684" t="s">
        <v>1693</v>
      </c>
      <c r="B1684">
        <v>360825</v>
      </c>
      <c r="C1684">
        <v>2974800</v>
      </c>
      <c r="D1684">
        <v>181378</v>
      </c>
      <c r="E1684">
        <v>699500</v>
      </c>
      <c r="F1684">
        <v>5854116</v>
      </c>
      <c r="G1684">
        <v>333200</v>
      </c>
      <c r="H1684">
        <v>7303690</v>
      </c>
      <c r="I1684">
        <v>112900</v>
      </c>
      <c r="J1684">
        <v>7293220</v>
      </c>
      <c r="K1684">
        <v>115300</v>
      </c>
    </row>
    <row r="1685" spans="1:11" x14ac:dyDescent="0.3">
      <c r="A1685" t="s">
        <v>1694</v>
      </c>
      <c r="B1685">
        <v>360825</v>
      </c>
      <c r="C1685">
        <v>2757900</v>
      </c>
      <c r="D1685">
        <v>186644</v>
      </c>
      <c r="E1685">
        <v>668100</v>
      </c>
      <c r="F1685">
        <v>5861337</v>
      </c>
      <c r="G1685">
        <v>314400</v>
      </c>
      <c r="H1685">
        <v>7312516</v>
      </c>
      <c r="I1685">
        <v>104800</v>
      </c>
      <c r="J1685">
        <v>7304132</v>
      </c>
      <c r="K1685">
        <v>122800</v>
      </c>
    </row>
    <row r="1686" spans="1:11" x14ac:dyDescent="0.3">
      <c r="A1686" t="s">
        <v>1695</v>
      </c>
      <c r="B1686">
        <v>360825</v>
      </c>
      <c r="C1686">
        <v>2975100</v>
      </c>
      <c r="D1686">
        <v>177771</v>
      </c>
      <c r="E1686">
        <v>621400</v>
      </c>
      <c r="F1686">
        <v>5868580</v>
      </c>
      <c r="G1686">
        <v>308900</v>
      </c>
      <c r="H1686">
        <v>7320827</v>
      </c>
      <c r="I1686">
        <v>105400</v>
      </c>
      <c r="J1686">
        <v>7313050</v>
      </c>
      <c r="K1686">
        <v>116100</v>
      </c>
    </row>
    <row r="1687" spans="1:11" x14ac:dyDescent="0.3">
      <c r="A1687" t="s">
        <v>1696</v>
      </c>
      <c r="B1687">
        <v>360825</v>
      </c>
      <c r="C1687">
        <v>2847900</v>
      </c>
      <c r="D1687">
        <v>177232</v>
      </c>
      <c r="E1687">
        <v>619100</v>
      </c>
      <c r="F1687">
        <v>5875804</v>
      </c>
      <c r="G1687">
        <v>321200</v>
      </c>
      <c r="H1687">
        <v>7329476</v>
      </c>
      <c r="I1687">
        <v>105800</v>
      </c>
      <c r="J1687">
        <v>7321858</v>
      </c>
      <c r="K1687">
        <v>115900</v>
      </c>
    </row>
    <row r="1688" spans="1:11" x14ac:dyDescent="0.3">
      <c r="A1688" t="s">
        <v>1697</v>
      </c>
      <c r="B1688">
        <v>360825</v>
      </c>
      <c r="C1688">
        <v>3093600</v>
      </c>
      <c r="D1688">
        <v>177554</v>
      </c>
      <c r="E1688">
        <v>623900</v>
      </c>
      <c r="F1688">
        <v>5883013</v>
      </c>
      <c r="G1688">
        <v>311300</v>
      </c>
      <c r="H1688">
        <v>7338242</v>
      </c>
      <c r="I1688">
        <v>112400</v>
      </c>
      <c r="J1688">
        <v>7331279</v>
      </c>
      <c r="K1688">
        <v>141500</v>
      </c>
    </row>
    <row r="1689" spans="1:11" x14ac:dyDescent="0.3">
      <c r="A1689" t="s">
        <v>1698</v>
      </c>
      <c r="B1689">
        <v>360825</v>
      </c>
      <c r="C1689">
        <v>2914600</v>
      </c>
      <c r="D1689">
        <v>187083</v>
      </c>
      <c r="E1689">
        <v>648200</v>
      </c>
      <c r="F1689">
        <v>5890242</v>
      </c>
      <c r="G1689">
        <v>312300</v>
      </c>
      <c r="H1689">
        <v>7346966</v>
      </c>
      <c r="I1689">
        <v>104000</v>
      </c>
      <c r="J1689">
        <v>7339940</v>
      </c>
      <c r="K1689">
        <v>113700</v>
      </c>
    </row>
    <row r="1690" spans="1:11" x14ac:dyDescent="0.3">
      <c r="A1690" t="s">
        <v>1699</v>
      </c>
      <c r="B1690">
        <v>360825</v>
      </c>
      <c r="C1690">
        <v>2854700</v>
      </c>
      <c r="D1690">
        <v>182181</v>
      </c>
      <c r="E1690">
        <v>648400</v>
      </c>
      <c r="F1690">
        <v>5897459</v>
      </c>
      <c r="G1690">
        <v>308700</v>
      </c>
      <c r="H1690">
        <v>7356154</v>
      </c>
      <c r="I1690">
        <v>105200</v>
      </c>
      <c r="J1690">
        <v>7348735</v>
      </c>
      <c r="K1690">
        <v>117200</v>
      </c>
    </row>
    <row r="1691" spans="1:11" x14ac:dyDescent="0.3">
      <c r="A1691" t="s">
        <v>1700</v>
      </c>
      <c r="B1691">
        <v>360825</v>
      </c>
      <c r="C1691">
        <v>3100900</v>
      </c>
      <c r="D1691">
        <v>183780</v>
      </c>
      <c r="E1691">
        <v>680600</v>
      </c>
      <c r="F1691">
        <v>5904659</v>
      </c>
      <c r="G1691">
        <v>314500</v>
      </c>
      <c r="H1691">
        <v>7364670</v>
      </c>
      <c r="I1691">
        <v>106000</v>
      </c>
      <c r="J1691">
        <v>7357491</v>
      </c>
      <c r="K1691">
        <v>120700</v>
      </c>
    </row>
    <row r="1692" spans="1:11" x14ac:dyDescent="0.3">
      <c r="A1692" t="s">
        <v>1701</v>
      </c>
      <c r="B1692">
        <v>360825</v>
      </c>
      <c r="C1692">
        <v>2712400</v>
      </c>
      <c r="D1692">
        <v>182888</v>
      </c>
      <c r="E1692">
        <v>635000</v>
      </c>
      <c r="F1692">
        <v>5911871</v>
      </c>
      <c r="G1692">
        <v>309400</v>
      </c>
      <c r="H1692">
        <v>7374306</v>
      </c>
      <c r="I1692">
        <v>105200</v>
      </c>
      <c r="J1692">
        <v>7366718</v>
      </c>
      <c r="K1692">
        <v>118600</v>
      </c>
    </row>
    <row r="1693" spans="1:11" x14ac:dyDescent="0.3">
      <c r="A1693" t="s">
        <v>1702</v>
      </c>
      <c r="B1693">
        <v>360825</v>
      </c>
      <c r="C1693">
        <v>2728800</v>
      </c>
      <c r="D1693">
        <v>185604</v>
      </c>
      <c r="E1693">
        <v>644600</v>
      </c>
      <c r="F1693">
        <v>5919069</v>
      </c>
      <c r="G1693">
        <v>307900</v>
      </c>
      <c r="H1693">
        <v>7383697</v>
      </c>
      <c r="I1693">
        <v>103400</v>
      </c>
      <c r="J1693">
        <v>7375695</v>
      </c>
      <c r="K1693">
        <v>114400</v>
      </c>
    </row>
    <row r="1694" spans="1:11" x14ac:dyDescent="0.3">
      <c r="A1694" t="s">
        <v>1703</v>
      </c>
      <c r="B1694">
        <v>360825</v>
      </c>
      <c r="C1694">
        <v>2990500</v>
      </c>
      <c r="D1694">
        <v>186335</v>
      </c>
      <c r="E1694">
        <v>667300</v>
      </c>
      <c r="F1694">
        <v>5926261</v>
      </c>
      <c r="G1694">
        <v>313700</v>
      </c>
      <c r="H1694">
        <v>7392436</v>
      </c>
      <c r="I1694">
        <v>105000</v>
      </c>
      <c r="J1694">
        <v>7383915</v>
      </c>
      <c r="K1694">
        <v>120200</v>
      </c>
    </row>
    <row r="1695" spans="1:11" x14ac:dyDescent="0.3">
      <c r="A1695" t="s">
        <v>1704</v>
      </c>
      <c r="B1695">
        <v>360825</v>
      </c>
      <c r="C1695">
        <v>3216700</v>
      </c>
      <c r="D1695">
        <v>178752</v>
      </c>
      <c r="E1695">
        <v>673700</v>
      </c>
      <c r="F1695">
        <v>5933474</v>
      </c>
      <c r="G1695">
        <v>313200</v>
      </c>
      <c r="H1695">
        <v>7402767</v>
      </c>
      <c r="I1695">
        <v>109000</v>
      </c>
      <c r="J1695">
        <v>7393045</v>
      </c>
      <c r="K1695">
        <v>118000</v>
      </c>
    </row>
    <row r="1696" spans="1:11" x14ac:dyDescent="0.3">
      <c r="A1696" t="s">
        <v>1705</v>
      </c>
      <c r="B1696">
        <v>360825</v>
      </c>
      <c r="C1696">
        <v>3179100</v>
      </c>
      <c r="D1696">
        <v>183155</v>
      </c>
      <c r="E1696">
        <v>645600</v>
      </c>
      <c r="F1696">
        <v>5940698</v>
      </c>
      <c r="G1696">
        <v>311300</v>
      </c>
      <c r="H1696">
        <v>7411504</v>
      </c>
      <c r="I1696">
        <v>103600</v>
      </c>
      <c r="J1696">
        <v>7402144</v>
      </c>
      <c r="K1696">
        <v>119600</v>
      </c>
    </row>
    <row r="1697" spans="1:11" x14ac:dyDescent="0.3">
      <c r="A1697" t="s">
        <v>1706</v>
      </c>
      <c r="B1697">
        <v>360825</v>
      </c>
      <c r="C1697">
        <v>2880000</v>
      </c>
      <c r="D1697">
        <v>176454</v>
      </c>
      <c r="E1697">
        <v>630900</v>
      </c>
      <c r="F1697">
        <v>5947889</v>
      </c>
      <c r="G1697">
        <v>311400</v>
      </c>
      <c r="H1697">
        <v>7420692</v>
      </c>
      <c r="I1697">
        <v>105100</v>
      </c>
      <c r="J1697">
        <v>7410844</v>
      </c>
      <c r="K1697">
        <v>117800</v>
      </c>
    </row>
    <row r="1698" spans="1:11" x14ac:dyDescent="0.3">
      <c r="A1698" t="s">
        <v>1707</v>
      </c>
      <c r="B1698">
        <v>360825</v>
      </c>
      <c r="C1698">
        <v>2920900</v>
      </c>
      <c r="D1698">
        <v>182560</v>
      </c>
      <c r="E1698">
        <v>656500</v>
      </c>
      <c r="F1698">
        <v>5955088</v>
      </c>
      <c r="G1698">
        <v>311700</v>
      </c>
      <c r="H1698">
        <v>7429410</v>
      </c>
      <c r="I1698">
        <v>102600</v>
      </c>
      <c r="J1698">
        <v>7419828</v>
      </c>
      <c r="K1698">
        <v>119800</v>
      </c>
    </row>
    <row r="1699" spans="1:11" x14ac:dyDescent="0.3">
      <c r="A1699" t="s">
        <v>1708</v>
      </c>
      <c r="B1699">
        <v>360825</v>
      </c>
      <c r="C1699">
        <v>2955000</v>
      </c>
      <c r="D1699">
        <v>180432</v>
      </c>
      <c r="E1699">
        <v>628100</v>
      </c>
      <c r="F1699">
        <v>5962287</v>
      </c>
      <c r="G1699">
        <v>320600</v>
      </c>
      <c r="H1699">
        <v>7438405</v>
      </c>
      <c r="I1699">
        <v>106900</v>
      </c>
      <c r="J1699">
        <v>7429060</v>
      </c>
      <c r="K1699">
        <v>118700</v>
      </c>
    </row>
    <row r="1700" spans="1:11" x14ac:dyDescent="0.3">
      <c r="A1700" t="s">
        <v>1709</v>
      </c>
      <c r="B1700">
        <v>360825</v>
      </c>
      <c r="C1700">
        <v>2997100</v>
      </c>
      <c r="D1700">
        <v>172049</v>
      </c>
      <c r="E1700">
        <v>606300</v>
      </c>
      <c r="F1700">
        <v>5969513</v>
      </c>
      <c r="G1700">
        <v>310200</v>
      </c>
      <c r="H1700">
        <v>7447368</v>
      </c>
      <c r="I1700">
        <v>101800</v>
      </c>
      <c r="J1700">
        <v>7438471</v>
      </c>
      <c r="K1700">
        <v>116000</v>
      </c>
    </row>
    <row r="1701" spans="1:11" x14ac:dyDescent="0.3">
      <c r="A1701" t="s">
        <v>1710</v>
      </c>
      <c r="B1701">
        <v>360825</v>
      </c>
      <c r="C1701">
        <v>2934000</v>
      </c>
      <c r="D1701">
        <v>179059</v>
      </c>
      <c r="E1701">
        <v>635900</v>
      </c>
      <c r="F1701">
        <v>5976689</v>
      </c>
      <c r="G1701">
        <v>306500</v>
      </c>
      <c r="H1701">
        <v>7458544</v>
      </c>
      <c r="I1701">
        <v>106800</v>
      </c>
      <c r="J1701">
        <v>7447044</v>
      </c>
      <c r="K1701">
        <v>156500</v>
      </c>
    </row>
    <row r="1702" spans="1:11" x14ac:dyDescent="0.3">
      <c r="A1702" t="s">
        <v>1711</v>
      </c>
      <c r="B1702">
        <v>404550</v>
      </c>
      <c r="C1702">
        <v>3415500</v>
      </c>
      <c r="D1702">
        <v>200474</v>
      </c>
      <c r="E1702">
        <v>698800</v>
      </c>
      <c r="F1702">
        <v>5984400</v>
      </c>
      <c r="G1702">
        <v>324800</v>
      </c>
      <c r="H1702">
        <v>7467881</v>
      </c>
      <c r="I1702">
        <v>113100</v>
      </c>
      <c r="J1702">
        <v>7457163</v>
      </c>
      <c r="K1702">
        <v>123700</v>
      </c>
    </row>
    <row r="1703" spans="1:11" x14ac:dyDescent="0.3">
      <c r="A1703" t="s">
        <v>1712</v>
      </c>
      <c r="B1703">
        <v>404550</v>
      </c>
      <c r="C1703">
        <v>3226900</v>
      </c>
      <c r="D1703">
        <v>198914</v>
      </c>
      <c r="E1703">
        <v>708900</v>
      </c>
      <c r="F1703">
        <v>5992148</v>
      </c>
      <c r="G1703">
        <v>339100</v>
      </c>
      <c r="H1703">
        <v>7476639</v>
      </c>
      <c r="I1703">
        <v>123100</v>
      </c>
      <c r="J1703">
        <v>7466647</v>
      </c>
      <c r="K1703">
        <v>121900</v>
      </c>
    </row>
    <row r="1704" spans="1:11" x14ac:dyDescent="0.3">
      <c r="A1704" t="s">
        <v>1713</v>
      </c>
      <c r="B1704">
        <v>404550</v>
      </c>
      <c r="C1704">
        <v>3336600</v>
      </c>
      <c r="D1704">
        <v>204174</v>
      </c>
      <c r="E1704">
        <v>716700</v>
      </c>
      <c r="F1704">
        <v>5999852</v>
      </c>
      <c r="G1704">
        <v>328400</v>
      </c>
      <c r="H1704">
        <v>7486807</v>
      </c>
      <c r="I1704">
        <v>111500</v>
      </c>
      <c r="J1704">
        <v>7477693</v>
      </c>
      <c r="K1704">
        <v>123500</v>
      </c>
    </row>
    <row r="1705" spans="1:11" x14ac:dyDescent="0.3">
      <c r="A1705" t="s">
        <v>1714</v>
      </c>
      <c r="B1705">
        <v>404550</v>
      </c>
      <c r="C1705">
        <v>3317300</v>
      </c>
      <c r="D1705">
        <v>195621</v>
      </c>
      <c r="E1705">
        <v>693300</v>
      </c>
      <c r="F1705">
        <v>6007557</v>
      </c>
      <c r="G1705">
        <v>339600</v>
      </c>
      <c r="H1705">
        <v>7496872</v>
      </c>
      <c r="I1705">
        <v>111200</v>
      </c>
      <c r="J1705">
        <v>7487018</v>
      </c>
      <c r="K1705">
        <v>125300</v>
      </c>
    </row>
    <row r="1706" spans="1:11" x14ac:dyDescent="0.3">
      <c r="A1706" t="s">
        <v>1715</v>
      </c>
      <c r="B1706">
        <v>404550</v>
      </c>
      <c r="C1706">
        <v>3340800</v>
      </c>
      <c r="D1706">
        <v>206369</v>
      </c>
      <c r="E1706">
        <v>712200</v>
      </c>
      <c r="F1706">
        <v>6015257</v>
      </c>
      <c r="G1706">
        <v>332300</v>
      </c>
      <c r="H1706">
        <v>7506394</v>
      </c>
      <c r="I1706">
        <v>113400</v>
      </c>
      <c r="J1706">
        <v>7496738</v>
      </c>
      <c r="K1706">
        <v>125800</v>
      </c>
    </row>
    <row r="1707" spans="1:11" x14ac:dyDescent="0.3">
      <c r="A1707" t="s">
        <v>1716</v>
      </c>
      <c r="B1707">
        <v>404550</v>
      </c>
      <c r="C1707">
        <v>3344900</v>
      </c>
      <c r="D1707">
        <v>197254</v>
      </c>
      <c r="E1707">
        <v>798900</v>
      </c>
      <c r="F1707">
        <v>6022974</v>
      </c>
      <c r="G1707">
        <v>327300</v>
      </c>
      <c r="H1707">
        <v>7515782</v>
      </c>
      <c r="I1707">
        <v>109500</v>
      </c>
      <c r="J1707">
        <v>7506363</v>
      </c>
      <c r="K1707">
        <v>126000</v>
      </c>
    </row>
    <row r="1708" spans="1:11" x14ac:dyDescent="0.3">
      <c r="A1708" t="s">
        <v>1717</v>
      </c>
      <c r="B1708">
        <v>404550</v>
      </c>
      <c r="C1708">
        <v>3471100</v>
      </c>
      <c r="D1708">
        <v>202275</v>
      </c>
      <c r="E1708">
        <v>968200</v>
      </c>
      <c r="F1708">
        <v>6030701</v>
      </c>
      <c r="G1708">
        <v>391800</v>
      </c>
      <c r="H1708">
        <v>7525014</v>
      </c>
      <c r="I1708">
        <v>132800</v>
      </c>
      <c r="J1708">
        <v>7515365</v>
      </c>
      <c r="K1708">
        <v>147600</v>
      </c>
    </row>
    <row r="1709" spans="1:11" x14ac:dyDescent="0.3">
      <c r="A1709" t="s">
        <v>1718</v>
      </c>
      <c r="B1709">
        <v>404550</v>
      </c>
      <c r="C1709">
        <v>3204300</v>
      </c>
      <c r="D1709">
        <v>197068</v>
      </c>
      <c r="E1709">
        <v>690000</v>
      </c>
      <c r="F1709">
        <v>6038428</v>
      </c>
      <c r="G1709">
        <v>329500</v>
      </c>
      <c r="H1709">
        <v>7535178</v>
      </c>
      <c r="I1709">
        <v>115700</v>
      </c>
      <c r="J1709">
        <v>7524984</v>
      </c>
      <c r="K1709">
        <v>122100</v>
      </c>
    </row>
    <row r="1710" spans="1:11" x14ac:dyDescent="0.3">
      <c r="A1710" t="s">
        <v>1719</v>
      </c>
      <c r="B1710">
        <v>404550</v>
      </c>
      <c r="C1710">
        <v>3564900</v>
      </c>
      <c r="D1710">
        <v>210845</v>
      </c>
      <c r="E1710">
        <v>738700</v>
      </c>
      <c r="F1710">
        <v>6046137</v>
      </c>
      <c r="G1710">
        <v>327500</v>
      </c>
      <c r="H1710">
        <v>7544736</v>
      </c>
      <c r="I1710">
        <v>115500</v>
      </c>
      <c r="J1710">
        <v>7536243</v>
      </c>
      <c r="K1710">
        <v>125000</v>
      </c>
    </row>
    <row r="1711" spans="1:11" x14ac:dyDescent="0.3">
      <c r="A1711" t="s">
        <v>1720</v>
      </c>
      <c r="B1711">
        <v>404550</v>
      </c>
      <c r="C1711">
        <v>3236700</v>
      </c>
      <c r="D1711">
        <v>206067</v>
      </c>
      <c r="E1711">
        <v>711600</v>
      </c>
      <c r="F1711">
        <v>6053873</v>
      </c>
      <c r="G1711">
        <v>334500</v>
      </c>
      <c r="H1711">
        <v>7555032</v>
      </c>
      <c r="I1711">
        <v>110800</v>
      </c>
      <c r="J1711">
        <v>7545997</v>
      </c>
      <c r="K1711">
        <v>126400</v>
      </c>
    </row>
    <row r="1712" spans="1:11" x14ac:dyDescent="0.3">
      <c r="A1712" t="s">
        <v>1721</v>
      </c>
      <c r="B1712">
        <v>404550</v>
      </c>
      <c r="C1712">
        <v>3347700</v>
      </c>
      <c r="D1712">
        <v>203265</v>
      </c>
      <c r="E1712">
        <v>702400</v>
      </c>
      <c r="F1712">
        <v>6061571</v>
      </c>
      <c r="G1712">
        <v>337800</v>
      </c>
      <c r="H1712">
        <v>7565246</v>
      </c>
      <c r="I1712">
        <v>108800</v>
      </c>
      <c r="J1712">
        <v>7556507</v>
      </c>
      <c r="K1712">
        <v>132700</v>
      </c>
    </row>
    <row r="1713" spans="1:11" x14ac:dyDescent="0.3">
      <c r="A1713" t="s">
        <v>1722</v>
      </c>
      <c r="B1713">
        <v>404550</v>
      </c>
      <c r="C1713">
        <v>3095100</v>
      </c>
      <c r="D1713">
        <v>205794</v>
      </c>
      <c r="E1713">
        <v>718800</v>
      </c>
      <c r="F1713">
        <v>6069274</v>
      </c>
      <c r="G1713">
        <v>354500</v>
      </c>
      <c r="H1713">
        <v>7575176</v>
      </c>
      <c r="I1713">
        <v>176400</v>
      </c>
      <c r="J1713">
        <v>7566308</v>
      </c>
      <c r="K1713">
        <v>122300</v>
      </c>
    </row>
    <row r="1714" spans="1:11" x14ac:dyDescent="0.3">
      <c r="A1714" t="s">
        <v>1723</v>
      </c>
      <c r="B1714">
        <v>404550</v>
      </c>
      <c r="C1714">
        <v>3432100</v>
      </c>
      <c r="D1714">
        <v>200541</v>
      </c>
      <c r="E1714">
        <v>698600</v>
      </c>
      <c r="F1714">
        <v>6076973</v>
      </c>
      <c r="G1714">
        <v>332900</v>
      </c>
      <c r="H1714">
        <v>7584708</v>
      </c>
      <c r="I1714">
        <v>112800</v>
      </c>
      <c r="J1714">
        <v>7575666</v>
      </c>
      <c r="K1714">
        <v>123000</v>
      </c>
    </row>
    <row r="1715" spans="1:11" x14ac:dyDescent="0.3">
      <c r="A1715" t="s">
        <v>1724</v>
      </c>
      <c r="B1715">
        <v>404550</v>
      </c>
      <c r="C1715">
        <v>3235700</v>
      </c>
      <c r="D1715">
        <v>203204</v>
      </c>
      <c r="E1715">
        <v>707500</v>
      </c>
      <c r="F1715">
        <v>6084674</v>
      </c>
      <c r="G1715">
        <v>334100</v>
      </c>
      <c r="H1715">
        <v>7594847</v>
      </c>
      <c r="I1715">
        <v>113800</v>
      </c>
      <c r="J1715">
        <v>7585242</v>
      </c>
      <c r="K1715">
        <v>123800</v>
      </c>
    </row>
    <row r="1716" spans="1:11" x14ac:dyDescent="0.3">
      <c r="A1716" t="s">
        <v>1725</v>
      </c>
      <c r="B1716">
        <v>404550</v>
      </c>
      <c r="C1716">
        <v>3278000</v>
      </c>
      <c r="D1716">
        <v>196377</v>
      </c>
      <c r="E1716">
        <v>677900</v>
      </c>
      <c r="F1716">
        <v>6092376</v>
      </c>
      <c r="G1716">
        <v>324900</v>
      </c>
      <c r="H1716">
        <v>7603876</v>
      </c>
      <c r="I1716">
        <v>110000</v>
      </c>
      <c r="J1716">
        <v>7594872</v>
      </c>
      <c r="K1716">
        <v>125200</v>
      </c>
    </row>
    <row r="1717" spans="1:11" x14ac:dyDescent="0.3">
      <c r="A1717" t="s">
        <v>1726</v>
      </c>
      <c r="B1717">
        <v>404550</v>
      </c>
      <c r="C1717">
        <v>3254600</v>
      </c>
      <c r="D1717">
        <v>205543</v>
      </c>
      <c r="E1717">
        <v>737100</v>
      </c>
      <c r="F1717">
        <v>6100100</v>
      </c>
      <c r="G1717">
        <v>327300</v>
      </c>
      <c r="H1717">
        <v>7613515</v>
      </c>
      <c r="I1717">
        <v>114400</v>
      </c>
      <c r="J1717">
        <v>7605066</v>
      </c>
      <c r="K1717">
        <v>128700</v>
      </c>
    </row>
    <row r="1718" spans="1:11" x14ac:dyDescent="0.3">
      <c r="A1718" t="s">
        <v>1727</v>
      </c>
      <c r="B1718">
        <v>404550</v>
      </c>
      <c r="C1718">
        <v>3863600</v>
      </c>
      <c r="D1718">
        <v>197921</v>
      </c>
      <c r="E1718">
        <v>683600</v>
      </c>
      <c r="F1718">
        <v>6107799</v>
      </c>
      <c r="G1718">
        <v>331600</v>
      </c>
      <c r="H1718">
        <v>7623324</v>
      </c>
      <c r="I1718">
        <v>120300</v>
      </c>
      <c r="J1718">
        <v>7614690</v>
      </c>
      <c r="K1718">
        <v>182500</v>
      </c>
    </row>
    <row r="1719" spans="1:11" x14ac:dyDescent="0.3">
      <c r="A1719" t="s">
        <v>1728</v>
      </c>
      <c r="B1719">
        <v>404550</v>
      </c>
      <c r="C1719">
        <v>3654600</v>
      </c>
      <c r="D1719">
        <v>201884</v>
      </c>
      <c r="E1719">
        <v>703500</v>
      </c>
      <c r="F1719">
        <v>6115512</v>
      </c>
      <c r="G1719">
        <v>331300</v>
      </c>
      <c r="H1719">
        <v>7632914</v>
      </c>
      <c r="I1719">
        <v>114800</v>
      </c>
      <c r="J1719">
        <v>7625399</v>
      </c>
      <c r="K1719">
        <v>126700</v>
      </c>
    </row>
    <row r="1720" spans="1:11" x14ac:dyDescent="0.3">
      <c r="A1720" t="s">
        <v>1729</v>
      </c>
      <c r="B1720">
        <v>404550</v>
      </c>
      <c r="C1720">
        <v>3201400</v>
      </c>
      <c r="D1720">
        <v>205466</v>
      </c>
      <c r="E1720">
        <v>709700</v>
      </c>
      <c r="F1720">
        <v>6123212</v>
      </c>
      <c r="G1720">
        <v>327600</v>
      </c>
      <c r="H1720">
        <v>7642421</v>
      </c>
      <c r="I1720">
        <v>118100</v>
      </c>
      <c r="J1720">
        <v>7634600</v>
      </c>
      <c r="K1720">
        <v>125600</v>
      </c>
    </row>
    <row r="1721" spans="1:11" x14ac:dyDescent="0.3">
      <c r="A1721" t="s">
        <v>1730</v>
      </c>
      <c r="B1721">
        <v>404550</v>
      </c>
      <c r="C1721">
        <v>3454700</v>
      </c>
      <c r="D1721">
        <v>199408</v>
      </c>
      <c r="E1721">
        <v>712600</v>
      </c>
      <c r="F1721">
        <v>6130952</v>
      </c>
      <c r="G1721">
        <v>326900</v>
      </c>
      <c r="H1721">
        <v>7652038</v>
      </c>
      <c r="I1721">
        <v>112200</v>
      </c>
      <c r="J1721">
        <v>7643615</v>
      </c>
      <c r="K1721">
        <v>123700</v>
      </c>
    </row>
    <row r="1722" spans="1:11" x14ac:dyDescent="0.3">
      <c r="A1722" t="s">
        <v>1731</v>
      </c>
      <c r="B1722">
        <v>404550</v>
      </c>
      <c r="C1722">
        <v>3656100</v>
      </c>
      <c r="D1722">
        <v>203241</v>
      </c>
      <c r="E1722">
        <v>737500</v>
      </c>
      <c r="F1722">
        <v>6138669</v>
      </c>
      <c r="G1722">
        <v>328100</v>
      </c>
      <c r="H1722">
        <v>7661890</v>
      </c>
      <c r="I1722">
        <v>113700</v>
      </c>
      <c r="J1722">
        <v>7654403</v>
      </c>
      <c r="K1722">
        <v>130500</v>
      </c>
    </row>
    <row r="1723" spans="1:11" x14ac:dyDescent="0.3">
      <c r="A1723" t="s">
        <v>1732</v>
      </c>
      <c r="B1723">
        <v>404550</v>
      </c>
      <c r="C1723">
        <v>3256000</v>
      </c>
      <c r="D1723">
        <v>202425</v>
      </c>
      <c r="E1723">
        <v>703800</v>
      </c>
      <c r="F1723">
        <v>6146363</v>
      </c>
      <c r="G1723">
        <v>329900</v>
      </c>
      <c r="H1723">
        <v>7671659</v>
      </c>
      <c r="I1723">
        <v>114400</v>
      </c>
      <c r="J1723">
        <v>7663750</v>
      </c>
      <c r="K1723">
        <v>127800</v>
      </c>
    </row>
    <row r="1724" spans="1:11" x14ac:dyDescent="0.3">
      <c r="A1724" t="s">
        <v>1733</v>
      </c>
      <c r="B1724">
        <v>404550</v>
      </c>
      <c r="C1724">
        <v>3257000</v>
      </c>
      <c r="D1724">
        <v>201622</v>
      </c>
      <c r="E1724">
        <v>698100</v>
      </c>
      <c r="F1724">
        <v>6154066</v>
      </c>
      <c r="G1724">
        <v>335800</v>
      </c>
      <c r="H1724">
        <v>7681722</v>
      </c>
      <c r="I1724">
        <v>117800</v>
      </c>
      <c r="J1724">
        <v>7672818</v>
      </c>
      <c r="K1724">
        <v>123200</v>
      </c>
    </row>
    <row r="1725" spans="1:11" x14ac:dyDescent="0.3">
      <c r="A1725" t="s">
        <v>1734</v>
      </c>
      <c r="B1725">
        <v>404550</v>
      </c>
      <c r="C1725">
        <v>3135800</v>
      </c>
      <c r="D1725">
        <v>203724</v>
      </c>
      <c r="E1725">
        <v>726700</v>
      </c>
      <c r="F1725">
        <v>6161787</v>
      </c>
      <c r="G1725">
        <v>487500</v>
      </c>
      <c r="H1725">
        <v>7692640</v>
      </c>
      <c r="I1725">
        <v>130100</v>
      </c>
      <c r="J1725">
        <v>7682223</v>
      </c>
      <c r="K1725">
        <v>146900</v>
      </c>
    </row>
    <row r="1726" spans="1:11" x14ac:dyDescent="0.3">
      <c r="A1726" t="s">
        <v>1735</v>
      </c>
      <c r="B1726">
        <v>404550</v>
      </c>
      <c r="C1726">
        <v>3407100</v>
      </c>
      <c r="D1726">
        <v>205645</v>
      </c>
      <c r="E1726">
        <v>716000</v>
      </c>
      <c r="F1726">
        <v>6169511</v>
      </c>
      <c r="G1726">
        <v>325600</v>
      </c>
      <c r="H1726">
        <v>7702569</v>
      </c>
      <c r="I1726">
        <v>110700</v>
      </c>
      <c r="J1726">
        <v>7692266</v>
      </c>
      <c r="K1726">
        <v>130800</v>
      </c>
    </row>
    <row r="1727" spans="1:11" x14ac:dyDescent="0.3">
      <c r="A1727" t="s">
        <v>1736</v>
      </c>
      <c r="B1727">
        <v>404550</v>
      </c>
      <c r="C1727">
        <v>3621900</v>
      </c>
      <c r="D1727">
        <v>203203</v>
      </c>
      <c r="E1727">
        <v>808600</v>
      </c>
      <c r="F1727">
        <v>6177220</v>
      </c>
      <c r="G1727">
        <v>329600</v>
      </c>
      <c r="H1727">
        <v>7713323</v>
      </c>
      <c r="I1727">
        <v>121100</v>
      </c>
      <c r="J1727">
        <v>7701980</v>
      </c>
      <c r="K1727">
        <v>125400</v>
      </c>
    </row>
    <row r="1728" spans="1:11" x14ac:dyDescent="0.3">
      <c r="A1728" t="s">
        <v>1737</v>
      </c>
      <c r="B1728">
        <v>404550</v>
      </c>
      <c r="C1728">
        <v>3233900</v>
      </c>
      <c r="D1728">
        <v>202647</v>
      </c>
      <c r="E1728">
        <v>702400</v>
      </c>
      <c r="F1728">
        <v>6184942</v>
      </c>
      <c r="G1728">
        <v>329800</v>
      </c>
      <c r="H1728">
        <v>7722454</v>
      </c>
      <c r="I1728">
        <v>113100</v>
      </c>
      <c r="J1728">
        <v>7712411</v>
      </c>
      <c r="K1728">
        <v>125600</v>
      </c>
    </row>
    <row r="1729" spans="1:11" x14ac:dyDescent="0.3">
      <c r="A1729" t="s">
        <v>1738</v>
      </c>
      <c r="B1729">
        <v>404550</v>
      </c>
      <c r="C1729">
        <v>3300400</v>
      </c>
      <c r="D1729">
        <v>203319</v>
      </c>
      <c r="E1729">
        <v>721500</v>
      </c>
      <c r="F1729">
        <v>6192632</v>
      </c>
      <c r="G1729">
        <v>326000</v>
      </c>
      <c r="H1729">
        <v>7731882</v>
      </c>
      <c r="I1729">
        <v>109200</v>
      </c>
      <c r="J1729">
        <v>7722433</v>
      </c>
      <c r="K1729">
        <v>123000</v>
      </c>
    </row>
    <row r="1730" spans="1:11" x14ac:dyDescent="0.3">
      <c r="A1730" t="s">
        <v>1739</v>
      </c>
      <c r="B1730">
        <v>404550</v>
      </c>
      <c r="C1730">
        <v>3349000</v>
      </c>
      <c r="D1730">
        <v>201019</v>
      </c>
      <c r="E1730">
        <v>695400</v>
      </c>
      <c r="F1730">
        <v>6200337</v>
      </c>
      <c r="G1730">
        <v>329600</v>
      </c>
      <c r="H1730">
        <v>7741039</v>
      </c>
      <c r="I1730">
        <v>112300</v>
      </c>
      <c r="J1730">
        <v>7731985</v>
      </c>
      <c r="K1730">
        <v>124300</v>
      </c>
    </row>
    <row r="1731" spans="1:11" x14ac:dyDescent="0.3">
      <c r="A1731" t="s">
        <v>1740</v>
      </c>
      <c r="B1731">
        <v>404550</v>
      </c>
      <c r="C1731">
        <v>3337300</v>
      </c>
      <c r="D1731">
        <v>205401</v>
      </c>
      <c r="E1731">
        <v>711700</v>
      </c>
      <c r="F1731">
        <v>6208047</v>
      </c>
      <c r="G1731">
        <v>367000</v>
      </c>
      <c r="H1731">
        <v>7751009</v>
      </c>
      <c r="I1731">
        <v>113100</v>
      </c>
      <c r="J1731">
        <v>7741369</v>
      </c>
      <c r="K1731">
        <v>125400</v>
      </c>
    </row>
    <row r="1732" spans="1:11" x14ac:dyDescent="0.3">
      <c r="A1732" t="s">
        <v>1741</v>
      </c>
      <c r="B1732">
        <v>404550</v>
      </c>
      <c r="C1732">
        <v>3306800</v>
      </c>
      <c r="D1732">
        <v>201737</v>
      </c>
      <c r="E1732">
        <v>715700</v>
      </c>
      <c r="F1732">
        <v>6215745</v>
      </c>
      <c r="G1732">
        <v>329400</v>
      </c>
      <c r="H1732">
        <v>7760290</v>
      </c>
      <c r="I1732">
        <v>112400</v>
      </c>
      <c r="J1732">
        <v>7750731</v>
      </c>
      <c r="K1732">
        <v>122000</v>
      </c>
    </row>
    <row r="1733" spans="1:11" x14ac:dyDescent="0.3">
      <c r="A1733" t="s">
        <v>1742</v>
      </c>
      <c r="B1733">
        <v>404550</v>
      </c>
      <c r="C1733">
        <v>3695400</v>
      </c>
      <c r="D1733">
        <v>209040</v>
      </c>
      <c r="E1733">
        <v>727300</v>
      </c>
      <c r="F1733">
        <v>6223449</v>
      </c>
      <c r="G1733">
        <v>327400</v>
      </c>
      <c r="H1733">
        <v>7770465</v>
      </c>
      <c r="I1733">
        <v>113800</v>
      </c>
      <c r="J1733">
        <v>7759860</v>
      </c>
      <c r="K1733">
        <v>126800</v>
      </c>
    </row>
    <row r="1734" spans="1:11" x14ac:dyDescent="0.3">
      <c r="A1734" t="s">
        <v>1743</v>
      </c>
      <c r="B1734">
        <v>404550</v>
      </c>
      <c r="C1734">
        <v>3352400</v>
      </c>
      <c r="D1734">
        <v>208712</v>
      </c>
      <c r="E1734">
        <v>720900</v>
      </c>
      <c r="F1734">
        <v>6231150</v>
      </c>
      <c r="G1734">
        <v>330200</v>
      </c>
      <c r="H1734">
        <v>7779568</v>
      </c>
      <c r="I1734">
        <v>116300</v>
      </c>
      <c r="J1734">
        <v>7769336</v>
      </c>
      <c r="K1734">
        <v>128100</v>
      </c>
    </row>
    <row r="1735" spans="1:11" x14ac:dyDescent="0.3">
      <c r="A1735" t="s">
        <v>1744</v>
      </c>
      <c r="B1735">
        <v>404550</v>
      </c>
      <c r="C1735">
        <v>3209700</v>
      </c>
      <c r="D1735">
        <v>199473</v>
      </c>
      <c r="E1735">
        <v>708300</v>
      </c>
      <c r="F1735">
        <v>6238867</v>
      </c>
      <c r="G1735">
        <v>327300</v>
      </c>
      <c r="H1735">
        <v>7789214</v>
      </c>
      <c r="I1735">
        <v>112500</v>
      </c>
      <c r="J1735">
        <v>7778742</v>
      </c>
      <c r="K1735">
        <v>123600</v>
      </c>
    </row>
    <row r="1736" spans="1:11" x14ac:dyDescent="0.3">
      <c r="A1736" t="s">
        <v>1745</v>
      </c>
      <c r="B1736">
        <v>404550</v>
      </c>
      <c r="C1736">
        <v>3418400</v>
      </c>
      <c r="D1736">
        <v>197337</v>
      </c>
      <c r="E1736">
        <v>707600</v>
      </c>
      <c r="F1736">
        <v>6246564</v>
      </c>
      <c r="G1736">
        <v>327600</v>
      </c>
      <c r="H1736">
        <v>7798958</v>
      </c>
      <c r="I1736">
        <v>109500</v>
      </c>
      <c r="J1736">
        <v>7788180</v>
      </c>
      <c r="K1736">
        <v>129100</v>
      </c>
    </row>
    <row r="1737" spans="1:11" x14ac:dyDescent="0.3">
      <c r="A1737" t="s">
        <v>1746</v>
      </c>
      <c r="B1737">
        <v>404550</v>
      </c>
      <c r="C1737">
        <v>3872800</v>
      </c>
      <c r="D1737">
        <v>207424</v>
      </c>
      <c r="E1737">
        <v>723400</v>
      </c>
      <c r="F1737">
        <v>6254259</v>
      </c>
      <c r="G1737">
        <v>326400</v>
      </c>
      <c r="H1737">
        <v>7808561</v>
      </c>
      <c r="I1737">
        <v>134000</v>
      </c>
      <c r="J1737">
        <v>7799283</v>
      </c>
      <c r="K1737">
        <v>198000</v>
      </c>
    </row>
    <row r="1738" spans="1:11" x14ac:dyDescent="0.3">
      <c r="A1738" t="s">
        <v>1747</v>
      </c>
      <c r="B1738">
        <v>404550</v>
      </c>
      <c r="C1738">
        <v>3386200</v>
      </c>
      <c r="D1738">
        <v>205165</v>
      </c>
      <c r="E1738">
        <v>735000</v>
      </c>
      <c r="F1738">
        <v>6261917</v>
      </c>
      <c r="G1738">
        <v>353200</v>
      </c>
      <c r="H1738">
        <v>7817597</v>
      </c>
      <c r="I1738">
        <v>112000</v>
      </c>
      <c r="J1738">
        <v>7809068</v>
      </c>
      <c r="K1738">
        <v>121700</v>
      </c>
    </row>
    <row r="1739" spans="1:11" x14ac:dyDescent="0.3">
      <c r="A1739" t="s">
        <v>1748</v>
      </c>
      <c r="B1739">
        <v>404550</v>
      </c>
      <c r="C1739">
        <v>3312600</v>
      </c>
      <c r="D1739">
        <v>200603</v>
      </c>
      <c r="E1739">
        <v>694100</v>
      </c>
      <c r="F1739">
        <v>6269641</v>
      </c>
      <c r="G1739">
        <v>326300</v>
      </c>
      <c r="H1739">
        <v>7826575</v>
      </c>
      <c r="I1739">
        <v>118700</v>
      </c>
      <c r="J1739">
        <v>7818932</v>
      </c>
      <c r="K1739">
        <v>125000</v>
      </c>
    </row>
    <row r="1740" spans="1:11" x14ac:dyDescent="0.3">
      <c r="A1740" t="s">
        <v>1749</v>
      </c>
      <c r="B1740">
        <v>404550</v>
      </c>
      <c r="C1740">
        <v>3303100</v>
      </c>
      <c r="D1740">
        <v>209067</v>
      </c>
      <c r="E1740">
        <v>720600</v>
      </c>
      <c r="F1740">
        <v>6277360</v>
      </c>
      <c r="G1740">
        <v>325700</v>
      </c>
      <c r="H1740">
        <v>7835926</v>
      </c>
      <c r="I1740">
        <v>115400</v>
      </c>
      <c r="J1740">
        <v>7829424</v>
      </c>
      <c r="K1740">
        <v>123000</v>
      </c>
    </row>
    <row r="1741" spans="1:11" x14ac:dyDescent="0.3">
      <c r="A1741" t="s">
        <v>1750</v>
      </c>
      <c r="B1741">
        <v>404550</v>
      </c>
      <c r="C1741">
        <v>3966700</v>
      </c>
      <c r="D1741">
        <v>203071</v>
      </c>
      <c r="E1741">
        <v>721200</v>
      </c>
      <c r="F1741">
        <v>6285047</v>
      </c>
      <c r="G1741">
        <v>345000</v>
      </c>
      <c r="H1741">
        <v>7846068</v>
      </c>
      <c r="I1741">
        <v>109100</v>
      </c>
      <c r="J1741">
        <v>7839330</v>
      </c>
      <c r="K1741">
        <v>125000</v>
      </c>
    </row>
    <row r="1742" spans="1:11" x14ac:dyDescent="0.3">
      <c r="A1742" t="s">
        <v>1751</v>
      </c>
      <c r="B1742">
        <v>404550</v>
      </c>
      <c r="C1742">
        <v>3208600</v>
      </c>
      <c r="D1742">
        <v>205335</v>
      </c>
      <c r="E1742">
        <v>712200</v>
      </c>
      <c r="F1742">
        <v>6292751</v>
      </c>
      <c r="G1742">
        <v>330100</v>
      </c>
      <c r="H1742">
        <v>7855329</v>
      </c>
      <c r="I1742">
        <v>110100</v>
      </c>
      <c r="J1742">
        <v>7849138</v>
      </c>
      <c r="K1742">
        <v>123200</v>
      </c>
    </row>
    <row r="1743" spans="1:11" x14ac:dyDescent="0.3">
      <c r="A1743" t="s">
        <v>1752</v>
      </c>
      <c r="B1743">
        <v>404550</v>
      </c>
      <c r="C1743">
        <v>3365500</v>
      </c>
      <c r="D1743">
        <v>194354</v>
      </c>
      <c r="E1743">
        <v>710300</v>
      </c>
      <c r="F1743">
        <v>6300453</v>
      </c>
      <c r="G1743">
        <v>325800</v>
      </c>
      <c r="H1743">
        <v>7864746</v>
      </c>
      <c r="I1743">
        <v>113000</v>
      </c>
      <c r="J1743">
        <v>7858814</v>
      </c>
      <c r="K1743">
        <v>125800</v>
      </c>
    </row>
    <row r="1744" spans="1:11" x14ac:dyDescent="0.3">
      <c r="A1744" t="s">
        <v>1753</v>
      </c>
      <c r="B1744">
        <v>404550</v>
      </c>
      <c r="C1744">
        <v>3463900</v>
      </c>
      <c r="D1744">
        <v>202700</v>
      </c>
      <c r="E1744">
        <v>703100</v>
      </c>
      <c r="F1744">
        <v>6308153</v>
      </c>
      <c r="G1744">
        <v>336300</v>
      </c>
      <c r="H1744">
        <v>7874257</v>
      </c>
      <c r="I1744">
        <v>114300</v>
      </c>
      <c r="J1744">
        <v>7868366</v>
      </c>
      <c r="K1744">
        <v>126700</v>
      </c>
    </row>
    <row r="1745" spans="1:11" x14ac:dyDescent="0.3">
      <c r="A1745" t="s">
        <v>1754</v>
      </c>
      <c r="B1745">
        <v>404550</v>
      </c>
      <c r="C1745">
        <v>3390000</v>
      </c>
      <c r="D1745">
        <v>197797</v>
      </c>
      <c r="E1745">
        <v>687000</v>
      </c>
      <c r="F1745">
        <v>6315866</v>
      </c>
      <c r="G1745">
        <v>328200</v>
      </c>
      <c r="H1745">
        <v>7884180</v>
      </c>
      <c r="I1745">
        <v>110800</v>
      </c>
      <c r="J1745">
        <v>7877335</v>
      </c>
      <c r="K1745">
        <v>124600</v>
      </c>
    </row>
    <row r="1746" spans="1:11" x14ac:dyDescent="0.3">
      <c r="A1746" t="s">
        <v>1755</v>
      </c>
      <c r="B1746">
        <v>404550</v>
      </c>
      <c r="C1746">
        <v>3245900</v>
      </c>
      <c r="D1746">
        <v>204015</v>
      </c>
      <c r="E1746">
        <v>714300</v>
      </c>
      <c r="F1746">
        <v>6323582</v>
      </c>
      <c r="G1746">
        <v>324200</v>
      </c>
      <c r="H1746">
        <v>7894922</v>
      </c>
      <c r="I1746">
        <v>115600</v>
      </c>
      <c r="J1746">
        <v>7887682</v>
      </c>
      <c r="K1746">
        <v>122700</v>
      </c>
    </row>
    <row r="1747" spans="1:11" x14ac:dyDescent="0.3">
      <c r="A1747" t="s">
        <v>1756</v>
      </c>
      <c r="B1747">
        <v>404550</v>
      </c>
      <c r="C1747">
        <v>3225500</v>
      </c>
      <c r="D1747">
        <v>197407</v>
      </c>
      <c r="E1747">
        <v>710200</v>
      </c>
      <c r="F1747">
        <v>6331307</v>
      </c>
      <c r="G1747">
        <v>323700</v>
      </c>
      <c r="H1747">
        <v>7905007</v>
      </c>
      <c r="I1747">
        <v>112400</v>
      </c>
      <c r="J1747">
        <v>7896722</v>
      </c>
      <c r="K1747">
        <v>123100</v>
      </c>
    </row>
    <row r="1748" spans="1:11" x14ac:dyDescent="0.3">
      <c r="A1748" t="s">
        <v>1757</v>
      </c>
      <c r="B1748">
        <v>404550</v>
      </c>
      <c r="C1748">
        <v>3771800</v>
      </c>
      <c r="D1748">
        <v>194760</v>
      </c>
      <c r="E1748">
        <v>695400</v>
      </c>
      <c r="F1748">
        <v>6339015</v>
      </c>
      <c r="G1748">
        <v>324000</v>
      </c>
      <c r="H1748">
        <v>7915284</v>
      </c>
      <c r="I1748">
        <v>111900</v>
      </c>
      <c r="J1748">
        <v>7907162</v>
      </c>
      <c r="K1748">
        <v>130000</v>
      </c>
    </row>
    <row r="1749" spans="1:11" x14ac:dyDescent="0.3">
      <c r="A1749" t="s">
        <v>1758</v>
      </c>
      <c r="B1749">
        <v>404550</v>
      </c>
      <c r="C1749">
        <v>3631100</v>
      </c>
      <c r="D1749">
        <v>208438</v>
      </c>
      <c r="E1749">
        <v>719500</v>
      </c>
      <c r="F1749">
        <v>6346707</v>
      </c>
      <c r="G1749">
        <v>327700</v>
      </c>
      <c r="H1749">
        <v>7924235</v>
      </c>
      <c r="I1749">
        <v>114400</v>
      </c>
      <c r="J1749">
        <v>7916349</v>
      </c>
      <c r="K1749">
        <v>124400</v>
      </c>
    </row>
    <row r="1750" spans="1:11" x14ac:dyDescent="0.3">
      <c r="A1750" t="s">
        <v>1759</v>
      </c>
      <c r="B1750">
        <v>404550</v>
      </c>
      <c r="C1750">
        <v>3383300</v>
      </c>
      <c r="D1750">
        <v>207345</v>
      </c>
      <c r="E1750">
        <v>738200</v>
      </c>
      <c r="F1750">
        <v>6354447</v>
      </c>
      <c r="G1750">
        <v>325600</v>
      </c>
      <c r="H1750">
        <v>7933307</v>
      </c>
      <c r="I1750">
        <v>114600</v>
      </c>
      <c r="J1750">
        <v>7926447</v>
      </c>
      <c r="K1750">
        <v>138700</v>
      </c>
    </row>
    <row r="1751" spans="1:11" x14ac:dyDescent="0.3">
      <c r="A1751" t="s">
        <v>1760</v>
      </c>
      <c r="B1751">
        <v>404550</v>
      </c>
      <c r="C1751">
        <v>3625200</v>
      </c>
      <c r="D1751">
        <v>198257</v>
      </c>
      <c r="E1751">
        <v>914900</v>
      </c>
      <c r="F1751">
        <v>6362134</v>
      </c>
      <c r="G1751">
        <v>396500</v>
      </c>
      <c r="H1751">
        <v>7943754</v>
      </c>
      <c r="I1751">
        <v>135300</v>
      </c>
      <c r="J1751">
        <v>7935557</v>
      </c>
      <c r="K1751">
        <v>146800</v>
      </c>
    </row>
    <row r="1752" spans="1:11" x14ac:dyDescent="0.3">
      <c r="A1752" t="s">
        <v>1761</v>
      </c>
      <c r="B1752">
        <v>404550</v>
      </c>
      <c r="C1752">
        <v>3649300</v>
      </c>
      <c r="D1752">
        <v>202784</v>
      </c>
      <c r="E1752">
        <v>704900</v>
      </c>
      <c r="F1752">
        <v>6369864</v>
      </c>
      <c r="G1752">
        <v>328100</v>
      </c>
      <c r="H1752">
        <v>7952584</v>
      </c>
      <c r="I1752">
        <v>114100</v>
      </c>
      <c r="J1752">
        <v>7945189</v>
      </c>
      <c r="K1752">
        <v>127900</v>
      </c>
    </row>
    <row r="1753" spans="1:11" x14ac:dyDescent="0.3">
      <c r="A1753" t="s">
        <v>1762</v>
      </c>
      <c r="B1753">
        <v>404550</v>
      </c>
      <c r="C1753">
        <v>3533700</v>
      </c>
      <c r="D1753">
        <v>195304</v>
      </c>
      <c r="E1753">
        <v>683600</v>
      </c>
      <c r="F1753">
        <v>6377554</v>
      </c>
      <c r="G1753">
        <v>327600</v>
      </c>
      <c r="H1753">
        <v>7961946</v>
      </c>
      <c r="I1753">
        <v>109600</v>
      </c>
      <c r="J1753">
        <v>7954746</v>
      </c>
      <c r="K1753">
        <v>129000</v>
      </c>
    </row>
    <row r="1754" spans="1:11" x14ac:dyDescent="0.3">
      <c r="A1754" t="s">
        <v>1763</v>
      </c>
      <c r="B1754">
        <v>404550</v>
      </c>
      <c r="C1754">
        <v>3392000</v>
      </c>
      <c r="D1754">
        <v>202495</v>
      </c>
      <c r="E1754">
        <v>698900</v>
      </c>
      <c r="F1754">
        <v>6385259</v>
      </c>
      <c r="G1754">
        <v>331800</v>
      </c>
      <c r="H1754">
        <v>7971737</v>
      </c>
      <c r="I1754">
        <v>115600</v>
      </c>
      <c r="J1754">
        <v>7964427</v>
      </c>
      <c r="K1754">
        <v>125100</v>
      </c>
    </row>
    <row r="1755" spans="1:11" x14ac:dyDescent="0.3">
      <c r="A1755" t="s">
        <v>1764</v>
      </c>
      <c r="B1755">
        <v>404550</v>
      </c>
      <c r="C1755">
        <v>3413500</v>
      </c>
      <c r="D1755">
        <v>207384</v>
      </c>
      <c r="E1755">
        <v>716800</v>
      </c>
      <c r="F1755">
        <v>6392979</v>
      </c>
      <c r="G1755">
        <v>326600</v>
      </c>
      <c r="H1755">
        <v>7981307</v>
      </c>
      <c r="I1755">
        <v>114200</v>
      </c>
      <c r="J1755">
        <v>7973815</v>
      </c>
      <c r="K1755">
        <v>126300</v>
      </c>
    </row>
    <row r="1756" spans="1:11" x14ac:dyDescent="0.3">
      <c r="A1756" t="s">
        <v>1765</v>
      </c>
      <c r="B1756">
        <v>404550</v>
      </c>
      <c r="C1756">
        <v>3262100</v>
      </c>
      <c r="D1756">
        <v>196475</v>
      </c>
      <c r="E1756">
        <v>981600</v>
      </c>
      <c r="F1756">
        <v>6400681</v>
      </c>
      <c r="G1756">
        <v>374600</v>
      </c>
      <c r="H1756">
        <v>7991209</v>
      </c>
      <c r="I1756">
        <v>111200</v>
      </c>
      <c r="J1756">
        <v>7983988</v>
      </c>
      <c r="K1756">
        <v>126900</v>
      </c>
    </row>
    <row r="1757" spans="1:11" x14ac:dyDescent="0.3">
      <c r="A1757" t="s">
        <v>1766</v>
      </c>
      <c r="B1757">
        <v>404550</v>
      </c>
      <c r="C1757">
        <v>3203300</v>
      </c>
      <c r="D1757">
        <v>200391</v>
      </c>
      <c r="E1757">
        <v>693700</v>
      </c>
      <c r="F1757">
        <v>6408382</v>
      </c>
      <c r="G1757">
        <v>324000</v>
      </c>
      <c r="H1757">
        <v>8000117</v>
      </c>
      <c r="I1757">
        <v>112100</v>
      </c>
      <c r="J1757">
        <v>7993027</v>
      </c>
      <c r="K1757">
        <v>121600</v>
      </c>
    </row>
    <row r="1758" spans="1:11" x14ac:dyDescent="0.3">
      <c r="A1758" t="s">
        <v>1767</v>
      </c>
      <c r="B1758">
        <v>404550</v>
      </c>
      <c r="C1758">
        <v>3265200</v>
      </c>
      <c r="D1758">
        <v>199014</v>
      </c>
      <c r="E1758">
        <v>691800</v>
      </c>
      <c r="F1758">
        <v>6416087</v>
      </c>
      <c r="G1758">
        <v>323100</v>
      </c>
      <c r="H1758">
        <v>8010019</v>
      </c>
      <c r="I1758">
        <v>113200</v>
      </c>
      <c r="J1758">
        <v>8002433</v>
      </c>
      <c r="K1758">
        <v>122000</v>
      </c>
    </row>
    <row r="1759" spans="1:11" x14ac:dyDescent="0.3">
      <c r="A1759" t="s">
        <v>1768</v>
      </c>
      <c r="B1759">
        <v>404550</v>
      </c>
      <c r="C1759">
        <v>3356400</v>
      </c>
      <c r="D1759">
        <v>198383</v>
      </c>
      <c r="E1759">
        <v>688700</v>
      </c>
      <c r="F1759">
        <v>6423800</v>
      </c>
      <c r="G1759">
        <v>325000</v>
      </c>
      <c r="H1759">
        <v>8019718</v>
      </c>
      <c r="I1759">
        <v>114500</v>
      </c>
      <c r="J1759">
        <v>8011991</v>
      </c>
      <c r="K1759">
        <v>127900</v>
      </c>
    </row>
    <row r="1760" spans="1:11" x14ac:dyDescent="0.3">
      <c r="A1760" t="s">
        <v>1769</v>
      </c>
      <c r="B1760">
        <v>404550</v>
      </c>
      <c r="C1760">
        <v>3478400</v>
      </c>
      <c r="D1760">
        <v>202447</v>
      </c>
      <c r="E1760">
        <v>729800</v>
      </c>
      <c r="F1760">
        <v>6431506</v>
      </c>
      <c r="G1760">
        <v>324700</v>
      </c>
      <c r="H1760">
        <v>8029761</v>
      </c>
      <c r="I1760">
        <v>113800</v>
      </c>
      <c r="J1760">
        <v>8022185</v>
      </c>
      <c r="K1760">
        <v>122600</v>
      </c>
    </row>
    <row r="1761" spans="1:11" x14ac:dyDescent="0.3">
      <c r="A1761" t="s">
        <v>1770</v>
      </c>
      <c r="B1761">
        <v>404550</v>
      </c>
      <c r="C1761">
        <v>3175400</v>
      </c>
      <c r="D1761">
        <v>207443</v>
      </c>
      <c r="E1761">
        <v>1075100</v>
      </c>
      <c r="F1761">
        <v>6439185</v>
      </c>
      <c r="G1761">
        <v>520500</v>
      </c>
      <c r="H1761">
        <v>8038759</v>
      </c>
      <c r="I1761">
        <v>132300</v>
      </c>
      <c r="J1761">
        <v>8032022</v>
      </c>
      <c r="K1761">
        <v>140700</v>
      </c>
    </row>
    <row r="1762" spans="1:11" x14ac:dyDescent="0.3">
      <c r="A1762" t="s">
        <v>1771</v>
      </c>
      <c r="B1762">
        <v>404550</v>
      </c>
      <c r="C1762">
        <v>4022400</v>
      </c>
      <c r="D1762">
        <v>207998</v>
      </c>
      <c r="E1762">
        <v>720300</v>
      </c>
      <c r="F1762">
        <v>6446888</v>
      </c>
      <c r="G1762">
        <v>331100</v>
      </c>
      <c r="H1762">
        <v>8048552</v>
      </c>
      <c r="I1762">
        <v>112400</v>
      </c>
      <c r="J1762">
        <v>8042075</v>
      </c>
      <c r="K1762">
        <v>129900</v>
      </c>
    </row>
    <row r="1763" spans="1:11" x14ac:dyDescent="0.3">
      <c r="A1763" t="s">
        <v>1772</v>
      </c>
      <c r="B1763">
        <v>404550</v>
      </c>
      <c r="C1763">
        <v>3413600</v>
      </c>
      <c r="D1763">
        <v>206765</v>
      </c>
      <c r="E1763">
        <v>719700</v>
      </c>
      <c r="F1763">
        <v>6454626</v>
      </c>
      <c r="G1763">
        <v>322400</v>
      </c>
      <c r="H1763">
        <v>8057990</v>
      </c>
      <c r="I1763">
        <v>110200</v>
      </c>
      <c r="J1763">
        <v>8051722</v>
      </c>
      <c r="K1763">
        <v>124200</v>
      </c>
    </row>
    <row r="1764" spans="1:11" x14ac:dyDescent="0.3">
      <c r="A1764" t="s">
        <v>1773</v>
      </c>
      <c r="B1764">
        <v>404550</v>
      </c>
      <c r="C1764">
        <v>3143400</v>
      </c>
      <c r="D1764">
        <v>211797</v>
      </c>
      <c r="E1764">
        <v>732900</v>
      </c>
      <c r="F1764">
        <v>6462369</v>
      </c>
      <c r="G1764">
        <v>339800</v>
      </c>
      <c r="H1764">
        <v>8067805</v>
      </c>
      <c r="I1764">
        <v>107400</v>
      </c>
      <c r="J1764">
        <v>8061587</v>
      </c>
      <c r="K1764">
        <v>123400</v>
      </c>
    </row>
    <row r="1765" spans="1:11" x14ac:dyDescent="0.3">
      <c r="A1765" t="s">
        <v>1774</v>
      </c>
      <c r="B1765">
        <v>404550</v>
      </c>
      <c r="C1765">
        <v>3623900</v>
      </c>
      <c r="D1765">
        <v>202073</v>
      </c>
      <c r="E1765">
        <v>698300</v>
      </c>
      <c r="F1765">
        <v>6470088</v>
      </c>
      <c r="G1765">
        <v>329400</v>
      </c>
      <c r="H1765">
        <v>8077259</v>
      </c>
      <c r="I1765">
        <v>112900</v>
      </c>
      <c r="J1765">
        <v>8071603</v>
      </c>
      <c r="K1765">
        <v>130800</v>
      </c>
    </row>
    <row r="1766" spans="1:11" x14ac:dyDescent="0.3">
      <c r="A1766" t="s">
        <v>1775</v>
      </c>
      <c r="B1766">
        <v>404550</v>
      </c>
      <c r="C1766">
        <v>3551700</v>
      </c>
      <c r="D1766">
        <v>206518</v>
      </c>
      <c r="E1766">
        <v>734200</v>
      </c>
      <c r="F1766">
        <v>6477767</v>
      </c>
      <c r="G1766">
        <v>327800</v>
      </c>
      <c r="H1766">
        <v>8086568</v>
      </c>
      <c r="I1766">
        <v>111300</v>
      </c>
      <c r="J1766">
        <v>8082001</v>
      </c>
      <c r="K1766">
        <v>128500</v>
      </c>
    </row>
    <row r="1767" spans="1:11" x14ac:dyDescent="0.3">
      <c r="A1767" t="s">
        <v>1776</v>
      </c>
      <c r="B1767">
        <v>404550</v>
      </c>
      <c r="C1767">
        <v>3394200</v>
      </c>
      <c r="D1767">
        <v>194278</v>
      </c>
      <c r="E1767">
        <v>676300</v>
      </c>
      <c r="F1767">
        <v>6485464</v>
      </c>
      <c r="G1767">
        <v>328800</v>
      </c>
      <c r="H1767">
        <v>8096384</v>
      </c>
      <c r="I1767">
        <v>115700</v>
      </c>
      <c r="J1767">
        <v>8091779</v>
      </c>
      <c r="K1767">
        <v>124900</v>
      </c>
    </row>
    <row r="1768" spans="1:11" x14ac:dyDescent="0.3">
      <c r="A1768" t="s">
        <v>1777</v>
      </c>
      <c r="B1768">
        <v>404550</v>
      </c>
      <c r="C1768">
        <v>3318000</v>
      </c>
      <c r="D1768">
        <v>196894</v>
      </c>
      <c r="E1768">
        <v>682200</v>
      </c>
      <c r="F1768">
        <v>6493167</v>
      </c>
      <c r="G1768">
        <v>326100</v>
      </c>
      <c r="H1768">
        <v>8106011</v>
      </c>
      <c r="I1768">
        <v>107800</v>
      </c>
      <c r="J1768">
        <v>8102334</v>
      </c>
      <c r="K1768">
        <v>126700</v>
      </c>
    </row>
    <row r="1769" spans="1:11" x14ac:dyDescent="0.3">
      <c r="A1769" t="s">
        <v>1778</v>
      </c>
      <c r="B1769">
        <v>404550</v>
      </c>
      <c r="C1769">
        <v>3239000</v>
      </c>
      <c r="D1769">
        <v>204303</v>
      </c>
      <c r="E1769">
        <v>708300</v>
      </c>
      <c r="F1769">
        <v>6500856</v>
      </c>
      <c r="G1769">
        <v>324400</v>
      </c>
      <c r="H1769">
        <v>8115390</v>
      </c>
      <c r="I1769">
        <v>110800</v>
      </c>
      <c r="J1769">
        <v>8111516</v>
      </c>
      <c r="K1769">
        <v>123000</v>
      </c>
    </row>
    <row r="1770" spans="1:11" x14ac:dyDescent="0.3">
      <c r="A1770" t="s">
        <v>1779</v>
      </c>
      <c r="B1770">
        <v>404550</v>
      </c>
      <c r="C1770">
        <v>3473700</v>
      </c>
      <c r="D1770">
        <v>201163</v>
      </c>
      <c r="E1770">
        <v>695000</v>
      </c>
      <c r="F1770">
        <v>6508555</v>
      </c>
      <c r="G1770">
        <v>325900</v>
      </c>
      <c r="H1770">
        <v>8124815</v>
      </c>
      <c r="I1770">
        <v>114600</v>
      </c>
      <c r="J1770">
        <v>8120466</v>
      </c>
      <c r="K1770">
        <v>124600</v>
      </c>
    </row>
    <row r="1771" spans="1:11" x14ac:dyDescent="0.3">
      <c r="A1771" t="s">
        <v>1780</v>
      </c>
      <c r="B1771">
        <v>404550</v>
      </c>
      <c r="C1771">
        <v>3633500</v>
      </c>
      <c r="D1771">
        <v>204235</v>
      </c>
      <c r="E1771">
        <v>757500</v>
      </c>
      <c r="F1771">
        <v>6516262</v>
      </c>
      <c r="G1771">
        <v>440500</v>
      </c>
      <c r="H1771">
        <v>8133858</v>
      </c>
      <c r="I1771">
        <v>136300</v>
      </c>
      <c r="J1771">
        <v>8129979</v>
      </c>
      <c r="K1771">
        <v>151100</v>
      </c>
    </row>
    <row r="1772" spans="1:11" x14ac:dyDescent="0.3">
      <c r="A1772" t="s">
        <v>1781</v>
      </c>
      <c r="B1772">
        <v>404550</v>
      </c>
      <c r="C1772">
        <v>3269700</v>
      </c>
      <c r="D1772">
        <v>205339</v>
      </c>
      <c r="E1772">
        <v>714500</v>
      </c>
      <c r="F1772">
        <v>6523933</v>
      </c>
      <c r="G1772">
        <v>331900</v>
      </c>
      <c r="H1772">
        <v>8143502</v>
      </c>
      <c r="I1772">
        <v>114800</v>
      </c>
      <c r="J1772">
        <v>8139718</v>
      </c>
      <c r="K1772">
        <v>124600</v>
      </c>
    </row>
    <row r="1773" spans="1:11" x14ac:dyDescent="0.3">
      <c r="A1773" t="s">
        <v>1782</v>
      </c>
      <c r="B1773">
        <v>404550</v>
      </c>
      <c r="C1773">
        <v>3219600</v>
      </c>
      <c r="D1773">
        <v>193118</v>
      </c>
      <c r="E1773">
        <v>668500</v>
      </c>
      <c r="F1773">
        <v>6531661</v>
      </c>
      <c r="G1773">
        <v>327000</v>
      </c>
      <c r="H1773">
        <v>8152866</v>
      </c>
      <c r="I1773">
        <v>112300</v>
      </c>
      <c r="J1773">
        <v>8149138</v>
      </c>
      <c r="K1773">
        <v>122400</v>
      </c>
    </row>
    <row r="1774" spans="1:11" x14ac:dyDescent="0.3">
      <c r="A1774" t="s">
        <v>1783</v>
      </c>
      <c r="B1774">
        <v>404550</v>
      </c>
      <c r="C1774">
        <v>3522800</v>
      </c>
      <c r="D1774">
        <v>203115</v>
      </c>
      <c r="E1774">
        <v>736200</v>
      </c>
      <c r="F1774">
        <v>6539336</v>
      </c>
      <c r="G1774">
        <v>326500</v>
      </c>
      <c r="H1774">
        <v>8161631</v>
      </c>
      <c r="I1774">
        <v>115600</v>
      </c>
      <c r="J1774">
        <v>8158321</v>
      </c>
      <c r="K1774">
        <v>127000</v>
      </c>
    </row>
    <row r="1775" spans="1:11" x14ac:dyDescent="0.3">
      <c r="A1775" t="s">
        <v>1784</v>
      </c>
      <c r="B1775">
        <v>404550</v>
      </c>
      <c r="C1775">
        <v>3228600</v>
      </c>
      <c r="D1775">
        <v>202340</v>
      </c>
      <c r="E1775">
        <v>702900</v>
      </c>
      <c r="F1775">
        <v>6547068</v>
      </c>
      <c r="G1775">
        <v>326200</v>
      </c>
      <c r="H1775">
        <v>8171183</v>
      </c>
      <c r="I1775">
        <v>112600</v>
      </c>
      <c r="J1775">
        <v>8168381</v>
      </c>
      <c r="K1775">
        <v>122900</v>
      </c>
    </row>
    <row r="1776" spans="1:11" x14ac:dyDescent="0.3">
      <c r="A1776" t="s">
        <v>1785</v>
      </c>
      <c r="B1776">
        <v>404550</v>
      </c>
      <c r="C1776">
        <v>3211800</v>
      </c>
      <c r="D1776">
        <v>205722</v>
      </c>
      <c r="E1776">
        <v>729600</v>
      </c>
      <c r="F1776">
        <v>6554782</v>
      </c>
      <c r="G1776">
        <v>329100</v>
      </c>
      <c r="H1776">
        <v>8180693</v>
      </c>
      <c r="I1776">
        <v>113400</v>
      </c>
      <c r="J1776">
        <v>8178281</v>
      </c>
      <c r="K1776">
        <v>124500</v>
      </c>
    </row>
    <row r="1777" spans="1:11" x14ac:dyDescent="0.3">
      <c r="A1777" t="s">
        <v>1786</v>
      </c>
      <c r="B1777">
        <v>404550</v>
      </c>
      <c r="C1777">
        <v>3203700</v>
      </c>
      <c r="D1777">
        <v>206499</v>
      </c>
      <c r="E1777">
        <v>717500</v>
      </c>
      <c r="F1777">
        <v>6562468</v>
      </c>
      <c r="G1777">
        <v>331100</v>
      </c>
      <c r="H1777">
        <v>8190716</v>
      </c>
      <c r="I1777">
        <v>112900</v>
      </c>
      <c r="J1777">
        <v>8188777</v>
      </c>
      <c r="K1777">
        <v>121800</v>
      </c>
    </row>
    <row r="1778" spans="1:11" x14ac:dyDescent="0.3">
      <c r="A1778" t="s">
        <v>1787</v>
      </c>
      <c r="B1778">
        <v>404550</v>
      </c>
      <c r="C1778">
        <v>3406300</v>
      </c>
      <c r="D1778">
        <v>200301</v>
      </c>
      <c r="E1778">
        <v>702100</v>
      </c>
      <c r="F1778">
        <v>6570167</v>
      </c>
      <c r="G1778">
        <v>330800</v>
      </c>
      <c r="H1778">
        <v>8200579</v>
      </c>
      <c r="I1778">
        <v>116900</v>
      </c>
      <c r="J1778">
        <v>8197737</v>
      </c>
      <c r="K1778">
        <v>126400</v>
      </c>
    </row>
    <row r="1779" spans="1:11" x14ac:dyDescent="0.3">
      <c r="A1779" t="s">
        <v>1788</v>
      </c>
      <c r="B1779">
        <v>404550</v>
      </c>
      <c r="C1779">
        <v>3258600</v>
      </c>
      <c r="D1779">
        <v>200261</v>
      </c>
      <c r="E1779">
        <v>697200</v>
      </c>
      <c r="F1779">
        <v>6577871</v>
      </c>
      <c r="G1779">
        <v>328100</v>
      </c>
      <c r="H1779">
        <v>8209904</v>
      </c>
      <c r="I1779">
        <v>112300</v>
      </c>
      <c r="J1779">
        <v>8207828</v>
      </c>
      <c r="K1779">
        <v>127400</v>
      </c>
    </row>
    <row r="1780" spans="1:11" x14ac:dyDescent="0.3">
      <c r="A1780" t="s">
        <v>1789</v>
      </c>
      <c r="B1780">
        <v>404550</v>
      </c>
      <c r="C1780">
        <v>3421100</v>
      </c>
      <c r="D1780">
        <v>209469</v>
      </c>
      <c r="E1780">
        <v>750600</v>
      </c>
      <c r="F1780">
        <v>6585579</v>
      </c>
      <c r="G1780">
        <v>324900</v>
      </c>
      <c r="H1780">
        <v>8219636</v>
      </c>
      <c r="I1780">
        <v>110100</v>
      </c>
      <c r="J1780">
        <v>8217994</v>
      </c>
      <c r="K1780">
        <v>130300</v>
      </c>
    </row>
    <row r="1781" spans="1:11" x14ac:dyDescent="0.3">
      <c r="A1781" t="s">
        <v>1790</v>
      </c>
      <c r="B1781">
        <v>404550</v>
      </c>
      <c r="C1781">
        <v>3293800</v>
      </c>
      <c r="D1781">
        <v>206080</v>
      </c>
      <c r="E1781">
        <v>719500</v>
      </c>
      <c r="F1781">
        <v>6593300</v>
      </c>
      <c r="G1781">
        <v>330700</v>
      </c>
      <c r="H1781">
        <v>8228648</v>
      </c>
      <c r="I1781">
        <v>111200</v>
      </c>
      <c r="J1781">
        <v>8228396</v>
      </c>
      <c r="K1781">
        <v>128500</v>
      </c>
    </row>
    <row r="1782" spans="1:11" x14ac:dyDescent="0.3">
      <c r="A1782" t="s">
        <v>1791</v>
      </c>
      <c r="B1782">
        <v>404550</v>
      </c>
      <c r="C1782">
        <v>3118300</v>
      </c>
      <c r="D1782">
        <v>203848</v>
      </c>
      <c r="E1782">
        <v>706600</v>
      </c>
      <c r="F1782">
        <v>6600998</v>
      </c>
      <c r="G1782">
        <v>328500</v>
      </c>
      <c r="H1782">
        <v>8237980</v>
      </c>
      <c r="I1782">
        <v>110600</v>
      </c>
      <c r="J1782">
        <v>8237964</v>
      </c>
      <c r="K1782">
        <v>123500</v>
      </c>
    </row>
    <row r="1783" spans="1:11" x14ac:dyDescent="0.3">
      <c r="A1783" t="s">
        <v>1792</v>
      </c>
      <c r="B1783">
        <v>404550</v>
      </c>
      <c r="C1783">
        <v>3389400</v>
      </c>
      <c r="D1783">
        <v>198564</v>
      </c>
      <c r="E1783">
        <v>689600</v>
      </c>
      <c r="F1783">
        <v>6608722</v>
      </c>
      <c r="G1783">
        <v>327400</v>
      </c>
      <c r="H1783">
        <v>8247901</v>
      </c>
      <c r="I1783">
        <v>114800</v>
      </c>
      <c r="J1783">
        <v>8247103</v>
      </c>
      <c r="K1783">
        <v>122400</v>
      </c>
    </row>
    <row r="1784" spans="1:11" x14ac:dyDescent="0.3">
      <c r="A1784" t="s">
        <v>1793</v>
      </c>
      <c r="B1784">
        <v>404550</v>
      </c>
      <c r="C1784">
        <v>3367800</v>
      </c>
      <c r="D1784">
        <v>199803</v>
      </c>
      <c r="E1784">
        <v>690800</v>
      </c>
      <c r="F1784">
        <v>6616412</v>
      </c>
      <c r="G1784">
        <v>325800</v>
      </c>
      <c r="H1784">
        <v>8258772</v>
      </c>
      <c r="I1784">
        <v>115500</v>
      </c>
      <c r="J1784">
        <v>8257067</v>
      </c>
      <c r="K1784">
        <v>122000</v>
      </c>
    </row>
    <row r="1785" spans="1:11" x14ac:dyDescent="0.3">
      <c r="A1785" t="s">
        <v>1794</v>
      </c>
      <c r="B1785">
        <v>404550</v>
      </c>
      <c r="C1785">
        <v>3413400</v>
      </c>
      <c r="D1785">
        <v>207443</v>
      </c>
      <c r="E1785">
        <v>732500</v>
      </c>
      <c r="F1785">
        <v>6624113</v>
      </c>
      <c r="G1785">
        <v>326700</v>
      </c>
      <c r="H1785">
        <v>8269337</v>
      </c>
      <c r="I1785">
        <v>111800</v>
      </c>
      <c r="J1785">
        <v>8266810</v>
      </c>
      <c r="K1785">
        <v>126800</v>
      </c>
    </row>
    <row r="1786" spans="1:11" x14ac:dyDescent="0.3">
      <c r="A1786" t="s">
        <v>1795</v>
      </c>
      <c r="B1786">
        <v>404550</v>
      </c>
      <c r="C1786">
        <v>3291900</v>
      </c>
      <c r="D1786">
        <v>207138</v>
      </c>
      <c r="E1786">
        <v>883500</v>
      </c>
      <c r="F1786">
        <v>6631822</v>
      </c>
      <c r="G1786">
        <v>332700</v>
      </c>
      <c r="H1786">
        <v>8279445</v>
      </c>
      <c r="I1786">
        <v>114800</v>
      </c>
      <c r="J1786">
        <v>8276184</v>
      </c>
      <c r="K1786">
        <v>124300</v>
      </c>
    </row>
    <row r="1787" spans="1:11" x14ac:dyDescent="0.3">
      <c r="A1787" t="s">
        <v>1796</v>
      </c>
      <c r="B1787">
        <v>404550</v>
      </c>
      <c r="C1787">
        <v>3356300</v>
      </c>
      <c r="D1787">
        <v>195139</v>
      </c>
      <c r="E1787">
        <v>694600</v>
      </c>
      <c r="F1787">
        <v>6639501</v>
      </c>
      <c r="G1787">
        <v>335900</v>
      </c>
      <c r="H1787">
        <v>8288741</v>
      </c>
      <c r="I1787">
        <v>108700</v>
      </c>
      <c r="J1787">
        <v>8286164</v>
      </c>
      <c r="K1787">
        <v>125100</v>
      </c>
    </row>
    <row r="1788" spans="1:11" x14ac:dyDescent="0.3">
      <c r="A1788" t="s">
        <v>1797</v>
      </c>
      <c r="B1788">
        <v>404550</v>
      </c>
      <c r="C1788">
        <v>3097600</v>
      </c>
      <c r="D1788">
        <v>204581</v>
      </c>
      <c r="E1788">
        <v>712700</v>
      </c>
      <c r="F1788">
        <v>6647219</v>
      </c>
      <c r="G1788">
        <v>332400</v>
      </c>
      <c r="H1788">
        <v>8298400</v>
      </c>
      <c r="I1788">
        <v>113800</v>
      </c>
      <c r="J1788">
        <v>8295157</v>
      </c>
      <c r="K1788">
        <v>122000</v>
      </c>
    </row>
    <row r="1789" spans="1:11" x14ac:dyDescent="0.3">
      <c r="A1789" t="s">
        <v>1798</v>
      </c>
      <c r="B1789">
        <v>404550</v>
      </c>
      <c r="C1789">
        <v>3282100</v>
      </c>
      <c r="D1789">
        <v>202925</v>
      </c>
      <c r="E1789">
        <v>724900</v>
      </c>
      <c r="F1789">
        <v>6654953</v>
      </c>
      <c r="G1789">
        <v>329200</v>
      </c>
      <c r="H1789">
        <v>8308030</v>
      </c>
      <c r="I1789">
        <v>107600</v>
      </c>
      <c r="J1789">
        <v>8304778</v>
      </c>
      <c r="K1789">
        <v>122000</v>
      </c>
    </row>
    <row r="1790" spans="1:11" x14ac:dyDescent="0.3">
      <c r="A1790" t="s">
        <v>1799</v>
      </c>
      <c r="B1790">
        <v>404550</v>
      </c>
      <c r="C1790">
        <v>3292100</v>
      </c>
      <c r="D1790">
        <v>201309</v>
      </c>
      <c r="E1790">
        <v>699400</v>
      </c>
      <c r="F1790">
        <v>6662681</v>
      </c>
      <c r="G1790">
        <v>343400</v>
      </c>
      <c r="H1790">
        <v>8317333</v>
      </c>
      <c r="I1790">
        <v>112100</v>
      </c>
      <c r="J1790">
        <v>8313788</v>
      </c>
      <c r="K1790">
        <v>121100</v>
      </c>
    </row>
    <row r="1791" spans="1:11" x14ac:dyDescent="0.3">
      <c r="A1791" t="s">
        <v>1800</v>
      </c>
      <c r="B1791">
        <v>404550</v>
      </c>
      <c r="C1791">
        <v>3257200</v>
      </c>
      <c r="D1791">
        <v>198955</v>
      </c>
      <c r="E1791">
        <v>688000</v>
      </c>
      <c r="F1791">
        <v>6670406</v>
      </c>
      <c r="G1791">
        <v>330800</v>
      </c>
      <c r="H1791">
        <v>8328164</v>
      </c>
      <c r="I1791">
        <v>113600</v>
      </c>
      <c r="J1791">
        <v>8322776</v>
      </c>
      <c r="K1791">
        <v>127300</v>
      </c>
    </row>
    <row r="1792" spans="1:11" x14ac:dyDescent="0.3">
      <c r="A1792" t="s">
        <v>1801</v>
      </c>
      <c r="B1792">
        <v>404550</v>
      </c>
      <c r="C1792">
        <v>3103400</v>
      </c>
      <c r="D1792">
        <v>208165</v>
      </c>
      <c r="E1792">
        <v>721400</v>
      </c>
      <c r="F1792">
        <v>6678126</v>
      </c>
      <c r="G1792">
        <v>420900</v>
      </c>
      <c r="H1792">
        <v>8337584</v>
      </c>
      <c r="I1792">
        <v>140400</v>
      </c>
      <c r="J1792">
        <v>8331743</v>
      </c>
      <c r="K1792">
        <v>163300</v>
      </c>
    </row>
    <row r="1793" spans="1:11" x14ac:dyDescent="0.3">
      <c r="A1793" t="s">
        <v>1802</v>
      </c>
      <c r="B1793">
        <v>404550</v>
      </c>
      <c r="C1793">
        <v>3430700</v>
      </c>
      <c r="D1793">
        <v>201676</v>
      </c>
      <c r="E1793">
        <v>696200</v>
      </c>
      <c r="F1793">
        <v>6685855</v>
      </c>
      <c r="G1793">
        <v>327200</v>
      </c>
      <c r="H1793">
        <v>8346563</v>
      </c>
      <c r="I1793">
        <v>112200</v>
      </c>
      <c r="J1793">
        <v>8341415</v>
      </c>
      <c r="K1793">
        <v>124400</v>
      </c>
    </row>
    <row r="1794" spans="1:11" x14ac:dyDescent="0.3">
      <c r="A1794" t="s">
        <v>1803</v>
      </c>
      <c r="B1794">
        <v>404550</v>
      </c>
      <c r="C1794">
        <v>3341200</v>
      </c>
      <c r="D1794">
        <v>202534</v>
      </c>
      <c r="E1794">
        <v>786900</v>
      </c>
      <c r="F1794">
        <v>6693556</v>
      </c>
      <c r="G1794">
        <v>333300</v>
      </c>
      <c r="H1794">
        <v>8356292</v>
      </c>
      <c r="I1794">
        <v>116700</v>
      </c>
      <c r="J1794">
        <v>8350701</v>
      </c>
      <c r="K1794">
        <v>122300</v>
      </c>
    </row>
    <row r="1795" spans="1:11" x14ac:dyDescent="0.3">
      <c r="A1795" t="s">
        <v>1804</v>
      </c>
      <c r="B1795">
        <v>404550</v>
      </c>
      <c r="C1795">
        <v>3135600</v>
      </c>
      <c r="D1795">
        <v>209205</v>
      </c>
      <c r="E1795">
        <v>753300</v>
      </c>
      <c r="F1795">
        <v>6701254</v>
      </c>
      <c r="G1795">
        <v>330000</v>
      </c>
      <c r="H1795">
        <v>8365545</v>
      </c>
      <c r="I1795">
        <v>110300</v>
      </c>
      <c r="J1795">
        <v>8359864</v>
      </c>
      <c r="K1795">
        <v>122000</v>
      </c>
    </row>
    <row r="1796" spans="1:11" x14ac:dyDescent="0.3">
      <c r="A1796" t="s">
        <v>1805</v>
      </c>
      <c r="B1796">
        <v>404550</v>
      </c>
      <c r="C1796">
        <v>3303100</v>
      </c>
      <c r="D1796">
        <v>203802</v>
      </c>
      <c r="E1796">
        <v>701600</v>
      </c>
      <c r="F1796">
        <v>6708970</v>
      </c>
      <c r="G1796">
        <v>327000</v>
      </c>
      <c r="H1796">
        <v>8374718</v>
      </c>
      <c r="I1796">
        <v>111100</v>
      </c>
      <c r="J1796">
        <v>8369108</v>
      </c>
      <c r="K1796">
        <v>129100</v>
      </c>
    </row>
    <row r="1797" spans="1:11" x14ac:dyDescent="0.3">
      <c r="A1797" t="s">
        <v>1806</v>
      </c>
      <c r="B1797">
        <v>404550</v>
      </c>
      <c r="C1797">
        <v>3318300</v>
      </c>
      <c r="D1797">
        <v>206470</v>
      </c>
      <c r="E1797">
        <v>720500</v>
      </c>
      <c r="F1797">
        <v>6716666</v>
      </c>
      <c r="G1797">
        <v>331200</v>
      </c>
      <c r="H1797">
        <v>8384545</v>
      </c>
      <c r="I1797">
        <v>111000</v>
      </c>
      <c r="J1797">
        <v>8378665</v>
      </c>
      <c r="K1797">
        <v>120900</v>
      </c>
    </row>
    <row r="1798" spans="1:11" x14ac:dyDescent="0.3">
      <c r="A1798" t="s">
        <v>1807</v>
      </c>
      <c r="B1798">
        <v>404550</v>
      </c>
      <c r="C1798">
        <v>3955900</v>
      </c>
      <c r="D1798">
        <v>211078</v>
      </c>
      <c r="E1798">
        <v>735600</v>
      </c>
      <c r="F1798">
        <v>6724361</v>
      </c>
      <c r="G1798">
        <v>329200</v>
      </c>
      <c r="H1798">
        <v>8394641</v>
      </c>
      <c r="I1798">
        <v>111600</v>
      </c>
      <c r="J1798">
        <v>8388158</v>
      </c>
      <c r="K1798">
        <v>126400</v>
      </c>
    </row>
    <row r="1799" spans="1:11" x14ac:dyDescent="0.3">
      <c r="A1799" t="s">
        <v>1808</v>
      </c>
      <c r="B1799">
        <v>404550</v>
      </c>
      <c r="C1799">
        <v>3418200</v>
      </c>
      <c r="D1799">
        <v>202867</v>
      </c>
      <c r="E1799">
        <v>716300</v>
      </c>
      <c r="F1799">
        <v>6732057</v>
      </c>
      <c r="G1799">
        <v>333900</v>
      </c>
      <c r="H1799">
        <v>8403794</v>
      </c>
      <c r="I1799">
        <v>114700</v>
      </c>
      <c r="J1799">
        <v>8398193</v>
      </c>
      <c r="K1799">
        <v>132100</v>
      </c>
    </row>
    <row r="1800" spans="1:11" x14ac:dyDescent="0.3">
      <c r="A1800" t="s">
        <v>1809</v>
      </c>
      <c r="B1800">
        <v>404550</v>
      </c>
      <c r="C1800">
        <v>3284000</v>
      </c>
      <c r="D1800">
        <v>204653</v>
      </c>
      <c r="E1800">
        <v>713900</v>
      </c>
      <c r="F1800">
        <v>6739758</v>
      </c>
      <c r="G1800">
        <v>337400</v>
      </c>
      <c r="H1800">
        <v>8413575</v>
      </c>
      <c r="I1800">
        <v>112500</v>
      </c>
      <c r="J1800">
        <v>8408209</v>
      </c>
      <c r="K1800">
        <v>125100</v>
      </c>
    </row>
    <row r="1801" spans="1:11" x14ac:dyDescent="0.3">
      <c r="A1801" t="s">
        <v>1810</v>
      </c>
      <c r="B1801">
        <v>404550</v>
      </c>
      <c r="C1801">
        <v>3186200</v>
      </c>
      <c r="D1801">
        <v>202868</v>
      </c>
      <c r="E1801">
        <v>701100</v>
      </c>
      <c r="F1801">
        <v>6747479</v>
      </c>
      <c r="G1801">
        <v>329000</v>
      </c>
      <c r="H1801">
        <v>8422494</v>
      </c>
      <c r="I1801">
        <v>112600</v>
      </c>
      <c r="J1801">
        <v>8418253</v>
      </c>
      <c r="K1801">
        <v>125300</v>
      </c>
    </row>
    <row r="1802" spans="1:11" x14ac:dyDescent="0.3">
      <c r="A1802" t="s">
        <v>1811</v>
      </c>
      <c r="B1802">
        <v>450775</v>
      </c>
      <c r="C1802">
        <v>3673300</v>
      </c>
      <c r="D1802">
        <v>221542</v>
      </c>
      <c r="E1802">
        <v>764100</v>
      </c>
      <c r="F1802">
        <v>6755660</v>
      </c>
      <c r="G1802">
        <v>354400</v>
      </c>
      <c r="H1802">
        <v>8432250</v>
      </c>
      <c r="I1802">
        <v>119000</v>
      </c>
      <c r="J1802">
        <v>8428667</v>
      </c>
      <c r="K1802">
        <v>128700</v>
      </c>
    </row>
    <row r="1803" spans="1:11" x14ac:dyDescent="0.3">
      <c r="A1803" t="s">
        <v>1812</v>
      </c>
      <c r="B1803">
        <v>450775</v>
      </c>
      <c r="C1803">
        <v>4019100</v>
      </c>
      <c r="D1803">
        <v>228122</v>
      </c>
      <c r="E1803">
        <v>816300</v>
      </c>
      <c r="F1803">
        <v>6763842</v>
      </c>
      <c r="G1803">
        <v>355100</v>
      </c>
      <c r="H1803">
        <v>8442784</v>
      </c>
      <c r="I1803">
        <v>119300</v>
      </c>
      <c r="J1803">
        <v>8438324</v>
      </c>
      <c r="K1803">
        <v>133200</v>
      </c>
    </row>
    <row r="1804" spans="1:11" x14ac:dyDescent="0.3">
      <c r="A1804" t="s">
        <v>1813</v>
      </c>
      <c r="B1804">
        <v>450775</v>
      </c>
      <c r="C1804">
        <v>3682600</v>
      </c>
      <c r="D1804">
        <v>237151</v>
      </c>
      <c r="E1804">
        <v>934900</v>
      </c>
      <c r="F1804">
        <v>6772065</v>
      </c>
      <c r="G1804">
        <v>350100</v>
      </c>
      <c r="H1804">
        <v>8453346</v>
      </c>
      <c r="I1804">
        <v>118800</v>
      </c>
      <c r="J1804">
        <v>8448939</v>
      </c>
      <c r="K1804">
        <v>137600</v>
      </c>
    </row>
    <row r="1805" spans="1:11" x14ac:dyDescent="0.3">
      <c r="A1805" t="s">
        <v>1814</v>
      </c>
      <c r="B1805">
        <v>450775</v>
      </c>
      <c r="C1805">
        <v>3667200</v>
      </c>
      <c r="D1805">
        <v>224507</v>
      </c>
      <c r="E1805">
        <v>807200</v>
      </c>
      <c r="F1805">
        <v>6780262</v>
      </c>
      <c r="G1805">
        <v>350400</v>
      </c>
      <c r="H1805">
        <v>8464209</v>
      </c>
      <c r="I1805">
        <v>129200</v>
      </c>
      <c r="J1805">
        <v>8459515</v>
      </c>
      <c r="K1805">
        <v>155600</v>
      </c>
    </row>
    <row r="1806" spans="1:11" x14ac:dyDescent="0.3">
      <c r="A1806" t="s">
        <v>1815</v>
      </c>
      <c r="B1806">
        <v>450775</v>
      </c>
      <c r="C1806">
        <v>3618300</v>
      </c>
      <c r="D1806">
        <v>232977</v>
      </c>
      <c r="E1806">
        <v>807500</v>
      </c>
      <c r="F1806">
        <v>6788449</v>
      </c>
      <c r="G1806">
        <v>357100</v>
      </c>
      <c r="H1806">
        <v>8473802</v>
      </c>
      <c r="I1806">
        <v>118700</v>
      </c>
      <c r="J1806">
        <v>8469230</v>
      </c>
      <c r="K1806">
        <v>130200</v>
      </c>
    </row>
    <row r="1807" spans="1:11" x14ac:dyDescent="0.3">
      <c r="A1807" t="s">
        <v>1816</v>
      </c>
      <c r="B1807">
        <v>450775</v>
      </c>
      <c r="C1807">
        <v>3583100</v>
      </c>
      <c r="D1807">
        <v>233301</v>
      </c>
      <c r="E1807">
        <v>809800</v>
      </c>
      <c r="F1807">
        <v>6796662</v>
      </c>
      <c r="G1807">
        <v>346800</v>
      </c>
      <c r="H1807">
        <v>8484003</v>
      </c>
      <c r="I1807">
        <v>114800</v>
      </c>
      <c r="J1807">
        <v>8479458</v>
      </c>
      <c r="K1807">
        <v>130300</v>
      </c>
    </row>
    <row r="1808" spans="1:11" x14ac:dyDescent="0.3">
      <c r="A1808" t="s">
        <v>1817</v>
      </c>
      <c r="B1808">
        <v>450775</v>
      </c>
      <c r="C1808">
        <v>3602100</v>
      </c>
      <c r="D1808">
        <v>230314</v>
      </c>
      <c r="E1808">
        <v>793900</v>
      </c>
      <c r="F1808">
        <v>6804884</v>
      </c>
      <c r="G1808">
        <v>351600</v>
      </c>
      <c r="H1808">
        <v>8494835</v>
      </c>
      <c r="I1808">
        <v>118300</v>
      </c>
      <c r="J1808">
        <v>8489008</v>
      </c>
      <c r="K1808">
        <v>130700</v>
      </c>
    </row>
    <row r="1809" spans="1:11" x14ac:dyDescent="0.3">
      <c r="A1809" t="s">
        <v>1818</v>
      </c>
      <c r="B1809">
        <v>450775</v>
      </c>
      <c r="C1809">
        <v>3777800</v>
      </c>
      <c r="D1809">
        <v>217818</v>
      </c>
      <c r="E1809">
        <v>773700</v>
      </c>
      <c r="F1809">
        <v>6813099</v>
      </c>
      <c r="G1809">
        <v>354700</v>
      </c>
      <c r="H1809">
        <v>8504753</v>
      </c>
      <c r="I1809">
        <v>120200</v>
      </c>
      <c r="J1809">
        <v>8500076</v>
      </c>
      <c r="K1809">
        <v>136300</v>
      </c>
    </row>
    <row r="1810" spans="1:11" x14ac:dyDescent="0.3">
      <c r="A1810" t="s">
        <v>1819</v>
      </c>
      <c r="B1810">
        <v>450775</v>
      </c>
      <c r="C1810">
        <v>3766900</v>
      </c>
      <c r="D1810">
        <v>229921</v>
      </c>
      <c r="E1810">
        <v>798300</v>
      </c>
      <c r="F1810">
        <v>6821302</v>
      </c>
      <c r="G1810">
        <v>355400</v>
      </c>
      <c r="H1810">
        <v>8514330</v>
      </c>
      <c r="I1810">
        <v>124600</v>
      </c>
      <c r="J1810">
        <v>8509763</v>
      </c>
      <c r="K1810">
        <v>137400</v>
      </c>
    </row>
    <row r="1811" spans="1:11" x14ac:dyDescent="0.3">
      <c r="A1811" t="s">
        <v>1820</v>
      </c>
      <c r="B1811">
        <v>450775</v>
      </c>
      <c r="C1811">
        <v>3990000</v>
      </c>
      <c r="D1811">
        <v>219721</v>
      </c>
      <c r="E1811">
        <v>773100</v>
      </c>
      <c r="F1811">
        <v>6829536</v>
      </c>
      <c r="G1811">
        <v>348100</v>
      </c>
      <c r="H1811">
        <v>8524250</v>
      </c>
      <c r="I1811">
        <v>120800</v>
      </c>
      <c r="J1811">
        <v>8519020</v>
      </c>
      <c r="K1811">
        <v>130100</v>
      </c>
    </row>
    <row r="1812" spans="1:11" x14ac:dyDescent="0.3">
      <c r="A1812" t="s">
        <v>1821</v>
      </c>
      <c r="B1812">
        <v>450775</v>
      </c>
      <c r="C1812">
        <v>3654400</v>
      </c>
      <c r="D1812">
        <v>224197</v>
      </c>
      <c r="E1812">
        <v>788800</v>
      </c>
      <c r="F1812">
        <v>6837738</v>
      </c>
      <c r="G1812">
        <v>348800</v>
      </c>
      <c r="H1812">
        <v>8534020</v>
      </c>
      <c r="I1812">
        <v>118900</v>
      </c>
      <c r="J1812">
        <v>8528634</v>
      </c>
      <c r="K1812">
        <v>132300</v>
      </c>
    </row>
    <row r="1813" spans="1:11" x14ac:dyDescent="0.3">
      <c r="A1813" t="s">
        <v>1822</v>
      </c>
      <c r="B1813">
        <v>450775</v>
      </c>
      <c r="C1813">
        <v>3906400</v>
      </c>
      <c r="D1813">
        <v>215136</v>
      </c>
      <c r="E1813">
        <v>743300</v>
      </c>
      <c r="F1813">
        <v>6845942</v>
      </c>
      <c r="G1813">
        <v>350800</v>
      </c>
      <c r="H1813">
        <v>8544871</v>
      </c>
      <c r="I1813">
        <v>158600</v>
      </c>
      <c r="J1813">
        <v>8538319</v>
      </c>
      <c r="K1813">
        <v>159100</v>
      </c>
    </row>
    <row r="1814" spans="1:11" x14ac:dyDescent="0.3">
      <c r="A1814" t="s">
        <v>1823</v>
      </c>
      <c r="B1814">
        <v>450775</v>
      </c>
      <c r="C1814">
        <v>3566900</v>
      </c>
      <c r="D1814">
        <v>230798</v>
      </c>
      <c r="E1814">
        <v>819400</v>
      </c>
      <c r="F1814">
        <v>6854154</v>
      </c>
      <c r="G1814">
        <v>349700</v>
      </c>
      <c r="H1814">
        <v>8554701</v>
      </c>
      <c r="I1814">
        <v>120400</v>
      </c>
      <c r="J1814">
        <v>8547468</v>
      </c>
      <c r="K1814">
        <v>129600</v>
      </c>
    </row>
    <row r="1815" spans="1:11" x14ac:dyDescent="0.3">
      <c r="A1815" t="s">
        <v>1824</v>
      </c>
      <c r="B1815">
        <v>450775</v>
      </c>
      <c r="C1815">
        <v>4158900</v>
      </c>
      <c r="D1815">
        <v>226351</v>
      </c>
      <c r="E1815">
        <v>783800</v>
      </c>
      <c r="F1815">
        <v>6862340</v>
      </c>
      <c r="G1815">
        <v>351400</v>
      </c>
      <c r="H1815">
        <v>8565190</v>
      </c>
      <c r="I1815">
        <v>121100</v>
      </c>
      <c r="J1815">
        <v>8556649</v>
      </c>
      <c r="K1815">
        <v>132800</v>
      </c>
    </row>
    <row r="1816" spans="1:11" x14ac:dyDescent="0.3">
      <c r="A1816" t="s">
        <v>1825</v>
      </c>
      <c r="B1816">
        <v>450775</v>
      </c>
      <c r="C1816">
        <v>3863200</v>
      </c>
      <c r="D1816">
        <v>230221</v>
      </c>
      <c r="E1816">
        <v>810900</v>
      </c>
      <c r="F1816">
        <v>6870547</v>
      </c>
      <c r="G1816">
        <v>349500</v>
      </c>
      <c r="H1816">
        <v>8574934</v>
      </c>
      <c r="I1816">
        <v>116000</v>
      </c>
      <c r="J1816">
        <v>8566536</v>
      </c>
      <c r="K1816">
        <v>129600</v>
      </c>
    </row>
    <row r="1817" spans="1:11" x14ac:dyDescent="0.3">
      <c r="A1817" t="s">
        <v>1826</v>
      </c>
      <c r="B1817">
        <v>450775</v>
      </c>
      <c r="C1817">
        <v>3687700</v>
      </c>
      <c r="D1817">
        <v>239952</v>
      </c>
      <c r="E1817">
        <v>836900</v>
      </c>
      <c r="F1817">
        <v>6878745</v>
      </c>
      <c r="G1817">
        <v>348400</v>
      </c>
      <c r="H1817">
        <v>8585521</v>
      </c>
      <c r="I1817">
        <v>116800</v>
      </c>
      <c r="J1817">
        <v>8576773</v>
      </c>
      <c r="K1817">
        <v>144500</v>
      </c>
    </row>
    <row r="1818" spans="1:11" x14ac:dyDescent="0.3">
      <c r="A1818" t="s">
        <v>1827</v>
      </c>
      <c r="B1818">
        <v>450775</v>
      </c>
      <c r="C1818">
        <v>3800500</v>
      </c>
      <c r="D1818">
        <v>231926</v>
      </c>
      <c r="E1818">
        <v>806500</v>
      </c>
      <c r="F1818">
        <v>6886976</v>
      </c>
      <c r="G1818">
        <v>357100</v>
      </c>
      <c r="H1818">
        <v>8594946</v>
      </c>
      <c r="I1818">
        <v>121400</v>
      </c>
      <c r="J1818">
        <v>8586399</v>
      </c>
      <c r="K1818">
        <v>133900</v>
      </c>
    </row>
    <row r="1819" spans="1:11" x14ac:dyDescent="0.3">
      <c r="A1819" t="s">
        <v>1828</v>
      </c>
      <c r="B1819">
        <v>450775</v>
      </c>
      <c r="C1819">
        <v>3786600</v>
      </c>
      <c r="D1819">
        <v>229521</v>
      </c>
      <c r="E1819">
        <v>790800</v>
      </c>
      <c r="F1819">
        <v>6895210</v>
      </c>
      <c r="G1819">
        <v>351400</v>
      </c>
      <c r="H1819">
        <v>8604680</v>
      </c>
      <c r="I1819">
        <v>118100</v>
      </c>
      <c r="J1819">
        <v>8596447</v>
      </c>
      <c r="K1819">
        <v>134200</v>
      </c>
    </row>
    <row r="1820" spans="1:11" x14ac:dyDescent="0.3">
      <c r="A1820" t="s">
        <v>1829</v>
      </c>
      <c r="B1820">
        <v>450775</v>
      </c>
      <c r="C1820">
        <v>4159300</v>
      </c>
      <c r="D1820">
        <v>220327</v>
      </c>
      <c r="E1820">
        <v>781900</v>
      </c>
      <c r="F1820">
        <v>6903445</v>
      </c>
      <c r="G1820">
        <v>349500</v>
      </c>
      <c r="H1820">
        <v>8614855</v>
      </c>
      <c r="I1820">
        <v>118300</v>
      </c>
      <c r="J1820">
        <v>8607491</v>
      </c>
      <c r="K1820">
        <v>133400</v>
      </c>
    </row>
    <row r="1821" spans="1:11" x14ac:dyDescent="0.3">
      <c r="A1821" t="s">
        <v>1830</v>
      </c>
      <c r="B1821">
        <v>450775</v>
      </c>
      <c r="C1821">
        <v>4066700</v>
      </c>
      <c r="D1821">
        <v>224749</v>
      </c>
      <c r="E1821">
        <v>775800</v>
      </c>
      <c r="F1821">
        <v>6911650</v>
      </c>
      <c r="G1821">
        <v>350900</v>
      </c>
      <c r="H1821">
        <v>8626954</v>
      </c>
      <c r="I1821">
        <v>120100</v>
      </c>
      <c r="J1821">
        <v>8617693</v>
      </c>
      <c r="K1821">
        <v>138900</v>
      </c>
    </row>
    <row r="1822" spans="1:11" x14ac:dyDescent="0.3">
      <c r="A1822" t="s">
        <v>1831</v>
      </c>
      <c r="B1822">
        <v>450775</v>
      </c>
      <c r="C1822">
        <v>3890700</v>
      </c>
      <c r="D1822">
        <v>221412</v>
      </c>
      <c r="E1822">
        <v>774400</v>
      </c>
      <c r="F1822">
        <v>6919873</v>
      </c>
      <c r="G1822">
        <v>354900</v>
      </c>
      <c r="H1822">
        <v>8637215</v>
      </c>
      <c r="I1822">
        <v>120100</v>
      </c>
      <c r="J1822">
        <v>8627833</v>
      </c>
      <c r="K1822">
        <v>127300</v>
      </c>
    </row>
    <row r="1823" spans="1:11" x14ac:dyDescent="0.3">
      <c r="A1823" t="s">
        <v>1832</v>
      </c>
      <c r="B1823">
        <v>450775</v>
      </c>
      <c r="C1823">
        <v>3973700</v>
      </c>
      <c r="D1823">
        <v>228065</v>
      </c>
      <c r="E1823">
        <v>847100</v>
      </c>
      <c r="F1823">
        <v>6928099</v>
      </c>
      <c r="G1823">
        <v>345700</v>
      </c>
      <c r="H1823">
        <v>8647272</v>
      </c>
      <c r="I1823">
        <v>117700</v>
      </c>
      <c r="J1823">
        <v>8637874</v>
      </c>
      <c r="K1823">
        <v>147200</v>
      </c>
    </row>
    <row r="1824" spans="1:11" x14ac:dyDescent="0.3">
      <c r="A1824" t="s">
        <v>1833</v>
      </c>
      <c r="B1824">
        <v>450775</v>
      </c>
      <c r="C1824">
        <v>4033000</v>
      </c>
      <c r="D1824">
        <v>237199</v>
      </c>
      <c r="E1824">
        <v>817100</v>
      </c>
      <c r="F1824">
        <v>6936294</v>
      </c>
      <c r="G1824">
        <v>352700</v>
      </c>
      <c r="H1824">
        <v>8657700</v>
      </c>
      <c r="I1824">
        <v>122000</v>
      </c>
      <c r="J1824">
        <v>8647884</v>
      </c>
      <c r="K1824">
        <v>137800</v>
      </c>
    </row>
    <row r="1825" spans="1:11" x14ac:dyDescent="0.3">
      <c r="A1825" t="s">
        <v>1834</v>
      </c>
      <c r="B1825">
        <v>450775</v>
      </c>
      <c r="C1825">
        <v>3628100</v>
      </c>
      <c r="D1825">
        <v>222566</v>
      </c>
      <c r="E1825">
        <v>786100</v>
      </c>
      <c r="F1825">
        <v>6944518</v>
      </c>
      <c r="G1825">
        <v>352300</v>
      </c>
      <c r="H1825">
        <v>8668266</v>
      </c>
      <c r="I1825">
        <v>122200</v>
      </c>
      <c r="J1825">
        <v>8657409</v>
      </c>
      <c r="K1825">
        <v>131000</v>
      </c>
    </row>
    <row r="1826" spans="1:11" x14ac:dyDescent="0.3">
      <c r="A1826" t="s">
        <v>1835</v>
      </c>
      <c r="B1826">
        <v>450775</v>
      </c>
      <c r="C1826">
        <v>3579700</v>
      </c>
      <c r="D1826">
        <v>229534</v>
      </c>
      <c r="E1826">
        <v>802500</v>
      </c>
      <c r="F1826">
        <v>6952716</v>
      </c>
      <c r="G1826">
        <v>350900</v>
      </c>
      <c r="H1826">
        <v>8680331</v>
      </c>
      <c r="I1826">
        <v>124700</v>
      </c>
      <c r="J1826">
        <v>8667469</v>
      </c>
      <c r="K1826">
        <v>127700</v>
      </c>
    </row>
    <row r="1827" spans="1:11" x14ac:dyDescent="0.3">
      <c r="A1827" t="s">
        <v>1836</v>
      </c>
      <c r="B1827">
        <v>450775</v>
      </c>
      <c r="C1827">
        <v>3694600</v>
      </c>
      <c r="D1827">
        <v>224745</v>
      </c>
      <c r="E1827">
        <v>775300</v>
      </c>
      <c r="F1827">
        <v>6960908</v>
      </c>
      <c r="G1827">
        <v>354700</v>
      </c>
      <c r="H1827">
        <v>8690464</v>
      </c>
      <c r="I1827">
        <v>123800</v>
      </c>
      <c r="J1827">
        <v>8677507</v>
      </c>
      <c r="K1827">
        <v>133300</v>
      </c>
    </row>
    <row r="1828" spans="1:11" x14ac:dyDescent="0.3">
      <c r="A1828" t="s">
        <v>1837</v>
      </c>
      <c r="B1828">
        <v>450775</v>
      </c>
      <c r="C1828">
        <v>3898000</v>
      </c>
      <c r="D1828">
        <v>226647</v>
      </c>
      <c r="E1828">
        <v>784600</v>
      </c>
      <c r="F1828">
        <v>6969118</v>
      </c>
      <c r="G1828">
        <v>360300</v>
      </c>
      <c r="H1828">
        <v>8703133</v>
      </c>
      <c r="I1828">
        <v>132500</v>
      </c>
      <c r="J1828">
        <v>8689377</v>
      </c>
      <c r="K1828">
        <v>139400</v>
      </c>
    </row>
    <row r="1829" spans="1:11" x14ac:dyDescent="0.3">
      <c r="A1829" t="s">
        <v>1838</v>
      </c>
      <c r="B1829">
        <v>450775</v>
      </c>
      <c r="C1829">
        <v>3822400</v>
      </c>
      <c r="D1829">
        <v>225978</v>
      </c>
      <c r="E1829">
        <v>782300</v>
      </c>
      <c r="F1829">
        <v>6977310</v>
      </c>
      <c r="G1829">
        <v>356000</v>
      </c>
      <c r="H1829">
        <v>8713501</v>
      </c>
      <c r="I1829">
        <v>123000</v>
      </c>
      <c r="J1829">
        <v>8699775</v>
      </c>
      <c r="K1829">
        <v>136300</v>
      </c>
    </row>
    <row r="1830" spans="1:11" x14ac:dyDescent="0.3">
      <c r="A1830" t="s">
        <v>1839</v>
      </c>
      <c r="B1830">
        <v>450775</v>
      </c>
      <c r="C1830">
        <v>3717000</v>
      </c>
      <c r="D1830">
        <v>229758</v>
      </c>
      <c r="E1830">
        <v>850200</v>
      </c>
      <c r="F1830">
        <v>6985494</v>
      </c>
      <c r="G1830">
        <v>355400</v>
      </c>
      <c r="H1830">
        <v>8723123</v>
      </c>
      <c r="I1830">
        <v>120000</v>
      </c>
      <c r="J1830">
        <v>8709711</v>
      </c>
      <c r="K1830">
        <v>132500</v>
      </c>
    </row>
    <row r="1831" spans="1:11" x14ac:dyDescent="0.3">
      <c r="A1831" t="s">
        <v>1840</v>
      </c>
      <c r="B1831">
        <v>450775</v>
      </c>
      <c r="C1831">
        <v>3694700</v>
      </c>
      <c r="D1831">
        <v>225517</v>
      </c>
      <c r="E1831">
        <v>778000</v>
      </c>
      <c r="F1831">
        <v>6993692</v>
      </c>
      <c r="G1831">
        <v>359300</v>
      </c>
      <c r="H1831">
        <v>8733126</v>
      </c>
      <c r="I1831">
        <v>121500</v>
      </c>
      <c r="J1831">
        <v>8719834</v>
      </c>
      <c r="K1831">
        <v>130000</v>
      </c>
    </row>
    <row r="1832" spans="1:11" x14ac:dyDescent="0.3">
      <c r="A1832" t="s">
        <v>1841</v>
      </c>
      <c r="B1832">
        <v>450775</v>
      </c>
      <c r="C1832">
        <v>3553100</v>
      </c>
      <c r="D1832">
        <v>226011</v>
      </c>
      <c r="E1832">
        <v>783600</v>
      </c>
      <c r="F1832">
        <v>7001892</v>
      </c>
      <c r="G1832">
        <v>350100</v>
      </c>
      <c r="H1832">
        <v>8742166</v>
      </c>
      <c r="I1832">
        <v>118800</v>
      </c>
      <c r="J1832">
        <v>8729718</v>
      </c>
      <c r="K1832">
        <v>130300</v>
      </c>
    </row>
    <row r="1833" spans="1:11" x14ac:dyDescent="0.3">
      <c r="A1833" t="s">
        <v>1842</v>
      </c>
      <c r="B1833">
        <v>450775</v>
      </c>
      <c r="C1833">
        <v>3609800</v>
      </c>
      <c r="D1833">
        <v>225856</v>
      </c>
      <c r="E1833">
        <v>783200</v>
      </c>
      <c r="F1833">
        <v>7010139</v>
      </c>
      <c r="G1833">
        <v>350200</v>
      </c>
      <c r="H1833">
        <v>8752853</v>
      </c>
      <c r="I1833">
        <v>122700</v>
      </c>
      <c r="J1833">
        <v>8742753</v>
      </c>
      <c r="K1833">
        <v>142100</v>
      </c>
    </row>
    <row r="1834" spans="1:11" x14ac:dyDescent="0.3">
      <c r="A1834" t="s">
        <v>1843</v>
      </c>
      <c r="B1834">
        <v>450775</v>
      </c>
      <c r="C1834">
        <v>4040400</v>
      </c>
      <c r="D1834">
        <v>224357</v>
      </c>
      <c r="E1834">
        <v>774800</v>
      </c>
      <c r="F1834">
        <v>7018367</v>
      </c>
      <c r="G1834">
        <v>348100</v>
      </c>
      <c r="H1834">
        <v>8762438</v>
      </c>
      <c r="I1834">
        <v>118600</v>
      </c>
      <c r="J1834">
        <v>8752943</v>
      </c>
      <c r="K1834">
        <v>131400</v>
      </c>
    </row>
    <row r="1835" spans="1:11" x14ac:dyDescent="0.3">
      <c r="A1835" t="s">
        <v>1844</v>
      </c>
      <c r="B1835">
        <v>450775</v>
      </c>
      <c r="C1835">
        <v>3717100</v>
      </c>
      <c r="D1835">
        <v>222569</v>
      </c>
      <c r="E1835">
        <v>770800</v>
      </c>
      <c r="F1835">
        <v>7026589</v>
      </c>
      <c r="G1835">
        <v>356400</v>
      </c>
      <c r="H1835">
        <v>8772124</v>
      </c>
      <c r="I1835">
        <v>117300</v>
      </c>
      <c r="J1835">
        <v>8763976</v>
      </c>
      <c r="K1835">
        <v>135800</v>
      </c>
    </row>
    <row r="1836" spans="1:11" x14ac:dyDescent="0.3">
      <c r="A1836" t="s">
        <v>1845</v>
      </c>
      <c r="B1836">
        <v>450775</v>
      </c>
      <c r="C1836">
        <v>3801500</v>
      </c>
      <c r="D1836">
        <v>227945</v>
      </c>
      <c r="E1836">
        <v>791900</v>
      </c>
      <c r="F1836">
        <v>7034783</v>
      </c>
      <c r="G1836">
        <v>355200</v>
      </c>
      <c r="H1836">
        <v>8782011</v>
      </c>
      <c r="I1836">
        <v>117500</v>
      </c>
      <c r="J1836">
        <v>8774208</v>
      </c>
      <c r="K1836">
        <v>132200</v>
      </c>
    </row>
    <row r="1837" spans="1:11" x14ac:dyDescent="0.3">
      <c r="A1837" t="s">
        <v>1846</v>
      </c>
      <c r="B1837">
        <v>450775</v>
      </c>
      <c r="C1837">
        <v>3795900</v>
      </c>
      <c r="D1837">
        <v>231970</v>
      </c>
      <c r="E1837">
        <v>805700</v>
      </c>
      <c r="F1837">
        <v>7042984</v>
      </c>
      <c r="G1837">
        <v>351200</v>
      </c>
      <c r="H1837">
        <v>8792518</v>
      </c>
      <c r="I1837">
        <v>118500</v>
      </c>
      <c r="J1837">
        <v>8785197</v>
      </c>
      <c r="K1837">
        <v>134300</v>
      </c>
    </row>
    <row r="1838" spans="1:11" x14ac:dyDescent="0.3">
      <c r="A1838" t="s">
        <v>1847</v>
      </c>
      <c r="B1838">
        <v>450775</v>
      </c>
      <c r="C1838">
        <v>3700700</v>
      </c>
      <c r="D1838">
        <v>232672</v>
      </c>
      <c r="E1838">
        <v>807200</v>
      </c>
      <c r="F1838">
        <v>7051163</v>
      </c>
      <c r="G1838">
        <v>352100</v>
      </c>
      <c r="H1838">
        <v>8802738</v>
      </c>
      <c r="I1838">
        <v>116400</v>
      </c>
      <c r="J1838">
        <v>8794819</v>
      </c>
      <c r="K1838">
        <v>129100</v>
      </c>
    </row>
    <row r="1839" spans="1:11" x14ac:dyDescent="0.3">
      <c r="A1839" t="s">
        <v>1848</v>
      </c>
      <c r="B1839">
        <v>450775</v>
      </c>
      <c r="C1839">
        <v>3697800</v>
      </c>
      <c r="D1839">
        <v>228752</v>
      </c>
      <c r="E1839">
        <v>787700</v>
      </c>
      <c r="F1839">
        <v>7059389</v>
      </c>
      <c r="G1839">
        <v>348100</v>
      </c>
      <c r="H1839">
        <v>8813301</v>
      </c>
      <c r="I1839">
        <v>122100</v>
      </c>
      <c r="J1839">
        <v>8804118</v>
      </c>
      <c r="K1839">
        <v>130300</v>
      </c>
    </row>
    <row r="1840" spans="1:11" x14ac:dyDescent="0.3">
      <c r="A1840" t="s">
        <v>1849</v>
      </c>
      <c r="B1840">
        <v>450775</v>
      </c>
      <c r="C1840">
        <v>3814900</v>
      </c>
      <c r="D1840">
        <v>222496</v>
      </c>
      <c r="E1840">
        <v>770100</v>
      </c>
      <c r="F1840">
        <v>7067586</v>
      </c>
      <c r="G1840">
        <v>345100</v>
      </c>
      <c r="H1840">
        <v>8823767</v>
      </c>
      <c r="I1840">
        <v>120000</v>
      </c>
      <c r="J1840">
        <v>8815243</v>
      </c>
      <c r="K1840">
        <v>126000</v>
      </c>
    </row>
    <row r="1841" spans="1:11" x14ac:dyDescent="0.3">
      <c r="A1841" t="s">
        <v>1850</v>
      </c>
      <c r="B1841">
        <v>450775</v>
      </c>
      <c r="C1841">
        <v>4184400</v>
      </c>
      <c r="D1841">
        <v>222183</v>
      </c>
      <c r="E1841">
        <v>801300</v>
      </c>
      <c r="F1841">
        <v>7075770</v>
      </c>
      <c r="G1841">
        <v>350700</v>
      </c>
      <c r="H1841">
        <v>8833505</v>
      </c>
      <c r="I1841">
        <v>120900</v>
      </c>
      <c r="J1841">
        <v>8825194</v>
      </c>
      <c r="K1841">
        <v>132200</v>
      </c>
    </row>
    <row r="1842" spans="1:11" x14ac:dyDescent="0.3">
      <c r="A1842" t="s">
        <v>1851</v>
      </c>
      <c r="B1842">
        <v>450775</v>
      </c>
      <c r="C1842">
        <v>3736500</v>
      </c>
      <c r="D1842">
        <v>233992</v>
      </c>
      <c r="E1842">
        <v>810700</v>
      </c>
      <c r="F1842">
        <v>7083964</v>
      </c>
      <c r="G1842">
        <v>353200</v>
      </c>
      <c r="H1842">
        <v>8843499</v>
      </c>
      <c r="I1842">
        <v>141900</v>
      </c>
      <c r="J1842">
        <v>8835498</v>
      </c>
      <c r="K1842">
        <v>186400</v>
      </c>
    </row>
    <row r="1843" spans="1:11" x14ac:dyDescent="0.3">
      <c r="A1843" t="s">
        <v>1852</v>
      </c>
      <c r="B1843">
        <v>450775</v>
      </c>
      <c r="C1843">
        <v>3743000</v>
      </c>
      <c r="D1843">
        <v>222847</v>
      </c>
      <c r="E1843">
        <v>794700</v>
      </c>
      <c r="F1843">
        <v>7092168</v>
      </c>
      <c r="G1843">
        <v>355000</v>
      </c>
      <c r="H1843">
        <v>8854848</v>
      </c>
      <c r="I1843">
        <v>124800</v>
      </c>
      <c r="J1843">
        <v>8846993</v>
      </c>
      <c r="K1843">
        <v>133200</v>
      </c>
    </row>
    <row r="1844" spans="1:11" x14ac:dyDescent="0.3">
      <c r="A1844" t="s">
        <v>1853</v>
      </c>
      <c r="B1844">
        <v>450775</v>
      </c>
      <c r="C1844">
        <v>3555600</v>
      </c>
      <c r="D1844">
        <v>224846</v>
      </c>
      <c r="E1844">
        <v>778700</v>
      </c>
      <c r="F1844">
        <v>7100381</v>
      </c>
      <c r="G1844">
        <v>358100</v>
      </c>
      <c r="H1844">
        <v>8866241</v>
      </c>
      <c r="I1844">
        <v>118900</v>
      </c>
      <c r="J1844">
        <v>8857787</v>
      </c>
      <c r="K1844">
        <v>134100</v>
      </c>
    </row>
    <row r="1845" spans="1:11" x14ac:dyDescent="0.3">
      <c r="A1845" t="s">
        <v>1854</v>
      </c>
      <c r="B1845">
        <v>450775</v>
      </c>
      <c r="C1845">
        <v>3807700</v>
      </c>
      <c r="D1845">
        <v>223274</v>
      </c>
      <c r="E1845">
        <v>791000</v>
      </c>
      <c r="F1845">
        <v>7108529</v>
      </c>
      <c r="G1845">
        <v>355400</v>
      </c>
      <c r="H1845">
        <v>8875869</v>
      </c>
      <c r="I1845">
        <v>116200</v>
      </c>
      <c r="J1845">
        <v>8866990</v>
      </c>
      <c r="K1845">
        <v>130100</v>
      </c>
    </row>
    <row r="1846" spans="1:11" x14ac:dyDescent="0.3">
      <c r="A1846" t="s">
        <v>1855</v>
      </c>
      <c r="B1846">
        <v>450775</v>
      </c>
      <c r="C1846">
        <v>4174100</v>
      </c>
      <c r="D1846">
        <v>220056</v>
      </c>
      <c r="E1846">
        <v>768600</v>
      </c>
      <c r="F1846">
        <v>7116729</v>
      </c>
      <c r="G1846">
        <v>348700</v>
      </c>
      <c r="H1846">
        <v>8885840</v>
      </c>
      <c r="I1846">
        <v>121000</v>
      </c>
      <c r="J1846">
        <v>8877092</v>
      </c>
      <c r="K1846">
        <v>130700</v>
      </c>
    </row>
    <row r="1847" spans="1:11" x14ac:dyDescent="0.3">
      <c r="A1847" t="s">
        <v>1856</v>
      </c>
      <c r="B1847">
        <v>450775</v>
      </c>
      <c r="C1847">
        <v>4106400</v>
      </c>
      <c r="D1847">
        <v>225384</v>
      </c>
      <c r="E1847">
        <v>787400</v>
      </c>
      <c r="F1847">
        <v>7124931</v>
      </c>
      <c r="G1847">
        <v>470600</v>
      </c>
      <c r="H1847">
        <v>8896503</v>
      </c>
      <c r="I1847">
        <v>117100</v>
      </c>
      <c r="J1847">
        <v>8887919</v>
      </c>
      <c r="K1847">
        <v>128900</v>
      </c>
    </row>
    <row r="1848" spans="1:11" x14ac:dyDescent="0.3">
      <c r="A1848" t="s">
        <v>1857</v>
      </c>
      <c r="B1848">
        <v>450775</v>
      </c>
      <c r="C1848">
        <v>4082200</v>
      </c>
      <c r="D1848">
        <v>226567</v>
      </c>
      <c r="E1848">
        <v>916400</v>
      </c>
      <c r="F1848">
        <v>7133134</v>
      </c>
      <c r="G1848">
        <v>349200</v>
      </c>
      <c r="H1848">
        <v>8906754</v>
      </c>
      <c r="I1848">
        <v>130200</v>
      </c>
      <c r="J1848">
        <v>8898239</v>
      </c>
      <c r="K1848">
        <v>136700</v>
      </c>
    </row>
    <row r="1849" spans="1:11" x14ac:dyDescent="0.3">
      <c r="A1849" t="s">
        <v>1858</v>
      </c>
      <c r="B1849">
        <v>450775</v>
      </c>
      <c r="C1849">
        <v>3485700</v>
      </c>
      <c r="D1849">
        <v>238115</v>
      </c>
      <c r="E1849">
        <v>857200</v>
      </c>
      <c r="F1849">
        <v>7141341</v>
      </c>
      <c r="G1849">
        <v>352100</v>
      </c>
      <c r="H1849">
        <v>8917158</v>
      </c>
      <c r="I1849">
        <v>118300</v>
      </c>
      <c r="J1849">
        <v>8907963</v>
      </c>
      <c r="K1849">
        <v>129700</v>
      </c>
    </row>
    <row r="1850" spans="1:11" x14ac:dyDescent="0.3">
      <c r="A1850" t="s">
        <v>1859</v>
      </c>
      <c r="B1850">
        <v>450775</v>
      </c>
      <c r="C1850">
        <v>3617800</v>
      </c>
      <c r="D1850">
        <v>226786</v>
      </c>
      <c r="E1850">
        <v>785800</v>
      </c>
      <c r="F1850">
        <v>7149547</v>
      </c>
      <c r="G1850">
        <v>350000</v>
      </c>
      <c r="H1850">
        <v>8927778</v>
      </c>
      <c r="I1850">
        <v>120600</v>
      </c>
      <c r="J1850">
        <v>8918549</v>
      </c>
      <c r="K1850">
        <v>132100</v>
      </c>
    </row>
    <row r="1851" spans="1:11" x14ac:dyDescent="0.3">
      <c r="A1851" t="s">
        <v>1860</v>
      </c>
      <c r="B1851">
        <v>450775</v>
      </c>
      <c r="C1851">
        <v>3609100</v>
      </c>
      <c r="D1851">
        <v>231417</v>
      </c>
      <c r="E1851">
        <v>799400</v>
      </c>
      <c r="F1851">
        <v>7157771</v>
      </c>
      <c r="G1851">
        <v>348500</v>
      </c>
      <c r="H1851">
        <v>8938124</v>
      </c>
      <c r="I1851">
        <v>123300</v>
      </c>
      <c r="J1851">
        <v>8928781</v>
      </c>
      <c r="K1851">
        <v>131400</v>
      </c>
    </row>
    <row r="1852" spans="1:11" x14ac:dyDescent="0.3">
      <c r="A1852" t="s">
        <v>1861</v>
      </c>
      <c r="B1852">
        <v>450775</v>
      </c>
      <c r="C1852">
        <v>3508800</v>
      </c>
      <c r="D1852">
        <v>233022</v>
      </c>
      <c r="E1852">
        <v>823700</v>
      </c>
      <c r="F1852">
        <v>7165986</v>
      </c>
      <c r="G1852">
        <v>349400</v>
      </c>
      <c r="H1852">
        <v>8949651</v>
      </c>
      <c r="I1852">
        <v>123700</v>
      </c>
      <c r="J1852">
        <v>8939570</v>
      </c>
      <c r="K1852">
        <v>135900</v>
      </c>
    </row>
    <row r="1853" spans="1:11" x14ac:dyDescent="0.3">
      <c r="A1853" t="s">
        <v>1862</v>
      </c>
      <c r="B1853">
        <v>450775</v>
      </c>
      <c r="C1853">
        <v>3926900</v>
      </c>
      <c r="D1853">
        <v>229823</v>
      </c>
      <c r="E1853">
        <v>793300</v>
      </c>
      <c r="F1853">
        <v>7174207</v>
      </c>
      <c r="G1853">
        <v>355600</v>
      </c>
      <c r="H1853">
        <v>8959631</v>
      </c>
      <c r="I1853">
        <v>114700</v>
      </c>
      <c r="J1853">
        <v>8950218</v>
      </c>
      <c r="K1853">
        <v>134400</v>
      </c>
    </row>
    <row r="1854" spans="1:11" x14ac:dyDescent="0.3">
      <c r="A1854" t="s">
        <v>1863</v>
      </c>
      <c r="B1854">
        <v>450775</v>
      </c>
      <c r="C1854">
        <v>4047600</v>
      </c>
      <c r="D1854">
        <v>221790</v>
      </c>
      <c r="E1854">
        <v>773500</v>
      </c>
      <c r="F1854">
        <v>7182386</v>
      </c>
      <c r="G1854">
        <v>345300</v>
      </c>
      <c r="H1854">
        <v>8969466</v>
      </c>
      <c r="I1854">
        <v>118100</v>
      </c>
      <c r="J1854">
        <v>8960584</v>
      </c>
      <c r="K1854">
        <v>144600</v>
      </c>
    </row>
    <row r="1855" spans="1:11" x14ac:dyDescent="0.3">
      <c r="A1855" t="s">
        <v>1864</v>
      </c>
      <c r="B1855">
        <v>450775</v>
      </c>
      <c r="C1855">
        <v>3962400</v>
      </c>
      <c r="D1855">
        <v>234633</v>
      </c>
      <c r="E1855">
        <v>968400</v>
      </c>
      <c r="F1855">
        <v>7190566</v>
      </c>
      <c r="G1855">
        <v>352800</v>
      </c>
      <c r="H1855">
        <v>8979066</v>
      </c>
      <c r="I1855">
        <v>119500</v>
      </c>
      <c r="J1855">
        <v>8971038</v>
      </c>
      <c r="K1855">
        <v>137800</v>
      </c>
    </row>
    <row r="1856" spans="1:11" x14ac:dyDescent="0.3">
      <c r="A1856" t="s">
        <v>1865</v>
      </c>
      <c r="B1856">
        <v>450775</v>
      </c>
      <c r="C1856">
        <v>3655400</v>
      </c>
      <c r="D1856">
        <v>218313</v>
      </c>
      <c r="E1856">
        <v>763500</v>
      </c>
      <c r="F1856">
        <v>7198759</v>
      </c>
      <c r="G1856">
        <v>350200</v>
      </c>
      <c r="H1856">
        <v>8988758</v>
      </c>
      <c r="I1856">
        <v>120800</v>
      </c>
      <c r="J1856">
        <v>8981005</v>
      </c>
      <c r="K1856">
        <v>132000</v>
      </c>
    </row>
    <row r="1857" spans="1:11" x14ac:dyDescent="0.3">
      <c r="A1857" t="s">
        <v>1866</v>
      </c>
      <c r="B1857">
        <v>450775</v>
      </c>
      <c r="C1857">
        <v>3934200</v>
      </c>
      <c r="D1857">
        <v>221782</v>
      </c>
      <c r="E1857">
        <v>766100</v>
      </c>
      <c r="F1857">
        <v>7206984</v>
      </c>
      <c r="G1857">
        <v>351100</v>
      </c>
      <c r="H1857">
        <v>8998314</v>
      </c>
      <c r="I1857">
        <v>120300</v>
      </c>
      <c r="J1857">
        <v>8991234</v>
      </c>
      <c r="K1857">
        <v>132900</v>
      </c>
    </row>
    <row r="1858" spans="1:11" x14ac:dyDescent="0.3">
      <c r="A1858" t="s">
        <v>1867</v>
      </c>
      <c r="B1858">
        <v>450775</v>
      </c>
      <c r="C1858">
        <v>3601100</v>
      </c>
      <c r="D1858">
        <v>230715</v>
      </c>
      <c r="E1858">
        <v>809900</v>
      </c>
      <c r="F1858">
        <v>7215181</v>
      </c>
      <c r="G1858">
        <v>345400</v>
      </c>
      <c r="H1858">
        <v>9007630</v>
      </c>
      <c r="I1858">
        <v>123100</v>
      </c>
      <c r="J1858">
        <v>9002817</v>
      </c>
      <c r="K1858">
        <v>134900</v>
      </c>
    </row>
    <row r="1859" spans="1:11" x14ac:dyDescent="0.3">
      <c r="A1859" t="s">
        <v>1868</v>
      </c>
      <c r="B1859">
        <v>450775</v>
      </c>
      <c r="C1859">
        <v>3930700</v>
      </c>
      <c r="D1859">
        <v>224203</v>
      </c>
      <c r="E1859">
        <v>795800</v>
      </c>
      <c r="F1859">
        <v>7223386</v>
      </c>
      <c r="G1859">
        <v>365000</v>
      </c>
      <c r="H1859">
        <v>9018327</v>
      </c>
      <c r="I1859">
        <v>125000</v>
      </c>
      <c r="J1859">
        <v>9013584</v>
      </c>
      <c r="K1859">
        <v>135100</v>
      </c>
    </row>
    <row r="1860" spans="1:11" x14ac:dyDescent="0.3">
      <c r="A1860" t="s">
        <v>1869</v>
      </c>
      <c r="B1860">
        <v>450775</v>
      </c>
      <c r="C1860">
        <v>3582000</v>
      </c>
      <c r="D1860">
        <v>229914</v>
      </c>
      <c r="E1860">
        <v>793900</v>
      </c>
      <c r="F1860">
        <v>7231612</v>
      </c>
      <c r="G1860">
        <v>352000</v>
      </c>
      <c r="H1860">
        <v>9029111</v>
      </c>
      <c r="I1860">
        <v>123700</v>
      </c>
      <c r="J1860">
        <v>9023112</v>
      </c>
      <c r="K1860">
        <v>131600</v>
      </c>
    </row>
    <row r="1861" spans="1:11" x14ac:dyDescent="0.3">
      <c r="A1861" t="s">
        <v>1870</v>
      </c>
      <c r="B1861">
        <v>450775</v>
      </c>
      <c r="C1861">
        <v>4076000</v>
      </c>
      <c r="D1861">
        <v>223219</v>
      </c>
      <c r="E1861">
        <v>770500</v>
      </c>
      <c r="F1861">
        <v>7239834</v>
      </c>
      <c r="G1861">
        <v>362700</v>
      </c>
      <c r="H1861">
        <v>9039518</v>
      </c>
      <c r="I1861">
        <v>123000</v>
      </c>
      <c r="J1861">
        <v>9033949</v>
      </c>
      <c r="K1861">
        <v>135000</v>
      </c>
    </row>
    <row r="1862" spans="1:11" x14ac:dyDescent="0.3">
      <c r="A1862" t="s">
        <v>1871</v>
      </c>
      <c r="B1862">
        <v>450775</v>
      </c>
      <c r="C1862">
        <v>3767200</v>
      </c>
      <c r="D1862">
        <v>229822</v>
      </c>
      <c r="E1862">
        <v>825100</v>
      </c>
      <c r="F1862">
        <v>7248041</v>
      </c>
      <c r="G1862">
        <v>401400</v>
      </c>
      <c r="H1862">
        <v>9049965</v>
      </c>
      <c r="I1862">
        <v>133100</v>
      </c>
      <c r="J1862">
        <v>9044406</v>
      </c>
      <c r="K1862">
        <v>137800</v>
      </c>
    </row>
    <row r="1863" spans="1:11" x14ac:dyDescent="0.3">
      <c r="A1863" t="s">
        <v>1872</v>
      </c>
      <c r="B1863">
        <v>450775</v>
      </c>
      <c r="C1863">
        <v>4039500</v>
      </c>
      <c r="D1863">
        <v>225283</v>
      </c>
      <c r="E1863">
        <v>776600</v>
      </c>
      <c r="F1863">
        <v>7256248</v>
      </c>
      <c r="G1863">
        <v>353700</v>
      </c>
      <c r="H1863">
        <v>9060024</v>
      </c>
      <c r="I1863">
        <v>119600</v>
      </c>
      <c r="J1863">
        <v>9055796</v>
      </c>
      <c r="K1863">
        <v>133000</v>
      </c>
    </row>
    <row r="1864" spans="1:11" x14ac:dyDescent="0.3">
      <c r="A1864" t="s">
        <v>1873</v>
      </c>
      <c r="B1864">
        <v>450775</v>
      </c>
      <c r="C1864">
        <v>3844000</v>
      </c>
      <c r="D1864">
        <v>221555</v>
      </c>
      <c r="E1864">
        <v>772000</v>
      </c>
      <c r="F1864">
        <v>7264466</v>
      </c>
      <c r="G1864">
        <v>348400</v>
      </c>
      <c r="H1864">
        <v>9071099</v>
      </c>
      <c r="I1864">
        <v>121000</v>
      </c>
      <c r="J1864">
        <v>9065501</v>
      </c>
      <c r="K1864">
        <v>134000</v>
      </c>
    </row>
    <row r="1865" spans="1:11" x14ac:dyDescent="0.3">
      <c r="A1865" t="s">
        <v>1874</v>
      </c>
      <c r="B1865">
        <v>450775</v>
      </c>
      <c r="C1865">
        <v>3757700</v>
      </c>
      <c r="D1865">
        <v>228005</v>
      </c>
      <c r="E1865">
        <v>788800</v>
      </c>
      <c r="F1865">
        <v>7272683</v>
      </c>
      <c r="G1865">
        <v>348800</v>
      </c>
      <c r="H1865">
        <v>9080734</v>
      </c>
      <c r="I1865">
        <v>120000</v>
      </c>
      <c r="J1865">
        <v>9076538</v>
      </c>
      <c r="K1865">
        <v>140400</v>
      </c>
    </row>
    <row r="1866" spans="1:11" x14ac:dyDescent="0.3">
      <c r="A1866" t="s">
        <v>1875</v>
      </c>
      <c r="B1866">
        <v>450775</v>
      </c>
      <c r="C1866">
        <v>3786600</v>
      </c>
      <c r="D1866">
        <v>227638</v>
      </c>
      <c r="E1866">
        <v>835800</v>
      </c>
      <c r="F1866">
        <v>7280866</v>
      </c>
      <c r="G1866">
        <v>348100</v>
      </c>
      <c r="H1866">
        <v>9090547</v>
      </c>
      <c r="I1866">
        <v>115700</v>
      </c>
      <c r="J1866">
        <v>9086391</v>
      </c>
      <c r="K1866">
        <v>128900</v>
      </c>
    </row>
    <row r="1867" spans="1:11" x14ac:dyDescent="0.3">
      <c r="A1867" t="s">
        <v>1876</v>
      </c>
      <c r="B1867">
        <v>450775</v>
      </c>
      <c r="C1867">
        <v>3733500</v>
      </c>
      <c r="D1867">
        <v>227427</v>
      </c>
      <c r="E1867">
        <v>786300</v>
      </c>
      <c r="F1867">
        <v>7289076</v>
      </c>
      <c r="G1867">
        <v>345100</v>
      </c>
      <c r="H1867">
        <v>9100190</v>
      </c>
      <c r="I1867">
        <v>120900</v>
      </c>
      <c r="J1867">
        <v>9096904</v>
      </c>
      <c r="K1867">
        <v>133200</v>
      </c>
    </row>
    <row r="1868" spans="1:11" x14ac:dyDescent="0.3">
      <c r="A1868" t="s">
        <v>1877</v>
      </c>
      <c r="B1868">
        <v>450775</v>
      </c>
      <c r="C1868">
        <v>3903800</v>
      </c>
      <c r="D1868">
        <v>230797</v>
      </c>
      <c r="E1868">
        <v>817500</v>
      </c>
      <c r="F1868">
        <v>7297281</v>
      </c>
      <c r="G1868">
        <v>357600</v>
      </c>
      <c r="H1868">
        <v>9110272</v>
      </c>
      <c r="I1868">
        <v>118500</v>
      </c>
      <c r="J1868">
        <v>9106508</v>
      </c>
      <c r="K1868">
        <v>132900</v>
      </c>
    </row>
    <row r="1869" spans="1:11" x14ac:dyDescent="0.3">
      <c r="A1869" t="s">
        <v>1878</v>
      </c>
      <c r="B1869">
        <v>450775</v>
      </c>
      <c r="C1869">
        <v>4094300</v>
      </c>
      <c r="D1869">
        <v>222163</v>
      </c>
      <c r="E1869">
        <v>1070900</v>
      </c>
      <c r="F1869">
        <v>7305488</v>
      </c>
      <c r="G1869">
        <v>417100</v>
      </c>
      <c r="H1869">
        <v>9120785</v>
      </c>
      <c r="I1869">
        <v>145600</v>
      </c>
      <c r="J1869">
        <v>9116537</v>
      </c>
      <c r="K1869">
        <v>165000</v>
      </c>
    </row>
    <row r="1870" spans="1:11" x14ac:dyDescent="0.3">
      <c r="A1870" t="s">
        <v>1879</v>
      </c>
      <c r="B1870">
        <v>450775</v>
      </c>
      <c r="C1870">
        <v>3637900</v>
      </c>
      <c r="D1870">
        <v>224432</v>
      </c>
      <c r="E1870">
        <v>780200</v>
      </c>
      <c r="F1870">
        <v>7313689</v>
      </c>
      <c r="G1870">
        <v>350000</v>
      </c>
      <c r="H1870">
        <v>9130501</v>
      </c>
      <c r="I1870">
        <v>121300</v>
      </c>
      <c r="J1870">
        <v>9126660</v>
      </c>
      <c r="K1870">
        <v>133900</v>
      </c>
    </row>
    <row r="1871" spans="1:11" x14ac:dyDescent="0.3">
      <c r="A1871" t="s">
        <v>1880</v>
      </c>
      <c r="B1871">
        <v>450775</v>
      </c>
      <c r="C1871">
        <v>4254000</v>
      </c>
      <c r="D1871">
        <v>221471</v>
      </c>
      <c r="E1871">
        <v>768200</v>
      </c>
      <c r="F1871">
        <v>7321911</v>
      </c>
      <c r="G1871">
        <v>356600</v>
      </c>
      <c r="H1871">
        <v>9141225</v>
      </c>
      <c r="I1871">
        <v>124800</v>
      </c>
      <c r="J1871">
        <v>9136726</v>
      </c>
      <c r="K1871">
        <v>138100</v>
      </c>
    </row>
    <row r="1872" spans="1:11" x14ac:dyDescent="0.3">
      <c r="A1872" t="s">
        <v>1881</v>
      </c>
      <c r="B1872">
        <v>450775</v>
      </c>
      <c r="C1872">
        <v>3567200</v>
      </c>
      <c r="D1872">
        <v>223165</v>
      </c>
      <c r="E1872">
        <v>789600</v>
      </c>
      <c r="F1872">
        <v>7330112</v>
      </c>
      <c r="G1872">
        <v>356700</v>
      </c>
      <c r="H1872">
        <v>9151355</v>
      </c>
      <c r="I1872">
        <v>120300</v>
      </c>
      <c r="J1872">
        <v>9147199</v>
      </c>
      <c r="K1872">
        <v>131500</v>
      </c>
    </row>
    <row r="1873" spans="1:11" x14ac:dyDescent="0.3">
      <c r="A1873" t="s">
        <v>1882</v>
      </c>
      <c r="B1873">
        <v>450775</v>
      </c>
      <c r="C1873">
        <v>3619600</v>
      </c>
      <c r="D1873">
        <v>222759</v>
      </c>
      <c r="E1873">
        <v>773100</v>
      </c>
      <c r="F1873">
        <v>7338294</v>
      </c>
      <c r="G1873">
        <v>351800</v>
      </c>
      <c r="H1873">
        <v>9162791</v>
      </c>
      <c r="I1873">
        <v>124300</v>
      </c>
      <c r="J1873">
        <v>9157490</v>
      </c>
      <c r="K1873">
        <v>130600</v>
      </c>
    </row>
    <row r="1874" spans="1:11" x14ac:dyDescent="0.3">
      <c r="A1874" t="s">
        <v>1883</v>
      </c>
      <c r="B1874">
        <v>450775</v>
      </c>
      <c r="C1874">
        <v>4313700</v>
      </c>
      <c r="D1874">
        <v>232370</v>
      </c>
      <c r="E1874">
        <v>803000</v>
      </c>
      <c r="F1874">
        <v>7346513</v>
      </c>
      <c r="G1874">
        <v>346200</v>
      </c>
      <c r="H1874">
        <v>9172572</v>
      </c>
      <c r="I1874">
        <v>120900</v>
      </c>
      <c r="J1874">
        <v>9167779</v>
      </c>
      <c r="K1874">
        <v>129900</v>
      </c>
    </row>
    <row r="1875" spans="1:11" x14ac:dyDescent="0.3">
      <c r="A1875" t="s">
        <v>1884</v>
      </c>
      <c r="B1875">
        <v>450775</v>
      </c>
      <c r="C1875">
        <v>4154200</v>
      </c>
      <c r="D1875">
        <v>221403</v>
      </c>
      <c r="E1875">
        <v>808200</v>
      </c>
      <c r="F1875">
        <v>7354704</v>
      </c>
      <c r="G1875">
        <v>355700</v>
      </c>
      <c r="H1875">
        <v>9182260</v>
      </c>
      <c r="I1875">
        <v>117700</v>
      </c>
      <c r="J1875">
        <v>9178248</v>
      </c>
      <c r="K1875">
        <v>132000</v>
      </c>
    </row>
    <row r="1876" spans="1:11" x14ac:dyDescent="0.3">
      <c r="A1876" t="s">
        <v>1885</v>
      </c>
      <c r="B1876">
        <v>450775</v>
      </c>
      <c r="C1876">
        <v>4110900</v>
      </c>
      <c r="D1876">
        <v>218045</v>
      </c>
      <c r="E1876">
        <v>815600</v>
      </c>
      <c r="F1876">
        <v>7362923</v>
      </c>
      <c r="G1876">
        <v>462200</v>
      </c>
      <c r="H1876">
        <v>9192074</v>
      </c>
      <c r="I1876">
        <v>207900</v>
      </c>
      <c r="J1876">
        <v>9188526</v>
      </c>
      <c r="K1876">
        <v>165800</v>
      </c>
    </row>
    <row r="1877" spans="1:11" x14ac:dyDescent="0.3">
      <c r="A1877" t="s">
        <v>1886</v>
      </c>
      <c r="B1877">
        <v>450775</v>
      </c>
      <c r="C1877">
        <v>3717800</v>
      </c>
      <c r="D1877">
        <v>227914</v>
      </c>
      <c r="E1877">
        <v>791800</v>
      </c>
      <c r="F1877">
        <v>7371132</v>
      </c>
      <c r="G1877">
        <v>354100</v>
      </c>
      <c r="H1877">
        <v>9201441</v>
      </c>
      <c r="I1877">
        <v>118700</v>
      </c>
      <c r="J1877">
        <v>9199496</v>
      </c>
      <c r="K1877">
        <v>140700</v>
      </c>
    </row>
    <row r="1878" spans="1:11" x14ac:dyDescent="0.3">
      <c r="A1878" t="s">
        <v>1887</v>
      </c>
      <c r="B1878">
        <v>450775</v>
      </c>
      <c r="C1878">
        <v>3543500</v>
      </c>
      <c r="D1878">
        <v>225182</v>
      </c>
      <c r="E1878">
        <v>780400</v>
      </c>
      <c r="F1878">
        <v>7379333</v>
      </c>
      <c r="G1878">
        <v>357400</v>
      </c>
      <c r="H1878">
        <v>9211237</v>
      </c>
      <c r="I1878">
        <v>117600</v>
      </c>
      <c r="J1878">
        <v>9209329</v>
      </c>
      <c r="K1878">
        <v>131500</v>
      </c>
    </row>
    <row r="1879" spans="1:11" x14ac:dyDescent="0.3">
      <c r="A1879" t="s">
        <v>1888</v>
      </c>
      <c r="B1879">
        <v>450775</v>
      </c>
      <c r="C1879">
        <v>3697300</v>
      </c>
      <c r="D1879">
        <v>227767</v>
      </c>
      <c r="E1879">
        <v>786400</v>
      </c>
      <c r="F1879">
        <v>7387553</v>
      </c>
      <c r="G1879">
        <v>347800</v>
      </c>
      <c r="H1879">
        <v>9221827</v>
      </c>
      <c r="I1879">
        <v>125900</v>
      </c>
      <c r="J1879">
        <v>9218826</v>
      </c>
      <c r="K1879">
        <v>129700</v>
      </c>
    </row>
    <row r="1880" spans="1:11" x14ac:dyDescent="0.3">
      <c r="A1880" t="s">
        <v>1889</v>
      </c>
      <c r="B1880">
        <v>450775</v>
      </c>
      <c r="C1880">
        <v>3841500</v>
      </c>
      <c r="D1880">
        <v>227845</v>
      </c>
      <c r="E1880">
        <v>786800</v>
      </c>
      <c r="F1880">
        <v>7395780</v>
      </c>
      <c r="G1880">
        <v>351600</v>
      </c>
      <c r="H1880">
        <v>9232147</v>
      </c>
      <c r="I1880">
        <v>118200</v>
      </c>
      <c r="J1880">
        <v>9229919</v>
      </c>
      <c r="K1880">
        <v>136800</v>
      </c>
    </row>
    <row r="1881" spans="1:11" x14ac:dyDescent="0.3">
      <c r="A1881" t="s">
        <v>1890</v>
      </c>
      <c r="B1881">
        <v>450775</v>
      </c>
      <c r="C1881">
        <v>3717200</v>
      </c>
      <c r="D1881">
        <v>227522</v>
      </c>
      <c r="E1881">
        <v>805200</v>
      </c>
      <c r="F1881">
        <v>7404020</v>
      </c>
      <c r="G1881">
        <v>350000</v>
      </c>
      <c r="H1881">
        <v>9243234</v>
      </c>
      <c r="I1881">
        <v>122700</v>
      </c>
      <c r="J1881">
        <v>9239804</v>
      </c>
      <c r="K1881">
        <v>131100</v>
      </c>
    </row>
    <row r="1882" spans="1:11" x14ac:dyDescent="0.3">
      <c r="A1882" t="s">
        <v>1891</v>
      </c>
      <c r="B1882">
        <v>450775</v>
      </c>
      <c r="C1882">
        <v>3423000</v>
      </c>
      <c r="D1882">
        <v>224959</v>
      </c>
      <c r="E1882">
        <v>926700</v>
      </c>
      <c r="F1882">
        <v>7412195</v>
      </c>
      <c r="G1882">
        <v>417900</v>
      </c>
      <c r="H1882">
        <v>9253084</v>
      </c>
      <c r="I1882">
        <v>120200</v>
      </c>
      <c r="J1882">
        <v>9249907</v>
      </c>
      <c r="K1882">
        <v>133400</v>
      </c>
    </row>
    <row r="1883" spans="1:11" x14ac:dyDescent="0.3">
      <c r="A1883" t="s">
        <v>1892</v>
      </c>
      <c r="B1883">
        <v>450775</v>
      </c>
      <c r="C1883">
        <v>3926600</v>
      </c>
      <c r="D1883">
        <v>230912</v>
      </c>
      <c r="E1883">
        <v>816800</v>
      </c>
      <c r="F1883">
        <v>7420424</v>
      </c>
      <c r="G1883">
        <v>346900</v>
      </c>
      <c r="H1883">
        <v>9262802</v>
      </c>
      <c r="I1883">
        <v>117300</v>
      </c>
      <c r="J1883">
        <v>9260377</v>
      </c>
      <c r="K1883">
        <v>137700</v>
      </c>
    </row>
    <row r="1884" spans="1:11" x14ac:dyDescent="0.3">
      <c r="A1884" t="s">
        <v>1893</v>
      </c>
      <c r="B1884">
        <v>450775</v>
      </c>
      <c r="C1884">
        <v>3768000</v>
      </c>
      <c r="D1884">
        <v>224686</v>
      </c>
      <c r="E1884">
        <v>780000</v>
      </c>
      <c r="F1884">
        <v>7428633</v>
      </c>
      <c r="G1884">
        <v>357700</v>
      </c>
      <c r="H1884">
        <v>9272830</v>
      </c>
      <c r="I1884">
        <v>122700</v>
      </c>
      <c r="J1884">
        <v>9269824</v>
      </c>
      <c r="K1884">
        <v>131300</v>
      </c>
    </row>
    <row r="1885" spans="1:11" x14ac:dyDescent="0.3">
      <c r="A1885" t="s">
        <v>1894</v>
      </c>
      <c r="B1885">
        <v>450775</v>
      </c>
      <c r="C1885">
        <v>3699400</v>
      </c>
      <c r="D1885">
        <v>224139</v>
      </c>
      <c r="E1885">
        <v>981700</v>
      </c>
      <c r="F1885">
        <v>7436859</v>
      </c>
      <c r="G1885">
        <v>416400</v>
      </c>
      <c r="H1885">
        <v>9283772</v>
      </c>
      <c r="I1885">
        <v>150200</v>
      </c>
      <c r="J1885">
        <v>9281360</v>
      </c>
      <c r="K1885">
        <v>165800</v>
      </c>
    </row>
    <row r="1886" spans="1:11" x14ac:dyDescent="0.3">
      <c r="A1886" t="s">
        <v>1895</v>
      </c>
      <c r="B1886">
        <v>450775</v>
      </c>
      <c r="C1886">
        <v>3636800</v>
      </c>
      <c r="D1886">
        <v>232518</v>
      </c>
      <c r="E1886">
        <v>802800</v>
      </c>
      <c r="F1886">
        <v>7445066</v>
      </c>
      <c r="G1886">
        <v>349400</v>
      </c>
      <c r="H1886">
        <v>9293594</v>
      </c>
      <c r="I1886">
        <v>127000</v>
      </c>
      <c r="J1886">
        <v>9291527</v>
      </c>
      <c r="K1886">
        <v>135200</v>
      </c>
    </row>
    <row r="1887" spans="1:11" x14ac:dyDescent="0.3">
      <c r="A1887" t="s">
        <v>1896</v>
      </c>
      <c r="B1887">
        <v>450775</v>
      </c>
      <c r="C1887">
        <v>4303500</v>
      </c>
      <c r="D1887">
        <v>231799</v>
      </c>
      <c r="E1887">
        <v>802000</v>
      </c>
      <c r="F1887">
        <v>7453288</v>
      </c>
      <c r="G1887">
        <v>353400</v>
      </c>
      <c r="H1887">
        <v>9302867</v>
      </c>
      <c r="I1887">
        <v>121200</v>
      </c>
      <c r="J1887">
        <v>9301179</v>
      </c>
      <c r="K1887">
        <v>131300</v>
      </c>
    </row>
    <row r="1888" spans="1:11" x14ac:dyDescent="0.3">
      <c r="A1888" t="s">
        <v>1897</v>
      </c>
      <c r="B1888">
        <v>450775</v>
      </c>
      <c r="C1888">
        <v>3744900</v>
      </c>
      <c r="D1888">
        <v>227051</v>
      </c>
      <c r="E1888">
        <v>846700</v>
      </c>
      <c r="F1888">
        <v>7461494</v>
      </c>
      <c r="G1888">
        <v>369600</v>
      </c>
      <c r="H1888">
        <v>9312764</v>
      </c>
      <c r="I1888">
        <v>114900</v>
      </c>
      <c r="J1888">
        <v>9312160</v>
      </c>
      <c r="K1888">
        <v>129700</v>
      </c>
    </row>
    <row r="1889" spans="1:11" x14ac:dyDescent="0.3">
      <c r="A1889" t="s">
        <v>1898</v>
      </c>
      <c r="B1889">
        <v>450775</v>
      </c>
      <c r="C1889">
        <v>3627200</v>
      </c>
      <c r="D1889">
        <v>224529</v>
      </c>
      <c r="E1889">
        <v>782000</v>
      </c>
      <c r="F1889">
        <v>7469723</v>
      </c>
      <c r="G1889">
        <v>352400</v>
      </c>
      <c r="H1889">
        <v>9322773</v>
      </c>
      <c r="I1889">
        <v>117800</v>
      </c>
      <c r="J1889">
        <v>9321694</v>
      </c>
      <c r="K1889">
        <v>134200</v>
      </c>
    </row>
    <row r="1890" spans="1:11" x14ac:dyDescent="0.3">
      <c r="A1890" t="s">
        <v>1899</v>
      </c>
      <c r="B1890">
        <v>450775</v>
      </c>
      <c r="C1890">
        <v>3909800</v>
      </c>
      <c r="D1890">
        <v>225302</v>
      </c>
      <c r="E1890">
        <v>783800</v>
      </c>
      <c r="F1890">
        <v>7477930</v>
      </c>
      <c r="G1890">
        <v>356600</v>
      </c>
      <c r="H1890">
        <v>9332876</v>
      </c>
      <c r="I1890">
        <v>121700</v>
      </c>
      <c r="J1890">
        <v>9332044</v>
      </c>
      <c r="K1890">
        <v>131000</v>
      </c>
    </row>
    <row r="1891" spans="1:11" x14ac:dyDescent="0.3">
      <c r="A1891" t="s">
        <v>1900</v>
      </c>
      <c r="B1891">
        <v>450775</v>
      </c>
      <c r="C1891">
        <v>3887400</v>
      </c>
      <c r="D1891">
        <v>221370</v>
      </c>
      <c r="E1891">
        <v>765000</v>
      </c>
      <c r="F1891">
        <v>7486116</v>
      </c>
      <c r="G1891">
        <v>353800</v>
      </c>
      <c r="H1891">
        <v>9344088</v>
      </c>
      <c r="I1891">
        <v>118000</v>
      </c>
      <c r="J1891">
        <v>9341862</v>
      </c>
      <c r="K1891">
        <v>134100</v>
      </c>
    </row>
    <row r="1892" spans="1:11" x14ac:dyDescent="0.3">
      <c r="A1892" t="s">
        <v>1901</v>
      </c>
      <c r="B1892">
        <v>450775</v>
      </c>
      <c r="C1892">
        <v>3741200</v>
      </c>
      <c r="D1892">
        <v>229397</v>
      </c>
      <c r="E1892">
        <v>795600</v>
      </c>
      <c r="F1892">
        <v>7494337</v>
      </c>
      <c r="G1892">
        <v>350600</v>
      </c>
      <c r="H1892">
        <v>9353800</v>
      </c>
      <c r="I1892">
        <v>119600</v>
      </c>
      <c r="J1892">
        <v>9352465</v>
      </c>
      <c r="K1892">
        <v>131400</v>
      </c>
    </row>
    <row r="1893" spans="1:11" x14ac:dyDescent="0.3">
      <c r="A1893" t="s">
        <v>1902</v>
      </c>
      <c r="B1893">
        <v>450775</v>
      </c>
      <c r="C1893">
        <v>3860300</v>
      </c>
      <c r="D1893">
        <v>224120</v>
      </c>
      <c r="E1893">
        <v>775700</v>
      </c>
      <c r="F1893">
        <v>7502559</v>
      </c>
      <c r="G1893">
        <v>348800</v>
      </c>
      <c r="H1893">
        <v>9363857</v>
      </c>
      <c r="I1893">
        <v>119800</v>
      </c>
      <c r="J1893">
        <v>9362266</v>
      </c>
      <c r="K1893">
        <v>131300</v>
      </c>
    </row>
    <row r="1894" spans="1:11" x14ac:dyDescent="0.3">
      <c r="A1894" t="s">
        <v>1903</v>
      </c>
      <c r="B1894">
        <v>450775</v>
      </c>
      <c r="C1894">
        <v>4110500</v>
      </c>
      <c r="D1894">
        <v>224074</v>
      </c>
      <c r="E1894">
        <v>889400</v>
      </c>
      <c r="F1894">
        <v>7510781</v>
      </c>
      <c r="G1894">
        <v>358400</v>
      </c>
      <c r="H1894">
        <v>9374246</v>
      </c>
      <c r="I1894">
        <v>121800</v>
      </c>
      <c r="J1894">
        <v>9372639</v>
      </c>
      <c r="K1894">
        <v>137700</v>
      </c>
    </row>
    <row r="1895" spans="1:11" x14ac:dyDescent="0.3">
      <c r="A1895" t="s">
        <v>1904</v>
      </c>
      <c r="B1895">
        <v>450775</v>
      </c>
      <c r="C1895">
        <v>4139400</v>
      </c>
      <c r="D1895">
        <v>226401</v>
      </c>
      <c r="E1895">
        <v>784700</v>
      </c>
      <c r="F1895">
        <v>7518966</v>
      </c>
      <c r="G1895">
        <v>354400</v>
      </c>
      <c r="H1895">
        <v>9384219</v>
      </c>
      <c r="I1895">
        <v>121500</v>
      </c>
      <c r="J1895">
        <v>9383582</v>
      </c>
      <c r="K1895">
        <v>138300</v>
      </c>
    </row>
    <row r="1896" spans="1:11" x14ac:dyDescent="0.3">
      <c r="A1896" t="s">
        <v>1905</v>
      </c>
      <c r="B1896">
        <v>450775</v>
      </c>
      <c r="C1896">
        <v>3614500</v>
      </c>
      <c r="D1896">
        <v>224728</v>
      </c>
      <c r="E1896">
        <v>788900</v>
      </c>
      <c r="F1896">
        <v>7527161</v>
      </c>
      <c r="G1896">
        <v>349800</v>
      </c>
      <c r="H1896">
        <v>9394721</v>
      </c>
      <c r="I1896">
        <v>118500</v>
      </c>
      <c r="J1896">
        <v>9393845</v>
      </c>
      <c r="K1896">
        <v>135000</v>
      </c>
    </row>
    <row r="1897" spans="1:11" x14ac:dyDescent="0.3">
      <c r="A1897" t="s">
        <v>1906</v>
      </c>
      <c r="B1897">
        <v>450775</v>
      </c>
      <c r="C1897">
        <v>3741400</v>
      </c>
      <c r="D1897">
        <v>233632</v>
      </c>
      <c r="E1897">
        <v>810300</v>
      </c>
      <c r="F1897">
        <v>7535363</v>
      </c>
      <c r="G1897">
        <v>353200</v>
      </c>
      <c r="H1897">
        <v>9405727</v>
      </c>
      <c r="I1897">
        <v>120100</v>
      </c>
      <c r="J1897">
        <v>9403703</v>
      </c>
      <c r="K1897">
        <v>131700</v>
      </c>
    </row>
    <row r="1898" spans="1:11" x14ac:dyDescent="0.3">
      <c r="A1898" t="s">
        <v>1907</v>
      </c>
      <c r="B1898">
        <v>450775</v>
      </c>
      <c r="C1898">
        <v>3747200</v>
      </c>
      <c r="D1898">
        <v>222702</v>
      </c>
      <c r="E1898">
        <v>793800</v>
      </c>
      <c r="F1898">
        <v>7543579</v>
      </c>
      <c r="G1898">
        <v>351100</v>
      </c>
      <c r="H1898">
        <v>9415693</v>
      </c>
      <c r="I1898">
        <v>118600</v>
      </c>
      <c r="J1898">
        <v>9413774</v>
      </c>
      <c r="K1898">
        <v>130300</v>
      </c>
    </row>
    <row r="1899" spans="1:11" x14ac:dyDescent="0.3">
      <c r="A1899" t="s">
        <v>1908</v>
      </c>
      <c r="B1899">
        <v>450775</v>
      </c>
      <c r="C1899">
        <v>3750400</v>
      </c>
      <c r="D1899">
        <v>220557</v>
      </c>
      <c r="E1899">
        <v>764500</v>
      </c>
      <c r="F1899">
        <v>7551798</v>
      </c>
      <c r="G1899">
        <v>353100</v>
      </c>
      <c r="H1899">
        <v>9425982</v>
      </c>
      <c r="I1899">
        <v>117800</v>
      </c>
      <c r="J1899">
        <v>9423498</v>
      </c>
      <c r="K1899">
        <v>131000</v>
      </c>
    </row>
    <row r="1900" spans="1:11" x14ac:dyDescent="0.3">
      <c r="A1900" t="s">
        <v>1909</v>
      </c>
      <c r="B1900">
        <v>450775</v>
      </c>
      <c r="C1900">
        <v>4077500</v>
      </c>
      <c r="D1900">
        <v>237324</v>
      </c>
      <c r="E1900">
        <v>850900</v>
      </c>
      <c r="F1900">
        <v>7559983</v>
      </c>
      <c r="G1900">
        <v>356500</v>
      </c>
      <c r="H1900">
        <v>9435755</v>
      </c>
      <c r="I1900">
        <v>122800</v>
      </c>
      <c r="J1900">
        <v>9433466</v>
      </c>
      <c r="K1900">
        <v>131800</v>
      </c>
    </row>
    <row r="1901" spans="1:11" x14ac:dyDescent="0.3">
      <c r="A1901" t="s">
        <v>1910</v>
      </c>
      <c r="B1901">
        <v>450775</v>
      </c>
      <c r="C1901">
        <v>4222800</v>
      </c>
      <c r="D1901">
        <v>231263</v>
      </c>
      <c r="E1901">
        <v>827100</v>
      </c>
      <c r="F1901">
        <v>7568190</v>
      </c>
      <c r="G1901">
        <v>353400</v>
      </c>
      <c r="H1901">
        <v>9445917</v>
      </c>
      <c r="I1901">
        <v>122600</v>
      </c>
      <c r="J1901">
        <v>9444324</v>
      </c>
      <c r="K1901">
        <v>133000</v>
      </c>
    </row>
    <row r="1902" spans="1:11" x14ac:dyDescent="0.3">
      <c r="A1902" t="s">
        <v>1911</v>
      </c>
      <c r="B1902">
        <v>499500</v>
      </c>
      <c r="C1902">
        <v>4534000</v>
      </c>
      <c r="D1902">
        <v>248018</v>
      </c>
      <c r="E1902">
        <v>1108400</v>
      </c>
      <c r="F1902">
        <v>7576926</v>
      </c>
      <c r="G1902">
        <v>387000</v>
      </c>
      <c r="H1902">
        <v>9456648</v>
      </c>
      <c r="I1902">
        <v>136700</v>
      </c>
      <c r="J1902">
        <v>9455526</v>
      </c>
      <c r="K1902">
        <v>157200</v>
      </c>
    </row>
    <row r="1903" spans="1:11" x14ac:dyDescent="0.3">
      <c r="A1903" t="s">
        <v>1912</v>
      </c>
      <c r="B1903">
        <v>499500</v>
      </c>
      <c r="C1903">
        <v>4504600</v>
      </c>
      <c r="D1903">
        <v>249822</v>
      </c>
      <c r="E1903">
        <v>872800</v>
      </c>
      <c r="F1903">
        <v>7585609</v>
      </c>
      <c r="G1903">
        <v>403200</v>
      </c>
      <c r="H1903">
        <v>9467536</v>
      </c>
      <c r="I1903">
        <v>168100</v>
      </c>
      <c r="J1903">
        <v>9465950</v>
      </c>
      <c r="K1903">
        <v>171800</v>
      </c>
    </row>
    <row r="1904" spans="1:11" x14ac:dyDescent="0.3">
      <c r="A1904" t="s">
        <v>1913</v>
      </c>
      <c r="B1904">
        <v>499500</v>
      </c>
      <c r="C1904">
        <v>4422900</v>
      </c>
      <c r="D1904">
        <v>256900</v>
      </c>
      <c r="E1904">
        <v>1047600</v>
      </c>
      <c r="F1904">
        <v>7594296</v>
      </c>
      <c r="G1904">
        <v>373800</v>
      </c>
      <c r="H1904">
        <v>9478877</v>
      </c>
      <c r="I1904">
        <v>124600</v>
      </c>
      <c r="J1904">
        <v>9475839</v>
      </c>
      <c r="K1904">
        <v>141000</v>
      </c>
    </row>
    <row r="1905" spans="1:11" x14ac:dyDescent="0.3">
      <c r="A1905" t="s">
        <v>1914</v>
      </c>
      <c r="B1905">
        <v>499500</v>
      </c>
      <c r="C1905">
        <v>4418500</v>
      </c>
      <c r="D1905">
        <v>244337</v>
      </c>
      <c r="E1905">
        <v>859800</v>
      </c>
      <c r="F1905">
        <v>7603000</v>
      </c>
      <c r="G1905">
        <v>372800</v>
      </c>
      <c r="H1905">
        <v>9490178</v>
      </c>
      <c r="I1905">
        <v>134400</v>
      </c>
      <c r="J1905">
        <v>9486793</v>
      </c>
      <c r="K1905">
        <v>143800</v>
      </c>
    </row>
    <row r="1906" spans="1:11" x14ac:dyDescent="0.3">
      <c r="A1906" t="s">
        <v>1915</v>
      </c>
      <c r="B1906">
        <v>499500</v>
      </c>
      <c r="C1906">
        <v>4490000</v>
      </c>
      <c r="D1906">
        <v>244522</v>
      </c>
      <c r="E1906">
        <v>1030900</v>
      </c>
      <c r="F1906">
        <v>7611697</v>
      </c>
      <c r="G1906">
        <v>458800</v>
      </c>
      <c r="H1906">
        <v>9502390</v>
      </c>
      <c r="I1906">
        <v>177800</v>
      </c>
      <c r="J1906">
        <v>9497254</v>
      </c>
      <c r="K1906">
        <v>151400</v>
      </c>
    </row>
    <row r="1907" spans="1:11" x14ac:dyDescent="0.3">
      <c r="A1907" t="s">
        <v>1916</v>
      </c>
      <c r="B1907">
        <v>499500</v>
      </c>
      <c r="C1907">
        <v>4156000</v>
      </c>
      <c r="D1907">
        <v>239293</v>
      </c>
      <c r="E1907">
        <v>928000</v>
      </c>
      <c r="F1907">
        <v>7620412</v>
      </c>
      <c r="G1907">
        <v>374000</v>
      </c>
      <c r="H1907">
        <v>9514051</v>
      </c>
      <c r="I1907">
        <v>130800</v>
      </c>
      <c r="J1907">
        <v>9507424</v>
      </c>
      <c r="K1907">
        <v>138700</v>
      </c>
    </row>
    <row r="1908" spans="1:11" x14ac:dyDescent="0.3">
      <c r="A1908" t="s">
        <v>1917</v>
      </c>
      <c r="B1908">
        <v>499500</v>
      </c>
      <c r="C1908">
        <v>4007300</v>
      </c>
      <c r="D1908">
        <v>247930</v>
      </c>
      <c r="E1908">
        <v>854800</v>
      </c>
      <c r="F1908">
        <v>7629133</v>
      </c>
      <c r="G1908">
        <v>380700</v>
      </c>
      <c r="H1908">
        <v>9524340</v>
      </c>
      <c r="I1908">
        <v>125300</v>
      </c>
      <c r="J1908">
        <v>9517939</v>
      </c>
      <c r="K1908">
        <v>183800</v>
      </c>
    </row>
    <row r="1909" spans="1:11" x14ac:dyDescent="0.3">
      <c r="A1909" t="s">
        <v>1918</v>
      </c>
      <c r="B1909">
        <v>499500</v>
      </c>
      <c r="C1909">
        <v>4160100</v>
      </c>
      <c r="D1909">
        <v>258812</v>
      </c>
      <c r="E1909">
        <v>896100</v>
      </c>
      <c r="F1909">
        <v>7637837</v>
      </c>
      <c r="G1909">
        <v>369800</v>
      </c>
      <c r="H1909">
        <v>9534865</v>
      </c>
      <c r="I1909">
        <v>126600</v>
      </c>
      <c r="J1909">
        <v>9528653</v>
      </c>
      <c r="K1909">
        <v>135200</v>
      </c>
    </row>
    <row r="1910" spans="1:11" x14ac:dyDescent="0.3">
      <c r="A1910" t="s">
        <v>1919</v>
      </c>
      <c r="B1910">
        <v>499500</v>
      </c>
      <c r="C1910">
        <v>4170000</v>
      </c>
      <c r="D1910">
        <v>244427</v>
      </c>
      <c r="E1910">
        <v>876300</v>
      </c>
      <c r="F1910">
        <v>7646523</v>
      </c>
      <c r="G1910">
        <v>369100</v>
      </c>
      <c r="H1910">
        <v>9546647</v>
      </c>
      <c r="I1910">
        <v>129100</v>
      </c>
      <c r="J1910">
        <v>9540439</v>
      </c>
      <c r="K1910">
        <v>140200</v>
      </c>
    </row>
    <row r="1911" spans="1:11" x14ac:dyDescent="0.3">
      <c r="A1911" t="s">
        <v>1920</v>
      </c>
      <c r="B1911">
        <v>499500</v>
      </c>
      <c r="C1911">
        <v>4251800</v>
      </c>
      <c r="D1911">
        <v>259066</v>
      </c>
      <c r="E1911">
        <v>892200</v>
      </c>
      <c r="F1911">
        <v>7655248</v>
      </c>
      <c r="G1911">
        <v>373300</v>
      </c>
      <c r="H1911">
        <v>9557776</v>
      </c>
      <c r="I1911">
        <v>132400</v>
      </c>
      <c r="J1911">
        <v>9550757</v>
      </c>
      <c r="K1911">
        <v>140300</v>
      </c>
    </row>
    <row r="1912" spans="1:11" x14ac:dyDescent="0.3">
      <c r="A1912" t="s">
        <v>1921</v>
      </c>
      <c r="B1912">
        <v>499500</v>
      </c>
      <c r="C1912">
        <v>4038000</v>
      </c>
      <c r="D1912">
        <v>254343</v>
      </c>
      <c r="E1912">
        <v>905700</v>
      </c>
      <c r="F1912">
        <v>7663929</v>
      </c>
      <c r="G1912">
        <v>368000</v>
      </c>
      <c r="H1912">
        <v>9568892</v>
      </c>
      <c r="I1912">
        <v>127900</v>
      </c>
      <c r="J1912">
        <v>9562182</v>
      </c>
      <c r="K1912">
        <v>142300</v>
      </c>
    </row>
    <row r="1913" spans="1:11" x14ac:dyDescent="0.3">
      <c r="A1913" t="s">
        <v>1922</v>
      </c>
      <c r="B1913">
        <v>499500</v>
      </c>
      <c r="C1913">
        <v>4245900</v>
      </c>
      <c r="D1913">
        <v>251848</v>
      </c>
      <c r="E1913">
        <v>1030600</v>
      </c>
      <c r="F1913">
        <v>7672658</v>
      </c>
      <c r="G1913">
        <v>376000</v>
      </c>
      <c r="H1913">
        <v>9579996</v>
      </c>
      <c r="I1913">
        <v>136300</v>
      </c>
      <c r="J1913">
        <v>9573155</v>
      </c>
      <c r="K1913">
        <v>138700</v>
      </c>
    </row>
    <row r="1914" spans="1:11" x14ac:dyDescent="0.3">
      <c r="A1914" t="s">
        <v>1923</v>
      </c>
      <c r="B1914">
        <v>499500</v>
      </c>
      <c r="C1914">
        <v>3977900</v>
      </c>
      <c r="D1914">
        <v>263662</v>
      </c>
      <c r="E1914">
        <v>926100</v>
      </c>
      <c r="F1914">
        <v>7681352</v>
      </c>
      <c r="G1914">
        <v>380300</v>
      </c>
      <c r="H1914">
        <v>9589948</v>
      </c>
      <c r="I1914">
        <v>122400</v>
      </c>
      <c r="J1914">
        <v>9583730</v>
      </c>
      <c r="K1914">
        <v>152800</v>
      </c>
    </row>
    <row r="1915" spans="1:11" x14ac:dyDescent="0.3">
      <c r="A1915" t="s">
        <v>1924</v>
      </c>
      <c r="B1915">
        <v>499500</v>
      </c>
      <c r="C1915">
        <v>4197200</v>
      </c>
      <c r="D1915">
        <v>248077</v>
      </c>
      <c r="E1915">
        <v>864700</v>
      </c>
      <c r="F1915">
        <v>7690056</v>
      </c>
      <c r="G1915">
        <v>368300</v>
      </c>
      <c r="H1915">
        <v>9601329</v>
      </c>
      <c r="I1915">
        <v>128900</v>
      </c>
      <c r="J1915">
        <v>9594239</v>
      </c>
      <c r="K1915">
        <v>145400</v>
      </c>
    </row>
    <row r="1916" spans="1:11" x14ac:dyDescent="0.3">
      <c r="A1916" t="s">
        <v>1925</v>
      </c>
      <c r="B1916">
        <v>499500</v>
      </c>
      <c r="C1916">
        <v>4168600</v>
      </c>
      <c r="D1916">
        <v>258764</v>
      </c>
      <c r="E1916">
        <v>900100</v>
      </c>
      <c r="F1916">
        <v>7698773</v>
      </c>
      <c r="G1916">
        <v>372100</v>
      </c>
      <c r="H1916">
        <v>9612625</v>
      </c>
      <c r="I1916">
        <v>127700</v>
      </c>
      <c r="J1916">
        <v>9604925</v>
      </c>
      <c r="K1916">
        <v>140400</v>
      </c>
    </row>
    <row r="1917" spans="1:11" x14ac:dyDescent="0.3">
      <c r="A1917" t="s">
        <v>1926</v>
      </c>
      <c r="B1917">
        <v>499500</v>
      </c>
      <c r="C1917">
        <v>4244100</v>
      </c>
      <c r="D1917">
        <v>253080</v>
      </c>
      <c r="E1917">
        <v>898500</v>
      </c>
      <c r="F1917">
        <v>7707454</v>
      </c>
      <c r="G1917">
        <v>375500</v>
      </c>
      <c r="H1917">
        <v>9622977</v>
      </c>
      <c r="I1917">
        <v>126400</v>
      </c>
      <c r="J1917">
        <v>9615800</v>
      </c>
      <c r="K1917">
        <v>138000</v>
      </c>
    </row>
    <row r="1918" spans="1:11" x14ac:dyDescent="0.3">
      <c r="A1918" t="s">
        <v>1927</v>
      </c>
      <c r="B1918">
        <v>499500</v>
      </c>
      <c r="C1918">
        <v>3958400</v>
      </c>
      <c r="D1918">
        <v>241664</v>
      </c>
      <c r="E1918">
        <v>839200</v>
      </c>
      <c r="F1918">
        <v>7716172</v>
      </c>
      <c r="G1918">
        <v>370200</v>
      </c>
      <c r="H1918">
        <v>9633509</v>
      </c>
      <c r="I1918">
        <v>128800</v>
      </c>
      <c r="J1918">
        <v>9626648</v>
      </c>
      <c r="K1918">
        <v>139500</v>
      </c>
    </row>
    <row r="1919" spans="1:11" x14ac:dyDescent="0.3">
      <c r="A1919" t="s">
        <v>1928</v>
      </c>
      <c r="B1919">
        <v>499500</v>
      </c>
      <c r="C1919">
        <v>4153900</v>
      </c>
      <c r="D1919">
        <v>248766</v>
      </c>
      <c r="E1919">
        <v>865600</v>
      </c>
      <c r="F1919">
        <v>7724875</v>
      </c>
      <c r="G1919">
        <v>369900</v>
      </c>
      <c r="H1919">
        <v>9644012</v>
      </c>
      <c r="I1919">
        <v>124800</v>
      </c>
      <c r="J1919">
        <v>9638344</v>
      </c>
      <c r="K1919">
        <v>138700</v>
      </c>
    </row>
    <row r="1920" spans="1:11" x14ac:dyDescent="0.3">
      <c r="A1920" t="s">
        <v>1929</v>
      </c>
      <c r="B1920">
        <v>499500</v>
      </c>
      <c r="C1920">
        <v>5185900</v>
      </c>
      <c r="D1920">
        <v>254485</v>
      </c>
      <c r="E1920">
        <v>992400</v>
      </c>
      <c r="F1920">
        <v>7733600</v>
      </c>
      <c r="G1920">
        <v>366700</v>
      </c>
      <c r="H1920">
        <v>9654885</v>
      </c>
      <c r="I1920">
        <v>127800</v>
      </c>
      <c r="J1920">
        <v>9649024</v>
      </c>
      <c r="K1920">
        <v>137100</v>
      </c>
    </row>
    <row r="1921" spans="1:11" x14ac:dyDescent="0.3">
      <c r="A1921" t="s">
        <v>1930</v>
      </c>
      <c r="B1921">
        <v>499500</v>
      </c>
      <c r="C1921">
        <v>4029800</v>
      </c>
      <c r="D1921">
        <v>250683</v>
      </c>
      <c r="E1921">
        <v>864000</v>
      </c>
      <c r="F1921">
        <v>7742344</v>
      </c>
      <c r="G1921">
        <v>374900</v>
      </c>
      <c r="H1921">
        <v>9665585</v>
      </c>
      <c r="I1921">
        <v>128200</v>
      </c>
      <c r="J1921">
        <v>9660360</v>
      </c>
      <c r="K1921">
        <v>142100</v>
      </c>
    </row>
    <row r="1922" spans="1:11" x14ac:dyDescent="0.3">
      <c r="A1922" t="s">
        <v>1931</v>
      </c>
      <c r="B1922">
        <v>499500</v>
      </c>
      <c r="C1922">
        <v>4418700</v>
      </c>
      <c r="D1922">
        <v>250874</v>
      </c>
      <c r="E1922">
        <v>868200</v>
      </c>
      <c r="F1922">
        <v>7751056</v>
      </c>
      <c r="G1922">
        <v>368800</v>
      </c>
      <c r="H1922">
        <v>9677291</v>
      </c>
      <c r="I1922">
        <v>125200</v>
      </c>
      <c r="J1922">
        <v>9671414</v>
      </c>
      <c r="K1922">
        <v>136500</v>
      </c>
    </row>
    <row r="1923" spans="1:11" x14ac:dyDescent="0.3">
      <c r="A1923" t="s">
        <v>1932</v>
      </c>
      <c r="B1923">
        <v>499500</v>
      </c>
      <c r="C1923">
        <v>4342800</v>
      </c>
      <c r="D1923">
        <v>251972</v>
      </c>
      <c r="E1923">
        <v>923100</v>
      </c>
      <c r="F1923">
        <v>7759771</v>
      </c>
      <c r="G1923">
        <v>368000</v>
      </c>
      <c r="H1923">
        <v>9689572</v>
      </c>
      <c r="I1923">
        <v>139000</v>
      </c>
      <c r="J1923">
        <v>9682339</v>
      </c>
      <c r="K1923">
        <v>140900</v>
      </c>
    </row>
    <row r="1924" spans="1:11" x14ac:dyDescent="0.3">
      <c r="A1924" t="s">
        <v>1933</v>
      </c>
      <c r="B1924">
        <v>499500</v>
      </c>
      <c r="C1924">
        <v>4241600</v>
      </c>
      <c r="D1924">
        <v>260776</v>
      </c>
      <c r="E1924">
        <v>1181600</v>
      </c>
      <c r="F1924">
        <v>7768472</v>
      </c>
      <c r="G1924">
        <v>441700</v>
      </c>
      <c r="H1924">
        <v>9700206</v>
      </c>
      <c r="I1924">
        <v>150500</v>
      </c>
      <c r="J1924">
        <v>9693367</v>
      </c>
      <c r="K1924">
        <v>147400</v>
      </c>
    </row>
    <row r="1925" spans="1:11" x14ac:dyDescent="0.3">
      <c r="A1925" t="s">
        <v>1934</v>
      </c>
      <c r="B1925">
        <v>499500</v>
      </c>
      <c r="C1925">
        <v>4068100</v>
      </c>
      <c r="D1925">
        <v>246937</v>
      </c>
      <c r="E1925">
        <v>859300</v>
      </c>
      <c r="F1925">
        <v>7777190</v>
      </c>
      <c r="G1925">
        <v>371400</v>
      </c>
      <c r="H1925">
        <v>9712395</v>
      </c>
      <c r="I1925">
        <v>132100</v>
      </c>
      <c r="J1925">
        <v>9705378</v>
      </c>
      <c r="K1925">
        <v>142800</v>
      </c>
    </row>
    <row r="1926" spans="1:11" x14ac:dyDescent="0.3">
      <c r="A1926" t="s">
        <v>1935</v>
      </c>
      <c r="B1926">
        <v>499500</v>
      </c>
      <c r="C1926">
        <v>4018400</v>
      </c>
      <c r="D1926">
        <v>239726</v>
      </c>
      <c r="E1926">
        <v>983800</v>
      </c>
      <c r="F1926">
        <v>7785880</v>
      </c>
      <c r="G1926">
        <v>388600</v>
      </c>
      <c r="H1926">
        <v>9722694</v>
      </c>
      <c r="I1926">
        <v>126400</v>
      </c>
      <c r="J1926">
        <v>9716753</v>
      </c>
      <c r="K1926">
        <v>141500</v>
      </c>
    </row>
    <row r="1927" spans="1:11" x14ac:dyDescent="0.3">
      <c r="A1927" t="s">
        <v>1936</v>
      </c>
      <c r="B1927">
        <v>499500</v>
      </c>
      <c r="C1927">
        <v>4605800</v>
      </c>
      <c r="D1927">
        <v>241330</v>
      </c>
      <c r="E1927">
        <v>835800</v>
      </c>
      <c r="F1927">
        <v>7794617</v>
      </c>
      <c r="G1927">
        <v>430700</v>
      </c>
      <c r="H1927">
        <v>9733495</v>
      </c>
      <c r="I1927">
        <v>157200</v>
      </c>
      <c r="J1927">
        <v>9726984</v>
      </c>
      <c r="K1927">
        <v>136500</v>
      </c>
    </row>
    <row r="1928" spans="1:11" x14ac:dyDescent="0.3">
      <c r="A1928" t="s">
        <v>1937</v>
      </c>
      <c r="B1928">
        <v>499500</v>
      </c>
      <c r="C1928">
        <v>4114500</v>
      </c>
      <c r="D1928">
        <v>256965</v>
      </c>
      <c r="E1928">
        <v>889000</v>
      </c>
      <c r="F1928">
        <v>7803312</v>
      </c>
      <c r="G1928">
        <v>379600</v>
      </c>
      <c r="H1928">
        <v>9744465</v>
      </c>
      <c r="I1928">
        <v>129500</v>
      </c>
      <c r="J1928">
        <v>9737487</v>
      </c>
      <c r="K1928">
        <v>142100</v>
      </c>
    </row>
    <row r="1929" spans="1:11" x14ac:dyDescent="0.3">
      <c r="A1929" t="s">
        <v>1938</v>
      </c>
      <c r="B1929">
        <v>499500</v>
      </c>
      <c r="C1929">
        <v>4204700</v>
      </c>
      <c r="D1929">
        <v>251959</v>
      </c>
      <c r="E1929">
        <v>873900</v>
      </c>
      <c r="F1929">
        <v>7811988</v>
      </c>
      <c r="G1929">
        <v>369200</v>
      </c>
      <c r="H1929">
        <v>9756571</v>
      </c>
      <c r="I1929">
        <v>134300</v>
      </c>
      <c r="J1929">
        <v>9748999</v>
      </c>
      <c r="K1929">
        <v>139100</v>
      </c>
    </row>
    <row r="1930" spans="1:11" x14ac:dyDescent="0.3">
      <c r="A1930" t="s">
        <v>1939</v>
      </c>
      <c r="B1930">
        <v>499500</v>
      </c>
      <c r="C1930">
        <v>4113100</v>
      </c>
      <c r="D1930">
        <v>256972</v>
      </c>
      <c r="E1930">
        <v>888900</v>
      </c>
      <c r="F1930">
        <v>7820668</v>
      </c>
      <c r="G1930">
        <v>375900</v>
      </c>
      <c r="H1930">
        <v>9768600</v>
      </c>
      <c r="I1930">
        <v>130800</v>
      </c>
      <c r="J1930">
        <v>9761342</v>
      </c>
      <c r="K1930">
        <v>143500</v>
      </c>
    </row>
    <row r="1931" spans="1:11" x14ac:dyDescent="0.3">
      <c r="A1931" t="s">
        <v>1940</v>
      </c>
      <c r="B1931">
        <v>499500</v>
      </c>
      <c r="C1931">
        <v>4054800</v>
      </c>
      <c r="D1931">
        <v>252810</v>
      </c>
      <c r="E1931">
        <v>894800</v>
      </c>
      <c r="F1931">
        <v>7829392</v>
      </c>
      <c r="G1931">
        <v>375800</v>
      </c>
      <c r="H1931">
        <v>9780450</v>
      </c>
      <c r="I1931">
        <v>126200</v>
      </c>
      <c r="J1931">
        <v>9771678</v>
      </c>
      <c r="K1931">
        <v>139500</v>
      </c>
    </row>
    <row r="1932" spans="1:11" x14ac:dyDescent="0.3">
      <c r="A1932" t="s">
        <v>1941</v>
      </c>
      <c r="B1932">
        <v>499500</v>
      </c>
      <c r="C1932">
        <v>4134500</v>
      </c>
      <c r="D1932">
        <v>255583</v>
      </c>
      <c r="E1932">
        <v>899300</v>
      </c>
      <c r="F1932">
        <v>7838115</v>
      </c>
      <c r="G1932">
        <v>369900</v>
      </c>
      <c r="H1932">
        <v>9792119</v>
      </c>
      <c r="I1932">
        <v>125200</v>
      </c>
      <c r="J1932">
        <v>9783601</v>
      </c>
      <c r="K1932">
        <v>138700</v>
      </c>
    </row>
    <row r="1933" spans="1:11" x14ac:dyDescent="0.3">
      <c r="A1933" t="s">
        <v>1942</v>
      </c>
      <c r="B1933">
        <v>499500</v>
      </c>
      <c r="C1933">
        <v>4337500</v>
      </c>
      <c r="D1933">
        <v>248292</v>
      </c>
      <c r="E1933">
        <v>856800</v>
      </c>
      <c r="F1933">
        <v>7846816</v>
      </c>
      <c r="G1933">
        <v>374400</v>
      </c>
      <c r="H1933">
        <v>9803535</v>
      </c>
      <c r="I1933">
        <v>131500</v>
      </c>
      <c r="J1933">
        <v>9793822</v>
      </c>
      <c r="K1933">
        <v>142700</v>
      </c>
    </row>
    <row r="1934" spans="1:11" x14ac:dyDescent="0.3">
      <c r="A1934" t="s">
        <v>1943</v>
      </c>
      <c r="B1934">
        <v>499500</v>
      </c>
      <c r="C1934">
        <v>4359800</v>
      </c>
      <c r="D1934">
        <v>248580</v>
      </c>
      <c r="E1934">
        <v>881100</v>
      </c>
      <c r="F1934">
        <v>7855551</v>
      </c>
      <c r="G1934">
        <v>381000</v>
      </c>
      <c r="H1934">
        <v>9814748</v>
      </c>
      <c r="I1934">
        <v>135700</v>
      </c>
      <c r="J1934">
        <v>9804837</v>
      </c>
      <c r="K1934">
        <v>142100</v>
      </c>
    </row>
    <row r="1935" spans="1:11" x14ac:dyDescent="0.3">
      <c r="A1935" t="s">
        <v>1944</v>
      </c>
      <c r="B1935">
        <v>499500</v>
      </c>
      <c r="C1935">
        <v>4202800</v>
      </c>
      <c r="D1935">
        <v>250125</v>
      </c>
      <c r="E1935">
        <v>950500</v>
      </c>
      <c r="F1935">
        <v>7864270</v>
      </c>
      <c r="G1935">
        <v>371600</v>
      </c>
      <c r="H1935">
        <v>9825815</v>
      </c>
      <c r="I1935">
        <v>138000</v>
      </c>
      <c r="J1935">
        <v>9815442</v>
      </c>
      <c r="K1935">
        <v>144000</v>
      </c>
    </row>
    <row r="1936" spans="1:11" x14ac:dyDescent="0.3">
      <c r="A1936" t="s">
        <v>1945</v>
      </c>
      <c r="B1936">
        <v>499500</v>
      </c>
      <c r="C1936">
        <v>4270300</v>
      </c>
      <c r="D1936">
        <v>251720</v>
      </c>
      <c r="E1936">
        <v>874000</v>
      </c>
      <c r="F1936">
        <v>7872978</v>
      </c>
      <c r="G1936">
        <v>377900</v>
      </c>
      <c r="H1936">
        <v>9835801</v>
      </c>
      <c r="I1936">
        <v>175300</v>
      </c>
      <c r="J1936">
        <v>9826822</v>
      </c>
      <c r="K1936">
        <v>200400</v>
      </c>
    </row>
    <row r="1937" spans="1:11" x14ac:dyDescent="0.3">
      <c r="A1937" t="s">
        <v>1946</v>
      </c>
      <c r="B1937">
        <v>499500</v>
      </c>
      <c r="C1937">
        <v>3953400</v>
      </c>
      <c r="D1937">
        <v>247279</v>
      </c>
      <c r="E1937">
        <v>857400</v>
      </c>
      <c r="F1937">
        <v>7881687</v>
      </c>
      <c r="G1937">
        <v>379500</v>
      </c>
      <c r="H1937">
        <v>9846524</v>
      </c>
      <c r="I1937">
        <v>123700</v>
      </c>
      <c r="J1937">
        <v>9837086</v>
      </c>
      <c r="K1937">
        <v>141600</v>
      </c>
    </row>
    <row r="1938" spans="1:11" x14ac:dyDescent="0.3">
      <c r="A1938" t="s">
        <v>1947</v>
      </c>
      <c r="B1938">
        <v>499500</v>
      </c>
      <c r="C1938">
        <v>3972900</v>
      </c>
      <c r="D1938">
        <v>241802</v>
      </c>
      <c r="E1938">
        <v>836500</v>
      </c>
      <c r="F1938">
        <v>7890383</v>
      </c>
      <c r="G1938">
        <v>378200</v>
      </c>
      <c r="H1938">
        <v>9858038</v>
      </c>
      <c r="I1938">
        <v>127400</v>
      </c>
      <c r="J1938">
        <v>9847197</v>
      </c>
      <c r="K1938">
        <v>140400</v>
      </c>
    </row>
    <row r="1939" spans="1:11" x14ac:dyDescent="0.3">
      <c r="A1939" t="s">
        <v>1948</v>
      </c>
      <c r="B1939">
        <v>499500</v>
      </c>
      <c r="C1939">
        <v>4329400</v>
      </c>
      <c r="D1939">
        <v>251439</v>
      </c>
      <c r="E1939">
        <v>867600</v>
      </c>
      <c r="F1939">
        <v>7899092</v>
      </c>
      <c r="G1939">
        <v>370900</v>
      </c>
      <c r="H1939">
        <v>9869204</v>
      </c>
      <c r="I1939">
        <v>125000</v>
      </c>
      <c r="J1939">
        <v>9858223</v>
      </c>
      <c r="K1939">
        <v>141500</v>
      </c>
    </row>
    <row r="1940" spans="1:11" x14ac:dyDescent="0.3">
      <c r="A1940" t="s">
        <v>1949</v>
      </c>
      <c r="B1940">
        <v>499500</v>
      </c>
      <c r="C1940">
        <v>4149100</v>
      </c>
      <c r="D1940">
        <v>253956</v>
      </c>
      <c r="E1940">
        <v>883400</v>
      </c>
      <c r="F1940">
        <v>7907833</v>
      </c>
      <c r="G1940">
        <v>369100</v>
      </c>
      <c r="H1940">
        <v>9879512</v>
      </c>
      <c r="I1940">
        <v>128700</v>
      </c>
      <c r="J1940">
        <v>9869238</v>
      </c>
      <c r="K1940">
        <v>143300</v>
      </c>
    </row>
    <row r="1941" spans="1:11" x14ac:dyDescent="0.3">
      <c r="A1941" t="s">
        <v>1950</v>
      </c>
      <c r="B1941">
        <v>499500</v>
      </c>
      <c r="C1941">
        <v>4123900</v>
      </c>
      <c r="D1941">
        <v>252069</v>
      </c>
      <c r="E1941">
        <v>869100</v>
      </c>
      <c r="F1941">
        <v>7916530</v>
      </c>
      <c r="G1941">
        <v>372000</v>
      </c>
      <c r="H1941">
        <v>9890988</v>
      </c>
      <c r="I1941">
        <v>127900</v>
      </c>
      <c r="J1941">
        <v>9881098</v>
      </c>
      <c r="K1941">
        <v>145600</v>
      </c>
    </row>
    <row r="1942" spans="1:11" x14ac:dyDescent="0.3">
      <c r="A1942" t="s">
        <v>1951</v>
      </c>
      <c r="B1942">
        <v>499500</v>
      </c>
      <c r="C1942">
        <v>4123800</v>
      </c>
      <c r="D1942">
        <v>250480</v>
      </c>
      <c r="E1942">
        <v>865600</v>
      </c>
      <c r="F1942">
        <v>7925227</v>
      </c>
      <c r="G1942">
        <v>370300</v>
      </c>
      <c r="H1942">
        <v>9901960</v>
      </c>
      <c r="I1942">
        <v>125400</v>
      </c>
      <c r="J1942">
        <v>9891768</v>
      </c>
      <c r="K1942">
        <v>138800</v>
      </c>
    </row>
    <row r="1943" spans="1:11" x14ac:dyDescent="0.3">
      <c r="A1943" t="s">
        <v>1952</v>
      </c>
      <c r="B1943">
        <v>499500</v>
      </c>
      <c r="C1943">
        <v>4267900</v>
      </c>
      <c r="D1943">
        <v>250717</v>
      </c>
      <c r="E1943">
        <v>869100</v>
      </c>
      <c r="F1943">
        <v>7933918</v>
      </c>
      <c r="G1943">
        <v>372600</v>
      </c>
      <c r="H1943">
        <v>9912512</v>
      </c>
      <c r="I1943">
        <v>126300</v>
      </c>
      <c r="J1943">
        <v>9902315</v>
      </c>
      <c r="K1943">
        <v>141300</v>
      </c>
    </row>
    <row r="1944" spans="1:11" x14ac:dyDescent="0.3">
      <c r="A1944" t="s">
        <v>1953</v>
      </c>
      <c r="B1944">
        <v>499500</v>
      </c>
      <c r="C1944">
        <v>4374400</v>
      </c>
      <c r="D1944">
        <v>248380</v>
      </c>
      <c r="E1944">
        <v>867500</v>
      </c>
      <c r="F1944">
        <v>7942585</v>
      </c>
      <c r="G1944">
        <v>367500</v>
      </c>
      <c r="H1944">
        <v>9923716</v>
      </c>
      <c r="I1944">
        <v>128300</v>
      </c>
      <c r="J1944">
        <v>9912585</v>
      </c>
      <c r="K1944">
        <v>140700</v>
      </c>
    </row>
    <row r="1945" spans="1:11" x14ac:dyDescent="0.3">
      <c r="A1945" t="s">
        <v>1954</v>
      </c>
      <c r="B1945">
        <v>499500</v>
      </c>
      <c r="C1945">
        <v>4425300</v>
      </c>
      <c r="D1945">
        <v>249007</v>
      </c>
      <c r="E1945">
        <v>914100</v>
      </c>
      <c r="F1945">
        <v>7951291</v>
      </c>
      <c r="G1945">
        <v>407500</v>
      </c>
      <c r="H1945">
        <v>9935890</v>
      </c>
      <c r="I1945">
        <v>130200</v>
      </c>
      <c r="J1945">
        <v>9923266</v>
      </c>
      <c r="K1945">
        <v>142500</v>
      </c>
    </row>
    <row r="1946" spans="1:11" x14ac:dyDescent="0.3">
      <c r="A1946" t="s">
        <v>1955</v>
      </c>
      <c r="B1946">
        <v>499500</v>
      </c>
      <c r="C1946">
        <v>4286100</v>
      </c>
      <c r="D1946">
        <v>252664</v>
      </c>
      <c r="E1946">
        <v>900500</v>
      </c>
      <c r="F1946">
        <v>7959991</v>
      </c>
      <c r="G1946">
        <v>567300</v>
      </c>
      <c r="H1946">
        <v>9946967</v>
      </c>
      <c r="I1946">
        <v>131300</v>
      </c>
      <c r="J1946">
        <v>9933618</v>
      </c>
      <c r="K1946">
        <v>138000</v>
      </c>
    </row>
    <row r="1947" spans="1:11" x14ac:dyDescent="0.3">
      <c r="A1947" t="s">
        <v>1956</v>
      </c>
      <c r="B1947">
        <v>499500</v>
      </c>
      <c r="C1947">
        <v>4261100</v>
      </c>
      <c r="D1947">
        <v>247016</v>
      </c>
      <c r="E1947">
        <v>859400</v>
      </c>
      <c r="F1947">
        <v>7968661</v>
      </c>
      <c r="G1947">
        <v>379600</v>
      </c>
      <c r="H1947">
        <v>9957376</v>
      </c>
      <c r="I1947">
        <v>124000</v>
      </c>
      <c r="J1947">
        <v>9944440</v>
      </c>
      <c r="K1947">
        <v>139200</v>
      </c>
    </row>
    <row r="1948" spans="1:11" x14ac:dyDescent="0.3">
      <c r="A1948" t="s">
        <v>1957</v>
      </c>
      <c r="B1948">
        <v>499500</v>
      </c>
      <c r="C1948">
        <v>4441600</v>
      </c>
      <c r="D1948">
        <v>250482</v>
      </c>
      <c r="E1948">
        <v>1104200</v>
      </c>
      <c r="F1948">
        <v>7977376</v>
      </c>
      <c r="G1948">
        <v>458500</v>
      </c>
      <c r="H1948">
        <v>9971523</v>
      </c>
      <c r="I1948">
        <v>161700</v>
      </c>
      <c r="J1948">
        <v>9955221</v>
      </c>
      <c r="K1948">
        <v>174000</v>
      </c>
    </row>
    <row r="1949" spans="1:11" x14ac:dyDescent="0.3">
      <c r="A1949" t="s">
        <v>1958</v>
      </c>
      <c r="B1949">
        <v>499500</v>
      </c>
      <c r="C1949">
        <v>4071600</v>
      </c>
      <c r="D1949">
        <v>253215</v>
      </c>
      <c r="E1949">
        <v>922300</v>
      </c>
      <c r="F1949">
        <v>7986086</v>
      </c>
      <c r="G1949">
        <v>373200</v>
      </c>
      <c r="H1949">
        <v>9982102</v>
      </c>
      <c r="I1949">
        <v>125700</v>
      </c>
      <c r="J1949">
        <v>9966332</v>
      </c>
      <c r="K1949">
        <v>139800</v>
      </c>
    </row>
    <row r="1950" spans="1:11" x14ac:dyDescent="0.3">
      <c r="A1950" t="s">
        <v>1959</v>
      </c>
      <c r="B1950">
        <v>499500</v>
      </c>
      <c r="C1950">
        <v>4291800</v>
      </c>
      <c r="D1950">
        <v>244722</v>
      </c>
      <c r="E1950">
        <v>847200</v>
      </c>
      <c r="F1950">
        <v>7994810</v>
      </c>
      <c r="G1950">
        <v>394100</v>
      </c>
      <c r="H1950">
        <v>9992967</v>
      </c>
      <c r="I1950">
        <v>203800</v>
      </c>
      <c r="J1950">
        <v>9976675</v>
      </c>
      <c r="K1950">
        <v>208800</v>
      </c>
    </row>
    <row r="1951" spans="1:11" x14ac:dyDescent="0.3">
      <c r="A1951" t="s">
        <v>1960</v>
      </c>
      <c r="B1951">
        <v>499500</v>
      </c>
      <c r="C1951">
        <v>4927600</v>
      </c>
      <c r="D1951">
        <v>252071</v>
      </c>
      <c r="E1951">
        <v>1028200</v>
      </c>
      <c r="F1951">
        <v>8003511</v>
      </c>
      <c r="G1951">
        <v>375300</v>
      </c>
      <c r="H1951">
        <v>10004288</v>
      </c>
      <c r="I1951">
        <v>130600</v>
      </c>
      <c r="J1951">
        <v>9988220</v>
      </c>
      <c r="K1951">
        <v>141600</v>
      </c>
    </row>
    <row r="1952" spans="1:11" x14ac:dyDescent="0.3">
      <c r="A1952" t="s">
        <v>1961</v>
      </c>
      <c r="B1952">
        <v>499500</v>
      </c>
      <c r="C1952">
        <v>4184000</v>
      </c>
      <c r="D1952">
        <v>251972</v>
      </c>
      <c r="E1952">
        <v>869100</v>
      </c>
      <c r="F1952">
        <v>8012247</v>
      </c>
      <c r="G1952">
        <v>384600</v>
      </c>
      <c r="H1952">
        <v>10014613</v>
      </c>
      <c r="I1952">
        <v>127200</v>
      </c>
      <c r="J1952">
        <v>9998983</v>
      </c>
      <c r="K1952">
        <v>139200</v>
      </c>
    </row>
    <row r="1953" spans="1:11" x14ac:dyDescent="0.3">
      <c r="A1953" t="s">
        <v>1962</v>
      </c>
      <c r="B1953">
        <v>499500</v>
      </c>
      <c r="C1953">
        <v>4132200</v>
      </c>
      <c r="D1953">
        <v>254723</v>
      </c>
      <c r="E1953">
        <v>1180200</v>
      </c>
      <c r="F1953">
        <v>8020954</v>
      </c>
      <c r="G1953">
        <v>455800</v>
      </c>
      <c r="H1953">
        <v>10025681</v>
      </c>
      <c r="I1953">
        <v>154100</v>
      </c>
      <c r="J1953">
        <v>10009853</v>
      </c>
      <c r="K1953">
        <v>175800</v>
      </c>
    </row>
    <row r="1954" spans="1:11" x14ac:dyDescent="0.3">
      <c r="A1954" t="s">
        <v>1963</v>
      </c>
      <c r="B1954">
        <v>499500</v>
      </c>
      <c r="C1954">
        <v>4053800</v>
      </c>
      <c r="D1954">
        <v>244197</v>
      </c>
      <c r="E1954">
        <v>920100</v>
      </c>
      <c r="F1954">
        <v>8029676</v>
      </c>
      <c r="G1954">
        <v>394800</v>
      </c>
      <c r="H1954">
        <v>10036524</v>
      </c>
      <c r="I1954">
        <v>126600</v>
      </c>
      <c r="J1954">
        <v>10020031</v>
      </c>
      <c r="K1954">
        <v>139200</v>
      </c>
    </row>
    <row r="1955" spans="1:11" x14ac:dyDescent="0.3">
      <c r="A1955" t="s">
        <v>1964</v>
      </c>
      <c r="B1955">
        <v>499500</v>
      </c>
      <c r="C1955">
        <v>4115200</v>
      </c>
      <c r="D1955">
        <v>255184</v>
      </c>
      <c r="E1955">
        <v>879300</v>
      </c>
      <c r="F1955">
        <v>8038402</v>
      </c>
      <c r="G1955">
        <v>368600</v>
      </c>
      <c r="H1955">
        <v>10047523</v>
      </c>
      <c r="I1955">
        <v>126300</v>
      </c>
      <c r="J1955">
        <v>10029848</v>
      </c>
      <c r="K1955">
        <v>191000</v>
      </c>
    </row>
    <row r="1956" spans="1:11" x14ac:dyDescent="0.3">
      <c r="A1956" t="s">
        <v>1965</v>
      </c>
      <c r="B1956">
        <v>499500</v>
      </c>
      <c r="C1956">
        <v>4152400</v>
      </c>
      <c r="D1956">
        <v>253035</v>
      </c>
      <c r="E1956">
        <v>877300</v>
      </c>
      <c r="F1956">
        <v>8047133</v>
      </c>
      <c r="G1956">
        <v>368000</v>
      </c>
      <c r="H1956">
        <v>10058254</v>
      </c>
      <c r="I1956">
        <v>123500</v>
      </c>
      <c r="J1956">
        <v>10040608</v>
      </c>
      <c r="K1956">
        <v>144700</v>
      </c>
    </row>
    <row r="1957" spans="1:11" x14ac:dyDescent="0.3">
      <c r="A1957" t="s">
        <v>1966</v>
      </c>
      <c r="B1957">
        <v>499500</v>
      </c>
      <c r="C1957">
        <v>4453400</v>
      </c>
      <c r="D1957">
        <v>246235</v>
      </c>
      <c r="E1957">
        <v>880600</v>
      </c>
      <c r="F1957">
        <v>8055816</v>
      </c>
      <c r="G1957">
        <v>466000</v>
      </c>
      <c r="H1957">
        <v>10069690</v>
      </c>
      <c r="I1957">
        <v>133100</v>
      </c>
      <c r="J1957">
        <v>10052121</v>
      </c>
      <c r="K1957">
        <v>142300</v>
      </c>
    </row>
    <row r="1958" spans="1:11" x14ac:dyDescent="0.3">
      <c r="A1958" t="s">
        <v>1967</v>
      </c>
      <c r="B1958">
        <v>499500</v>
      </c>
      <c r="C1958">
        <v>4330500</v>
      </c>
      <c r="D1958">
        <v>247248</v>
      </c>
      <c r="E1958">
        <v>1113200</v>
      </c>
      <c r="F1958">
        <v>8064508</v>
      </c>
      <c r="G1958">
        <v>381900</v>
      </c>
      <c r="H1958">
        <v>10080565</v>
      </c>
      <c r="I1958">
        <v>130700</v>
      </c>
      <c r="J1958">
        <v>10063287</v>
      </c>
      <c r="K1958">
        <v>143100</v>
      </c>
    </row>
    <row r="1959" spans="1:11" x14ac:dyDescent="0.3">
      <c r="A1959" t="s">
        <v>1968</v>
      </c>
      <c r="B1959">
        <v>499500</v>
      </c>
      <c r="C1959">
        <v>4171200</v>
      </c>
      <c r="D1959">
        <v>254123</v>
      </c>
      <c r="E1959">
        <v>888300</v>
      </c>
      <c r="F1959">
        <v>8073188</v>
      </c>
      <c r="G1959">
        <v>373000</v>
      </c>
      <c r="H1959">
        <v>10092342</v>
      </c>
      <c r="I1959">
        <v>134500</v>
      </c>
      <c r="J1959">
        <v>10073498</v>
      </c>
      <c r="K1959">
        <v>140600</v>
      </c>
    </row>
    <row r="1960" spans="1:11" x14ac:dyDescent="0.3">
      <c r="A1960" t="s">
        <v>1969</v>
      </c>
      <c r="B1960">
        <v>499500</v>
      </c>
      <c r="C1960">
        <v>4132700</v>
      </c>
      <c r="D1960">
        <v>254297</v>
      </c>
      <c r="E1960">
        <v>898300</v>
      </c>
      <c r="F1960">
        <v>8081890</v>
      </c>
      <c r="G1960">
        <v>379300</v>
      </c>
      <c r="H1960">
        <v>10103782</v>
      </c>
      <c r="I1960">
        <v>132300</v>
      </c>
      <c r="J1960">
        <v>10084162</v>
      </c>
      <c r="K1960">
        <v>150100</v>
      </c>
    </row>
    <row r="1961" spans="1:11" x14ac:dyDescent="0.3">
      <c r="A1961" t="s">
        <v>1970</v>
      </c>
      <c r="B1961">
        <v>499500</v>
      </c>
      <c r="C1961">
        <v>4101100</v>
      </c>
      <c r="D1961">
        <v>240767</v>
      </c>
      <c r="E1961">
        <v>831000</v>
      </c>
      <c r="F1961">
        <v>8090620</v>
      </c>
      <c r="G1961">
        <v>371900</v>
      </c>
      <c r="H1961">
        <v>10114194</v>
      </c>
      <c r="I1961">
        <v>126800</v>
      </c>
      <c r="J1961">
        <v>10094873</v>
      </c>
      <c r="K1961">
        <v>141500</v>
      </c>
    </row>
    <row r="1962" spans="1:11" x14ac:dyDescent="0.3">
      <c r="A1962" t="s">
        <v>1971</v>
      </c>
      <c r="B1962">
        <v>499500</v>
      </c>
      <c r="C1962">
        <v>4648300</v>
      </c>
      <c r="D1962">
        <v>246140</v>
      </c>
      <c r="E1962">
        <v>872400</v>
      </c>
      <c r="F1962">
        <v>8099330</v>
      </c>
      <c r="G1962">
        <v>379400</v>
      </c>
      <c r="H1962">
        <v>10125133</v>
      </c>
      <c r="I1962">
        <v>126700</v>
      </c>
      <c r="J1962">
        <v>10106108</v>
      </c>
      <c r="K1962">
        <v>141100</v>
      </c>
    </row>
    <row r="1963" spans="1:11" x14ac:dyDescent="0.3">
      <c r="A1963" t="s">
        <v>1972</v>
      </c>
      <c r="B1963">
        <v>499500</v>
      </c>
      <c r="C1963">
        <v>4219500</v>
      </c>
      <c r="D1963">
        <v>252815</v>
      </c>
      <c r="E1963">
        <v>872700</v>
      </c>
      <c r="F1963">
        <v>8108034</v>
      </c>
      <c r="G1963">
        <v>369300</v>
      </c>
      <c r="H1963">
        <v>10136322</v>
      </c>
      <c r="I1963">
        <v>134700</v>
      </c>
      <c r="J1963">
        <v>10116514</v>
      </c>
      <c r="K1963">
        <v>142500</v>
      </c>
    </row>
    <row r="1964" spans="1:11" x14ac:dyDescent="0.3">
      <c r="A1964" t="s">
        <v>1973</v>
      </c>
      <c r="B1964">
        <v>499500</v>
      </c>
      <c r="C1964">
        <v>4049500</v>
      </c>
      <c r="D1964">
        <v>252662</v>
      </c>
      <c r="E1964">
        <v>870600</v>
      </c>
      <c r="F1964">
        <v>8116725</v>
      </c>
      <c r="G1964">
        <v>372800</v>
      </c>
      <c r="H1964">
        <v>10147341</v>
      </c>
      <c r="I1964">
        <v>130300</v>
      </c>
      <c r="J1964">
        <v>10127425</v>
      </c>
      <c r="K1964">
        <v>141800</v>
      </c>
    </row>
    <row r="1965" spans="1:11" x14ac:dyDescent="0.3">
      <c r="A1965" t="s">
        <v>1974</v>
      </c>
      <c r="B1965">
        <v>499500</v>
      </c>
      <c r="C1965">
        <v>4119800</v>
      </c>
      <c r="D1965">
        <v>254547</v>
      </c>
      <c r="E1965">
        <v>881300</v>
      </c>
      <c r="F1965">
        <v>8125434</v>
      </c>
      <c r="G1965">
        <v>372200</v>
      </c>
      <c r="H1965">
        <v>10158238</v>
      </c>
      <c r="I1965">
        <v>129000</v>
      </c>
      <c r="J1965">
        <v>10138130</v>
      </c>
      <c r="K1965">
        <v>139700</v>
      </c>
    </row>
    <row r="1966" spans="1:11" x14ac:dyDescent="0.3">
      <c r="A1966" t="s">
        <v>1975</v>
      </c>
      <c r="B1966">
        <v>499500</v>
      </c>
      <c r="C1966">
        <v>4122800</v>
      </c>
      <c r="D1966">
        <v>242386</v>
      </c>
      <c r="E1966">
        <v>840400</v>
      </c>
      <c r="F1966">
        <v>8134132</v>
      </c>
      <c r="G1966">
        <v>365600</v>
      </c>
      <c r="H1966">
        <v>10169095</v>
      </c>
      <c r="I1966">
        <v>127900</v>
      </c>
      <c r="J1966">
        <v>10149842</v>
      </c>
      <c r="K1966">
        <v>140100</v>
      </c>
    </row>
    <row r="1967" spans="1:11" x14ac:dyDescent="0.3">
      <c r="A1967" t="s">
        <v>1976</v>
      </c>
      <c r="B1967">
        <v>499500</v>
      </c>
      <c r="C1967">
        <v>4424700</v>
      </c>
      <c r="D1967">
        <v>251918</v>
      </c>
      <c r="E1967">
        <v>868200</v>
      </c>
      <c r="F1967">
        <v>8142844</v>
      </c>
      <c r="G1967">
        <v>379000</v>
      </c>
      <c r="H1967">
        <v>10180599</v>
      </c>
      <c r="I1967">
        <v>130600</v>
      </c>
      <c r="J1967">
        <v>10161187</v>
      </c>
      <c r="K1967">
        <v>142300</v>
      </c>
    </row>
    <row r="1968" spans="1:11" x14ac:dyDescent="0.3">
      <c r="A1968" t="s">
        <v>1977</v>
      </c>
      <c r="B1968">
        <v>499500</v>
      </c>
      <c r="C1968">
        <v>4540200</v>
      </c>
      <c r="D1968">
        <v>253185</v>
      </c>
      <c r="E1968">
        <v>899000</v>
      </c>
      <c r="F1968">
        <v>8151527</v>
      </c>
      <c r="G1968">
        <v>377900</v>
      </c>
      <c r="H1968">
        <v>10192154</v>
      </c>
      <c r="I1968">
        <v>130000</v>
      </c>
      <c r="J1968">
        <v>10171566</v>
      </c>
      <c r="K1968">
        <v>136900</v>
      </c>
    </row>
    <row r="1969" spans="1:11" x14ac:dyDescent="0.3">
      <c r="A1969" t="s">
        <v>1978</v>
      </c>
      <c r="B1969">
        <v>499500</v>
      </c>
      <c r="C1969">
        <v>4130200</v>
      </c>
      <c r="D1969">
        <v>243091</v>
      </c>
      <c r="E1969">
        <v>1049200</v>
      </c>
      <c r="F1969">
        <v>8160246</v>
      </c>
      <c r="G1969">
        <v>382800</v>
      </c>
      <c r="H1969">
        <v>10203066</v>
      </c>
      <c r="I1969">
        <v>127500</v>
      </c>
      <c r="J1969">
        <v>10182050</v>
      </c>
      <c r="K1969">
        <v>140100</v>
      </c>
    </row>
    <row r="1970" spans="1:11" x14ac:dyDescent="0.3">
      <c r="A1970" t="s">
        <v>1979</v>
      </c>
      <c r="B1970">
        <v>499500</v>
      </c>
      <c r="C1970">
        <v>4059900</v>
      </c>
      <c r="D1970">
        <v>250163</v>
      </c>
      <c r="E1970">
        <v>886500</v>
      </c>
      <c r="F1970">
        <v>8168969</v>
      </c>
      <c r="G1970">
        <v>367800</v>
      </c>
      <c r="H1970">
        <v>10215374</v>
      </c>
      <c r="I1970">
        <v>129100</v>
      </c>
      <c r="J1970">
        <v>10192449</v>
      </c>
      <c r="K1970">
        <v>147200</v>
      </c>
    </row>
    <row r="1971" spans="1:11" x14ac:dyDescent="0.3">
      <c r="A1971" t="s">
        <v>1980</v>
      </c>
      <c r="B1971">
        <v>499500</v>
      </c>
      <c r="C1971">
        <v>4479500</v>
      </c>
      <c r="D1971">
        <v>248724</v>
      </c>
      <c r="E1971">
        <v>863800</v>
      </c>
      <c r="F1971">
        <v>8177658</v>
      </c>
      <c r="G1971">
        <v>380800</v>
      </c>
      <c r="H1971">
        <v>10226387</v>
      </c>
      <c r="I1971">
        <v>130100</v>
      </c>
      <c r="J1971">
        <v>10202477</v>
      </c>
      <c r="K1971">
        <v>141200</v>
      </c>
    </row>
    <row r="1972" spans="1:11" x14ac:dyDescent="0.3">
      <c r="A1972" t="s">
        <v>1981</v>
      </c>
      <c r="B1972">
        <v>499500</v>
      </c>
      <c r="C1972">
        <v>4074600</v>
      </c>
      <c r="D1972">
        <v>249713</v>
      </c>
      <c r="E1972">
        <v>867200</v>
      </c>
      <c r="F1972">
        <v>8186382</v>
      </c>
      <c r="G1972">
        <v>375000</v>
      </c>
      <c r="H1972">
        <v>10237194</v>
      </c>
      <c r="I1972">
        <v>130200</v>
      </c>
      <c r="J1972">
        <v>10212603</v>
      </c>
      <c r="K1972">
        <v>138000</v>
      </c>
    </row>
    <row r="1973" spans="1:11" x14ac:dyDescent="0.3">
      <c r="A1973" t="s">
        <v>1982</v>
      </c>
      <c r="B1973">
        <v>499500</v>
      </c>
      <c r="C1973">
        <v>4221200</v>
      </c>
      <c r="D1973">
        <v>248532</v>
      </c>
      <c r="E1973">
        <v>855600</v>
      </c>
      <c r="F1973">
        <v>8195092</v>
      </c>
      <c r="G1973">
        <v>376100</v>
      </c>
      <c r="H1973">
        <v>10248044</v>
      </c>
      <c r="I1973">
        <v>126600</v>
      </c>
      <c r="J1973">
        <v>10224393</v>
      </c>
      <c r="K1973">
        <v>141700</v>
      </c>
    </row>
    <row r="1974" spans="1:11" x14ac:dyDescent="0.3">
      <c r="A1974" t="s">
        <v>1983</v>
      </c>
      <c r="B1974">
        <v>499500</v>
      </c>
      <c r="C1974">
        <v>3977500</v>
      </c>
      <c r="D1974">
        <v>252167</v>
      </c>
      <c r="E1974">
        <v>878800</v>
      </c>
      <c r="F1974">
        <v>8203836</v>
      </c>
      <c r="G1974">
        <v>373500</v>
      </c>
      <c r="H1974">
        <v>10260547</v>
      </c>
      <c r="I1974">
        <v>125800</v>
      </c>
      <c r="J1974">
        <v>10234593</v>
      </c>
      <c r="K1974">
        <v>139000</v>
      </c>
    </row>
    <row r="1975" spans="1:11" x14ac:dyDescent="0.3">
      <c r="A1975" t="s">
        <v>1984</v>
      </c>
      <c r="B1975">
        <v>499500</v>
      </c>
      <c r="C1975">
        <v>4208300</v>
      </c>
      <c r="D1975">
        <v>250259</v>
      </c>
      <c r="E1975">
        <v>863100</v>
      </c>
      <c r="F1975">
        <v>8212550</v>
      </c>
      <c r="G1975">
        <v>371900</v>
      </c>
      <c r="H1975">
        <v>10271313</v>
      </c>
      <c r="I1975">
        <v>125300</v>
      </c>
      <c r="J1975">
        <v>10246333</v>
      </c>
      <c r="K1975">
        <v>143800</v>
      </c>
    </row>
    <row r="1976" spans="1:11" x14ac:dyDescent="0.3">
      <c r="A1976" t="s">
        <v>1985</v>
      </c>
      <c r="B1976">
        <v>499500</v>
      </c>
      <c r="C1976">
        <v>4095100</v>
      </c>
      <c r="D1976">
        <v>244725</v>
      </c>
      <c r="E1976">
        <v>849500</v>
      </c>
      <c r="F1976">
        <v>8221228</v>
      </c>
      <c r="G1976">
        <v>456400</v>
      </c>
      <c r="H1976">
        <v>10282996</v>
      </c>
      <c r="I1976">
        <v>129500</v>
      </c>
      <c r="J1976">
        <v>10257496</v>
      </c>
      <c r="K1976">
        <v>137600</v>
      </c>
    </row>
    <row r="1977" spans="1:11" x14ac:dyDescent="0.3">
      <c r="A1977" t="s">
        <v>1986</v>
      </c>
      <c r="B1977">
        <v>499500</v>
      </c>
      <c r="C1977">
        <v>4130400</v>
      </c>
      <c r="D1977">
        <v>256445</v>
      </c>
      <c r="E1977">
        <v>935200</v>
      </c>
      <c r="F1977">
        <v>8229923</v>
      </c>
      <c r="G1977">
        <v>372900</v>
      </c>
      <c r="H1977">
        <v>10294477</v>
      </c>
      <c r="I1977">
        <v>126500</v>
      </c>
      <c r="J1977">
        <v>10268297</v>
      </c>
      <c r="K1977">
        <v>140200</v>
      </c>
    </row>
    <row r="1978" spans="1:11" x14ac:dyDescent="0.3">
      <c r="A1978" t="s">
        <v>1987</v>
      </c>
      <c r="B1978">
        <v>499500</v>
      </c>
      <c r="C1978">
        <v>4240600</v>
      </c>
      <c r="D1978">
        <v>250747</v>
      </c>
      <c r="E1978">
        <v>879900</v>
      </c>
      <c r="F1978">
        <v>8238611</v>
      </c>
      <c r="G1978">
        <v>393600</v>
      </c>
      <c r="H1978">
        <v>10304690</v>
      </c>
      <c r="I1978">
        <v>126900</v>
      </c>
      <c r="J1978">
        <v>10280662</v>
      </c>
      <c r="K1978">
        <v>148000</v>
      </c>
    </row>
    <row r="1979" spans="1:11" x14ac:dyDescent="0.3">
      <c r="A1979" t="s">
        <v>1988</v>
      </c>
      <c r="B1979">
        <v>499500</v>
      </c>
      <c r="C1979">
        <v>4253700</v>
      </c>
      <c r="D1979">
        <v>243680</v>
      </c>
      <c r="E1979">
        <v>1089100</v>
      </c>
      <c r="F1979">
        <v>8247335</v>
      </c>
      <c r="G1979">
        <v>378400</v>
      </c>
      <c r="H1979">
        <v>10316240</v>
      </c>
      <c r="I1979">
        <v>127200</v>
      </c>
      <c r="J1979">
        <v>10291702</v>
      </c>
      <c r="K1979">
        <v>136900</v>
      </c>
    </row>
    <row r="1980" spans="1:11" x14ac:dyDescent="0.3">
      <c r="A1980" t="s">
        <v>1989</v>
      </c>
      <c r="B1980">
        <v>499500</v>
      </c>
      <c r="C1980">
        <v>4381300</v>
      </c>
      <c r="D1980">
        <v>245582</v>
      </c>
      <c r="E1980">
        <v>851500</v>
      </c>
      <c r="F1980">
        <v>8256069</v>
      </c>
      <c r="G1980">
        <v>383800</v>
      </c>
      <c r="H1980">
        <v>10326098</v>
      </c>
      <c r="I1980">
        <v>131600</v>
      </c>
      <c r="J1980">
        <v>10302928</v>
      </c>
      <c r="K1980">
        <v>145800</v>
      </c>
    </row>
    <row r="1981" spans="1:11" x14ac:dyDescent="0.3">
      <c r="A1981" t="s">
        <v>1990</v>
      </c>
      <c r="B1981">
        <v>499500</v>
      </c>
      <c r="C1981">
        <v>4404300</v>
      </c>
      <c r="D1981">
        <v>249189</v>
      </c>
      <c r="E1981">
        <v>864100</v>
      </c>
      <c r="F1981">
        <v>8264775</v>
      </c>
      <c r="G1981">
        <v>373300</v>
      </c>
      <c r="H1981">
        <v>10336559</v>
      </c>
      <c r="I1981">
        <v>128400</v>
      </c>
      <c r="J1981">
        <v>10313972</v>
      </c>
      <c r="K1981">
        <v>141000</v>
      </c>
    </row>
    <row r="1982" spans="1:11" x14ac:dyDescent="0.3">
      <c r="A1982" t="s">
        <v>1991</v>
      </c>
      <c r="B1982">
        <v>499500</v>
      </c>
      <c r="C1982">
        <v>4114800</v>
      </c>
      <c r="D1982">
        <v>253100</v>
      </c>
      <c r="E1982">
        <v>873000</v>
      </c>
      <c r="F1982">
        <v>8273484</v>
      </c>
      <c r="G1982">
        <v>374100</v>
      </c>
      <c r="H1982">
        <v>10347734</v>
      </c>
      <c r="I1982">
        <v>126900</v>
      </c>
      <c r="J1982">
        <v>10324903</v>
      </c>
      <c r="K1982">
        <v>145700</v>
      </c>
    </row>
    <row r="1983" spans="1:11" x14ac:dyDescent="0.3">
      <c r="A1983" t="s">
        <v>1992</v>
      </c>
      <c r="B1983">
        <v>499500</v>
      </c>
      <c r="C1983">
        <v>4204800</v>
      </c>
      <c r="D1983">
        <v>240788</v>
      </c>
      <c r="E1983">
        <v>830500</v>
      </c>
      <c r="F1983">
        <v>8282179</v>
      </c>
      <c r="G1983">
        <v>371400</v>
      </c>
      <c r="H1983">
        <v>10359237</v>
      </c>
      <c r="I1983">
        <v>127100</v>
      </c>
      <c r="J1983">
        <v>10336235</v>
      </c>
      <c r="K1983">
        <v>146200</v>
      </c>
    </row>
    <row r="1984" spans="1:11" x14ac:dyDescent="0.3">
      <c r="A1984" t="s">
        <v>1993</v>
      </c>
      <c r="B1984">
        <v>499500</v>
      </c>
      <c r="C1984">
        <v>4217000</v>
      </c>
      <c r="D1984">
        <v>242036</v>
      </c>
      <c r="E1984">
        <v>838700</v>
      </c>
      <c r="F1984">
        <v>8290882</v>
      </c>
      <c r="G1984">
        <v>370400</v>
      </c>
      <c r="H1984">
        <v>10370513</v>
      </c>
      <c r="I1984">
        <v>125600</v>
      </c>
      <c r="J1984">
        <v>10347609</v>
      </c>
      <c r="K1984">
        <v>143100</v>
      </c>
    </row>
    <row r="1985" spans="1:11" x14ac:dyDescent="0.3">
      <c r="A1985" t="s">
        <v>1994</v>
      </c>
      <c r="B1985">
        <v>499500</v>
      </c>
      <c r="C1985">
        <v>3939000</v>
      </c>
      <c r="D1985">
        <v>252471</v>
      </c>
      <c r="E1985">
        <v>869900</v>
      </c>
      <c r="F1985">
        <v>8299598</v>
      </c>
      <c r="G1985">
        <v>374700</v>
      </c>
      <c r="H1985">
        <v>10381824</v>
      </c>
      <c r="I1985">
        <v>127800</v>
      </c>
      <c r="J1985">
        <v>10359651</v>
      </c>
      <c r="K1985">
        <v>143500</v>
      </c>
    </row>
    <row r="1986" spans="1:11" x14ac:dyDescent="0.3">
      <c r="A1986" t="s">
        <v>1995</v>
      </c>
      <c r="B1986">
        <v>499500</v>
      </c>
      <c r="C1986">
        <v>4377900</v>
      </c>
      <c r="D1986">
        <v>258412</v>
      </c>
      <c r="E1986">
        <v>891900</v>
      </c>
      <c r="F1986">
        <v>8308308</v>
      </c>
      <c r="G1986">
        <v>374600</v>
      </c>
      <c r="H1986">
        <v>10392765</v>
      </c>
      <c r="I1986">
        <v>129400</v>
      </c>
      <c r="J1986">
        <v>10369898</v>
      </c>
      <c r="K1986">
        <v>138200</v>
      </c>
    </row>
    <row r="1987" spans="1:11" x14ac:dyDescent="0.3">
      <c r="A1987" t="s">
        <v>1996</v>
      </c>
      <c r="B1987">
        <v>499500</v>
      </c>
      <c r="C1987">
        <v>4323900</v>
      </c>
      <c r="D1987">
        <v>255235</v>
      </c>
      <c r="E1987">
        <v>903900</v>
      </c>
      <c r="F1987">
        <v>8317031</v>
      </c>
      <c r="G1987">
        <v>372400</v>
      </c>
      <c r="H1987">
        <v>10405180</v>
      </c>
      <c r="I1987">
        <v>138600</v>
      </c>
      <c r="J1987">
        <v>10380797</v>
      </c>
      <c r="K1987">
        <v>136900</v>
      </c>
    </row>
    <row r="1988" spans="1:11" x14ac:dyDescent="0.3">
      <c r="A1988" t="s">
        <v>1997</v>
      </c>
      <c r="B1988">
        <v>499500</v>
      </c>
      <c r="C1988">
        <v>4473900</v>
      </c>
      <c r="D1988">
        <v>248130</v>
      </c>
      <c r="E1988">
        <v>858400</v>
      </c>
      <c r="F1988">
        <v>8325752</v>
      </c>
      <c r="G1988">
        <v>375300</v>
      </c>
      <c r="H1988">
        <v>10416786</v>
      </c>
      <c r="I1988">
        <v>127700</v>
      </c>
      <c r="J1988">
        <v>10393536</v>
      </c>
      <c r="K1988">
        <v>152300</v>
      </c>
    </row>
    <row r="1989" spans="1:11" x14ac:dyDescent="0.3">
      <c r="A1989" t="s">
        <v>1998</v>
      </c>
      <c r="B1989">
        <v>499500</v>
      </c>
      <c r="C1989">
        <v>4583900</v>
      </c>
      <c r="D1989">
        <v>243944</v>
      </c>
      <c r="E1989">
        <v>878700</v>
      </c>
      <c r="F1989">
        <v>8334441</v>
      </c>
      <c r="G1989">
        <v>378800</v>
      </c>
      <c r="H1989">
        <v>10427424</v>
      </c>
      <c r="I1989">
        <v>123700</v>
      </c>
      <c r="J1989">
        <v>10405336</v>
      </c>
      <c r="K1989">
        <v>146900</v>
      </c>
    </row>
    <row r="1990" spans="1:11" x14ac:dyDescent="0.3">
      <c r="A1990" t="s">
        <v>1999</v>
      </c>
      <c r="B1990">
        <v>499500</v>
      </c>
      <c r="C1990">
        <v>4168800</v>
      </c>
      <c r="D1990">
        <v>247584</v>
      </c>
      <c r="E1990">
        <v>1093600</v>
      </c>
      <c r="F1990">
        <v>8343146</v>
      </c>
      <c r="G1990">
        <v>379000</v>
      </c>
      <c r="H1990">
        <v>10438539</v>
      </c>
      <c r="I1990">
        <v>131700</v>
      </c>
      <c r="J1990">
        <v>10416407</v>
      </c>
      <c r="K1990">
        <v>145500</v>
      </c>
    </row>
    <row r="1991" spans="1:11" x14ac:dyDescent="0.3">
      <c r="A1991" t="s">
        <v>2000</v>
      </c>
      <c r="B1991">
        <v>499500</v>
      </c>
      <c r="C1991">
        <v>4101000</v>
      </c>
      <c r="D1991">
        <v>251915</v>
      </c>
      <c r="E1991">
        <v>878400</v>
      </c>
      <c r="F1991">
        <v>8351821</v>
      </c>
      <c r="G1991">
        <v>371400</v>
      </c>
      <c r="H1991">
        <v>10448996</v>
      </c>
      <c r="I1991">
        <v>128300</v>
      </c>
      <c r="J1991">
        <v>10426620</v>
      </c>
      <c r="K1991">
        <v>138600</v>
      </c>
    </row>
    <row r="1992" spans="1:11" x14ac:dyDescent="0.3">
      <c r="A1992" t="s">
        <v>2001</v>
      </c>
      <c r="B1992">
        <v>499500</v>
      </c>
      <c r="C1992">
        <v>4125900</v>
      </c>
      <c r="D1992">
        <v>252131</v>
      </c>
      <c r="E1992">
        <v>907100</v>
      </c>
      <c r="F1992">
        <v>8360562</v>
      </c>
      <c r="G1992">
        <v>370100</v>
      </c>
      <c r="H1992">
        <v>10459452</v>
      </c>
      <c r="I1992">
        <v>128700</v>
      </c>
      <c r="J1992">
        <v>10437734</v>
      </c>
      <c r="K1992">
        <v>144500</v>
      </c>
    </row>
    <row r="1993" spans="1:11" x14ac:dyDescent="0.3">
      <c r="A1993" t="s">
        <v>2002</v>
      </c>
      <c r="B1993">
        <v>499500</v>
      </c>
      <c r="C1993">
        <v>4252200</v>
      </c>
      <c r="D1993">
        <v>253736</v>
      </c>
      <c r="E1993">
        <v>886100</v>
      </c>
      <c r="F1993">
        <v>8369267</v>
      </c>
      <c r="G1993">
        <v>370000</v>
      </c>
      <c r="H1993">
        <v>10469895</v>
      </c>
      <c r="I1993">
        <v>126800</v>
      </c>
      <c r="J1993">
        <v>10448330</v>
      </c>
      <c r="K1993">
        <v>141000</v>
      </c>
    </row>
    <row r="1994" spans="1:11" x14ac:dyDescent="0.3">
      <c r="A1994" t="s">
        <v>2003</v>
      </c>
      <c r="B1994">
        <v>499500</v>
      </c>
      <c r="C1994">
        <v>4183900</v>
      </c>
      <c r="D1994">
        <v>265896</v>
      </c>
      <c r="E1994">
        <v>920100</v>
      </c>
      <c r="F1994">
        <v>8377976</v>
      </c>
      <c r="G1994">
        <v>367400</v>
      </c>
      <c r="H1994">
        <v>10480324</v>
      </c>
      <c r="I1994">
        <v>126300</v>
      </c>
      <c r="J1994">
        <v>10460453</v>
      </c>
      <c r="K1994">
        <v>145100</v>
      </c>
    </row>
    <row r="1995" spans="1:11" x14ac:dyDescent="0.3">
      <c r="A1995" t="s">
        <v>2004</v>
      </c>
      <c r="B1995">
        <v>499500</v>
      </c>
      <c r="C1995">
        <v>4045700</v>
      </c>
      <c r="D1995">
        <v>248498</v>
      </c>
      <c r="E1995">
        <v>861000</v>
      </c>
      <c r="F1995">
        <v>8386684</v>
      </c>
      <c r="G1995">
        <v>366100</v>
      </c>
      <c r="H1995">
        <v>10491625</v>
      </c>
      <c r="I1995">
        <v>131600</v>
      </c>
      <c r="J1995">
        <v>10470617</v>
      </c>
      <c r="K1995">
        <v>140500</v>
      </c>
    </row>
    <row r="1996" spans="1:11" x14ac:dyDescent="0.3">
      <c r="A1996" t="s">
        <v>2005</v>
      </c>
      <c r="B1996">
        <v>499500</v>
      </c>
      <c r="C1996">
        <v>4383200</v>
      </c>
      <c r="D1996">
        <v>251318</v>
      </c>
      <c r="E1996">
        <v>888000</v>
      </c>
      <c r="F1996">
        <v>8395384</v>
      </c>
      <c r="G1996">
        <v>377500</v>
      </c>
      <c r="H1996">
        <v>10502322</v>
      </c>
      <c r="I1996">
        <v>130800</v>
      </c>
      <c r="J1996">
        <v>10482668</v>
      </c>
      <c r="K1996">
        <v>140500</v>
      </c>
    </row>
    <row r="1997" spans="1:11" x14ac:dyDescent="0.3">
      <c r="A1997" t="s">
        <v>2006</v>
      </c>
      <c r="B1997">
        <v>499500</v>
      </c>
      <c r="C1997">
        <v>4318200</v>
      </c>
      <c r="D1997">
        <v>255176</v>
      </c>
      <c r="E1997">
        <v>907000</v>
      </c>
      <c r="F1997">
        <v>8404101</v>
      </c>
      <c r="G1997">
        <v>366800</v>
      </c>
      <c r="H1997">
        <v>10512711</v>
      </c>
      <c r="I1997">
        <v>126800</v>
      </c>
      <c r="J1997">
        <v>10494422</v>
      </c>
      <c r="K1997">
        <v>142000</v>
      </c>
    </row>
    <row r="1998" spans="1:11" x14ac:dyDescent="0.3">
      <c r="A1998" t="s">
        <v>2007</v>
      </c>
      <c r="B1998">
        <v>499500</v>
      </c>
      <c r="C1998">
        <v>4970100</v>
      </c>
      <c r="D1998">
        <v>246666</v>
      </c>
      <c r="E1998">
        <v>851600</v>
      </c>
      <c r="F1998">
        <v>8412805</v>
      </c>
      <c r="G1998">
        <v>370400</v>
      </c>
      <c r="H1998">
        <v>10522952</v>
      </c>
      <c r="I1998">
        <v>126200</v>
      </c>
      <c r="J1998">
        <v>10505447</v>
      </c>
      <c r="K1998">
        <v>141300</v>
      </c>
    </row>
    <row r="1999" spans="1:11" x14ac:dyDescent="0.3">
      <c r="A1999" t="s">
        <v>2008</v>
      </c>
      <c r="B1999">
        <v>499500</v>
      </c>
      <c r="C1999">
        <v>4577100</v>
      </c>
      <c r="D1999">
        <v>259775</v>
      </c>
      <c r="E1999">
        <v>927400</v>
      </c>
      <c r="F1999">
        <v>8421477</v>
      </c>
      <c r="G1999">
        <v>373600</v>
      </c>
      <c r="H1999">
        <v>10534207</v>
      </c>
      <c r="I1999">
        <v>126700</v>
      </c>
      <c r="J1999">
        <v>10516457</v>
      </c>
      <c r="K1999">
        <v>138900</v>
      </c>
    </row>
    <row r="2000" spans="1:11" x14ac:dyDescent="0.3">
      <c r="A2000" t="s">
        <v>2009</v>
      </c>
      <c r="B2000">
        <v>499500</v>
      </c>
      <c r="C2000">
        <v>4341400</v>
      </c>
      <c r="D2000">
        <v>250895</v>
      </c>
      <c r="E2000">
        <v>951900</v>
      </c>
      <c r="F2000">
        <v>8430179</v>
      </c>
      <c r="G2000">
        <v>401000</v>
      </c>
      <c r="H2000">
        <v>10545653</v>
      </c>
      <c r="I2000">
        <v>130900</v>
      </c>
      <c r="J2000">
        <v>10528472</v>
      </c>
      <c r="K2000">
        <v>149100</v>
      </c>
    </row>
    <row r="2001" spans="1:11" x14ac:dyDescent="0.3">
      <c r="A2001" t="s">
        <v>2010</v>
      </c>
      <c r="B2001">
        <v>499500</v>
      </c>
      <c r="C2001">
        <v>4553300</v>
      </c>
      <c r="D2001">
        <v>248057</v>
      </c>
      <c r="E2001">
        <v>979000</v>
      </c>
      <c r="F2001">
        <v>8438867</v>
      </c>
      <c r="G2001">
        <v>612100</v>
      </c>
      <c r="H2001">
        <v>10556080</v>
      </c>
      <c r="I2001">
        <v>156500</v>
      </c>
      <c r="J2001">
        <v>10539559</v>
      </c>
      <c r="K2001">
        <v>170000</v>
      </c>
    </row>
    <row r="2002" spans="1:11" x14ac:dyDescent="0.3">
      <c r="A2002" t="s">
        <v>2011</v>
      </c>
      <c r="B2002">
        <v>550725</v>
      </c>
      <c r="C2002">
        <v>4484900</v>
      </c>
      <c r="D2002">
        <v>282015</v>
      </c>
      <c r="E2002">
        <v>1272200</v>
      </c>
      <c r="F2002">
        <v>8448068</v>
      </c>
      <c r="G2002">
        <v>822400</v>
      </c>
      <c r="H2002">
        <v>10566990</v>
      </c>
      <c r="I2002">
        <v>179300</v>
      </c>
      <c r="J2002">
        <v>10551390</v>
      </c>
      <c r="K2002">
        <v>203900</v>
      </c>
    </row>
    <row r="2003" spans="1:11" x14ac:dyDescent="0.3">
      <c r="A2003" t="s">
        <v>2012</v>
      </c>
      <c r="B2003">
        <v>550725</v>
      </c>
      <c r="C2003">
        <v>5538600</v>
      </c>
      <c r="D2003">
        <v>273116</v>
      </c>
      <c r="E2003">
        <v>948700</v>
      </c>
      <c r="F2003">
        <v>8457278</v>
      </c>
      <c r="G2003">
        <v>397100</v>
      </c>
      <c r="H2003">
        <v>10578916</v>
      </c>
      <c r="I2003">
        <v>134900</v>
      </c>
      <c r="J2003">
        <v>10563195</v>
      </c>
      <c r="K2003">
        <v>145700</v>
      </c>
    </row>
    <row r="2004" spans="1:11" x14ac:dyDescent="0.3">
      <c r="A2004" t="s">
        <v>2013</v>
      </c>
      <c r="B2004">
        <v>550725</v>
      </c>
      <c r="C2004">
        <v>4693400</v>
      </c>
      <c r="D2004">
        <v>265741</v>
      </c>
      <c r="E2004">
        <v>948400</v>
      </c>
      <c r="F2004">
        <v>8466466</v>
      </c>
      <c r="G2004">
        <v>394300</v>
      </c>
      <c r="H2004">
        <v>10590379</v>
      </c>
      <c r="I2004">
        <v>133200</v>
      </c>
      <c r="J2004">
        <v>10575308</v>
      </c>
      <c r="K2004">
        <v>145500</v>
      </c>
    </row>
    <row r="2005" spans="1:11" x14ac:dyDescent="0.3">
      <c r="A2005" t="s">
        <v>2014</v>
      </c>
      <c r="B2005">
        <v>550725</v>
      </c>
      <c r="C2005">
        <v>5336600</v>
      </c>
      <c r="D2005">
        <v>274650</v>
      </c>
      <c r="E2005">
        <v>1167200</v>
      </c>
      <c r="F2005">
        <v>8475683</v>
      </c>
      <c r="G2005">
        <v>467300</v>
      </c>
      <c r="H2005">
        <v>10601748</v>
      </c>
      <c r="I2005">
        <v>133200</v>
      </c>
      <c r="J2005">
        <v>10586068</v>
      </c>
      <c r="K2005">
        <v>147400</v>
      </c>
    </row>
    <row r="2006" spans="1:11" x14ac:dyDescent="0.3">
      <c r="A2006" t="s">
        <v>2015</v>
      </c>
      <c r="B2006">
        <v>550725</v>
      </c>
      <c r="C2006">
        <v>5083600</v>
      </c>
      <c r="D2006">
        <v>271797</v>
      </c>
      <c r="E2006">
        <v>1072200</v>
      </c>
      <c r="F2006">
        <v>8484902</v>
      </c>
      <c r="G2006">
        <v>419400</v>
      </c>
      <c r="H2006">
        <v>10613287</v>
      </c>
      <c r="I2006">
        <v>136100</v>
      </c>
      <c r="J2006">
        <v>10597481</v>
      </c>
      <c r="K2006">
        <v>147300</v>
      </c>
    </row>
    <row r="2007" spans="1:11" x14ac:dyDescent="0.3">
      <c r="A2007" t="s">
        <v>2016</v>
      </c>
      <c r="B2007">
        <v>550725</v>
      </c>
      <c r="C2007">
        <v>4624600</v>
      </c>
      <c r="D2007">
        <v>287656</v>
      </c>
      <c r="E2007">
        <v>1154200</v>
      </c>
      <c r="F2007">
        <v>8494123</v>
      </c>
      <c r="G2007">
        <v>403500</v>
      </c>
      <c r="H2007">
        <v>10625547</v>
      </c>
      <c r="I2007">
        <v>130800</v>
      </c>
      <c r="J2007">
        <v>10609356</v>
      </c>
      <c r="K2007">
        <v>156000</v>
      </c>
    </row>
    <row r="2008" spans="1:11" x14ac:dyDescent="0.3">
      <c r="A2008" t="s">
        <v>2017</v>
      </c>
      <c r="B2008">
        <v>550725</v>
      </c>
      <c r="C2008">
        <v>4732500</v>
      </c>
      <c r="D2008">
        <v>277011</v>
      </c>
      <c r="E2008">
        <v>1197100</v>
      </c>
      <c r="F2008">
        <v>8503386</v>
      </c>
      <c r="G2008">
        <v>407900</v>
      </c>
      <c r="H2008">
        <v>10637377</v>
      </c>
      <c r="I2008">
        <v>137700</v>
      </c>
      <c r="J2008">
        <v>10621760</v>
      </c>
      <c r="K2008">
        <v>153200</v>
      </c>
    </row>
    <row r="2009" spans="1:11" x14ac:dyDescent="0.3">
      <c r="A2009" t="s">
        <v>2018</v>
      </c>
      <c r="B2009">
        <v>550725</v>
      </c>
      <c r="C2009">
        <v>5213200</v>
      </c>
      <c r="D2009">
        <v>285991</v>
      </c>
      <c r="E2009">
        <v>1014600</v>
      </c>
      <c r="F2009">
        <v>8512600</v>
      </c>
      <c r="G2009">
        <v>563100</v>
      </c>
      <c r="H2009">
        <v>10650708</v>
      </c>
      <c r="I2009">
        <v>166900</v>
      </c>
      <c r="J2009">
        <v>10634717</v>
      </c>
      <c r="K2009">
        <v>186800</v>
      </c>
    </row>
    <row r="2010" spans="1:11" x14ac:dyDescent="0.3">
      <c r="A2010" t="s">
        <v>2019</v>
      </c>
      <c r="B2010">
        <v>550725</v>
      </c>
      <c r="C2010">
        <v>4661800</v>
      </c>
      <c r="D2010">
        <v>277641</v>
      </c>
      <c r="E2010">
        <v>1134100</v>
      </c>
      <c r="F2010">
        <v>8521799</v>
      </c>
      <c r="G2010">
        <v>405500</v>
      </c>
      <c r="H2010">
        <v>10662288</v>
      </c>
      <c r="I2010">
        <v>136000</v>
      </c>
      <c r="J2010">
        <v>10645746</v>
      </c>
      <c r="K2010">
        <v>147100</v>
      </c>
    </row>
    <row r="2011" spans="1:11" x14ac:dyDescent="0.3">
      <c r="A2011" t="s">
        <v>2020</v>
      </c>
      <c r="B2011">
        <v>550725</v>
      </c>
      <c r="C2011">
        <v>4790400</v>
      </c>
      <c r="D2011">
        <v>274649</v>
      </c>
      <c r="E2011">
        <v>990400</v>
      </c>
      <c r="F2011">
        <v>8531027</v>
      </c>
      <c r="G2011">
        <v>399400</v>
      </c>
      <c r="H2011">
        <v>10674924</v>
      </c>
      <c r="I2011">
        <v>145900</v>
      </c>
      <c r="J2011">
        <v>10658014</v>
      </c>
      <c r="K2011">
        <v>151700</v>
      </c>
    </row>
    <row r="2012" spans="1:11" x14ac:dyDescent="0.3">
      <c r="A2012" t="s">
        <v>2021</v>
      </c>
      <c r="B2012">
        <v>550725</v>
      </c>
      <c r="C2012">
        <v>4651400</v>
      </c>
      <c r="D2012">
        <v>267425</v>
      </c>
      <c r="E2012">
        <v>921500</v>
      </c>
      <c r="F2012">
        <v>8540239</v>
      </c>
      <c r="G2012">
        <v>388400</v>
      </c>
      <c r="H2012">
        <v>10686606</v>
      </c>
      <c r="I2012">
        <v>129500</v>
      </c>
      <c r="J2012">
        <v>10670245</v>
      </c>
      <c r="K2012">
        <v>147500</v>
      </c>
    </row>
    <row r="2013" spans="1:11" x14ac:dyDescent="0.3">
      <c r="A2013" t="s">
        <v>2022</v>
      </c>
      <c r="B2013">
        <v>550725</v>
      </c>
      <c r="C2013">
        <v>4584500</v>
      </c>
      <c r="D2013">
        <v>276589</v>
      </c>
      <c r="E2013">
        <v>952700</v>
      </c>
      <c r="F2013">
        <v>8549470</v>
      </c>
      <c r="G2013">
        <v>387600</v>
      </c>
      <c r="H2013">
        <v>10699384</v>
      </c>
      <c r="I2013">
        <v>139500</v>
      </c>
      <c r="J2013">
        <v>10681779</v>
      </c>
      <c r="K2013">
        <v>146500</v>
      </c>
    </row>
    <row r="2014" spans="1:11" x14ac:dyDescent="0.3">
      <c r="A2014" t="s">
        <v>2023</v>
      </c>
      <c r="B2014">
        <v>550725</v>
      </c>
      <c r="C2014">
        <v>4645300</v>
      </c>
      <c r="D2014">
        <v>286917</v>
      </c>
      <c r="E2014">
        <v>988600</v>
      </c>
      <c r="F2014">
        <v>8558697</v>
      </c>
      <c r="G2014">
        <v>397200</v>
      </c>
      <c r="H2014">
        <v>10711643</v>
      </c>
      <c r="I2014">
        <v>132200</v>
      </c>
      <c r="J2014">
        <v>10692873</v>
      </c>
      <c r="K2014">
        <v>149100</v>
      </c>
    </row>
    <row r="2015" spans="1:11" x14ac:dyDescent="0.3">
      <c r="A2015" t="s">
        <v>2024</v>
      </c>
      <c r="B2015">
        <v>550725</v>
      </c>
      <c r="C2015">
        <v>4705200</v>
      </c>
      <c r="D2015">
        <v>279453</v>
      </c>
      <c r="E2015">
        <v>961300</v>
      </c>
      <c r="F2015">
        <v>8567913</v>
      </c>
      <c r="G2015">
        <v>394200</v>
      </c>
      <c r="H2015">
        <v>10723113</v>
      </c>
      <c r="I2015">
        <v>135500</v>
      </c>
      <c r="J2015">
        <v>10705012</v>
      </c>
      <c r="K2015">
        <v>151700</v>
      </c>
    </row>
    <row r="2016" spans="1:11" x14ac:dyDescent="0.3">
      <c r="A2016" t="s">
        <v>2025</v>
      </c>
      <c r="B2016">
        <v>550725</v>
      </c>
      <c r="C2016">
        <v>4877200</v>
      </c>
      <c r="D2016">
        <v>273946</v>
      </c>
      <c r="E2016">
        <v>945200</v>
      </c>
      <c r="F2016">
        <v>8577138</v>
      </c>
      <c r="G2016">
        <v>391200</v>
      </c>
      <c r="H2016">
        <v>10734105</v>
      </c>
      <c r="I2016">
        <v>133500</v>
      </c>
      <c r="J2016">
        <v>10717700</v>
      </c>
      <c r="K2016">
        <v>157800</v>
      </c>
    </row>
    <row r="2017" spans="1:11" x14ac:dyDescent="0.3">
      <c r="A2017" t="s">
        <v>2026</v>
      </c>
      <c r="B2017">
        <v>550725</v>
      </c>
      <c r="C2017">
        <v>4855400</v>
      </c>
      <c r="D2017">
        <v>280099</v>
      </c>
      <c r="E2017">
        <v>970200</v>
      </c>
      <c r="F2017">
        <v>8586373</v>
      </c>
      <c r="G2017">
        <v>388000</v>
      </c>
      <c r="H2017">
        <v>10745473</v>
      </c>
      <c r="I2017">
        <v>135000</v>
      </c>
      <c r="J2017">
        <v>10728978</v>
      </c>
      <c r="K2017">
        <v>151300</v>
      </c>
    </row>
    <row r="2018" spans="1:11" x14ac:dyDescent="0.3">
      <c r="A2018" t="s">
        <v>2027</v>
      </c>
      <c r="B2018">
        <v>550725</v>
      </c>
      <c r="C2018">
        <v>5191000</v>
      </c>
      <c r="D2018">
        <v>269200</v>
      </c>
      <c r="E2018">
        <v>931200</v>
      </c>
      <c r="F2018">
        <v>8595591</v>
      </c>
      <c r="G2018">
        <v>388900</v>
      </c>
      <c r="H2018">
        <v>10756692</v>
      </c>
      <c r="I2018">
        <v>134600</v>
      </c>
      <c r="J2018">
        <v>10740793</v>
      </c>
      <c r="K2018">
        <v>148800</v>
      </c>
    </row>
    <row r="2019" spans="1:11" x14ac:dyDescent="0.3">
      <c r="A2019" t="s">
        <v>2028</v>
      </c>
      <c r="B2019">
        <v>550725</v>
      </c>
      <c r="C2019">
        <v>4896600</v>
      </c>
      <c r="D2019">
        <v>284644</v>
      </c>
      <c r="E2019">
        <v>1010900</v>
      </c>
      <c r="F2019">
        <v>8604848</v>
      </c>
      <c r="G2019">
        <v>396600</v>
      </c>
      <c r="H2019">
        <v>10768146</v>
      </c>
      <c r="I2019">
        <v>135000</v>
      </c>
      <c r="J2019">
        <v>10751980</v>
      </c>
      <c r="K2019">
        <v>151400</v>
      </c>
    </row>
    <row r="2020" spans="1:11" x14ac:dyDescent="0.3">
      <c r="A2020" t="s">
        <v>2029</v>
      </c>
      <c r="B2020">
        <v>550725</v>
      </c>
      <c r="C2020">
        <v>4828800</v>
      </c>
      <c r="D2020">
        <v>272058</v>
      </c>
      <c r="E2020">
        <v>946400</v>
      </c>
      <c r="F2020">
        <v>8614082</v>
      </c>
      <c r="G2020">
        <v>389200</v>
      </c>
      <c r="H2020">
        <v>10779850</v>
      </c>
      <c r="I2020">
        <v>140800</v>
      </c>
      <c r="J2020">
        <v>10763751</v>
      </c>
      <c r="K2020">
        <v>145800</v>
      </c>
    </row>
    <row r="2021" spans="1:11" x14ac:dyDescent="0.3">
      <c r="A2021" t="s">
        <v>2030</v>
      </c>
      <c r="B2021">
        <v>550725</v>
      </c>
      <c r="C2021">
        <v>4728500</v>
      </c>
      <c r="D2021">
        <v>282860</v>
      </c>
      <c r="E2021">
        <v>999700</v>
      </c>
      <c r="F2021">
        <v>8623296</v>
      </c>
      <c r="G2021">
        <v>388800</v>
      </c>
      <c r="H2021">
        <v>10791334</v>
      </c>
      <c r="I2021">
        <v>131200</v>
      </c>
      <c r="J2021">
        <v>10775434</v>
      </c>
      <c r="K2021">
        <v>149500</v>
      </c>
    </row>
    <row r="2022" spans="1:11" x14ac:dyDescent="0.3">
      <c r="A2022" t="s">
        <v>2031</v>
      </c>
      <c r="B2022">
        <v>550725</v>
      </c>
      <c r="C2022">
        <v>4962900</v>
      </c>
      <c r="D2022">
        <v>274455</v>
      </c>
      <c r="E2022">
        <v>983400</v>
      </c>
      <c r="F2022">
        <v>8632541</v>
      </c>
      <c r="G2022">
        <v>401900</v>
      </c>
      <c r="H2022">
        <v>10802781</v>
      </c>
      <c r="I2022">
        <v>137100</v>
      </c>
      <c r="J2022">
        <v>10786173</v>
      </c>
      <c r="K2022">
        <v>143400</v>
      </c>
    </row>
    <row r="2023" spans="1:11" x14ac:dyDescent="0.3">
      <c r="A2023" t="s">
        <v>2032</v>
      </c>
      <c r="B2023">
        <v>550725</v>
      </c>
      <c r="C2023">
        <v>4821700</v>
      </c>
      <c r="D2023">
        <v>284290</v>
      </c>
      <c r="E2023">
        <v>985200</v>
      </c>
      <c r="F2023">
        <v>8641784</v>
      </c>
      <c r="G2023">
        <v>388400</v>
      </c>
      <c r="H2023">
        <v>10815650</v>
      </c>
      <c r="I2023">
        <v>143100</v>
      </c>
      <c r="J2023">
        <v>10798978</v>
      </c>
      <c r="K2023">
        <v>151400</v>
      </c>
    </row>
    <row r="2024" spans="1:11" x14ac:dyDescent="0.3">
      <c r="A2024" t="s">
        <v>2033</v>
      </c>
      <c r="B2024">
        <v>550725</v>
      </c>
      <c r="C2024">
        <v>5024200</v>
      </c>
      <c r="D2024">
        <v>278516</v>
      </c>
      <c r="E2024">
        <v>964500</v>
      </c>
      <c r="F2024">
        <v>8650987</v>
      </c>
      <c r="G2024">
        <v>397100</v>
      </c>
      <c r="H2024">
        <v>10826430</v>
      </c>
      <c r="I2024">
        <v>135800</v>
      </c>
      <c r="J2024">
        <v>10811027</v>
      </c>
      <c r="K2024">
        <v>148200</v>
      </c>
    </row>
    <row r="2025" spans="1:11" x14ac:dyDescent="0.3">
      <c r="A2025" t="s">
        <v>2034</v>
      </c>
      <c r="B2025">
        <v>550725</v>
      </c>
      <c r="C2025">
        <v>4801200</v>
      </c>
      <c r="D2025">
        <v>281992</v>
      </c>
      <c r="E2025">
        <v>988400</v>
      </c>
      <c r="F2025">
        <v>8660221</v>
      </c>
      <c r="G2025">
        <v>398700</v>
      </c>
      <c r="H2025">
        <v>10839216</v>
      </c>
      <c r="I2025">
        <v>138800</v>
      </c>
      <c r="J2025">
        <v>10823595</v>
      </c>
      <c r="K2025">
        <v>154300</v>
      </c>
    </row>
    <row r="2026" spans="1:11" x14ac:dyDescent="0.3">
      <c r="A2026" t="s">
        <v>2035</v>
      </c>
      <c r="B2026">
        <v>550725</v>
      </c>
      <c r="C2026">
        <v>4665700</v>
      </c>
      <c r="D2026">
        <v>273558</v>
      </c>
      <c r="E2026">
        <v>951100</v>
      </c>
      <c r="F2026">
        <v>8669453</v>
      </c>
      <c r="G2026">
        <v>394900</v>
      </c>
      <c r="H2026">
        <v>10850064</v>
      </c>
      <c r="I2026">
        <v>132800</v>
      </c>
      <c r="J2026">
        <v>10835493</v>
      </c>
      <c r="K2026">
        <v>146400</v>
      </c>
    </row>
    <row r="2027" spans="1:11" x14ac:dyDescent="0.3">
      <c r="A2027" t="s">
        <v>2036</v>
      </c>
      <c r="B2027">
        <v>550725</v>
      </c>
      <c r="C2027">
        <v>4910000</v>
      </c>
      <c r="D2027">
        <v>269467</v>
      </c>
      <c r="E2027">
        <v>999100</v>
      </c>
      <c r="F2027">
        <v>8678660</v>
      </c>
      <c r="G2027">
        <v>392000</v>
      </c>
      <c r="H2027">
        <v>10862554</v>
      </c>
      <c r="I2027">
        <v>138400</v>
      </c>
      <c r="J2027">
        <v>10846755</v>
      </c>
      <c r="K2027">
        <v>147700</v>
      </c>
    </row>
    <row r="2028" spans="1:11" x14ac:dyDescent="0.3">
      <c r="A2028" t="s">
        <v>2037</v>
      </c>
      <c r="B2028">
        <v>550725</v>
      </c>
      <c r="C2028">
        <v>4940400</v>
      </c>
      <c r="D2028">
        <v>274706</v>
      </c>
      <c r="E2028">
        <v>984900</v>
      </c>
      <c r="F2028">
        <v>8687868</v>
      </c>
      <c r="G2028">
        <v>401700</v>
      </c>
      <c r="H2028">
        <v>10874003</v>
      </c>
      <c r="I2028">
        <v>134200</v>
      </c>
      <c r="J2028">
        <v>10857769</v>
      </c>
      <c r="K2028">
        <v>147600</v>
      </c>
    </row>
    <row r="2029" spans="1:11" x14ac:dyDescent="0.3">
      <c r="A2029" t="s">
        <v>2038</v>
      </c>
      <c r="B2029">
        <v>550725</v>
      </c>
      <c r="C2029">
        <v>4727600</v>
      </c>
      <c r="D2029">
        <v>275414</v>
      </c>
      <c r="E2029">
        <v>992200</v>
      </c>
      <c r="F2029">
        <v>8697090</v>
      </c>
      <c r="G2029">
        <v>391800</v>
      </c>
      <c r="H2029">
        <v>10885525</v>
      </c>
      <c r="I2029">
        <v>133500</v>
      </c>
      <c r="J2029">
        <v>10868985</v>
      </c>
      <c r="K2029">
        <v>148800</v>
      </c>
    </row>
    <row r="2030" spans="1:11" x14ac:dyDescent="0.3">
      <c r="A2030" t="s">
        <v>2039</v>
      </c>
      <c r="B2030">
        <v>550725</v>
      </c>
      <c r="C2030">
        <v>5112800</v>
      </c>
      <c r="D2030">
        <v>275214</v>
      </c>
      <c r="E2030">
        <v>1170600</v>
      </c>
      <c r="F2030">
        <v>8706302</v>
      </c>
      <c r="G2030">
        <v>424800</v>
      </c>
      <c r="H2030">
        <v>10897565</v>
      </c>
      <c r="I2030">
        <v>138500</v>
      </c>
      <c r="J2030">
        <v>10880057</v>
      </c>
      <c r="K2030">
        <v>149200</v>
      </c>
    </row>
    <row r="2031" spans="1:11" x14ac:dyDescent="0.3">
      <c r="A2031" t="s">
        <v>2040</v>
      </c>
      <c r="B2031">
        <v>550725</v>
      </c>
      <c r="C2031">
        <v>5169300</v>
      </c>
      <c r="D2031">
        <v>281227</v>
      </c>
      <c r="E2031">
        <v>994400</v>
      </c>
      <c r="F2031">
        <v>8715539</v>
      </c>
      <c r="G2031">
        <v>420100</v>
      </c>
      <c r="H2031">
        <v>10909267</v>
      </c>
      <c r="I2031">
        <v>140400</v>
      </c>
      <c r="J2031">
        <v>10891102</v>
      </c>
      <c r="K2031">
        <v>147900</v>
      </c>
    </row>
    <row r="2032" spans="1:11" x14ac:dyDescent="0.3">
      <c r="A2032" t="s">
        <v>2041</v>
      </c>
      <c r="B2032">
        <v>550725</v>
      </c>
      <c r="C2032">
        <v>4699400</v>
      </c>
      <c r="D2032">
        <v>270089</v>
      </c>
      <c r="E2032">
        <v>1020100</v>
      </c>
      <c r="F2032">
        <v>8724777</v>
      </c>
      <c r="G2032">
        <v>400500</v>
      </c>
      <c r="H2032">
        <v>10920904</v>
      </c>
      <c r="I2032">
        <v>131800</v>
      </c>
      <c r="J2032">
        <v>10902360</v>
      </c>
      <c r="K2032">
        <v>146900</v>
      </c>
    </row>
    <row r="2033" spans="1:11" x14ac:dyDescent="0.3">
      <c r="A2033" t="s">
        <v>2042</v>
      </c>
      <c r="B2033">
        <v>550725</v>
      </c>
      <c r="C2033">
        <v>4602900</v>
      </c>
      <c r="D2033">
        <v>273767</v>
      </c>
      <c r="E2033">
        <v>1206500</v>
      </c>
      <c r="F2033">
        <v>8734014</v>
      </c>
      <c r="G2033">
        <v>434900</v>
      </c>
      <c r="H2033">
        <v>10932402</v>
      </c>
      <c r="I2033">
        <v>134600</v>
      </c>
      <c r="J2033">
        <v>10913631</v>
      </c>
      <c r="K2033">
        <v>150000</v>
      </c>
    </row>
    <row r="2034" spans="1:11" x14ac:dyDescent="0.3">
      <c r="A2034" t="s">
        <v>2043</v>
      </c>
      <c r="B2034">
        <v>550725</v>
      </c>
      <c r="C2034">
        <v>4613900</v>
      </c>
      <c r="D2034">
        <v>276846</v>
      </c>
      <c r="E2034">
        <v>964100</v>
      </c>
      <c r="F2034">
        <v>8743240</v>
      </c>
      <c r="G2034">
        <v>426900</v>
      </c>
      <c r="H2034">
        <v>10943793</v>
      </c>
      <c r="I2034">
        <v>136000</v>
      </c>
      <c r="J2034">
        <v>10925777</v>
      </c>
      <c r="K2034">
        <v>150000</v>
      </c>
    </row>
    <row r="2035" spans="1:11" x14ac:dyDescent="0.3">
      <c r="A2035" t="s">
        <v>2044</v>
      </c>
      <c r="B2035">
        <v>550725</v>
      </c>
      <c r="C2035">
        <v>4876100</v>
      </c>
      <c r="D2035">
        <v>281049</v>
      </c>
      <c r="E2035">
        <v>984300</v>
      </c>
      <c r="F2035">
        <v>8752468</v>
      </c>
      <c r="G2035">
        <v>477300</v>
      </c>
      <c r="H2035">
        <v>10955402</v>
      </c>
      <c r="I2035">
        <v>691300</v>
      </c>
      <c r="J2035">
        <v>10937274</v>
      </c>
      <c r="K2035">
        <v>189600</v>
      </c>
    </row>
    <row r="2036" spans="1:11" x14ac:dyDescent="0.3">
      <c r="A2036" t="s">
        <v>2045</v>
      </c>
      <c r="B2036">
        <v>550725</v>
      </c>
      <c r="C2036">
        <v>5542600</v>
      </c>
      <c r="D2036">
        <v>272977</v>
      </c>
      <c r="E2036">
        <v>1303200</v>
      </c>
      <c r="F2036">
        <v>8761694</v>
      </c>
      <c r="G2036">
        <v>480600</v>
      </c>
      <c r="H2036">
        <v>10968074</v>
      </c>
      <c r="I2036">
        <v>170600</v>
      </c>
      <c r="J2036">
        <v>10948535</v>
      </c>
      <c r="K2036">
        <v>199900</v>
      </c>
    </row>
    <row r="2037" spans="1:11" x14ac:dyDescent="0.3">
      <c r="A2037" t="s">
        <v>2046</v>
      </c>
      <c r="B2037">
        <v>550725</v>
      </c>
      <c r="C2037">
        <v>5113900</v>
      </c>
      <c r="D2037">
        <v>278202</v>
      </c>
      <c r="E2037">
        <v>1240000</v>
      </c>
      <c r="F2037">
        <v>8770914</v>
      </c>
      <c r="G2037">
        <v>389600</v>
      </c>
      <c r="H2037">
        <v>10980604</v>
      </c>
      <c r="I2037">
        <v>131200</v>
      </c>
      <c r="J2037">
        <v>10960370</v>
      </c>
      <c r="K2037">
        <v>148300</v>
      </c>
    </row>
    <row r="2038" spans="1:11" x14ac:dyDescent="0.3">
      <c r="A2038" t="s">
        <v>2047</v>
      </c>
      <c r="B2038">
        <v>550725</v>
      </c>
      <c r="C2038">
        <v>4924500</v>
      </c>
      <c r="D2038">
        <v>275567</v>
      </c>
      <c r="E2038">
        <v>1004300</v>
      </c>
      <c r="F2038">
        <v>8780108</v>
      </c>
      <c r="G2038">
        <v>410900</v>
      </c>
      <c r="H2038">
        <v>10991825</v>
      </c>
      <c r="I2038">
        <v>139400</v>
      </c>
      <c r="J2038">
        <v>10971026</v>
      </c>
      <c r="K2038">
        <v>148500</v>
      </c>
    </row>
    <row r="2039" spans="1:11" x14ac:dyDescent="0.3">
      <c r="A2039" t="s">
        <v>2048</v>
      </c>
      <c r="B2039">
        <v>550725</v>
      </c>
      <c r="C2039">
        <v>5026200</v>
      </c>
      <c r="D2039">
        <v>269394</v>
      </c>
      <c r="E2039">
        <v>992400</v>
      </c>
      <c r="F2039">
        <v>8789346</v>
      </c>
      <c r="G2039">
        <v>428800</v>
      </c>
      <c r="H2039">
        <v>11003880</v>
      </c>
      <c r="I2039">
        <v>139600</v>
      </c>
      <c r="J2039">
        <v>10984109</v>
      </c>
      <c r="K2039">
        <v>157600</v>
      </c>
    </row>
    <row r="2040" spans="1:11" x14ac:dyDescent="0.3">
      <c r="A2040" t="s">
        <v>2049</v>
      </c>
      <c r="B2040">
        <v>550725</v>
      </c>
      <c r="C2040">
        <v>4990800</v>
      </c>
      <c r="D2040">
        <v>276746</v>
      </c>
      <c r="E2040">
        <v>967200</v>
      </c>
      <c r="F2040">
        <v>8798541</v>
      </c>
      <c r="G2040">
        <v>476800</v>
      </c>
      <c r="H2040">
        <v>11016226</v>
      </c>
      <c r="I2040">
        <v>209800</v>
      </c>
      <c r="J2040">
        <v>10996111</v>
      </c>
      <c r="K2040">
        <v>165700</v>
      </c>
    </row>
    <row r="2041" spans="1:11" x14ac:dyDescent="0.3">
      <c r="A2041" t="s">
        <v>2050</v>
      </c>
      <c r="B2041">
        <v>550725</v>
      </c>
      <c r="C2041">
        <v>4509000</v>
      </c>
      <c r="D2041">
        <v>275640</v>
      </c>
      <c r="E2041">
        <v>957500</v>
      </c>
      <c r="F2041">
        <v>8807756</v>
      </c>
      <c r="G2041">
        <v>397100</v>
      </c>
      <c r="H2041">
        <v>11027010</v>
      </c>
      <c r="I2041">
        <v>135300</v>
      </c>
      <c r="J2041">
        <v>11008043</v>
      </c>
      <c r="K2041">
        <v>147800</v>
      </c>
    </row>
    <row r="2042" spans="1:11" x14ac:dyDescent="0.3">
      <c r="A2042" t="s">
        <v>2051</v>
      </c>
      <c r="B2042">
        <v>550725</v>
      </c>
      <c r="C2042">
        <v>4562300</v>
      </c>
      <c r="D2042">
        <v>280369</v>
      </c>
      <c r="E2042">
        <v>1008100</v>
      </c>
      <c r="F2042">
        <v>8816969</v>
      </c>
      <c r="G2042">
        <v>396900</v>
      </c>
      <c r="H2042">
        <v>11038708</v>
      </c>
      <c r="I2042">
        <v>139200</v>
      </c>
      <c r="J2042">
        <v>11021890</v>
      </c>
      <c r="K2042">
        <v>155000</v>
      </c>
    </row>
    <row r="2043" spans="1:11" x14ac:dyDescent="0.3">
      <c r="A2043" t="s">
        <v>2052</v>
      </c>
      <c r="B2043">
        <v>550725</v>
      </c>
      <c r="C2043">
        <v>4450000</v>
      </c>
      <c r="D2043">
        <v>277061</v>
      </c>
      <c r="E2043">
        <v>992300</v>
      </c>
      <c r="F2043">
        <v>8826173</v>
      </c>
      <c r="G2043">
        <v>391800</v>
      </c>
      <c r="H2043">
        <v>11049727</v>
      </c>
      <c r="I2043">
        <v>132800</v>
      </c>
      <c r="J2043">
        <v>11032958</v>
      </c>
      <c r="K2043">
        <v>147500</v>
      </c>
    </row>
    <row r="2044" spans="1:11" x14ac:dyDescent="0.3">
      <c r="A2044" t="s">
        <v>2053</v>
      </c>
      <c r="B2044">
        <v>550725</v>
      </c>
      <c r="C2044">
        <v>4445300</v>
      </c>
      <c r="D2044">
        <v>276279</v>
      </c>
      <c r="E2044">
        <v>996600</v>
      </c>
      <c r="F2044">
        <v>8835390</v>
      </c>
      <c r="G2044">
        <v>400000</v>
      </c>
      <c r="H2044">
        <v>11061270</v>
      </c>
      <c r="I2044">
        <v>137600</v>
      </c>
      <c r="J2044">
        <v>11044027</v>
      </c>
      <c r="K2044">
        <v>148700</v>
      </c>
    </row>
    <row r="2045" spans="1:11" x14ac:dyDescent="0.3">
      <c r="A2045" t="s">
        <v>2054</v>
      </c>
      <c r="B2045">
        <v>550725</v>
      </c>
      <c r="C2045">
        <v>4956100</v>
      </c>
      <c r="D2045">
        <v>281379</v>
      </c>
      <c r="E2045">
        <v>997800</v>
      </c>
      <c r="F2045">
        <v>8844589</v>
      </c>
      <c r="G2045">
        <v>396300</v>
      </c>
      <c r="H2045">
        <v>11072222</v>
      </c>
      <c r="I2045">
        <v>137200</v>
      </c>
      <c r="J2045">
        <v>11055539</v>
      </c>
      <c r="K2045">
        <v>151300</v>
      </c>
    </row>
    <row r="2046" spans="1:11" x14ac:dyDescent="0.3">
      <c r="A2046" t="s">
        <v>2055</v>
      </c>
      <c r="B2046">
        <v>550725</v>
      </c>
      <c r="C2046">
        <v>4886200</v>
      </c>
      <c r="D2046">
        <v>284204</v>
      </c>
      <c r="E2046">
        <v>988300</v>
      </c>
      <c r="F2046">
        <v>8853808</v>
      </c>
      <c r="G2046">
        <v>388800</v>
      </c>
      <c r="H2046">
        <v>11083858</v>
      </c>
      <c r="I2046">
        <v>134800</v>
      </c>
      <c r="J2046">
        <v>11066251</v>
      </c>
      <c r="K2046">
        <v>149200</v>
      </c>
    </row>
    <row r="2047" spans="1:11" x14ac:dyDescent="0.3">
      <c r="A2047" t="s">
        <v>2056</v>
      </c>
      <c r="B2047">
        <v>550725</v>
      </c>
      <c r="C2047">
        <v>4611400</v>
      </c>
      <c r="D2047">
        <v>276137</v>
      </c>
      <c r="E2047">
        <v>961200</v>
      </c>
      <c r="F2047">
        <v>8863041</v>
      </c>
      <c r="G2047">
        <v>391800</v>
      </c>
      <c r="H2047">
        <v>11095552</v>
      </c>
      <c r="I2047">
        <v>136400</v>
      </c>
      <c r="J2047">
        <v>11078581</v>
      </c>
      <c r="K2047">
        <v>154500</v>
      </c>
    </row>
    <row r="2048" spans="1:11" x14ac:dyDescent="0.3">
      <c r="A2048" t="s">
        <v>2057</v>
      </c>
      <c r="B2048">
        <v>550725</v>
      </c>
      <c r="C2048">
        <v>4524600</v>
      </c>
      <c r="D2048">
        <v>268571</v>
      </c>
      <c r="E2048">
        <v>934900</v>
      </c>
      <c r="F2048">
        <v>8872248</v>
      </c>
      <c r="G2048">
        <v>395500</v>
      </c>
      <c r="H2048">
        <v>11108475</v>
      </c>
      <c r="I2048">
        <v>134000</v>
      </c>
      <c r="J2048">
        <v>11089961</v>
      </c>
      <c r="K2048">
        <v>147500</v>
      </c>
    </row>
    <row r="2049" spans="1:11" x14ac:dyDescent="0.3">
      <c r="A2049" t="s">
        <v>2058</v>
      </c>
      <c r="B2049">
        <v>550725</v>
      </c>
      <c r="C2049">
        <v>4624200</v>
      </c>
      <c r="D2049">
        <v>275133</v>
      </c>
      <c r="E2049">
        <v>952500</v>
      </c>
      <c r="F2049">
        <v>8881448</v>
      </c>
      <c r="G2049">
        <v>400900</v>
      </c>
      <c r="H2049">
        <v>11121483</v>
      </c>
      <c r="I2049">
        <v>141800</v>
      </c>
      <c r="J2049">
        <v>11101647</v>
      </c>
      <c r="K2049">
        <v>155800</v>
      </c>
    </row>
    <row r="2050" spans="1:11" x14ac:dyDescent="0.3">
      <c r="A2050" t="s">
        <v>2059</v>
      </c>
      <c r="B2050">
        <v>550725</v>
      </c>
      <c r="C2050">
        <v>4481400</v>
      </c>
      <c r="D2050">
        <v>272580</v>
      </c>
      <c r="E2050">
        <v>940900</v>
      </c>
      <c r="F2050">
        <v>8890677</v>
      </c>
      <c r="G2050">
        <v>389100</v>
      </c>
      <c r="H2050">
        <v>11132928</v>
      </c>
      <c r="I2050">
        <v>135200</v>
      </c>
      <c r="J2050">
        <v>11113541</v>
      </c>
      <c r="K2050">
        <v>148900</v>
      </c>
    </row>
    <row r="2051" spans="1:11" x14ac:dyDescent="0.3">
      <c r="A2051" t="s">
        <v>2060</v>
      </c>
      <c r="B2051">
        <v>550725</v>
      </c>
      <c r="C2051">
        <v>4457400</v>
      </c>
      <c r="D2051">
        <v>278784</v>
      </c>
      <c r="E2051">
        <v>960900</v>
      </c>
      <c r="F2051">
        <v>8899906</v>
      </c>
      <c r="G2051">
        <v>394500</v>
      </c>
      <c r="H2051">
        <v>11144834</v>
      </c>
      <c r="I2051">
        <v>135700</v>
      </c>
      <c r="J2051">
        <v>11125561</v>
      </c>
      <c r="K2051">
        <v>144300</v>
      </c>
    </row>
    <row r="2052" spans="1:11" x14ac:dyDescent="0.3">
      <c r="A2052" t="s">
        <v>2061</v>
      </c>
      <c r="B2052">
        <v>550725</v>
      </c>
      <c r="C2052">
        <v>4720900</v>
      </c>
      <c r="D2052">
        <v>278114</v>
      </c>
      <c r="E2052">
        <v>1136800</v>
      </c>
      <c r="F2052">
        <v>8909103</v>
      </c>
      <c r="G2052">
        <v>410600</v>
      </c>
      <c r="H2052">
        <v>11156386</v>
      </c>
      <c r="I2052">
        <v>139400</v>
      </c>
      <c r="J2052">
        <v>11137602</v>
      </c>
      <c r="K2052">
        <v>150900</v>
      </c>
    </row>
    <row r="2053" spans="1:11" x14ac:dyDescent="0.3">
      <c r="A2053" t="s">
        <v>2062</v>
      </c>
      <c r="B2053">
        <v>550725</v>
      </c>
      <c r="C2053">
        <v>4615000</v>
      </c>
      <c r="D2053">
        <v>274862</v>
      </c>
      <c r="E2053">
        <v>949300</v>
      </c>
      <c r="F2053">
        <v>8918325</v>
      </c>
      <c r="G2053">
        <v>402500</v>
      </c>
      <c r="H2053">
        <v>11166775</v>
      </c>
      <c r="I2053">
        <v>134200</v>
      </c>
      <c r="J2053">
        <v>11149103</v>
      </c>
      <c r="K2053">
        <v>149600</v>
      </c>
    </row>
    <row r="2054" spans="1:11" x14ac:dyDescent="0.3">
      <c r="A2054" t="s">
        <v>2063</v>
      </c>
      <c r="B2054">
        <v>550725</v>
      </c>
      <c r="C2054">
        <v>4961400</v>
      </c>
      <c r="D2054">
        <v>275129</v>
      </c>
      <c r="E2054">
        <v>1252200</v>
      </c>
      <c r="F2054">
        <v>8927537</v>
      </c>
      <c r="G2054">
        <v>425000</v>
      </c>
      <c r="H2054">
        <v>11177861</v>
      </c>
      <c r="I2054">
        <v>134700</v>
      </c>
      <c r="J2054">
        <v>11160310</v>
      </c>
      <c r="K2054">
        <v>151700</v>
      </c>
    </row>
    <row r="2055" spans="1:11" x14ac:dyDescent="0.3">
      <c r="A2055" t="s">
        <v>2064</v>
      </c>
      <c r="B2055">
        <v>550725</v>
      </c>
      <c r="C2055">
        <v>5183100</v>
      </c>
      <c r="D2055">
        <v>269240</v>
      </c>
      <c r="E2055">
        <v>938900</v>
      </c>
      <c r="F2055">
        <v>8936741</v>
      </c>
      <c r="G2055">
        <v>397200</v>
      </c>
      <c r="H2055">
        <v>11190063</v>
      </c>
      <c r="I2055">
        <v>141900</v>
      </c>
      <c r="J2055">
        <v>11170752</v>
      </c>
      <c r="K2055">
        <v>148300</v>
      </c>
    </row>
    <row r="2056" spans="1:11" x14ac:dyDescent="0.3">
      <c r="A2056" t="s">
        <v>2065</v>
      </c>
      <c r="B2056">
        <v>550725</v>
      </c>
      <c r="C2056">
        <v>4945700</v>
      </c>
      <c r="D2056">
        <v>265955</v>
      </c>
      <c r="E2056">
        <v>927300</v>
      </c>
      <c r="F2056">
        <v>8945987</v>
      </c>
      <c r="G2056">
        <v>393800</v>
      </c>
      <c r="H2056">
        <v>11201105</v>
      </c>
      <c r="I2056">
        <v>134600</v>
      </c>
      <c r="J2056">
        <v>11181466</v>
      </c>
      <c r="K2056">
        <v>145400</v>
      </c>
    </row>
    <row r="2057" spans="1:11" x14ac:dyDescent="0.3">
      <c r="A2057" t="s">
        <v>2066</v>
      </c>
      <c r="B2057">
        <v>550725</v>
      </c>
      <c r="C2057">
        <v>4714000</v>
      </c>
      <c r="D2057">
        <v>270052</v>
      </c>
      <c r="E2057">
        <v>982100</v>
      </c>
      <c r="F2057">
        <v>8955218</v>
      </c>
      <c r="G2057">
        <v>399900</v>
      </c>
      <c r="H2057">
        <v>11213356</v>
      </c>
      <c r="I2057">
        <v>136700</v>
      </c>
      <c r="J2057">
        <v>11192043</v>
      </c>
      <c r="K2057">
        <v>148000</v>
      </c>
    </row>
    <row r="2058" spans="1:11" x14ac:dyDescent="0.3">
      <c r="A2058" t="s">
        <v>2067</v>
      </c>
      <c r="B2058">
        <v>550725</v>
      </c>
      <c r="C2058">
        <v>4825400</v>
      </c>
      <c r="D2058">
        <v>275399</v>
      </c>
      <c r="E2058">
        <v>958600</v>
      </c>
      <c r="F2058">
        <v>8964425</v>
      </c>
      <c r="G2058">
        <v>392100</v>
      </c>
      <c r="H2058">
        <v>11224898</v>
      </c>
      <c r="I2058">
        <v>136400</v>
      </c>
      <c r="J2058">
        <v>11203549</v>
      </c>
      <c r="K2058">
        <v>145800</v>
      </c>
    </row>
    <row r="2059" spans="1:11" x14ac:dyDescent="0.3">
      <c r="A2059" t="s">
        <v>2068</v>
      </c>
      <c r="B2059">
        <v>550725</v>
      </c>
      <c r="C2059">
        <v>4595100</v>
      </c>
      <c r="D2059">
        <v>281107</v>
      </c>
      <c r="E2059">
        <v>974900</v>
      </c>
      <c r="F2059">
        <v>8973622</v>
      </c>
      <c r="G2059">
        <v>394200</v>
      </c>
      <c r="H2059">
        <v>11236101</v>
      </c>
      <c r="I2059">
        <v>136200</v>
      </c>
      <c r="J2059">
        <v>11215515</v>
      </c>
      <c r="K2059">
        <v>144400</v>
      </c>
    </row>
    <row r="2060" spans="1:11" x14ac:dyDescent="0.3">
      <c r="A2060" t="s">
        <v>2069</v>
      </c>
      <c r="B2060">
        <v>550725</v>
      </c>
      <c r="C2060">
        <v>4473600</v>
      </c>
      <c r="D2060">
        <v>277441</v>
      </c>
      <c r="E2060">
        <v>1002700</v>
      </c>
      <c r="F2060">
        <v>8982831</v>
      </c>
      <c r="G2060">
        <v>395600</v>
      </c>
      <c r="H2060">
        <v>11247691</v>
      </c>
      <c r="I2060">
        <v>136000</v>
      </c>
      <c r="J2060">
        <v>11226614</v>
      </c>
      <c r="K2060">
        <v>146800</v>
      </c>
    </row>
    <row r="2061" spans="1:11" x14ac:dyDescent="0.3">
      <c r="A2061" t="s">
        <v>2070</v>
      </c>
      <c r="B2061">
        <v>550725</v>
      </c>
      <c r="C2061">
        <v>4864300</v>
      </c>
      <c r="D2061">
        <v>269232</v>
      </c>
      <c r="E2061">
        <v>954900</v>
      </c>
      <c r="F2061">
        <v>8992014</v>
      </c>
      <c r="G2061">
        <v>393300</v>
      </c>
      <c r="H2061">
        <v>11258556</v>
      </c>
      <c r="I2061">
        <v>133300</v>
      </c>
      <c r="J2061">
        <v>11238423</v>
      </c>
      <c r="K2061">
        <v>150100</v>
      </c>
    </row>
    <row r="2062" spans="1:11" x14ac:dyDescent="0.3">
      <c r="A2062" t="s">
        <v>2071</v>
      </c>
      <c r="B2062">
        <v>550725</v>
      </c>
      <c r="C2062">
        <v>4684500</v>
      </c>
      <c r="D2062">
        <v>272095</v>
      </c>
      <c r="E2062">
        <v>942300</v>
      </c>
      <c r="F2062">
        <v>9001268</v>
      </c>
      <c r="G2062">
        <v>391300</v>
      </c>
      <c r="H2062">
        <v>11270987</v>
      </c>
      <c r="I2062">
        <v>134300</v>
      </c>
      <c r="J2062">
        <v>11250573</v>
      </c>
      <c r="K2062">
        <v>147500</v>
      </c>
    </row>
    <row r="2063" spans="1:11" x14ac:dyDescent="0.3">
      <c r="A2063" t="s">
        <v>2072</v>
      </c>
      <c r="B2063">
        <v>550725</v>
      </c>
      <c r="C2063">
        <v>4869000</v>
      </c>
      <c r="D2063">
        <v>270831</v>
      </c>
      <c r="E2063">
        <v>941400</v>
      </c>
      <c r="F2063">
        <v>9010486</v>
      </c>
      <c r="G2063">
        <v>394000</v>
      </c>
      <c r="H2063">
        <v>11282395</v>
      </c>
      <c r="I2063">
        <v>133200</v>
      </c>
      <c r="J2063">
        <v>11261894</v>
      </c>
      <c r="K2063">
        <v>145200</v>
      </c>
    </row>
    <row r="2064" spans="1:11" x14ac:dyDescent="0.3">
      <c r="A2064" t="s">
        <v>2073</v>
      </c>
      <c r="B2064">
        <v>550725</v>
      </c>
      <c r="C2064">
        <v>4581900</v>
      </c>
      <c r="D2064">
        <v>281472</v>
      </c>
      <c r="E2064">
        <v>974800</v>
      </c>
      <c r="F2064">
        <v>9019719</v>
      </c>
      <c r="G2064">
        <v>388300</v>
      </c>
      <c r="H2064">
        <v>11293621</v>
      </c>
      <c r="I2064">
        <v>135800</v>
      </c>
      <c r="J2064">
        <v>11274781</v>
      </c>
      <c r="K2064">
        <v>154600</v>
      </c>
    </row>
    <row r="2065" spans="1:11" x14ac:dyDescent="0.3">
      <c r="A2065" t="s">
        <v>2074</v>
      </c>
      <c r="B2065">
        <v>550725</v>
      </c>
      <c r="C2065">
        <v>4678200</v>
      </c>
      <c r="D2065">
        <v>274348</v>
      </c>
      <c r="E2065">
        <v>951500</v>
      </c>
      <c r="F2065">
        <v>9028920</v>
      </c>
      <c r="G2065">
        <v>397100</v>
      </c>
      <c r="H2065">
        <v>11306827</v>
      </c>
      <c r="I2065">
        <v>167000</v>
      </c>
      <c r="J2065">
        <v>11285605</v>
      </c>
      <c r="K2065">
        <v>145900</v>
      </c>
    </row>
    <row r="2066" spans="1:11" x14ac:dyDescent="0.3">
      <c r="A2066" t="s">
        <v>2075</v>
      </c>
      <c r="B2066">
        <v>550725</v>
      </c>
      <c r="C2066">
        <v>4736000</v>
      </c>
      <c r="D2066">
        <v>279843</v>
      </c>
      <c r="E2066">
        <v>966500</v>
      </c>
      <c r="F2066">
        <v>9038141</v>
      </c>
      <c r="G2066">
        <v>390100</v>
      </c>
      <c r="H2066">
        <v>11318615</v>
      </c>
      <c r="I2066">
        <v>132600</v>
      </c>
      <c r="J2066">
        <v>11296318</v>
      </c>
      <c r="K2066">
        <v>151500</v>
      </c>
    </row>
    <row r="2067" spans="1:11" x14ac:dyDescent="0.3">
      <c r="A2067" t="s">
        <v>2076</v>
      </c>
      <c r="B2067">
        <v>550725</v>
      </c>
      <c r="C2067">
        <v>4585400</v>
      </c>
      <c r="D2067">
        <v>274230</v>
      </c>
      <c r="E2067">
        <v>956600</v>
      </c>
      <c r="F2067">
        <v>9047360</v>
      </c>
      <c r="G2067">
        <v>387400</v>
      </c>
      <c r="H2067">
        <v>11331052</v>
      </c>
      <c r="I2067">
        <v>133500</v>
      </c>
      <c r="J2067">
        <v>11307718</v>
      </c>
      <c r="K2067">
        <v>148900</v>
      </c>
    </row>
    <row r="2068" spans="1:11" x14ac:dyDescent="0.3">
      <c r="A2068" t="s">
        <v>2077</v>
      </c>
      <c r="B2068">
        <v>550725</v>
      </c>
      <c r="C2068">
        <v>4507800</v>
      </c>
      <c r="D2068">
        <v>271824</v>
      </c>
      <c r="E2068">
        <v>940800</v>
      </c>
      <c r="F2068">
        <v>9056590</v>
      </c>
      <c r="G2068">
        <v>395200</v>
      </c>
      <c r="H2068">
        <v>11342681</v>
      </c>
      <c r="I2068">
        <v>134100</v>
      </c>
      <c r="J2068">
        <v>11319193</v>
      </c>
      <c r="K2068">
        <v>150600</v>
      </c>
    </row>
    <row r="2069" spans="1:11" x14ac:dyDescent="0.3">
      <c r="A2069" t="s">
        <v>2078</v>
      </c>
      <c r="B2069">
        <v>550725</v>
      </c>
      <c r="C2069">
        <v>5190300</v>
      </c>
      <c r="D2069">
        <v>277744</v>
      </c>
      <c r="E2069">
        <v>960700</v>
      </c>
      <c r="F2069">
        <v>9065803</v>
      </c>
      <c r="G2069">
        <v>385700</v>
      </c>
      <c r="H2069">
        <v>11353648</v>
      </c>
      <c r="I2069">
        <v>133400</v>
      </c>
      <c r="J2069">
        <v>11331026</v>
      </c>
      <c r="K2069">
        <v>155200</v>
      </c>
    </row>
    <row r="2070" spans="1:11" x14ac:dyDescent="0.3">
      <c r="A2070" t="s">
        <v>2079</v>
      </c>
      <c r="B2070">
        <v>550725</v>
      </c>
      <c r="C2070">
        <v>4765500</v>
      </c>
      <c r="D2070">
        <v>277959</v>
      </c>
      <c r="E2070">
        <v>965900</v>
      </c>
      <c r="F2070">
        <v>9075034</v>
      </c>
      <c r="G2070">
        <v>388200</v>
      </c>
      <c r="H2070">
        <v>11365026</v>
      </c>
      <c r="I2070">
        <v>133300</v>
      </c>
      <c r="J2070">
        <v>11343342</v>
      </c>
      <c r="K2070">
        <v>148700</v>
      </c>
    </row>
    <row r="2071" spans="1:11" x14ac:dyDescent="0.3">
      <c r="A2071" t="s">
        <v>2080</v>
      </c>
      <c r="B2071">
        <v>550725</v>
      </c>
      <c r="C2071">
        <v>4806100</v>
      </c>
      <c r="D2071">
        <v>280855</v>
      </c>
      <c r="E2071">
        <v>972100</v>
      </c>
      <c r="F2071">
        <v>9084247</v>
      </c>
      <c r="G2071">
        <v>390900</v>
      </c>
      <c r="H2071">
        <v>11376340</v>
      </c>
      <c r="I2071">
        <v>133000</v>
      </c>
      <c r="J2071">
        <v>11354894</v>
      </c>
      <c r="K2071">
        <v>148200</v>
      </c>
    </row>
    <row r="2072" spans="1:11" x14ac:dyDescent="0.3">
      <c r="A2072" t="s">
        <v>2081</v>
      </c>
      <c r="B2072">
        <v>550725</v>
      </c>
      <c r="C2072">
        <v>4661200</v>
      </c>
      <c r="D2072">
        <v>267831</v>
      </c>
      <c r="E2072">
        <v>931400</v>
      </c>
      <c r="F2072">
        <v>9093490</v>
      </c>
      <c r="G2072">
        <v>393300</v>
      </c>
      <c r="H2072">
        <v>11388993</v>
      </c>
      <c r="I2072">
        <v>132200</v>
      </c>
      <c r="J2072">
        <v>11367710</v>
      </c>
      <c r="K2072">
        <v>152300</v>
      </c>
    </row>
    <row r="2073" spans="1:11" x14ac:dyDescent="0.3">
      <c r="A2073" t="s">
        <v>2082</v>
      </c>
      <c r="B2073">
        <v>550725</v>
      </c>
      <c r="C2073">
        <v>5017300</v>
      </c>
      <c r="D2073">
        <v>280556</v>
      </c>
      <c r="E2073">
        <v>977900</v>
      </c>
      <c r="F2073">
        <v>9102710</v>
      </c>
      <c r="G2073">
        <v>389800</v>
      </c>
      <c r="H2073">
        <v>11400478</v>
      </c>
      <c r="I2073">
        <v>136200</v>
      </c>
      <c r="J2073">
        <v>11378501</v>
      </c>
      <c r="K2073">
        <v>145900</v>
      </c>
    </row>
    <row r="2074" spans="1:11" x14ac:dyDescent="0.3">
      <c r="A2074" t="s">
        <v>2083</v>
      </c>
      <c r="B2074">
        <v>550725</v>
      </c>
      <c r="C2074">
        <v>5096900</v>
      </c>
      <c r="D2074">
        <v>282897</v>
      </c>
      <c r="E2074">
        <v>999000</v>
      </c>
      <c r="F2074">
        <v>9111878</v>
      </c>
      <c r="G2074">
        <v>400800</v>
      </c>
      <c r="H2074">
        <v>11411334</v>
      </c>
      <c r="I2074">
        <v>133100</v>
      </c>
      <c r="J2074">
        <v>11389733</v>
      </c>
      <c r="K2074">
        <v>147800</v>
      </c>
    </row>
    <row r="2075" spans="1:11" x14ac:dyDescent="0.3">
      <c r="A2075" t="s">
        <v>2084</v>
      </c>
      <c r="B2075">
        <v>550725</v>
      </c>
      <c r="C2075">
        <v>4882100</v>
      </c>
      <c r="D2075">
        <v>277330</v>
      </c>
      <c r="E2075">
        <v>991400</v>
      </c>
      <c r="F2075">
        <v>9121082</v>
      </c>
      <c r="G2075">
        <v>420700</v>
      </c>
      <c r="H2075">
        <v>11423284</v>
      </c>
      <c r="I2075">
        <v>138500</v>
      </c>
      <c r="J2075">
        <v>11401529</v>
      </c>
      <c r="K2075">
        <v>149100</v>
      </c>
    </row>
    <row r="2076" spans="1:11" x14ac:dyDescent="0.3">
      <c r="A2076" t="s">
        <v>2085</v>
      </c>
      <c r="B2076">
        <v>550725</v>
      </c>
      <c r="C2076">
        <v>4623700</v>
      </c>
      <c r="D2076">
        <v>279623</v>
      </c>
      <c r="E2076">
        <v>1066000</v>
      </c>
      <c r="F2076">
        <v>9130297</v>
      </c>
      <c r="G2076">
        <v>421900</v>
      </c>
      <c r="H2076">
        <v>11434135</v>
      </c>
      <c r="I2076">
        <v>135100</v>
      </c>
      <c r="J2076">
        <v>11412535</v>
      </c>
      <c r="K2076">
        <v>148400</v>
      </c>
    </row>
    <row r="2077" spans="1:11" x14ac:dyDescent="0.3">
      <c r="A2077" t="s">
        <v>2086</v>
      </c>
      <c r="B2077">
        <v>550725</v>
      </c>
      <c r="C2077">
        <v>4784300</v>
      </c>
      <c r="D2077">
        <v>279968</v>
      </c>
      <c r="E2077">
        <v>1179700</v>
      </c>
      <c r="F2077">
        <v>9139473</v>
      </c>
      <c r="G2077">
        <v>394900</v>
      </c>
      <c r="H2077">
        <v>11446223</v>
      </c>
      <c r="I2077">
        <v>138200</v>
      </c>
      <c r="J2077">
        <v>11424014</v>
      </c>
      <c r="K2077">
        <v>160800</v>
      </c>
    </row>
    <row r="2078" spans="1:11" x14ac:dyDescent="0.3">
      <c r="A2078" t="s">
        <v>2087</v>
      </c>
      <c r="B2078">
        <v>550725</v>
      </c>
      <c r="C2078">
        <v>4552200</v>
      </c>
      <c r="D2078">
        <v>285766</v>
      </c>
      <c r="E2078">
        <v>1330800</v>
      </c>
      <c r="F2078">
        <v>9148697</v>
      </c>
      <c r="G2078">
        <v>434100</v>
      </c>
      <c r="H2078">
        <v>11457029</v>
      </c>
      <c r="I2078">
        <v>135000</v>
      </c>
      <c r="J2078">
        <v>11435854</v>
      </c>
      <c r="K2078">
        <v>148900</v>
      </c>
    </row>
    <row r="2079" spans="1:11" x14ac:dyDescent="0.3">
      <c r="A2079" t="s">
        <v>2088</v>
      </c>
      <c r="B2079">
        <v>550725</v>
      </c>
      <c r="C2079">
        <v>4696200</v>
      </c>
      <c r="D2079">
        <v>272085</v>
      </c>
      <c r="E2079">
        <v>1009700</v>
      </c>
      <c r="F2079">
        <v>9157926</v>
      </c>
      <c r="G2079">
        <v>405900</v>
      </c>
      <c r="H2079">
        <v>11469322</v>
      </c>
      <c r="I2079">
        <v>142400</v>
      </c>
      <c r="J2079">
        <v>11447392</v>
      </c>
      <c r="K2079">
        <v>155300</v>
      </c>
    </row>
    <row r="2080" spans="1:11" x14ac:dyDescent="0.3">
      <c r="A2080" t="s">
        <v>2089</v>
      </c>
      <c r="B2080">
        <v>550725</v>
      </c>
      <c r="C2080">
        <v>4557300</v>
      </c>
      <c r="D2080">
        <v>274697</v>
      </c>
      <c r="E2080">
        <v>1127000</v>
      </c>
      <c r="F2080">
        <v>9167135</v>
      </c>
      <c r="G2080">
        <v>401800</v>
      </c>
      <c r="H2080">
        <v>11481222</v>
      </c>
      <c r="I2080">
        <v>141400</v>
      </c>
      <c r="J2080">
        <v>11459313</v>
      </c>
      <c r="K2080">
        <v>194200</v>
      </c>
    </row>
    <row r="2081" spans="1:11" x14ac:dyDescent="0.3">
      <c r="A2081" t="s">
        <v>2090</v>
      </c>
      <c r="B2081">
        <v>550725</v>
      </c>
      <c r="C2081">
        <v>4775100</v>
      </c>
      <c r="D2081">
        <v>268597</v>
      </c>
      <c r="E2081">
        <v>1162200</v>
      </c>
      <c r="F2081">
        <v>9176322</v>
      </c>
      <c r="G2081">
        <v>434900</v>
      </c>
      <c r="H2081">
        <v>11492491</v>
      </c>
      <c r="I2081">
        <v>135400</v>
      </c>
      <c r="J2081">
        <v>11470607</v>
      </c>
      <c r="K2081">
        <v>147800</v>
      </c>
    </row>
    <row r="2082" spans="1:11" x14ac:dyDescent="0.3">
      <c r="A2082" t="s">
        <v>2091</v>
      </c>
      <c r="B2082">
        <v>550725</v>
      </c>
      <c r="C2082">
        <v>4981600</v>
      </c>
      <c r="D2082">
        <v>277704</v>
      </c>
      <c r="E2082">
        <v>1010000</v>
      </c>
      <c r="F2082">
        <v>9185508</v>
      </c>
      <c r="G2082">
        <v>395700</v>
      </c>
      <c r="H2082">
        <v>11504466</v>
      </c>
      <c r="I2082">
        <v>133800</v>
      </c>
      <c r="J2082">
        <v>11481357</v>
      </c>
      <c r="K2082">
        <v>147100</v>
      </c>
    </row>
    <row r="2083" spans="1:11" x14ac:dyDescent="0.3">
      <c r="A2083" t="s">
        <v>2092</v>
      </c>
      <c r="B2083">
        <v>550725</v>
      </c>
      <c r="C2083">
        <v>4963000</v>
      </c>
      <c r="D2083">
        <v>272751</v>
      </c>
      <c r="E2083">
        <v>949000</v>
      </c>
      <c r="F2083">
        <v>9194749</v>
      </c>
      <c r="G2083">
        <v>392100</v>
      </c>
      <c r="H2083">
        <v>11516211</v>
      </c>
      <c r="I2083">
        <v>131600</v>
      </c>
      <c r="J2083">
        <v>11492624</v>
      </c>
      <c r="K2083">
        <v>150700</v>
      </c>
    </row>
    <row r="2084" spans="1:11" x14ac:dyDescent="0.3">
      <c r="A2084" t="s">
        <v>2093</v>
      </c>
      <c r="B2084">
        <v>550725</v>
      </c>
      <c r="C2084">
        <v>5146700</v>
      </c>
      <c r="D2084">
        <v>267726</v>
      </c>
      <c r="E2084">
        <v>940300</v>
      </c>
      <c r="F2084">
        <v>9203957</v>
      </c>
      <c r="G2084">
        <v>401300</v>
      </c>
      <c r="H2084">
        <v>11529315</v>
      </c>
      <c r="I2084">
        <v>134300</v>
      </c>
      <c r="J2084">
        <v>11505664</v>
      </c>
      <c r="K2084">
        <v>156200</v>
      </c>
    </row>
    <row r="2085" spans="1:11" x14ac:dyDescent="0.3">
      <c r="A2085" t="s">
        <v>2094</v>
      </c>
      <c r="B2085">
        <v>550725</v>
      </c>
      <c r="C2085">
        <v>4617300</v>
      </c>
      <c r="D2085">
        <v>276378</v>
      </c>
      <c r="E2085">
        <v>968600</v>
      </c>
      <c r="F2085">
        <v>9213165</v>
      </c>
      <c r="G2085">
        <v>395800</v>
      </c>
      <c r="H2085">
        <v>11541433</v>
      </c>
      <c r="I2085">
        <v>142300</v>
      </c>
      <c r="J2085">
        <v>11517317</v>
      </c>
      <c r="K2085">
        <v>150500</v>
      </c>
    </row>
    <row r="2086" spans="1:11" x14ac:dyDescent="0.3">
      <c r="A2086" t="s">
        <v>2095</v>
      </c>
      <c r="B2086">
        <v>550725</v>
      </c>
      <c r="C2086">
        <v>4849400</v>
      </c>
      <c r="D2086">
        <v>263572</v>
      </c>
      <c r="E2086">
        <v>926000</v>
      </c>
      <c r="F2086">
        <v>9222393</v>
      </c>
      <c r="G2086">
        <v>391100</v>
      </c>
      <c r="H2086">
        <v>11553317</v>
      </c>
      <c r="I2086">
        <v>139200</v>
      </c>
      <c r="J2086">
        <v>11528939</v>
      </c>
      <c r="K2086">
        <v>151700</v>
      </c>
    </row>
    <row r="2087" spans="1:11" x14ac:dyDescent="0.3">
      <c r="A2087" t="s">
        <v>2096</v>
      </c>
      <c r="B2087">
        <v>550725</v>
      </c>
      <c r="C2087">
        <v>4579900</v>
      </c>
      <c r="D2087">
        <v>276251</v>
      </c>
      <c r="E2087">
        <v>957600</v>
      </c>
      <c r="F2087">
        <v>9231616</v>
      </c>
      <c r="G2087">
        <v>399000</v>
      </c>
      <c r="H2087">
        <v>11564808</v>
      </c>
      <c r="I2087">
        <v>134100</v>
      </c>
      <c r="J2087">
        <v>11540153</v>
      </c>
      <c r="K2087">
        <v>145800</v>
      </c>
    </row>
    <row r="2088" spans="1:11" x14ac:dyDescent="0.3">
      <c r="A2088" t="s">
        <v>2097</v>
      </c>
      <c r="B2088">
        <v>550725</v>
      </c>
      <c r="C2088">
        <v>4621600</v>
      </c>
      <c r="D2088">
        <v>280760</v>
      </c>
      <c r="E2088">
        <v>972400</v>
      </c>
      <c r="F2088">
        <v>9240840</v>
      </c>
      <c r="G2088">
        <v>394300</v>
      </c>
      <c r="H2088">
        <v>11576369</v>
      </c>
      <c r="I2088">
        <v>135400</v>
      </c>
      <c r="J2088">
        <v>11553249</v>
      </c>
      <c r="K2088">
        <v>152700</v>
      </c>
    </row>
    <row r="2089" spans="1:11" x14ac:dyDescent="0.3">
      <c r="A2089" t="s">
        <v>2098</v>
      </c>
      <c r="B2089">
        <v>550725</v>
      </c>
      <c r="C2089">
        <v>4470800</v>
      </c>
      <c r="D2089">
        <v>275846</v>
      </c>
      <c r="E2089">
        <v>955100</v>
      </c>
      <c r="F2089">
        <v>9250022</v>
      </c>
      <c r="G2089">
        <v>391700</v>
      </c>
      <c r="H2089">
        <v>11588139</v>
      </c>
      <c r="I2089">
        <v>132100</v>
      </c>
      <c r="J2089">
        <v>11565216</v>
      </c>
      <c r="K2089">
        <v>146300</v>
      </c>
    </row>
    <row r="2090" spans="1:11" x14ac:dyDescent="0.3">
      <c r="A2090" t="s">
        <v>2099</v>
      </c>
      <c r="B2090">
        <v>550725</v>
      </c>
      <c r="C2090">
        <v>4591700</v>
      </c>
      <c r="D2090">
        <v>278629</v>
      </c>
      <c r="E2090">
        <v>967200</v>
      </c>
      <c r="F2090">
        <v>9259276</v>
      </c>
      <c r="G2090">
        <v>395200</v>
      </c>
      <c r="H2090">
        <v>11599541</v>
      </c>
      <c r="I2090">
        <v>133600</v>
      </c>
      <c r="J2090">
        <v>11577547</v>
      </c>
      <c r="K2090">
        <v>148500</v>
      </c>
    </row>
    <row r="2091" spans="1:11" x14ac:dyDescent="0.3">
      <c r="A2091" t="s">
        <v>2100</v>
      </c>
      <c r="B2091">
        <v>550725</v>
      </c>
      <c r="C2091">
        <v>4824900</v>
      </c>
      <c r="D2091">
        <v>282403</v>
      </c>
      <c r="E2091">
        <v>975800</v>
      </c>
      <c r="F2091">
        <v>9268480</v>
      </c>
      <c r="G2091">
        <v>390500</v>
      </c>
      <c r="H2091">
        <v>11611931</v>
      </c>
      <c r="I2091">
        <v>138700</v>
      </c>
      <c r="J2091">
        <v>11589206</v>
      </c>
      <c r="K2091">
        <v>151000</v>
      </c>
    </row>
    <row r="2092" spans="1:11" x14ac:dyDescent="0.3">
      <c r="A2092" t="s">
        <v>2101</v>
      </c>
      <c r="B2092">
        <v>550725</v>
      </c>
      <c r="C2092">
        <v>4950200</v>
      </c>
      <c r="D2092">
        <v>270460</v>
      </c>
      <c r="E2092">
        <v>936100</v>
      </c>
      <c r="F2092">
        <v>9277689</v>
      </c>
      <c r="G2092">
        <v>394300</v>
      </c>
      <c r="H2092">
        <v>11623276</v>
      </c>
      <c r="I2092">
        <v>137800</v>
      </c>
      <c r="J2092">
        <v>11600685</v>
      </c>
      <c r="K2092">
        <v>149800</v>
      </c>
    </row>
    <row r="2093" spans="1:11" x14ac:dyDescent="0.3">
      <c r="A2093" t="s">
        <v>2102</v>
      </c>
      <c r="B2093">
        <v>550725</v>
      </c>
      <c r="C2093">
        <v>4607600</v>
      </c>
      <c r="D2093">
        <v>279262</v>
      </c>
      <c r="E2093">
        <v>989700</v>
      </c>
      <c r="F2093">
        <v>9286955</v>
      </c>
      <c r="G2093">
        <v>389000</v>
      </c>
      <c r="H2093">
        <v>11634632</v>
      </c>
      <c r="I2093">
        <v>133300</v>
      </c>
      <c r="J2093">
        <v>11611767</v>
      </c>
      <c r="K2093">
        <v>152000</v>
      </c>
    </row>
    <row r="2094" spans="1:11" x14ac:dyDescent="0.3">
      <c r="A2094" t="s">
        <v>2103</v>
      </c>
      <c r="B2094">
        <v>550725</v>
      </c>
      <c r="C2094">
        <v>4572200</v>
      </c>
      <c r="D2094">
        <v>270845</v>
      </c>
      <c r="E2094">
        <v>933100</v>
      </c>
      <c r="F2094">
        <v>9296154</v>
      </c>
      <c r="G2094">
        <v>395800</v>
      </c>
      <c r="H2094">
        <v>11646153</v>
      </c>
      <c r="I2094">
        <v>136300</v>
      </c>
      <c r="J2094">
        <v>11622771</v>
      </c>
      <c r="K2094">
        <v>147200</v>
      </c>
    </row>
    <row r="2095" spans="1:11" x14ac:dyDescent="0.3">
      <c r="A2095" t="s">
        <v>2104</v>
      </c>
      <c r="B2095">
        <v>550725</v>
      </c>
      <c r="C2095">
        <v>4786900</v>
      </c>
      <c r="D2095">
        <v>285948</v>
      </c>
      <c r="E2095">
        <v>990800</v>
      </c>
      <c r="F2095">
        <v>9305367</v>
      </c>
      <c r="G2095">
        <v>403900</v>
      </c>
      <c r="H2095">
        <v>11657268</v>
      </c>
      <c r="I2095">
        <v>131700</v>
      </c>
      <c r="J2095">
        <v>11635263</v>
      </c>
      <c r="K2095">
        <v>152800</v>
      </c>
    </row>
    <row r="2096" spans="1:11" x14ac:dyDescent="0.3">
      <c r="A2096" t="s">
        <v>2105</v>
      </c>
      <c r="B2096">
        <v>550725</v>
      </c>
      <c r="C2096">
        <v>4798300</v>
      </c>
      <c r="D2096">
        <v>277052</v>
      </c>
      <c r="E2096">
        <v>957200</v>
      </c>
      <c r="F2096">
        <v>9314599</v>
      </c>
      <c r="G2096">
        <v>392500</v>
      </c>
      <c r="H2096">
        <v>11668494</v>
      </c>
      <c r="I2096">
        <v>134900</v>
      </c>
      <c r="J2096">
        <v>11646428</v>
      </c>
      <c r="K2096">
        <v>152500</v>
      </c>
    </row>
    <row r="2097" spans="1:11" x14ac:dyDescent="0.3">
      <c r="A2097" t="s">
        <v>2106</v>
      </c>
      <c r="B2097">
        <v>550725</v>
      </c>
      <c r="C2097">
        <v>4513900</v>
      </c>
      <c r="D2097">
        <v>280775</v>
      </c>
      <c r="E2097">
        <v>1004800</v>
      </c>
      <c r="F2097">
        <v>9323826</v>
      </c>
      <c r="G2097">
        <v>384900</v>
      </c>
      <c r="H2097">
        <v>11680805</v>
      </c>
      <c r="I2097">
        <v>137400</v>
      </c>
      <c r="J2097">
        <v>11657895</v>
      </c>
      <c r="K2097">
        <v>147500</v>
      </c>
    </row>
    <row r="2098" spans="1:11" x14ac:dyDescent="0.3">
      <c r="A2098" t="s">
        <v>2107</v>
      </c>
      <c r="B2098">
        <v>550725</v>
      </c>
      <c r="C2098">
        <v>4675300</v>
      </c>
      <c r="D2098">
        <v>273995</v>
      </c>
      <c r="E2098">
        <v>949500</v>
      </c>
      <c r="F2098">
        <v>9333020</v>
      </c>
      <c r="G2098">
        <v>394500</v>
      </c>
      <c r="H2098">
        <v>11692252</v>
      </c>
      <c r="I2098">
        <v>128600</v>
      </c>
      <c r="J2098">
        <v>11669350</v>
      </c>
      <c r="K2098">
        <v>150500</v>
      </c>
    </row>
    <row r="2099" spans="1:11" x14ac:dyDescent="0.3">
      <c r="A2099" t="s">
        <v>2108</v>
      </c>
      <c r="B2099">
        <v>550725</v>
      </c>
      <c r="C2099">
        <v>4797500</v>
      </c>
      <c r="D2099">
        <v>271056</v>
      </c>
      <c r="E2099">
        <v>937400</v>
      </c>
      <c r="F2099">
        <v>9342234</v>
      </c>
      <c r="G2099">
        <v>468300</v>
      </c>
      <c r="H2099">
        <v>11703821</v>
      </c>
      <c r="I2099">
        <v>134000</v>
      </c>
      <c r="J2099">
        <v>11680689</v>
      </c>
      <c r="K2099">
        <v>146700</v>
      </c>
    </row>
    <row r="2100" spans="1:11" x14ac:dyDescent="0.3">
      <c r="A2100" t="s">
        <v>2109</v>
      </c>
      <c r="B2100">
        <v>550725</v>
      </c>
      <c r="C2100">
        <v>4800900</v>
      </c>
      <c r="D2100">
        <v>283858</v>
      </c>
      <c r="E2100">
        <v>1040200</v>
      </c>
      <c r="F2100">
        <v>9351464</v>
      </c>
      <c r="G2100">
        <v>388300</v>
      </c>
      <c r="H2100">
        <v>11715182</v>
      </c>
      <c r="I2100">
        <v>134200</v>
      </c>
      <c r="J2100">
        <v>11691560</v>
      </c>
      <c r="K2100">
        <v>147600</v>
      </c>
    </row>
    <row r="2101" spans="1:11" x14ac:dyDescent="0.3">
      <c r="A2101" t="s">
        <v>2110</v>
      </c>
      <c r="B2101">
        <v>550725</v>
      </c>
      <c r="C2101">
        <v>4553400</v>
      </c>
      <c r="D2101">
        <v>270826</v>
      </c>
      <c r="E2101">
        <v>1097200</v>
      </c>
      <c r="F2101">
        <v>9360643</v>
      </c>
      <c r="G2101">
        <v>389700</v>
      </c>
      <c r="H2101">
        <v>11726264</v>
      </c>
      <c r="I2101">
        <v>130500</v>
      </c>
      <c r="J2101">
        <v>11703162</v>
      </c>
      <c r="K2101">
        <v>148400</v>
      </c>
    </row>
    <row r="2102" spans="1:11" x14ac:dyDescent="0.3">
      <c r="A2102" t="s">
        <v>2111</v>
      </c>
      <c r="B2102">
        <v>604450</v>
      </c>
      <c r="C2102">
        <v>5329600</v>
      </c>
      <c r="D2102">
        <v>295706</v>
      </c>
      <c r="E2102">
        <v>1245200</v>
      </c>
      <c r="F2102">
        <v>9370368</v>
      </c>
      <c r="G2102">
        <v>435900</v>
      </c>
      <c r="H2102">
        <v>11738585</v>
      </c>
      <c r="I2102">
        <v>143700</v>
      </c>
      <c r="J2102">
        <v>11714130</v>
      </c>
      <c r="K2102">
        <v>158600</v>
      </c>
    </row>
    <row r="2103" spans="1:11" x14ac:dyDescent="0.3">
      <c r="A2103" t="s">
        <v>2112</v>
      </c>
      <c r="B2103">
        <v>604450</v>
      </c>
      <c r="C2103">
        <v>5228000</v>
      </c>
      <c r="D2103">
        <v>309435</v>
      </c>
      <c r="E2103">
        <v>1071900</v>
      </c>
      <c r="F2103">
        <v>9380079</v>
      </c>
      <c r="G2103">
        <v>422100</v>
      </c>
      <c r="H2103">
        <v>11749977</v>
      </c>
      <c r="I2103">
        <v>145800</v>
      </c>
      <c r="J2103">
        <v>11725673</v>
      </c>
      <c r="K2103">
        <v>157500</v>
      </c>
    </row>
    <row r="2104" spans="1:11" x14ac:dyDescent="0.3">
      <c r="A2104" t="s">
        <v>2113</v>
      </c>
      <c r="B2104">
        <v>604450</v>
      </c>
      <c r="C2104">
        <v>5419100</v>
      </c>
      <c r="D2104">
        <v>292105</v>
      </c>
      <c r="E2104">
        <v>1010300</v>
      </c>
      <c r="F2104">
        <v>9389833</v>
      </c>
      <c r="G2104">
        <v>418600</v>
      </c>
      <c r="H2104">
        <v>11763139</v>
      </c>
      <c r="I2104">
        <v>145300</v>
      </c>
      <c r="J2104">
        <v>11738279</v>
      </c>
      <c r="K2104">
        <v>158200</v>
      </c>
    </row>
    <row r="2105" spans="1:11" x14ac:dyDescent="0.3">
      <c r="A2105" t="s">
        <v>2114</v>
      </c>
      <c r="B2105">
        <v>604450</v>
      </c>
      <c r="C2105">
        <v>5266200</v>
      </c>
      <c r="D2105">
        <v>287156</v>
      </c>
      <c r="E2105">
        <v>1021400</v>
      </c>
      <c r="F2105">
        <v>9399573</v>
      </c>
      <c r="G2105">
        <v>412400</v>
      </c>
      <c r="H2105">
        <v>11774800</v>
      </c>
      <c r="I2105">
        <v>147300</v>
      </c>
      <c r="J2105">
        <v>11750570</v>
      </c>
      <c r="K2105">
        <v>161600</v>
      </c>
    </row>
    <row r="2106" spans="1:11" x14ac:dyDescent="0.3">
      <c r="A2106" t="s">
        <v>2115</v>
      </c>
      <c r="B2106">
        <v>604450</v>
      </c>
      <c r="C2106">
        <v>5141000</v>
      </c>
      <c r="D2106">
        <v>305184</v>
      </c>
      <c r="E2106">
        <v>1066200</v>
      </c>
      <c r="F2106">
        <v>9409321</v>
      </c>
      <c r="G2106">
        <v>417600</v>
      </c>
      <c r="H2106">
        <v>11786029</v>
      </c>
      <c r="I2106">
        <v>139600</v>
      </c>
      <c r="J2106">
        <v>11763185</v>
      </c>
      <c r="K2106">
        <v>156900</v>
      </c>
    </row>
    <row r="2107" spans="1:11" x14ac:dyDescent="0.3">
      <c r="A2107" t="s">
        <v>2116</v>
      </c>
      <c r="B2107">
        <v>604450</v>
      </c>
      <c r="C2107">
        <v>5056100</v>
      </c>
      <c r="D2107">
        <v>300213</v>
      </c>
      <c r="E2107">
        <v>1037200</v>
      </c>
      <c r="F2107">
        <v>9419046</v>
      </c>
      <c r="G2107">
        <v>416600</v>
      </c>
      <c r="H2107">
        <v>11798962</v>
      </c>
      <c r="I2107">
        <v>135800</v>
      </c>
      <c r="J2107">
        <v>11775412</v>
      </c>
      <c r="K2107">
        <v>156800</v>
      </c>
    </row>
    <row r="2108" spans="1:11" x14ac:dyDescent="0.3">
      <c r="A2108" t="s">
        <v>2117</v>
      </c>
      <c r="B2108">
        <v>604450</v>
      </c>
      <c r="C2108">
        <v>5167200</v>
      </c>
      <c r="D2108">
        <v>302004</v>
      </c>
      <c r="E2108">
        <v>1047900</v>
      </c>
      <c r="F2108">
        <v>9428813</v>
      </c>
      <c r="G2108">
        <v>420100</v>
      </c>
      <c r="H2108">
        <v>11810976</v>
      </c>
      <c r="I2108">
        <v>144300</v>
      </c>
      <c r="J2108">
        <v>11787332</v>
      </c>
      <c r="K2108">
        <v>156800</v>
      </c>
    </row>
    <row r="2109" spans="1:11" x14ac:dyDescent="0.3">
      <c r="A2109" t="s">
        <v>2118</v>
      </c>
      <c r="B2109">
        <v>604450</v>
      </c>
      <c r="C2109">
        <v>5042700</v>
      </c>
      <c r="D2109">
        <v>307509</v>
      </c>
      <c r="E2109">
        <v>1064100</v>
      </c>
      <c r="F2109">
        <v>9438558</v>
      </c>
      <c r="G2109">
        <v>416700</v>
      </c>
      <c r="H2109">
        <v>11824109</v>
      </c>
      <c r="I2109">
        <v>140800</v>
      </c>
      <c r="J2109">
        <v>11799200</v>
      </c>
      <c r="K2109">
        <v>158100</v>
      </c>
    </row>
    <row r="2110" spans="1:11" x14ac:dyDescent="0.3">
      <c r="A2110" t="s">
        <v>2119</v>
      </c>
      <c r="B2110">
        <v>604450</v>
      </c>
      <c r="C2110">
        <v>4883400</v>
      </c>
      <c r="D2110">
        <v>305716</v>
      </c>
      <c r="E2110">
        <v>1087000</v>
      </c>
      <c r="F2110">
        <v>9448305</v>
      </c>
      <c r="G2110">
        <v>414700</v>
      </c>
      <c r="H2110">
        <v>11836224</v>
      </c>
      <c r="I2110">
        <v>140400</v>
      </c>
      <c r="J2110">
        <v>11810869</v>
      </c>
      <c r="K2110">
        <v>154800</v>
      </c>
    </row>
    <row r="2111" spans="1:11" x14ac:dyDescent="0.3">
      <c r="A2111" t="s">
        <v>2120</v>
      </c>
      <c r="B2111">
        <v>604450</v>
      </c>
      <c r="C2111">
        <v>5226700</v>
      </c>
      <c r="D2111">
        <v>309585</v>
      </c>
      <c r="E2111">
        <v>1077000</v>
      </c>
      <c r="F2111">
        <v>9458061</v>
      </c>
      <c r="G2111">
        <v>464700</v>
      </c>
      <c r="H2111">
        <v>11848232</v>
      </c>
      <c r="I2111">
        <v>136000</v>
      </c>
      <c r="J2111">
        <v>11822883</v>
      </c>
      <c r="K2111">
        <v>157100</v>
      </c>
    </row>
    <row r="2112" spans="1:11" x14ac:dyDescent="0.3">
      <c r="A2112" t="s">
        <v>2121</v>
      </c>
      <c r="B2112">
        <v>604450</v>
      </c>
      <c r="C2112">
        <v>5226600</v>
      </c>
      <c r="D2112">
        <v>303539</v>
      </c>
      <c r="E2112">
        <v>1106600</v>
      </c>
      <c r="F2112">
        <v>9467807</v>
      </c>
      <c r="G2112">
        <v>413500</v>
      </c>
      <c r="H2112">
        <v>11861611</v>
      </c>
      <c r="I2112">
        <v>149600</v>
      </c>
      <c r="J2112">
        <v>11835116</v>
      </c>
      <c r="K2112">
        <v>156200</v>
      </c>
    </row>
    <row r="2113" spans="1:11" x14ac:dyDescent="0.3">
      <c r="A2113" t="s">
        <v>2122</v>
      </c>
      <c r="B2113">
        <v>604450</v>
      </c>
      <c r="C2113">
        <v>5138000</v>
      </c>
      <c r="D2113">
        <v>302721</v>
      </c>
      <c r="E2113">
        <v>1298700</v>
      </c>
      <c r="F2113">
        <v>9477546</v>
      </c>
      <c r="G2113">
        <v>432000</v>
      </c>
      <c r="H2113">
        <v>11873666</v>
      </c>
      <c r="I2113">
        <v>140800</v>
      </c>
      <c r="J2113">
        <v>11846861</v>
      </c>
      <c r="K2113">
        <v>161500</v>
      </c>
    </row>
    <row r="2114" spans="1:11" x14ac:dyDescent="0.3">
      <c r="A2114" t="s">
        <v>2123</v>
      </c>
      <c r="B2114">
        <v>604450</v>
      </c>
      <c r="C2114">
        <v>5243400</v>
      </c>
      <c r="D2114">
        <v>300078</v>
      </c>
      <c r="E2114">
        <v>1068000</v>
      </c>
      <c r="F2114">
        <v>9487313</v>
      </c>
      <c r="G2114">
        <v>461700</v>
      </c>
      <c r="H2114">
        <v>11886803</v>
      </c>
      <c r="I2114">
        <v>145600</v>
      </c>
      <c r="J2114">
        <v>11859254</v>
      </c>
      <c r="K2114">
        <v>163700</v>
      </c>
    </row>
    <row r="2115" spans="1:11" x14ac:dyDescent="0.3">
      <c r="A2115" t="s">
        <v>2124</v>
      </c>
      <c r="B2115">
        <v>604450</v>
      </c>
      <c r="C2115">
        <v>5362800</v>
      </c>
      <c r="D2115">
        <v>301806</v>
      </c>
      <c r="E2115">
        <v>1114800</v>
      </c>
      <c r="F2115">
        <v>9497063</v>
      </c>
      <c r="G2115">
        <v>413900</v>
      </c>
      <c r="H2115">
        <v>11898652</v>
      </c>
      <c r="I2115">
        <v>141500</v>
      </c>
      <c r="J2115">
        <v>11871570</v>
      </c>
      <c r="K2115">
        <v>162900</v>
      </c>
    </row>
    <row r="2116" spans="1:11" x14ac:dyDescent="0.3">
      <c r="A2116" t="s">
        <v>2125</v>
      </c>
      <c r="B2116">
        <v>604450</v>
      </c>
      <c r="C2116">
        <v>5379400</v>
      </c>
      <c r="D2116">
        <v>307479</v>
      </c>
      <c r="E2116">
        <v>1090300</v>
      </c>
      <c r="F2116">
        <v>9506785</v>
      </c>
      <c r="G2116">
        <v>416300</v>
      </c>
      <c r="H2116">
        <v>11910262</v>
      </c>
      <c r="I2116">
        <v>139700</v>
      </c>
      <c r="J2116">
        <v>11883569</v>
      </c>
      <c r="K2116">
        <v>159000</v>
      </c>
    </row>
    <row r="2117" spans="1:11" x14ac:dyDescent="0.3">
      <c r="A2117" t="s">
        <v>2126</v>
      </c>
      <c r="B2117">
        <v>604450</v>
      </c>
      <c r="C2117">
        <v>5697600</v>
      </c>
      <c r="D2117">
        <v>296294</v>
      </c>
      <c r="E2117">
        <v>1406900</v>
      </c>
      <c r="F2117">
        <v>9516501</v>
      </c>
      <c r="G2117">
        <v>445400</v>
      </c>
      <c r="H2117">
        <v>11922969</v>
      </c>
      <c r="I2117">
        <v>143800</v>
      </c>
      <c r="J2117">
        <v>11895528</v>
      </c>
      <c r="K2117">
        <v>158500</v>
      </c>
    </row>
    <row r="2118" spans="1:11" x14ac:dyDescent="0.3">
      <c r="A2118" t="s">
        <v>2127</v>
      </c>
      <c r="B2118">
        <v>604450</v>
      </c>
      <c r="C2118">
        <v>5524700</v>
      </c>
      <c r="D2118">
        <v>295539</v>
      </c>
      <c r="E2118">
        <v>1019300</v>
      </c>
      <c r="F2118">
        <v>9526244</v>
      </c>
      <c r="G2118">
        <v>422200</v>
      </c>
      <c r="H2118">
        <v>11934795</v>
      </c>
      <c r="I2118">
        <v>141200</v>
      </c>
      <c r="J2118">
        <v>11907938</v>
      </c>
      <c r="K2118">
        <v>166800</v>
      </c>
    </row>
    <row r="2119" spans="1:11" x14ac:dyDescent="0.3">
      <c r="A2119" t="s">
        <v>2128</v>
      </c>
      <c r="B2119">
        <v>604450</v>
      </c>
      <c r="C2119">
        <v>5315200</v>
      </c>
      <c r="D2119">
        <v>292674</v>
      </c>
      <c r="E2119">
        <v>1049800</v>
      </c>
      <c r="F2119">
        <v>9535952</v>
      </c>
      <c r="G2119">
        <v>415000</v>
      </c>
      <c r="H2119">
        <v>11947450</v>
      </c>
      <c r="I2119">
        <v>143600</v>
      </c>
      <c r="J2119">
        <v>11921169</v>
      </c>
      <c r="K2119">
        <v>158500</v>
      </c>
    </row>
    <row r="2120" spans="1:11" x14ac:dyDescent="0.3">
      <c r="A2120" t="s">
        <v>2129</v>
      </c>
      <c r="B2120">
        <v>604450</v>
      </c>
      <c r="C2120">
        <v>5098100</v>
      </c>
      <c r="D2120">
        <v>301544</v>
      </c>
      <c r="E2120">
        <v>1042000</v>
      </c>
      <c r="F2120">
        <v>9545707</v>
      </c>
      <c r="G2120">
        <v>415800</v>
      </c>
      <c r="H2120">
        <v>11959243</v>
      </c>
      <c r="I2120">
        <v>140500</v>
      </c>
      <c r="J2120">
        <v>11933174</v>
      </c>
      <c r="K2120">
        <v>159100</v>
      </c>
    </row>
    <row r="2121" spans="1:11" x14ac:dyDescent="0.3">
      <c r="A2121" t="s">
        <v>2130</v>
      </c>
      <c r="B2121">
        <v>604450</v>
      </c>
      <c r="C2121">
        <v>5385600</v>
      </c>
      <c r="D2121">
        <v>299355</v>
      </c>
      <c r="E2121">
        <v>1037700</v>
      </c>
      <c r="F2121">
        <v>9555418</v>
      </c>
      <c r="G2121">
        <v>429800</v>
      </c>
      <c r="H2121">
        <v>11972393</v>
      </c>
      <c r="I2121">
        <v>141700</v>
      </c>
      <c r="J2121">
        <v>11944654</v>
      </c>
      <c r="K2121">
        <v>159600</v>
      </c>
    </row>
    <row r="2122" spans="1:11" x14ac:dyDescent="0.3">
      <c r="A2122" t="s">
        <v>2131</v>
      </c>
      <c r="B2122">
        <v>604450</v>
      </c>
      <c r="C2122">
        <v>5468000</v>
      </c>
      <c r="D2122">
        <v>297156</v>
      </c>
      <c r="E2122">
        <v>1042200</v>
      </c>
      <c r="F2122">
        <v>9565158</v>
      </c>
      <c r="G2122">
        <v>419700</v>
      </c>
      <c r="H2122">
        <v>11983982</v>
      </c>
      <c r="I2122">
        <v>143100</v>
      </c>
      <c r="J2122">
        <v>11956354</v>
      </c>
      <c r="K2122">
        <v>154700</v>
      </c>
    </row>
    <row r="2123" spans="1:11" x14ac:dyDescent="0.3">
      <c r="A2123" t="s">
        <v>2132</v>
      </c>
      <c r="B2123">
        <v>604450</v>
      </c>
      <c r="C2123">
        <v>5141500</v>
      </c>
      <c r="D2123">
        <v>306572</v>
      </c>
      <c r="E2123">
        <v>1065600</v>
      </c>
      <c r="F2123">
        <v>9574886</v>
      </c>
      <c r="G2123">
        <v>418700</v>
      </c>
      <c r="H2123">
        <v>11996488</v>
      </c>
      <c r="I2123">
        <v>144400</v>
      </c>
      <c r="J2123">
        <v>11967996</v>
      </c>
      <c r="K2123">
        <v>154800</v>
      </c>
    </row>
    <row r="2124" spans="1:11" x14ac:dyDescent="0.3">
      <c r="A2124" t="s">
        <v>2133</v>
      </c>
      <c r="B2124">
        <v>604450</v>
      </c>
      <c r="C2124">
        <v>5209100</v>
      </c>
      <c r="D2124">
        <v>305409</v>
      </c>
      <c r="E2124">
        <v>1062600</v>
      </c>
      <c r="F2124">
        <v>9584616</v>
      </c>
      <c r="G2124">
        <v>419800</v>
      </c>
      <c r="H2124">
        <v>12009007</v>
      </c>
      <c r="I2124">
        <v>217700</v>
      </c>
      <c r="J2124">
        <v>11980242</v>
      </c>
      <c r="K2124">
        <v>230100</v>
      </c>
    </row>
    <row r="2125" spans="1:11" x14ac:dyDescent="0.3">
      <c r="A2125" t="s">
        <v>2134</v>
      </c>
      <c r="B2125">
        <v>604450</v>
      </c>
      <c r="C2125">
        <v>5238200</v>
      </c>
      <c r="D2125">
        <v>299758</v>
      </c>
      <c r="E2125">
        <v>1323300</v>
      </c>
      <c r="F2125">
        <v>9594374</v>
      </c>
      <c r="G2125">
        <v>511600</v>
      </c>
      <c r="H2125">
        <v>12021640</v>
      </c>
      <c r="I2125">
        <v>156200</v>
      </c>
      <c r="J2125">
        <v>11992434</v>
      </c>
      <c r="K2125">
        <v>249100</v>
      </c>
    </row>
    <row r="2126" spans="1:11" x14ac:dyDescent="0.3">
      <c r="A2126" t="s">
        <v>2135</v>
      </c>
      <c r="B2126">
        <v>604450</v>
      </c>
      <c r="C2126">
        <v>5662300</v>
      </c>
      <c r="D2126">
        <v>290775</v>
      </c>
      <c r="E2126">
        <v>1057500</v>
      </c>
      <c r="F2126">
        <v>9604101</v>
      </c>
      <c r="G2126">
        <v>562700</v>
      </c>
      <c r="H2126">
        <v>12035106</v>
      </c>
      <c r="I2126">
        <v>149700</v>
      </c>
      <c r="J2126">
        <v>12004834</v>
      </c>
      <c r="K2126">
        <v>157800</v>
      </c>
    </row>
    <row r="2127" spans="1:11" x14ac:dyDescent="0.3">
      <c r="A2127" t="s">
        <v>2136</v>
      </c>
      <c r="B2127">
        <v>604450</v>
      </c>
      <c r="C2127">
        <v>5222900</v>
      </c>
      <c r="D2127">
        <v>299256</v>
      </c>
      <c r="E2127">
        <v>1097900</v>
      </c>
      <c r="F2127">
        <v>9613863</v>
      </c>
      <c r="G2127">
        <v>423000</v>
      </c>
      <c r="H2127">
        <v>12048381</v>
      </c>
      <c r="I2127">
        <v>143100</v>
      </c>
      <c r="J2127">
        <v>12017357</v>
      </c>
      <c r="K2127">
        <v>160000</v>
      </c>
    </row>
    <row r="2128" spans="1:11" x14ac:dyDescent="0.3">
      <c r="A2128" t="s">
        <v>2137</v>
      </c>
      <c r="B2128">
        <v>604450</v>
      </c>
      <c r="C2128">
        <v>5007000</v>
      </c>
      <c r="D2128">
        <v>292281</v>
      </c>
      <c r="E2128">
        <v>1292700</v>
      </c>
      <c r="F2128">
        <v>9623585</v>
      </c>
      <c r="G2128">
        <v>425700</v>
      </c>
      <c r="H2128">
        <v>12060109</v>
      </c>
      <c r="I2128">
        <v>147500</v>
      </c>
      <c r="J2128">
        <v>12029321</v>
      </c>
      <c r="K2128">
        <v>159000</v>
      </c>
    </row>
    <row r="2129" spans="1:11" x14ac:dyDescent="0.3">
      <c r="A2129" t="s">
        <v>2138</v>
      </c>
      <c r="B2129">
        <v>604450</v>
      </c>
      <c r="C2129">
        <v>5222500</v>
      </c>
      <c r="D2129">
        <v>301576</v>
      </c>
      <c r="E2129">
        <v>1178800</v>
      </c>
      <c r="F2129">
        <v>9633336</v>
      </c>
      <c r="G2129">
        <v>433400</v>
      </c>
      <c r="H2129">
        <v>12072375</v>
      </c>
      <c r="I2129">
        <v>145100</v>
      </c>
      <c r="J2129">
        <v>12042593</v>
      </c>
      <c r="K2129">
        <v>186500</v>
      </c>
    </row>
    <row r="2130" spans="1:11" x14ac:dyDescent="0.3">
      <c r="A2130" t="s">
        <v>2139</v>
      </c>
      <c r="B2130">
        <v>604450</v>
      </c>
      <c r="C2130">
        <v>5364700</v>
      </c>
      <c r="D2130">
        <v>302244</v>
      </c>
      <c r="E2130">
        <v>1067200</v>
      </c>
      <c r="F2130">
        <v>9643082</v>
      </c>
      <c r="G2130">
        <v>419700</v>
      </c>
      <c r="H2130">
        <v>12085166</v>
      </c>
      <c r="I2130">
        <v>145500</v>
      </c>
      <c r="J2130">
        <v>12053807</v>
      </c>
      <c r="K2130">
        <v>154500</v>
      </c>
    </row>
    <row r="2131" spans="1:11" x14ac:dyDescent="0.3">
      <c r="A2131" t="s">
        <v>2140</v>
      </c>
      <c r="B2131">
        <v>604450</v>
      </c>
      <c r="C2131">
        <v>5848900</v>
      </c>
      <c r="D2131">
        <v>299873</v>
      </c>
      <c r="E2131">
        <v>1154100</v>
      </c>
      <c r="F2131">
        <v>9652830</v>
      </c>
      <c r="G2131">
        <v>421200</v>
      </c>
      <c r="H2131">
        <v>12097358</v>
      </c>
      <c r="I2131">
        <v>139700</v>
      </c>
      <c r="J2131">
        <v>12065781</v>
      </c>
      <c r="K2131">
        <v>156800</v>
      </c>
    </row>
    <row r="2132" spans="1:11" x14ac:dyDescent="0.3">
      <c r="A2132" t="s">
        <v>2141</v>
      </c>
      <c r="B2132">
        <v>604450</v>
      </c>
      <c r="C2132">
        <v>6130900</v>
      </c>
      <c r="D2132">
        <v>303415</v>
      </c>
      <c r="E2132">
        <v>1049300</v>
      </c>
      <c r="F2132">
        <v>9662625</v>
      </c>
      <c r="G2132">
        <v>413500</v>
      </c>
      <c r="H2132">
        <v>12109988</v>
      </c>
      <c r="I2132">
        <v>145700</v>
      </c>
      <c r="J2132">
        <v>12077631</v>
      </c>
      <c r="K2132">
        <v>158900</v>
      </c>
    </row>
    <row r="2133" spans="1:11" x14ac:dyDescent="0.3">
      <c r="A2133" t="s">
        <v>2142</v>
      </c>
      <c r="B2133">
        <v>604450</v>
      </c>
      <c r="C2133">
        <v>5114500</v>
      </c>
      <c r="D2133">
        <v>318768</v>
      </c>
      <c r="E2133">
        <v>1102800</v>
      </c>
      <c r="F2133">
        <v>9672344</v>
      </c>
      <c r="G2133">
        <v>433600</v>
      </c>
      <c r="H2133">
        <v>12122712</v>
      </c>
      <c r="I2133">
        <v>141600</v>
      </c>
      <c r="J2133">
        <v>12090546</v>
      </c>
      <c r="K2133">
        <v>156900</v>
      </c>
    </row>
    <row r="2134" spans="1:11" x14ac:dyDescent="0.3">
      <c r="A2134" t="s">
        <v>2143</v>
      </c>
      <c r="B2134">
        <v>604450</v>
      </c>
      <c r="C2134">
        <v>5218700</v>
      </c>
      <c r="D2134">
        <v>306500</v>
      </c>
      <c r="E2134">
        <v>2312800</v>
      </c>
      <c r="F2134">
        <v>9682066</v>
      </c>
      <c r="G2134">
        <v>595700</v>
      </c>
      <c r="H2134">
        <v>12135142</v>
      </c>
      <c r="I2134">
        <v>229200</v>
      </c>
      <c r="J2134">
        <v>12104025</v>
      </c>
      <c r="K2134">
        <v>208400</v>
      </c>
    </row>
    <row r="2135" spans="1:11" x14ac:dyDescent="0.3">
      <c r="A2135" t="s">
        <v>2144</v>
      </c>
      <c r="B2135">
        <v>604450</v>
      </c>
      <c r="C2135">
        <v>5645600</v>
      </c>
      <c r="D2135">
        <v>293539</v>
      </c>
      <c r="E2135">
        <v>1017400</v>
      </c>
      <c r="F2135">
        <v>9691792</v>
      </c>
      <c r="G2135">
        <v>427600</v>
      </c>
      <c r="H2135">
        <v>12148771</v>
      </c>
      <c r="I2135">
        <v>146200</v>
      </c>
      <c r="J2135">
        <v>12116636</v>
      </c>
      <c r="K2135">
        <v>159000</v>
      </c>
    </row>
    <row r="2136" spans="1:11" x14ac:dyDescent="0.3">
      <c r="A2136" t="s">
        <v>2145</v>
      </c>
      <c r="B2136">
        <v>604450</v>
      </c>
      <c r="C2136">
        <v>5235600</v>
      </c>
      <c r="D2136">
        <v>306112</v>
      </c>
      <c r="E2136">
        <v>1059200</v>
      </c>
      <c r="F2136">
        <v>9701529</v>
      </c>
      <c r="G2136">
        <v>423700</v>
      </c>
      <c r="H2136">
        <v>12161592</v>
      </c>
      <c r="I2136">
        <v>151500</v>
      </c>
      <c r="J2136">
        <v>12130372</v>
      </c>
      <c r="K2136">
        <v>163900</v>
      </c>
    </row>
    <row r="2137" spans="1:11" x14ac:dyDescent="0.3">
      <c r="A2137" t="s">
        <v>2146</v>
      </c>
      <c r="B2137">
        <v>604450</v>
      </c>
      <c r="C2137">
        <v>5816700</v>
      </c>
      <c r="D2137">
        <v>305817</v>
      </c>
      <c r="E2137">
        <v>1058100</v>
      </c>
      <c r="F2137">
        <v>9711294</v>
      </c>
      <c r="G2137">
        <v>412800</v>
      </c>
      <c r="H2137">
        <v>12173356</v>
      </c>
      <c r="I2137">
        <v>140700</v>
      </c>
      <c r="J2137">
        <v>12142890</v>
      </c>
      <c r="K2137">
        <v>153900</v>
      </c>
    </row>
    <row r="2138" spans="1:11" x14ac:dyDescent="0.3">
      <c r="A2138" t="s">
        <v>2147</v>
      </c>
      <c r="B2138">
        <v>604450</v>
      </c>
      <c r="C2138">
        <v>5321400</v>
      </c>
      <c r="D2138">
        <v>289387</v>
      </c>
      <c r="E2138">
        <v>997700</v>
      </c>
      <c r="F2138">
        <v>9721008</v>
      </c>
      <c r="G2138">
        <v>416900</v>
      </c>
      <c r="H2138">
        <v>12185806</v>
      </c>
      <c r="I2138">
        <v>140600</v>
      </c>
      <c r="J2138">
        <v>12155378</v>
      </c>
      <c r="K2138">
        <v>154700</v>
      </c>
    </row>
    <row r="2139" spans="1:11" x14ac:dyDescent="0.3">
      <c r="A2139" t="s">
        <v>2148</v>
      </c>
      <c r="B2139">
        <v>604450</v>
      </c>
      <c r="C2139">
        <v>5272700</v>
      </c>
      <c r="D2139">
        <v>306975</v>
      </c>
      <c r="E2139">
        <v>1093500</v>
      </c>
      <c r="F2139">
        <v>9730723</v>
      </c>
      <c r="G2139">
        <v>413600</v>
      </c>
      <c r="H2139">
        <v>12197665</v>
      </c>
      <c r="I2139">
        <v>143500</v>
      </c>
      <c r="J2139">
        <v>12168143</v>
      </c>
      <c r="K2139">
        <v>161100</v>
      </c>
    </row>
    <row r="2140" spans="1:11" x14ac:dyDescent="0.3">
      <c r="A2140" t="s">
        <v>2149</v>
      </c>
      <c r="B2140">
        <v>604450</v>
      </c>
      <c r="C2140">
        <v>5087300</v>
      </c>
      <c r="D2140">
        <v>311775</v>
      </c>
      <c r="E2140">
        <v>1078300</v>
      </c>
      <c r="F2140">
        <v>9740444</v>
      </c>
      <c r="G2140">
        <v>408800</v>
      </c>
      <c r="H2140">
        <v>12209981</v>
      </c>
      <c r="I2140">
        <v>142600</v>
      </c>
      <c r="J2140">
        <v>12180934</v>
      </c>
      <c r="K2140">
        <v>159100</v>
      </c>
    </row>
    <row r="2141" spans="1:11" x14ac:dyDescent="0.3">
      <c r="A2141" t="s">
        <v>2150</v>
      </c>
      <c r="B2141">
        <v>604450</v>
      </c>
      <c r="C2141">
        <v>5199900</v>
      </c>
      <c r="D2141">
        <v>307143</v>
      </c>
      <c r="E2141">
        <v>1083500</v>
      </c>
      <c r="F2141">
        <v>9750179</v>
      </c>
      <c r="G2141">
        <v>423700</v>
      </c>
      <c r="H2141">
        <v>12222715</v>
      </c>
      <c r="I2141">
        <v>148700</v>
      </c>
      <c r="J2141">
        <v>12192428</v>
      </c>
      <c r="K2141">
        <v>153800</v>
      </c>
    </row>
    <row r="2142" spans="1:11" x14ac:dyDescent="0.3">
      <c r="A2142" t="s">
        <v>2151</v>
      </c>
      <c r="B2142">
        <v>604450</v>
      </c>
      <c r="C2142">
        <v>5308200</v>
      </c>
      <c r="D2142">
        <v>294420</v>
      </c>
      <c r="E2142">
        <v>1023300</v>
      </c>
      <c r="F2142">
        <v>9759938</v>
      </c>
      <c r="G2142">
        <v>418700</v>
      </c>
      <c r="H2142">
        <v>12234753</v>
      </c>
      <c r="I2142">
        <v>145700</v>
      </c>
      <c r="J2142">
        <v>12203721</v>
      </c>
      <c r="K2142">
        <v>155900</v>
      </c>
    </row>
    <row r="2143" spans="1:11" x14ac:dyDescent="0.3">
      <c r="A2143" t="s">
        <v>2152</v>
      </c>
      <c r="B2143">
        <v>604450</v>
      </c>
      <c r="C2143">
        <v>5553700</v>
      </c>
      <c r="D2143">
        <v>292769</v>
      </c>
      <c r="E2143">
        <v>1020700</v>
      </c>
      <c r="F2143">
        <v>9769690</v>
      </c>
      <c r="G2143">
        <v>413500</v>
      </c>
      <c r="H2143">
        <v>12248281</v>
      </c>
      <c r="I2143">
        <v>146100</v>
      </c>
      <c r="J2143">
        <v>12215950</v>
      </c>
      <c r="K2143">
        <v>160400</v>
      </c>
    </row>
    <row r="2144" spans="1:11" x14ac:dyDescent="0.3">
      <c r="A2144" t="s">
        <v>2153</v>
      </c>
      <c r="B2144">
        <v>604450</v>
      </c>
      <c r="C2144">
        <v>5571100</v>
      </c>
      <c r="D2144">
        <v>298898</v>
      </c>
      <c r="E2144">
        <v>1034000</v>
      </c>
      <c r="F2144">
        <v>9779362</v>
      </c>
      <c r="G2144">
        <v>591700</v>
      </c>
      <c r="H2144">
        <v>12259984</v>
      </c>
      <c r="I2144">
        <v>142600</v>
      </c>
      <c r="J2144">
        <v>12228047</v>
      </c>
      <c r="K2144">
        <v>155600</v>
      </c>
    </row>
    <row r="2145" spans="1:11" x14ac:dyDescent="0.3">
      <c r="A2145" t="s">
        <v>2154</v>
      </c>
      <c r="B2145">
        <v>604450</v>
      </c>
      <c r="C2145">
        <v>5525700</v>
      </c>
      <c r="D2145">
        <v>301680</v>
      </c>
      <c r="E2145">
        <v>1190800</v>
      </c>
      <c r="F2145">
        <v>9789119</v>
      </c>
      <c r="G2145">
        <v>574700</v>
      </c>
      <c r="H2145">
        <v>12272631</v>
      </c>
      <c r="I2145">
        <v>172500</v>
      </c>
      <c r="J2145">
        <v>12241370</v>
      </c>
      <c r="K2145">
        <v>195400</v>
      </c>
    </row>
    <row r="2146" spans="1:11" x14ac:dyDescent="0.3">
      <c r="A2146" t="s">
        <v>2155</v>
      </c>
      <c r="B2146">
        <v>604450</v>
      </c>
      <c r="C2146">
        <v>5616100</v>
      </c>
      <c r="D2146">
        <v>307356</v>
      </c>
      <c r="E2146">
        <v>1308900</v>
      </c>
      <c r="F2146">
        <v>9798887</v>
      </c>
      <c r="G2146">
        <v>466300</v>
      </c>
      <c r="H2146">
        <v>12283868</v>
      </c>
      <c r="I2146">
        <v>141900</v>
      </c>
      <c r="J2146">
        <v>12253359</v>
      </c>
      <c r="K2146">
        <v>156200</v>
      </c>
    </row>
    <row r="2147" spans="1:11" x14ac:dyDescent="0.3">
      <c r="A2147" t="s">
        <v>2156</v>
      </c>
      <c r="B2147">
        <v>604450</v>
      </c>
      <c r="C2147">
        <v>5490800</v>
      </c>
      <c r="D2147">
        <v>298654</v>
      </c>
      <c r="E2147">
        <v>1071900</v>
      </c>
      <c r="F2147">
        <v>9808631</v>
      </c>
      <c r="G2147">
        <v>414200</v>
      </c>
      <c r="H2147">
        <v>12296325</v>
      </c>
      <c r="I2147">
        <v>141300</v>
      </c>
      <c r="J2147">
        <v>12266374</v>
      </c>
      <c r="K2147">
        <v>162100</v>
      </c>
    </row>
    <row r="2148" spans="1:11" x14ac:dyDescent="0.3">
      <c r="A2148" t="s">
        <v>2157</v>
      </c>
      <c r="B2148">
        <v>604450</v>
      </c>
      <c r="C2148">
        <v>5449200</v>
      </c>
      <c r="D2148">
        <v>302078</v>
      </c>
      <c r="E2148">
        <v>1082300</v>
      </c>
      <c r="F2148">
        <v>9818374</v>
      </c>
      <c r="G2148">
        <v>414100</v>
      </c>
      <c r="H2148">
        <v>12309343</v>
      </c>
      <c r="I2148">
        <v>142900</v>
      </c>
      <c r="J2148">
        <v>12277834</v>
      </c>
      <c r="K2148">
        <v>158600</v>
      </c>
    </row>
    <row r="2149" spans="1:11" x14ac:dyDescent="0.3">
      <c r="A2149" t="s">
        <v>2158</v>
      </c>
      <c r="B2149">
        <v>604450</v>
      </c>
      <c r="C2149">
        <v>5106600</v>
      </c>
      <c r="D2149">
        <v>297662</v>
      </c>
      <c r="E2149">
        <v>1047200</v>
      </c>
      <c r="F2149">
        <v>9828108</v>
      </c>
      <c r="G2149">
        <v>423500</v>
      </c>
      <c r="H2149">
        <v>12321044</v>
      </c>
      <c r="I2149">
        <v>143100</v>
      </c>
      <c r="J2149">
        <v>12293094</v>
      </c>
      <c r="K2149">
        <v>158300</v>
      </c>
    </row>
    <row r="2150" spans="1:11" x14ac:dyDescent="0.3">
      <c r="A2150" t="s">
        <v>2159</v>
      </c>
      <c r="B2150">
        <v>604450</v>
      </c>
      <c r="C2150">
        <v>5245600</v>
      </c>
      <c r="D2150">
        <v>304938</v>
      </c>
      <c r="E2150">
        <v>1075600</v>
      </c>
      <c r="F2150">
        <v>9837831</v>
      </c>
      <c r="G2150">
        <v>419800</v>
      </c>
      <c r="H2150">
        <v>12332452</v>
      </c>
      <c r="I2150">
        <v>143300</v>
      </c>
      <c r="J2150">
        <v>12304654</v>
      </c>
      <c r="K2150">
        <v>152900</v>
      </c>
    </row>
    <row r="2151" spans="1:11" x14ac:dyDescent="0.3">
      <c r="A2151" t="s">
        <v>2160</v>
      </c>
      <c r="B2151">
        <v>604450</v>
      </c>
      <c r="C2151">
        <v>5180200</v>
      </c>
      <c r="D2151">
        <v>299982</v>
      </c>
      <c r="E2151">
        <v>1058900</v>
      </c>
      <c r="F2151">
        <v>9847540</v>
      </c>
      <c r="G2151">
        <v>426300</v>
      </c>
      <c r="H2151">
        <v>12343682</v>
      </c>
      <c r="I2151">
        <v>140600</v>
      </c>
      <c r="J2151">
        <v>12316001</v>
      </c>
      <c r="K2151">
        <v>153800</v>
      </c>
    </row>
    <row r="2152" spans="1:11" x14ac:dyDescent="0.3">
      <c r="A2152" t="s">
        <v>2161</v>
      </c>
      <c r="B2152">
        <v>604450</v>
      </c>
      <c r="C2152">
        <v>5355900</v>
      </c>
      <c r="D2152">
        <v>307426</v>
      </c>
      <c r="E2152">
        <v>1072800</v>
      </c>
      <c r="F2152">
        <v>9857302</v>
      </c>
      <c r="G2152">
        <v>415100</v>
      </c>
      <c r="H2152">
        <v>12356101</v>
      </c>
      <c r="I2152">
        <v>139100</v>
      </c>
      <c r="J2152">
        <v>12327830</v>
      </c>
      <c r="K2152">
        <v>157900</v>
      </c>
    </row>
    <row r="2153" spans="1:11" x14ac:dyDescent="0.3">
      <c r="A2153" t="s">
        <v>2162</v>
      </c>
      <c r="B2153">
        <v>604450</v>
      </c>
      <c r="C2153">
        <v>5080600</v>
      </c>
      <c r="D2153">
        <v>304035</v>
      </c>
      <c r="E2153">
        <v>1058900</v>
      </c>
      <c r="F2153">
        <v>9867066</v>
      </c>
      <c r="G2153">
        <v>412100</v>
      </c>
      <c r="H2153">
        <v>12368046</v>
      </c>
      <c r="I2153">
        <v>143100</v>
      </c>
      <c r="J2153">
        <v>12339693</v>
      </c>
      <c r="K2153">
        <v>151500</v>
      </c>
    </row>
    <row r="2154" spans="1:11" x14ac:dyDescent="0.3">
      <c r="A2154" t="s">
        <v>2163</v>
      </c>
      <c r="B2154">
        <v>604450</v>
      </c>
      <c r="C2154">
        <v>5295400</v>
      </c>
      <c r="D2154">
        <v>300975</v>
      </c>
      <c r="E2154">
        <v>1039400</v>
      </c>
      <c r="F2154">
        <v>9876778</v>
      </c>
      <c r="G2154">
        <v>415200</v>
      </c>
      <c r="H2154">
        <v>12380304</v>
      </c>
      <c r="I2154">
        <v>145700</v>
      </c>
      <c r="J2154">
        <v>12352565</v>
      </c>
      <c r="K2154">
        <v>154200</v>
      </c>
    </row>
    <row r="2155" spans="1:11" x14ac:dyDescent="0.3">
      <c r="A2155" t="s">
        <v>2164</v>
      </c>
      <c r="B2155">
        <v>604450</v>
      </c>
      <c r="C2155">
        <v>5802400</v>
      </c>
      <c r="D2155">
        <v>298049</v>
      </c>
      <c r="E2155">
        <v>1034300</v>
      </c>
      <c r="F2155">
        <v>9886542</v>
      </c>
      <c r="G2155">
        <v>410200</v>
      </c>
      <c r="H2155">
        <v>12391979</v>
      </c>
      <c r="I2155">
        <v>164100</v>
      </c>
      <c r="J2155">
        <v>12366274</v>
      </c>
      <c r="K2155">
        <v>159200</v>
      </c>
    </row>
    <row r="2156" spans="1:11" x14ac:dyDescent="0.3">
      <c r="A2156" t="s">
        <v>2165</v>
      </c>
      <c r="B2156">
        <v>604450</v>
      </c>
      <c r="C2156">
        <v>5150500</v>
      </c>
      <c r="D2156">
        <v>305397</v>
      </c>
      <c r="E2156">
        <v>1113300</v>
      </c>
      <c r="F2156">
        <v>9896302</v>
      </c>
      <c r="G2156">
        <v>421100</v>
      </c>
      <c r="H2156">
        <v>12403690</v>
      </c>
      <c r="I2156">
        <v>144000</v>
      </c>
      <c r="J2156">
        <v>12378360</v>
      </c>
      <c r="K2156">
        <v>154700</v>
      </c>
    </row>
    <row r="2157" spans="1:11" x14ac:dyDescent="0.3">
      <c r="A2157" t="s">
        <v>2166</v>
      </c>
      <c r="B2157">
        <v>604450</v>
      </c>
      <c r="C2157">
        <v>5415100</v>
      </c>
      <c r="D2157">
        <v>303734</v>
      </c>
      <c r="E2157">
        <v>1058800</v>
      </c>
      <c r="F2157">
        <v>9906034</v>
      </c>
      <c r="G2157">
        <v>411900</v>
      </c>
      <c r="H2157">
        <v>12415081</v>
      </c>
      <c r="I2157">
        <v>142300</v>
      </c>
      <c r="J2157">
        <v>12390924</v>
      </c>
      <c r="K2157">
        <v>161000</v>
      </c>
    </row>
    <row r="2158" spans="1:11" x14ac:dyDescent="0.3">
      <c r="A2158" t="s">
        <v>2167</v>
      </c>
      <c r="B2158">
        <v>604450</v>
      </c>
      <c r="C2158">
        <v>4938100</v>
      </c>
      <c r="D2158">
        <v>307435</v>
      </c>
      <c r="E2158">
        <v>1086600</v>
      </c>
      <c r="F2158">
        <v>9915795</v>
      </c>
      <c r="G2158">
        <v>409900</v>
      </c>
      <c r="H2158">
        <v>12427614</v>
      </c>
      <c r="I2158">
        <v>140400</v>
      </c>
      <c r="J2158">
        <v>12402679</v>
      </c>
      <c r="K2158">
        <v>154800</v>
      </c>
    </row>
    <row r="2159" spans="1:11" x14ac:dyDescent="0.3">
      <c r="A2159" t="s">
        <v>2168</v>
      </c>
      <c r="B2159">
        <v>604450</v>
      </c>
      <c r="C2159">
        <v>5103500</v>
      </c>
      <c r="D2159">
        <v>301491</v>
      </c>
      <c r="E2159">
        <v>1042600</v>
      </c>
      <c r="F2159">
        <v>9925552</v>
      </c>
      <c r="G2159">
        <v>415000</v>
      </c>
      <c r="H2159">
        <v>12439706</v>
      </c>
      <c r="I2159">
        <v>142200</v>
      </c>
      <c r="J2159">
        <v>12415165</v>
      </c>
      <c r="K2159">
        <v>160700</v>
      </c>
    </row>
    <row r="2160" spans="1:11" x14ac:dyDescent="0.3">
      <c r="A2160" t="s">
        <v>2169</v>
      </c>
      <c r="B2160">
        <v>604450</v>
      </c>
      <c r="C2160">
        <v>5363000</v>
      </c>
      <c r="D2160">
        <v>306733</v>
      </c>
      <c r="E2160">
        <v>1059100</v>
      </c>
      <c r="F2160">
        <v>9935310</v>
      </c>
      <c r="G2160">
        <v>418100</v>
      </c>
      <c r="H2160">
        <v>12451878</v>
      </c>
      <c r="I2160">
        <v>145000</v>
      </c>
      <c r="J2160">
        <v>12427437</v>
      </c>
      <c r="K2160">
        <v>155800</v>
      </c>
    </row>
    <row r="2161" spans="1:11" x14ac:dyDescent="0.3">
      <c r="A2161" t="s">
        <v>2170</v>
      </c>
      <c r="B2161">
        <v>604450</v>
      </c>
      <c r="C2161">
        <v>5265100</v>
      </c>
      <c r="D2161">
        <v>295293</v>
      </c>
      <c r="E2161">
        <v>1017500</v>
      </c>
      <c r="F2161">
        <v>9945047</v>
      </c>
      <c r="G2161">
        <v>421700</v>
      </c>
      <c r="H2161">
        <v>12463312</v>
      </c>
      <c r="I2161">
        <v>142700</v>
      </c>
      <c r="J2161">
        <v>12440304</v>
      </c>
      <c r="K2161">
        <v>150900</v>
      </c>
    </row>
    <row r="2162" spans="1:11" x14ac:dyDescent="0.3">
      <c r="A2162" t="s">
        <v>2171</v>
      </c>
      <c r="B2162">
        <v>604450</v>
      </c>
      <c r="C2162">
        <v>4967400</v>
      </c>
      <c r="D2162">
        <v>293218</v>
      </c>
      <c r="E2162">
        <v>1014600</v>
      </c>
      <c r="F2162">
        <v>9954795</v>
      </c>
      <c r="G2162">
        <v>421400</v>
      </c>
      <c r="H2162">
        <v>12474614</v>
      </c>
      <c r="I2162">
        <v>142100</v>
      </c>
      <c r="J2162">
        <v>12452834</v>
      </c>
      <c r="K2162">
        <v>158000</v>
      </c>
    </row>
    <row r="2163" spans="1:11" x14ac:dyDescent="0.3">
      <c r="A2163" t="s">
        <v>2172</v>
      </c>
      <c r="B2163">
        <v>604450</v>
      </c>
      <c r="C2163">
        <v>5106800</v>
      </c>
      <c r="D2163">
        <v>292466</v>
      </c>
      <c r="E2163">
        <v>1006500</v>
      </c>
      <c r="F2163">
        <v>9964551</v>
      </c>
      <c r="G2163">
        <v>420200</v>
      </c>
      <c r="H2163">
        <v>12486048</v>
      </c>
      <c r="I2163">
        <v>138900</v>
      </c>
      <c r="J2163">
        <v>12465971</v>
      </c>
      <c r="K2163">
        <v>156600</v>
      </c>
    </row>
    <row r="2164" spans="1:11" x14ac:dyDescent="0.3">
      <c r="A2164" t="s">
        <v>2173</v>
      </c>
      <c r="B2164">
        <v>604450</v>
      </c>
      <c r="C2164">
        <v>5271500</v>
      </c>
      <c r="D2164">
        <v>292864</v>
      </c>
      <c r="E2164">
        <v>1010400</v>
      </c>
      <c r="F2164">
        <v>9974286</v>
      </c>
      <c r="G2164">
        <v>421900</v>
      </c>
      <c r="H2164">
        <v>12498218</v>
      </c>
      <c r="I2164">
        <v>140400</v>
      </c>
      <c r="J2164">
        <v>12477779</v>
      </c>
      <c r="K2164">
        <v>155000</v>
      </c>
    </row>
    <row r="2165" spans="1:11" x14ac:dyDescent="0.3">
      <c r="A2165" t="s">
        <v>2174</v>
      </c>
      <c r="B2165">
        <v>604450</v>
      </c>
      <c r="C2165">
        <v>4935700</v>
      </c>
      <c r="D2165">
        <v>311781</v>
      </c>
      <c r="E2165">
        <v>1077300</v>
      </c>
      <c r="F2165">
        <v>9984025</v>
      </c>
      <c r="G2165">
        <v>416000</v>
      </c>
      <c r="H2165">
        <v>12510772</v>
      </c>
      <c r="I2165">
        <v>142000</v>
      </c>
      <c r="J2165">
        <v>12490352</v>
      </c>
      <c r="K2165">
        <v>157400</v>
      </c>
    </row>
    <row r="2166" spans="1:11" x14ac:dyDescent="0.3">
      <c r="A2166" t="s">
        <v>2175</v>
      </c>
      <c r="B2166">
        <v>604450</v>
      </c>
      <c r="C2166">
        <v>5163600</v>
      </c>
      <c r="D2166">
        <v>302274</v>
      </c>
      <c r="E2166">
        <v>1048000</v>
      </c>
      <c r="F2166">
        <v>9993757</v>
      </c>
      <c r="G2166">
        <v>422200</v>
      </c>
      <c r="H2166">
        <v>12521953</v>
      </c>
      <c r="I2166">
        <v>140700</v>
      </c>
      <c r="J2166">
        <v>12502369</v>
      </c>
      <c r="K2166">
        <v>158200</v>
      </c>
    </row>
    <row r="2167" spans="1:11" x14ac:dyDescent="0.3">
      <c r="A2167" t="s">
        <v>2176</v>
      </c>
      <c r="B2167">
        <v>604450</v>
      </c>
      <c r="C2167">
        <v>5349400</v>
      </c>
      <c r="D2167">
        <v>302101</v>
      </c>
      <c r="E2167">
        <v>1071600</v>
      </c>
      <c r="F2167">
        <v>10003525</v>
      </c>
      <c r="G2167">
        <v>416600</v>
      </c>
      <c r="H2167">
        <v>12535412</v>
      </c>
      <c r="I2167">
        <v>231000</v>
      </c>
      <c r="J2167">
        <v>12514371</v>
      </c>
      <c r="K2167">
        <v>258000</v>
      </c>
    </row>
    <row r="2168" spans="1:11" x14ac:dyDescent="0.3">
      <c r="A2168" t="s">
        <v>2177</v>
      </c>
      <c r="B2168">
        <v>604450</v>
      </c>
      <c r="C2168">
        <v>5086800</v>
      </c>
      <c r="D2168">
        <v>309399</v>
      </c>
      <c r="E2168">
        <v>1073500</v>
      </c>
      <c r="F2168">
        <v>10013273</v>
      </c>
      <c r="G2168">
        <v>417800</v>
      </c>
      <c r="H2168">
        <v>12547949</v>
      </c>
      <c r="I2168">
        <v>149600</v>
      </c>
      <c r="J2168">
        <v>12526026</v>
      </c>
      <c r="K2168">
        <v>155500</v>
      </c>
    </row>
    <row r="2169" spans="1:11" x14ac:dyDescent="0.3">
      <c r="A2169" t="s">
        <v>2178</v>
      </c>
      <c r="B2169">
        <v>604450</v>
      </c>
      <c r="C2169">
        <v>5600300</v>
      </c>
      <c r="D2169">
        <v>297695</v>
      </c>
      <c r="E2169">
        <v>1033200</v>
      </c>
      <c r="F2169">
        <v>10023013</v>
      </c>
      <c r="G2169">
        <v>416300</v>
      </c>
      <c r="H2169">
        <v>12559748</v>
      </c>
      <c r="I2169">
        <v>142000</v>
      </c>
      <c r="J2169">
        <v>12538492</v>
      </c>
      <c r="K2169">
        <v>158400</v>
      </c>
    </row>
    <row r="2170" spans="1:11" x14ac:dyDescent="0.3">
      <c r="A2170" t="s">
        <v>2179</v>
      </c>
      <c r="B2170">
        <v>604450</v>
      </c>
      <c r="C2170">
        <v>5300600</v>
      </c>
      <c r="D2170">
        <v>303438</v>
      </c>
      <c r="E2170">
        <v>1063600</v>
      </c>
      <c r="F2170">
        <v>10032763</v>
      </c>
      <c r="G2170">
        <v>457000</v>
      </c>
      <c r="H2170">
        <v>12571304</v>
      </c>
      <c r="I2170">
        <v>140600</v>
      </c>
      <c r="J2170">
        <v>12552474</v>
      </c>
      <c r="K2170">
        <v>163700</v>
      </c>
    </row>
    <row r="2171" spans="1:11" x14ac:dyDescent="0.3">
      <c r="A2171" t="s">
        <v>2180</v>
      </c>
      <c r="B2171">
        <v>604450</v>
      </c>
      <c r="C2171">
        <v>5131400</v>
      </c>
      <c r="D2171">
        <v>303545</v>
      </c>
      <c r="E2171">
        <v>1054500</v>
      </c>
      <c r="F2171">
        <v>10042513</v>
      </c>
      <c r="G2171">
        <v>421500</v>
      </c>
      <c r="H2171">
        <v>12583429</v>
      </c>
      <c r="I2171">
        <v>149500</v>
      </c>
      <c r="J2171">
        <v>12564791</v>
      </c>
      <c r="K2171">
        <v>158700</v>
      </c>
    </row>
    <row r="2172" spans="1:11" x14ac:dyDescent="0.3">
      <c r="A2172" t="s">
        <v>2181</v>
      </c>
      <c r="B2172">
        <v>604450</v>
      </c>
      <c r="C2172">
        <v>5112600</v>
      </c>
      <c r="D2172">
        <v>311755</v>
      </c>
      <c r="E2172">
        <v>1080800</v>
      </c>
      <c r="F2172">
        <v>10052244</v>
      </c>
      <c r="G2172">
        <v>420600</v>
      </c>
      <c r="H2172">
        <v>12596024</v>
      </c>
      <c r="I2172">
        <v>141400</v>
      </c>
      <c r="J2172">
        <v>12576661</v>
      </c>
      <c r="K2172">
        <v>162500</v>
      </c>
    </row>
    <row r="2173" spans="1:11" x14ac:dyDescent="0.3">
      <c r="A2173" t="s">
        <v>2182</v>
      </c>
      <c r="B2173">
        <v>604450</v>
      </c>
      <c r="C2173">
        <v>5217800</v>
      </c>
      <c r="D2173">
        <v>302628</v>
      </c>
      <c r="E2173">
        <v>1055400</v>
      </c>
      <c r="F2173">
        <v>10062027</v>
      </c>
      <c r="G2173">
        <v>419000</v>
      </c>
      <c r="H2173">
        <v>12607053</v>
      </c>
      <c r="I2173">
        <v>139800</v>
      </c>
      <c r="J2173">
        <v>12588831</v>
      </c>
      <c r="K2173">
        <v>158800</v>
      </c>
    </row>
    <row r="2174" spans="1:11" x14ac:dyDescent="0.3">
      <c r="A2174" t="s">
        <v>2183</v>
      </c>
      <c r="B2174">
        <v>604450</v>
      </c>
      <c r="C2174">
        <v>5154400</v>
      </c>
      <c r="D2174">
        <v>306144</v>
      </c>
      <c r="E2174">
        <v>1085100</v>
      </c>
      <c r="F2174">
        <v>10071800</v>
      </c>
      <c r="G2174">
        <v>611000</v>
      </c>
      <c r="H2174">
        <v>12619522</v>
      </c>
      <c r="I2174">
        <v>148100</v>
      </c>
      <c r="J2174">
        <v>12600680</v>
      </c>
      <c r="K2174">
        <v>160500</v>
      </c>
    </row>
    <row r="2175" spans="1:11" x14ac:dyDescent="0.3">
      <c r="A2175" t="s">
        <v>2184</v>
      </c>
      <c r="B2175">
        <v>604450</v>
      </c>
      <c r="C2175">
        <v>5433700</v>
      </c>
      <c r="D2175">
        <v>303367</v>
      </c>
      <c r="E2175">
        <v>1292500</v>
      </c>
      <c r="F2175">
        <v>10081534</v>
      </c>
      <c r="G2175">
        <v>425000</v>
      </c>
      <c r="H2175">
        <v>12631561</v>
      </c>
      <c r="I2175">
        <v>139300</v>
      </c>
      <c r="J2175">
        <v>12613985</v>
      </c>
      <c r="K2175">
        <v>154800</v>
      </c>
    </row>
    <row r="2176" spans="1:11" x14ac:dyDescent="0.3">
      <c r="A2176" t="s">
        <v>2185</v>
      </c>
      <c r="B2176">
        <v>604450</v>
      </c>
      <c r="C2176">
        <v>5558500</v>
      </c>
      <c r="D2176">
        <v>303922</v>
      </c>
      <c r="E2176">
        <v>1075000</v>
      </c>
      <c r="F2176">
        <v>10091262</v>
      </c>
      <c r="G2176">
        <v>441800</v>
      </c>
      <c r="H2176">
        <v>12643395</v>
      </c>
      <c r="I2176">
        <v>141100</v>
      </c>
      <c r="J2176">
        <v>12627097</v>
      </c>
      <c r="K2176">
        <v>155900</v>
      </c>
    </row>
    <row r="2177" spans="1:11" x14ac:dyDescent="0.3">
      <c r="A2177" t="s">
        <v>2186</v>
      </c>
      <c r="B2177">
        <v>604450</v>
      </c>
      <c r="C2177">
        <v>5862600</v>
      </c>
      <c r="D2177">
        <v>305970</v>
      </c>
      <c r="E2177">
        <v>1213800</v>
      </c>
      <c r="F2177">
        <v>10101007</v>
      </c>
      <c r="G2177">
        <v>417900</v>
      </c>
      <c r="H2177">
        <v>12655526</v>
      </c>
      <c r="I2177">
        <v>145800</v>
      </c>
      <c r="J2177">
        <v>12639975</v>
      </c>
      <c r="K2177">
        <v>156600</v>
      </c>
    </row>
    <row r="2178" spans="1:11" x14ac:dyDescent="0.3">
      <c r="A2178" t="s">
        <v>2187</v>
      </c>
      <c r="B2178">
        <v>604450</v>
      </c>
      <c r="C2178">
        <v>5407500</v>
      </c>
      <c r="D2178">
        <v>306950</v>
      </c>
      <c r="E2178">
        <v>1064300</v>
      </c>
      <c r="F2178">
        <v>10110751</v>
      </c>
      <c r="G2178">
        <v>419300</v>
      </c>
      <c r="H2178">
        <v>12668422</v>
      </c>
      <c r="I2178">
        <v>137100</v>
      </c>
      <c r="J2178">
        <v>12652974</v>
      </c>
      <c r="K2178">
        <v>158100</v>
      </c>
    </row>
    <row r="2179" spans="1:11" x14ac:dyDescent="0.3">
      <c r="A2179" t="s">
        <v>2188</v>
      </c>
      <c r="B2179">
        <v>604450</v>
      </c>
      <c r="C2179">
        <v>5267200</v>
      </c>
      <c r="D2179">
        <v>310524</v>
      </c>
      <c r="E2179">
        <v>1072800</v>
      </c>
      <c r="F2179">
        <v>10120504</v>
      </c>
      <c r="G2179">
        <v>412700</v>
      </c>
      <c r="H2179">
        <v>12680963</v>
      </c>
      <c r="I2179">
        <v>141300</v>
      </c>
      <c r="J2179">
        <v>12665202</v>
      </c>
      <c r="K2179">
        <v>153500</v>
      </c>
    </row>
    <row r="2180" spans="1:11" x14ac:dyDescent="0.3">
      <c r="A2180" t="s">
        <v>2189</v>
      </c>
      <c r="B2180">
        <v>604450</v>
      </c>
      <c r="C2180">
        <v>5800300</v>
      </c>
      <c r="D2180">
        <v>308153</v>
      </c>
      <c r="E2180">
        <v>1062600</v>
      </c>
      <c r="F2180">
        <v>10130226</v>
      </c>
      <c r="G2180">
        <v>424200</v>
      </c>
      <c r="H2180">
        <v>12693925</v>
      </c>
      <c r="I2180">
        <v>138300</v>
      </c>
      <c r="J2180">
        <v>12677851</v>
      </c>
      <c r="K2180">
        <v>156700</v>
      </c>
    </row>
    <row r="2181" spans="1:11" x14ac:dyDescent="0.3">
      <c r="A2181" t="s">
        <v>2190</v>
      </c>
      <c r="B2181">
        <v>604450</v>
      </c>
      <c r="C2181">
        <v>5391100</v>
      </c>
      <c r="D2181">
        <v>305972</v>
      </c>
      <c r="E2181">
        <v>1052700</v>
      </c>
      <c r="F2181">
        <v>10139947</v>
      </c>
      <c r="G2181">
        <v>425800</v>
      </c>
      <c r="H2181">
        <v>12705898</v>
      </c>
      <c r="I2181">
        <v>142000</v>
      </c>
      <c r="J2181">
        <v>12690036</v>
      </c>
      <c r="K2181">
        <v>153000</v>
      </c>
    </row>
    <row r="2182" spans="1:11" x14ac:dyDescent="0.3">
      <c r="A2182" t="s">
        <v>2191</v>
      </c>
      <c r="B2182">
        <v>604450</v>
      </c>
      <c r="C2182">
        <v>5074200</v>
      </c>
      <c r="D2182">
        <v>319722</v>
      </c>
      <c r="E2182">
        <v>1099500</v>
      </c>
      <c r="F2182">
        <v>10149679</v>
      </c>
      <c r="G2182">
        <v>414200</v>
      </c>
      <c r="H2182">
        <v>12718722</v>
      </c>
      <c r="I2182">
        <v>143600</v>
      </c>
      <c r="J2182">
        <v>12702478</v>
      </c>
      <c r="K2182">
        <v>157300</v>
      </c>
    </row>
    <row r="2183" spans="1:11" x14ac:dyDescent="0.3">
      <c r="A2183" t="s">
        <v>2192</v>
      </c>
      <c r="B2183">
        <v>604450</v>
      </c>
      <c r="C2183">
        <v>5339400</v>
      </c>
      <c r="D2183">
        <v>300526</v>
      </c>
      <c r="E2183">
        <v>1041400</v>
      </c>
      <c r="F2183">
        <v>10159428</v>
      </c>
      <c r="G2183">
        <v>416200</v>
      </c>
      <c r="H2183">
        <v>12731351</v>
      </c>
      <c r="I2183">
        <v>141900</v>
      </c>
      <c r="J2183">
        <v>12715232</v>
      </c>
      <c r="K2183">
        <v>161400</v>
      </c>
    </row>
    <row r="2184" spans="1:11" x14ac:dyDescent="0.3">
      <c r="A2184" t="s">
        <v>2193</v>
      </c>
      <c r="B2184">
        <v>604450</v>
      </c>
      <c r="C2184">
        <v>5731100</v>
      </c>
      <c r="D2184">
        <v>293607</v>
      </c>
      <c r="E2184">
        <v>1013200</v>
      </c>
      <c r="F2184">
        <v>10169179</v>
      </c>
      <c r="G2184">
        <v>421000</v>
      </c>
      <c r="H2184">
        <v>12743024</v>
      </c>
      <c r="I2184">
        <v>143900</v>
      </c>
      <c r="J2184">
        <v>12727483</v>
      </c>
      <c r="K2184">
        <v>156700</v>
      </c>
    </row>
    <row r="2185" spans="1:11" x14ac:dyDescent="0.3">
      <c r="A2185" t="s">
        <v>2194</v>
      </c>
      <c r="B2185">
        <v>604450</v>
      </c>
      <c r="C2185">
        <v>5401500</v>
      </c>
      <c r="D2185">
        <v>310326</v>
      </c>
      <c r="E2185">
        <v>1093300</v>
      </c>
      <c r="F2185">
        <v>10178927</v>
      </c>
      <c r="G2185">
        <v>412100</v>
      </c>
      <c r="H2185">
        <v>12755695</v>
      </c>
      <c r="I2185">
        <v>136000</v>
      </c>
      <c r="J2185">
        <v>12739121</v>
      </c>
      <c r="K2185">
        <v>155900</v>
      </c>
    </row>
    <row r="2186" spans="1:11" x14ac:dyDescent="0.3">
      <c r="A2186" t="s">
        <v>2195</v>
      </c>
      <c r="B2186">
        <v>604450</v>
      </c>
      <c r="C2186">
        <v>5244200</v>
      </c>
      <c r="D2186">
        <v>302264</v>
      </c>
      <c r="E2186">
        <v>1055000</v>
      </c>
      <c r="F2186">
        <v>10188701</v>
      </c>
      <c r="G2186">
        <v>417000</v>
      </c>
      <c r="H2186">
        <v>12766942</v>
      </c>
      <c r="I2186">
        <v>143600</v>
      </c>
      <c r="J2186">
        <v>12752490</v>
      </c>
      <c r="K2186">
        <v>154800</v>
      </c>
    </row>
    <row r="2187" spans="1:11" x14ac:dyDescent="0.3">
      <c r="A2187" t="s">
        <v>2196</v>
      </c>
      <c r="B2187">
        <v>604450</v>
      </c>
      <c r="C2187">
        <v>4944800</v>
      </c>
      <c r="D2187">
        <v>295966</v>
      </c>
      <c r="E2187">
        <v>1091900</v>
      </c>
      <c r="F2187">
        <v>10198430</v>
      </c>
      <c r="G2187">
        <v>420000</v>
      </c>
      <c r="H2187">
        <v>12778520</v>
      </c>
      <c r="I2187">
        <v>145100</v>
      </c>
      <c r="J2187">
        <v>12765195</v>
      </c>
      <c r="K2187">
        <v>161900</v>
      </c>
    </row>
    <row r="2188" spans="1:11" x14ac:dyDescent="0.3">
      <c r="A2188" t="s">
        <v>2197</v>
      </c>
      <c r="B2188">
        <v>604450</v>
      </c>
      <c r="C2188">
        <v>5574500</v>
      </c>
      <c r="D2188">
        <v>298809</v>
      </c>
      <c r="E2188">
        <v>1249700</v>
      </c>
      <c r="F2188">
        <v>10208170</v>
      </c>
      <c r="G2188">
        <v>412100</v>
      </c>
      <c r="H2188">
        <v>12791366</v>
      </c>
      <c r="I2188">
        <v>140600</v>
      </c>
      <c r="J2188">
        <v>12777548</v>
      </c>
      <c r="K2188">
        <v>159800</v>
      </c>
    </row>
    <row r="2189" spans="1:11" x14ac:dyDescent="0.3">
      <c r="A2189" t="s">
        <v>2198</v>
      </c>
      <c r="B2189">
        <v>604450</v>
      </c>
      <c r="C2189">
        <v>5321900</v>
      </c>
      <c r="D2189">
        <v>308291</v>
      </c>
      <c r="E2189">
        <v>1064000</v>
      </c>
      <c r="F2189">
        <v>10217883</v>
      </c>
      <c r="G2189">
        <v>425400</v>
      </c>
      <c r="H2189">
        <v>12804857</v>
      </c>
      <c r="I2189">
        <v>143700</v>
      </c>
      <c r="J2189">
        <v>12789512</v>
      </c>
      <c r="K2189">
        <v>157000</v>
      </c>
    </row>
    <row r="2190" spans="1:11" x14ac:dyDescent="0.3">
      <c r="A2190" t="s">
        <v>2199</v>
      </c>
      <c r="B2190">
        <v>604450</v>
      </c>
      <c r="C2190">
        <v>5546400</v>
      </c>
      <c r="D2190">
        <v>289558</v>
      </c>
      <c r="E2190">
        <v>1000300</v>
      </c>
      <c r="F2190">
        <v>10227608</v>
      </c>
      <c r="G2190">
        <v>420000</v>
      </c>
      <c r="H2190">
        <v>12816959</v>
      </c>
      <c r="I2190">
        <v>140500</v>
      </c>
      <c r="J2190">
        <v>12802911</v>
      </c>
      <c r="K2190">
        <v>166700</v>
      </c>
    </row>
    <row r="2191" spans="1:11" x14ac:dyDescent="0.3">
      <c r="A2191" t="s">
        <v>2200</v>
      </c>
      <c r="B2191">
        <v>604450</v>
      </c>
      <c r="C2191">
        <v>5144600</v>
      </c>
      <c r="D2191">
        <v>312228</v>
      </c>
      <c r="E2191">
        <v>1076000</v>
      </c>
      <c r="F2191">
        <v>10237355</v>
      </c>
      <c r="G2191">
        <v>415100</v>
      </c>
      <c r="H2191">
        <v>12830066</v>
      </c>
      <c r="I2191">
        <v>147300</v>
      </c>
      <c r="J2191">
        <v>12814889</v>
      </c>
      <c r="K2191">
        <v>161900</v>
      </c>
    </row>
    <row r="2192" spans="1:11" x14ac:dyDescent="0.3">
      <c r="A2192" t="s">
        <v>2201</v>
      </c>
      <c r="B2192">
        <v>604450</v>
      </c>
      <c r="C2192">
        <v>5223800</v>
      </c>
      <c r="D2192">
        <v>294778</v>
      </c>
      <c r="E2192">
        <v>1019800</v>
      </c>
      <c r="F2192">
        <v>10247095</v>
      </c>
      <c r="G2192">
        <v>413700</v>
      </c>
      <c r="H2192">
        <v>12841404</v>
      </c>
      <c r="I2192">
        <v>139400</v>
      </c>
      <c r="J2192">
        <v>12828566</v>
      </c>
      <c r="K2192">
        <v>160500</v>
      </c>
    </row>
    <row r="2193" spans="1:11" x14ac:dyDescent="0.3">
      <c r="A2193" t="s">
        <v>2202</v>
      </c>
      <c r="B2193">
        <v>604450</v>
      </c>
      <c r="C2193">
        <v>5339900</v>
      </c>
      <c r="D2193">
        <v>299033</v>
      </c>
      <c r="E2193">
        <v>1080000</v>
      </c>
      <c r="F2193">
        <v>10256821</v>
      </c>
      <c r="G2193">
        <v>423400</v>
      </c>
      <c r="H2193">
        <v>12853291</v>
      </c>
      <c r="I2193">
        <v>142900</v>
      </c>
      <c r="J2193">
        <v>12840683</v>
      </c>
      <c r="K2193">
        <v>157300</v>
      </c>
    </row>
    <row r="2194" spans="1:11" x14ac:dyDescent="0.3">
      <c r="A2194" t="s">
        <v>2203</v>
      </c>
      <c r="B2194">
        <v>604450</v>
      </c>
      <c r="C2194">
        <v>5117800</v>
      </c>
      <c r="D2194">
        <v>307383</v>
      </c>
      <c r="E2194">
        <v>1069700</v>
      </c>
      <c r="F2194">
        <v>10266539</v>
      </c>
      <c r="G2194">
        <v>417700</v>
      </c>
      <c r="H2194">
        <v>12865422</v>
      </c>
      <c r="I2194">
        <v>139800</v>
      </c>
      <c r="J2194">
        <v>12853624</v>
      </c>
      <c r="K2194">
        <v>156300</v>
      </c>
    </row>
    <row r="2195" spans="1:11" x14ac:dyDescent="0.3">
      <c r="A2195" t="s">
        <v>2204</v>
      </c>
      <c r="B2195">
        <v>604450</v>
      </c>
      <c r="C2195">
        <v>5295600</v>
      </c>
      <c r="D2195">
        <v>296752</v>
      </c>
      <c r="E2195">
        <v>1064900</v>
      </c>
      <c r="F2195">
        <v>10276260</v>
      </c>
      <c r="G2195">
        <v>422100</v>
      </c>
      <c r="H2195">
        <v>12876422</v>
      </c>
      <c r="I2195">
        <v>146000</v>
      </c>
      <c r="J2195">
        <v>12865292</v>
      </c>
      <c r="K2195">
        <v>154600</v>
      </c>
    </row>
    <row r="2196" spans="1:11" x14ac:dyDescent="0.3">
      <c r="A2196" t="s">
        <v>2205</v>
      </c>
      <c r="B2196">
        <v>604450</v>
      </c>
      <c r="C2196">
        <v>5143700</v>
      </c>
      <c r="D2196">
        <v>306945</v>
      </c>
      <c r="E2196">
        <v>1352300</v>
      </c>
      <c r="F2196">
        <v>10285984</v>
      </c>
      <c r="G2196">
        <v>435400</v>
      </c>
      <c r="H2196">
        <v>12888441</v>
      </c>
      <c r="I2196">
        <v>145200</v>
      </c>
      <c r="J2196">
        <v>12877842</v>
      </c>
      <c r="K2196">
        <v>166300</v>
      </c>
    </row>
    <row r="2197" spans="1:11" x14ac:dyDescent="0.3">
      <c r="A2197" t="s">
        <v>2206</v>
      </c>
      <c r="B2197">
        <v>604450</v>
      </c>
      <c r="C2197">
        <v>5142100</v>
      </c>
      <c r="D2197">
        <v>305472</v>
      </c>
      <c r="E2197">
        <v>1119000</v>
      </c>
      <c r="F2197">
        <v>10295723</v>
      </c>
      <c r="G2197">
        <v>426800</v>
      </c>
      <c r="H2197">
        <v>12899877</v>
      </c>
      <c r="I2197">
        <v>151800</v>
      </c>
      <c r="J2197">
        <v>12890580</v>
      </c>
      <c r="K2197">
        <v>171200</v>
      </c>
    </row>
    <row r="2198" spans="1:11" x14ac:dyDescent="0.3">
      <c r="A2198" t="s">
        <v>2207</v>
      </c>
      <c r="B2198">
        <v>604450</v>
      </c>
      <c r="C2198">
        <v>5796500</v>
      </c>
      <c r="D2198">
        <v>289533</v>
      </c>
      <c r="E2198">
        <v>1102000</v>
      </c>
      <c r="F2198">
        <v>10305427</v>
      </c>
      <c r="G2198">
        <v>424100</v>
      </c>
      <c r="H2198">
        <v>12911563</v>
      </c>
      <c r="I2198">
        <v>140600</v>
      </c>
      <c r="J2198">
        <v>12902160</v>
      </c>
      <c r="K2198">
        <v>159800</v>
      </c>
    </row>
    <row r="2199" spans="1:11" x14ac:dyDescent="0.3">
      <c r="A2199" t="s">
        <v>2208</v>
      </c>
      <c r="B2199">
        <v>604450</v>
      </c>
      <c r="C2199">
        <v>5237500</v>
      </c>
      <c r="D2199">
        <v>300143</v>
      </c>
      <c r="E2199">
        <v>1103900</v>
      </c>
      <c r="F2199">
        <v>10315173</v>
      </c>
      <c r="G2199">
        <v>413700</v>
      </c>
      <c r="H2199">
        <v>12923652</v>
      </c>
      <c r="I2199">
        <v>147300</v>
      </c>
      <c r="J2199">
        <v>12915753</v>
      </c>
      <c r="K2199">
        <v>160600</v>
      </c>
    </row>
    <row r="2200" spans="1:11" x14ac:dyDescent="0.3">
      <c r="A2200" t="s">
        <v>2209</v>
      </c>
      <c r="B2200">
        <v>604450</v>
      </c>
      <c r="C2200">
        <v>5194300</v>
      </c>
      <c r="D2200">
        <v>297338</v>
      </c>
      <c r="E2200">
        <v>1049200</v>
      </c>
      <c r="F2200">
        <v>10324906</v>
      </c>
      <c r="G2200">
        <v>415600</v>
      </c>
      <c r="H2200">
        <v>12936373</v>
      </c>
      <c r="I2200">
        <v>140700</v>
      </c>
      <c r="J2200">
        <v>12927471</v>
      </c>
      <c r="K2200">
        <v>167200</v>
      </c>
    </row>
    <row r="2201" spans="1:11" x14ac:dyDescent="0.3">
      <c r="A2201" t="s">
        <v>2210</v>
      </c>
      <c r="B2201">
        <v>604450</v>
      </c>
      <c r="C2201">
        <v>5051700</v>
      </c>
      <c r="D2201">
        <v>298467</v>
      </c>
      <c r="E2201">
        <v>1057700</v>
      </c>
      <c r="F2201">
        <v>10334641</v>
      </c>
      <c r="G2201">
        <v>421700</v>
      </c>
      <c r="H2201">
        <v>12950743</v>
      </c>
      <c r="I2201">
        <v>147300</v>
      </c>
      <c r="J2201">
        <v>12940086</v>
      </c>
      <c r="K2201">
        <v>162500</v>
      </c>
    </row>
    <row r="2202" spans="1:11" x14ac:dyDescent="0.3">
      <c r="A2202" t="s">
        <v>2211</v>
      </c>
      <c r="B2202">
        <v>660675</v>
      </c>
      <c r="C2202">
        <v>5635900</v>
      </c>
      <c r="D2202">
        <v>327445</v>
      </c>
      <c r="E2202">
        <v>1133800</v>
      </c>
      <c r="F2202">
        <v>10344905</v>
      </c>
      <c r="G2202">
        <v>431900</v>
      </c>
      <c r="H2202">
        <v>12963002</v>
      </c>
      <c r="I2202">
        <v>148900</v>
      </c>
      <c r="J2202">
        <v>12953802</v>
      </c>
      <c r="K2202">
        <v>168700</v>
      </c>
    </row>
    <row r="2203" spans="1:11" x14ac:dyDescent="0.3">
      <c r="A2203" t="s">
        <v>2212</v>
      </c>
      <c r="B2203">
        <v>660675</v>
      </c>
      <c r="C2203">
        <v>5785200</v>
      </c>
      <c r="D2203">
        <v>333927</v>
      </c>
      <c r="E2203">
        <v>1149400</v>
      </c>
      <c r="F2203">
        <v>10355178</v>
      </c>
      <c r="G2203">
        <v>438500</v>
      </c>
      <c r="H2203">
        <v>12975301</v>
      </c>
      <c r="I2203">
        <v>144200</v>
      </c>
      <c r="J2203">
        <v>12967056</v>
      </c>
      <c r="K2203">
        <v>169400</v>
      </c>
    </row>
    <row r="2204" spans="1:11" x14ac:dyDescent="0.3">
      <c r="A2204" t="s">
        <v>2213</v>
      </c>
      <c r="B2204">
        <v>660675</v>
      </c>
      <c r="C2204">
        <v>5562500</v>
      </c>
      <c r="D2204">
        <v>336055</v>
      </c>
      <c r="E2204">
        <v>1159200</v>
      </c>
      <c r="F2204">
        <v>10365410</v>
      </c>
      <c r="G2204">
        <v>437000</v>
      </c>
      <c r="H2204">
        <v>12987651</v>
      </c>
      <c r="I2204">
        <v>153400</v>
      </c>
      <c r="J2204">
        <v>12980262</v>
      </c>
      <c r="K2204">
        <v>167400</v>
      </c>
    </row>
    <row r="2205" spans="1:11" x14ac:dyDescent="0.3">
      <c r="A2205" t="s">
        <v>2214</v>
      </c>
      <c r="B2205">
        <v>660675</v>
      </c>
      <c r="C2205">
        <v>5710800</v>
      </c>
      <c r="D2205">
        <v>335672</v>
      </c>
      <c r="E2205">
        <v>2006300</v>
      </c>
      <c r="F2205">
        <v>10375669</v>
      </c>
      <c r="G2205">
        <v>442100</v>
      </c>
      <c r="H2205">
        <v>12999696</v>
      </c>
      <c r="I2205">
        <v>153800</v>
      </c>
      <c r="J2205">
        <v>12993523</v>
      </c>
      <c r="K2205">
        <v>168000</v>
      </c>
    </row>
    <row r="2206" spans="1:11" x14ac:dyDescent="0.3">
      <c r="A2206" t="s">
        <v>2215</v>
      </c>
      <c r="B2206">
        <v>660675</v>
      </c>
      <c r="C2206">
        <v>5751600</v>
      </c>
      <c r="D2206">
        <v>332550</v>
      </c>
      <c r="E2206">
        <v>1147900</v>
      </c>
      <c r="F2206">
        <v>10385914</v>
      </c>
      <c r="G2206">
        <v>437000</v>
      </c>
      <c r="H2206">
        <v>13011791</v>
      </c>
      <c r="I2206">
        <v>151200</v>
      </c>
      <c r="J2206">
        <v>13007256</v>
      </c>
      <c r="K2206">
        <v>169800</v>
      </c>
    </row>
    <row r="2207" spans="1:11" x14ac:dyDescent="0.3">
      <c r="A2207" t="s">
        <v>2216</v>
      </c>
      <c r="B2207">
        <v>660675</v>
      </c>
      <c r="C2207">
        <v>5607600</v>
      </c>
      <c r="D2207">
        <v>331002</v>
      </c>
      <c r="E2207">
        <v>1147100</v>
      </c>
      <c r="F2207">
        <v>10396194</v>
      </c>
      <c r="G2207">
        <v>432300</v>
      </c>
      <c r="H2207">
        <v>13024523</v>
      </c>
      <c r="I2207">
        <v>150800</v>
      </c>
      <c r="J2207">
        <v>13019404</v>
      </c>
      <c r="K2207">
        <v>163400</v>
      </c>
    </row>
    <row r="2208" spans="1:11" x14ac:dyDescent="0.3">
      <c r="A2208" t="s">
        <v>2217</v>
      </c>
      <c r="B2208">
        <v>660675</v>
      </c>
      <c r="C2208">
        <v>5582000</v>
      </c>
      <c r="D2208">
        <v>330582</v>
      </c>
      <c r="E2208">
        <v>1156000</v>
      </c>
      <c r="F2208">
        <v>10406494</v>
      </c>
      <c r="G2208">
        <v>451400</v>
      </c>
      <c r="H2208">
        <v>13036320</v>
      </c>
      <c r="I2208">
        <v>150800</v>
      </c>
      <c r="J2208">
        <v>13033098</v>
      </c>
      <c r="K2208">
        <v>170800</v>
      </c>
    </row>
    <row r="2209" spans="1:11" x14ac:dyDescent="0.3">
      <c r="A2209" t="s">
        <v>2218</v>
      </c>
      <c r="B2209">
        <v>660675</v>
      </c>
      <c r="C2209">
        <v>5985200</v>
      </c>
      <c r="D2209">
        <v>334594</v>
      </c>
      <c r="E2209">
        <v>1159900</v>
      </c>
      <c r="F2209">
        <v>10416759</v>
      </c>
      <c r="G2209">
        <v>558100</v>
      </c>
      <c r="H2209">
        <v>13049780</v>
      </c>
      <c r="I2209">
        <v>193000</v>
      </c>
      <c r="J2209">
        <v>13046596</v>
      </c>
      <c r="K2209">
        <v>169900</v>
      </c>
    </row>
    <row r="2210" spans="1:11" x14ac:dyDescent="0.3">
      <c r="A2210" t="s">
        <v>2219</v>
      </c>
      <c r="B2210">
        <v>660675</v>
      </c>
      <c r="C2210">
        <v>6256900</v>
      </c>
      <c r="D2210">
        <v>340530</v>
      </c>
      <c r="E2210">
        <v>1195400</v>
      </c>
      <c r="F2210">
        <v>10427000</v>
      </c>
      <c r="G2210">
        <v>454200</v>
      </c>
      <c r="H2210">
        <v>13062155</v>
      </c>
      <c r="I2210">
        <v>205000</v>
      </c>
      <c r="J2210">
        <v>13058709</v>
      </c>
      <c r="K2210">
        <v>167900</v>
      </c>
    </row>
    <row r="2211" spans="1:11" x14ac:dyDescent="0.3">
      <c r="A2211" t="s">
        <v>2220</v>
      </c>
      <c r="B2211">
        <v>660675</v>
      </c>
      <c r="C2211">
        <v>5965300</v>
      </c>
      <c r="D2211">
        <v>330625</v>
      </c>
      <c r="E2211">
        <v>1159800</v>
      </c>
      <c r="F2211">
        <v>10437244</v>
      </c>
      <c r="G2211">
        <v>441500</v>
      </c>
      <c r="H2211">
        <v>13074349</v>
      </c>
      <c r="I2211">
        <v>148300</v>
      </c>
      <c r="J2211">
        <v>13071221</v>
      </c>
      <c r="K2211">
        <v>162400</v>
      </c>
    </row>
    <row r="2212" spans="1:11" x14ac:dyDescent="0.3">
      <c r="A2212" t="s">
        <v>2221</v>
      </c>
      <c r="B2212">
        <v>660675</v>
      </c>
      <c r="C2212">
        <v>5912700</v>
      </c>
      <c r="D2212">
        <v>327512</v>
      </c>
      <c r="E2212">
        <v>1127600</v>
      </c>
      <c r="F2212">
        <v>10447465</v>
      </c>
      <c r="G2212">
        <v>432600</v>
      </c>
      <c r="H2212">
        <v>13086682</v>
      </c>
      <c r="I2212">
        <v>147600</v>
      </c>
      <c r="J2212">
        <v>13084977</v>
      </c>
      <c r="K2212">
        <v>164100</v>
      </c>
    </row>
    <row r="2213" spans="1:11" x14ac:dyDescent="0.3">
      <c r="A2213" t="s">
        <v>2222</v>
      </c>
      <c r="B2213">
        <v>660675</v>
      </c>
      <c r="C2213">
        <v>5995300</v>
      </c>
      <c r="D2213">
        <v>321423</v>
      </c>
      <c r="E2213">
        <v>1144800</v>
      </c>
      <c r="F2213">
        <v>10457722</v>
      </c>
      <c r="G2213">
        <v>431400</v>
      </c>
      <c r="H2213">
        <v>13099318</v>
      </c>
      <c r="I2213">
        <v>151800</v>
      </c>
      <c r="J2213">
        <v>13099765</v>
      </c>
      <c r="K2213">
        <v>174400</v>
      </c>
    </row>
    <row r="2214" spans="1:11" x14ac:dyDescent="0.3">
      <c r="A2214" t="s">
        <v>2223</v>
      </c>
      <c r="B2214">
        <v>660675</v>
      </c>
      <c r="C2214">
        <v>5605300</v>
      </c>
      <c r="D2214">
        <v>324443</v>
      </c>
      <c r="E2214">
        <v>1120400</v>
      </c>
      <c r="F2214">
        <v>10468021</v>
      </c>
      <c r="G2214">
        <v>434100</v>
      </c>
      <c r="H2214">
        <v>13111619</v>
      </c>
      <c r="I2214">
        <v>148100</v>
      </c>
      <c r="J2214">
        <v>13113021</v>
      </c>
      <c r="K2214">
        <v>164700</v>
      </c>
    </row>
    <row r="2215" spans="1:11" x14ac:dyDescent="0.3">
      <c r="A2215" t="s">
        <v>2224</v>
      </c>
      <c r="B2215">
        <v>660675</v>
      </c>
      <c r="C2215">
        <v>5978300</v>
      </c>
      <c r="D2215">
        <v>329831</v>
      </c>
      <c r="E2215">
        <v>1139800</v>
      </c>
      <c r="F2215">
        <v>10478280</v>
      </c>
      <c r="G2215">
        <v>438800</v>
      </c>
      <c r="H2215">
        <v>13125364</v>
      </c>
      <c r="I2215">
        <v>151600</v>
      </c>
      <c r="J2215">
        <v>13125692</v>
      </c>
      <c r="K2215">
        <v>161600</v>
      </c>
    </row>
    <row r="2216" spans="1:11" x14ac:dyDescent="0.3">
      <c r="A2216" t="s">
        <v>2225</v>
      </c>
      <c r="B2216">
        <v>660675</v>
      </c>
      <c r="C2216">
        <v>5685400</v>
      </c>
      <c r="D2216">
        <v>324096</v>
      </c>
      <c r="E2216">
        <v>1119100</v>
      </c>
      <c r="F2216">
        <v>10488523</v>
      </c>
      <c r="G2216">
        <v>434200</v>
      </c>
      <c r="H2216">
        <v>13139231</v>
      </c>
      <c r="I2216">
        <v>159300</v>
      </c>
      <c r="J2216">
        <v>13139861</v>
      </c>
      <c r="K2216">
        <v>171000</v>
      </c>
    </row>
    <row r="2217" spans="1:11" x14ac:dyDescent="0.3">
      <c r="A2217" t="s">
        <v>2226</v>
      </c>
      <c r="B2217">
        <v>660675</v>
      </c>
      <c r="C2217">
        <v>5587500</v>
      </c>
      <c r="D2217">
        <v>328602</v>
      </c>
      <c r="E2217">
        <v>1160700</v>
      </c>
      <c r="F2217">
        <v>10498790</v>
      </c>
      <c r="G2217">
        <v>527700</v>
      </c>
      <c r="H2217">
        <v>13152591</v>
      </c>
      <c r="I2217">
        <v>186000</v>
      </c>
      <c r="J2217">
        <v>13152886</v>
      </c>
      <c r="K2217">
        <v>198600</v>
      </c>
    </row>
    <row r="2218" spans="1:11" x14ac:dyDescent="0.3">
      <c r="A2218" t="s">
        <v>2227</v>
      </c>
      <c r="B2218">
        <v>660675</v>
      </c>
      <c r="C2218">
        <v>6285800</v>
      </c>
      <c r="D2218">
        <v>333889</v>
      </c>
      <c r="E2218">
        <v>1180400</v>
      </c>
      <c r="F2218">
        <v>10509020</v>
      </c>
      <c r="G2218">
        <v>440100</v>
      </c>
      <c r="H2218">
        <v>13166452</v>
      </c>
      <c r="I2218">
        <v>153200</v>
      </c>
      <c r="J2218">
        <v>13165505</v>
      </c>
      <c r="K2218">
        <v>172800</v>
      </c>
    </row>
    <row r="2219" spans="1:11" x14ac:dyDescent="0.3">
      <c r="A2219" t="s">
        <v>2228</v>
      </c>
      <c r="B2219">
        <v>660675</v>
      </c>
      <c r="C2219">
        <v>5707600</v>
      </c>
      <c r="D2219">
        <v>331876</v>
      </c>
      <c r="E2219">
        <v>1379200</v>
      </c>
      <c r="F2219">
        <v>10519295</v>
      </c>
      <c r="G2219">
        <v>445700</v>
      </c>
      <c r="H2219">
        <v>13179863</v>
      </c>
      <c r="I2219">
        <v>149300</v>
      </c>
      <c r="J2219">
        <v>13177663</v>
      </c>
      <c r="K2219">
        <v>167900</v>
      </c>
    </row>
    <row r="2220" spans="1:11" x14ac:dyDescent="0.3">
      <c r="A2220" t="s">
        <v>2229</v>
      </c>
      <c r="B2220">
        <v>660675</v>
      </c>
      <c r="C2220">
        <v>5951900</v>
      </c>
      <c r="D2220">
        <v>329437</v>
      </c>
      <c r="E2220">
        <v>1146700</v>
      </c>
      <c r="F2220">
        <v>10529529</v>
      </c>
      <c r="G2220">
        <v>438000</v>
      </c>
      <c r="H2220">
        <v>13192099</v>
      </c>
      <c r="I2220">
        <v>150400</v>
      </c>
      <c r="J2220">
        <v>13192668</v>
      </c>
      <c r="K2220">
        <v>170900</v>
      </c>
    </row>
    <row r="2221" spans="1:11" x14ac:dyDescent="0.3">
      <c r="A2221" t="s">
        <v>2230</v>
      </c>
      <c r="B2221">
        <v>660675</v>
      </c>
      <c r="C2221">
        <v>6297100</v>
      </c>
      <c r="D2221">
        <v>331530</v>
      </c>
      <c r="E2221">
        <v>1143800</v>
      </c>
      <c r="F2221">
        <v>10539799</v>
      </c>
      <c r="G2221">
        <v>440900</v>
      </c>
      <c r="H2221">
        <v>13204943</v>
      </c>
      <c r="I2221">
        <v>146300</v>
      </c>
      <c r="J2221">
        <v>13205297</v>
      </c>
      <c r="K2221">
        <v>169300</v>
      </c>
    </row>
    <row r="2222" spans="1:11" x14ac:dyDescent="0.3">
      <c r="A2222" t="s">
        <v>2231</v>
      </c>
      <c r="B2222">
        <v>660675</v>
      </c>
      <c r="C2222">
        <v>5751600</v>
      </c>
      <c r="D2222">
        <v>333136</v>
      </c>
      <c r="E2222">
        <v>1150400</v>
      </c>
      <c r="F2222">
        <v>10550047</v>
      </c>
      <c r="G2222">
        <v>434400</v>
      </c>
      <c r="H2222">
        <v>13217188</v>
      </c>
      <c r="I2222">
        <v>147200</v>
      </c>
      <c r="J2222">
        <v>13217149</v>
      </c>
      <c r="K2222">
        <v>161500</v>
      </c>
    </row>
    <row r="2223" spans="1:11" x14ac:dyDescent="0.3">
      <c r="A2223" t="s">
        <v>2232</v>
      </c>
      <c r="B2223">
        <v>660675</v>
      </c>
      <c r="C2223">
        <v>6212500</v>
      </c>
      <c r="D2223">
        <v>346561</v>
      </c>
      <c r="E2223">
        <v>1842300</v>
      </c>
      <c r="F2223">
        <v>10560321</v>
      </c>
      <c r="G2223">
        <v>526500</v>
      </c>
      <c r="H2223">
        <v>13230758</v>
      </c>
      <c r="I2223">
        <v>186500</v>
      </c>
      <c r="J2223">
        <v>13230131</v>
      </c>
      <c r="K2223">
        <v>201400</v>
      </c>
    </row>
    <row r="2224" spans="1:11" x14ac:dyDescent="0.3">
      <c r="A2224" t="s">
        <v>2233</v>
      </c>
      <c r="B2224">
        <v>660675</v>
      </c>
      <c r="C2224">
        <v>5996700</v>
      </c>
      <c r="D2224">
        <v>336028</v>
      </c>
      <c r="E2224">
        <v>1160300</v>
      </c>
      <c r="F2224">
        <v>10570563</v>
      </c>
      <c r="G2224">
        <v>431200</v>
      </c>
      <c r="H2224">
        <v>13243299</v>
      </c>
      <c r="I2224">
        <v>153300</v>
      </c>
      <c r="J2224">
        <v>13243495</v>
      </c>
      <c r="K2224">
        <v>166300</v>
      </c>
    </row>
    <row r="2225" spans="1:11" x14ac:dyDescent="0.3">
      <c r="A2225" t="s">
        <v>2234</v>
      </c>
      <c r="B2225">
        <v>660675</v>
      </c>
      <c r="C2225">
        <v>5595100</v>
      </c>
      <c r="D2225">
        <v>333923</v>
      </c>
      <c r="E2225">
        <v>1183800</v>
      </c>
      <c r="F2225">
        <v>10580813</v>
      </c>
      <c r="G2225">
        <v>439300</v>
      </c>
      <c r="H2225">
        <v>13256213</v>
      </c>
      <c r="I2225">
        <v>157100</v>
      </c>
      <c r="J2225">
        <v>13257744</v>
      </c>
      <c r="K2225">
        <v>168900</v>
      </c>
    </row>
    <row r="2226" spans="1:11" x14ac:dyDescent="0.3">
      <c r="A2226" t="s">
        <v>2235</v>
      </c>
      <c r="B2226">
        <v>660675</v>
      </c>
      <c r="C2226">
        <v>5653600</v>
      </c>
      <c r="D2226">
        <v>337079</v>
      </c>
      <c r="E2226">
        <v>1170700</v>
      </c>
      <c r="F2226">
        <v>10591092</v>
      </c>
      <c r="G2226">
        <v>436100</v>
      </c>
      <c r="H2226">
        <v>13269644</v>
      </c>
      <c r="I2226">
        <v>149200</v>
      </c>
      <c r="J2226">
        <v>13270106</v>
      </c>
      <c r="K2226">
        <v>164700</v>
      </c>
    </row>
    <row r="2227" spans="1:11" x14ac:dyDescent="0.3">
      <c r="A2227" t="s">
        <v>2236</v>
      </c>
      <c r="B2227">
        <v>660675</v>
      </c>
      <c r="C2227">
        <v>5716400</v>
      </c>
      <c r="D2227">
        <v>332321</v>
      </c>
      <c r="E2227">
        <v>1384300</v>
      </c>
      <c r="F2227">
        <v>10601345</v>
      </c>
      <c r="G2227">
        <v>453300</v>
      </c>
      <c r="H2227">
        <v>13282972</v>
      </c>
      <c r="I2227">
        <v>156200</v>
      </c>
      <c r="J2227">
        <v>13282487</v>
      </c>
      <c r="K2227">
        <v>168600</v>
      </c>
    </row>
    <row r="2228" spans="1:11" x14ac:dyDescent="0.3">
      <c r="A2228" t="s">
        <v>2237</v>
      </c>
      <c r="B2228">
        <v>660675</v>
      </c>
      <c r="C2228">
        <v>5682900</v>
      </c>
      <c r="D2228">
        <v>350511</v>
      </c>
      <c r="E2228">
        <v>1229000</v>
      </c>
      <c r="F2228">
        <v>10611633</v>
      </c>
      <c r="G2228">
        <v>503500</v>
      </c>
      <c r="H2228">
        <v>13295336</v>
      </c>
      <c r="I2228">
        <v>180800</v>
      </c>
      <c r="J2228">
        <v>13295234</v>
      </c>
      <c r="K2228">
        <v>163600</v>
      </c>
    </row>
    <row r="2229" spans="1:11" x14ac:dyDescent="0.3">
      <c r="A2229" t="s">
        <v>2238</v>
      </c>
      <c r="B2229">
        <v>660675</v>
      </c>
      <c r="C2229">
        <v>5776900</v>
      </c>
      <c r="D2229">
        <v>336197</v>
      </c>
      <c r="E2229">
        <v>1163500</v>
      </c>
      <c r="F2229">
        <v>10621897</v>
      </c>
      <c r="G2229">
        <v>442800</v>
      </c>
      <c r="H2229">
        <v>13307828</v>
      </c>
      <c r="I2229">
        <v>150800</v>
      </c>
      <c r="J2229">
        <v>13308851</v>
      </c>
      <c r="K2229">
        <v>164900</v>
      </c>
    </row>
    <row r="2230" spans="1:11" x14ac:dyDescent="0.3">
      <c r="A2230" t="s">
        <v>2239</v>
      </c>
      <c r="B2230">
        <v>660675</v>
      </c>
      <c r="C2230">
        <v>5857700</v>
      </c>
      <c r="D2230">
        <v>326782</v>
      </c>
      <c r="E2230">
        <v>1126400</v>
      </c>
      <c r="F2230">
        <v>10632142</v>
      </c>
      <c r="G2230">
        <v>437900</v>
      </c>
      <c r="H2230">
        <v>13320637</v>
      </c>
      <c r="I2230">
        <v>147500</v>
      </c>
      <c r="J2230">
        <v>13321512</v>
      </c>
      <c r="K2230">
        <v>163800</v>
      </c>
    </row>
    <row r="2231" spans="1:11" x14ac:dyDescent="0.3">
      <c r="A2231" t="s">
        <v>2240</v>
      </c>
      <c r="B2231">
        <v>660675</v>
      </c>
      <c r="C2231">
        <v>5915800</v>
      </c>
      <c r="D2231">
        <v>333971</v>
      </c>
      <c r="E2231">
        <v>1155400</v>
      </c>
      <c r="F2231">
        <v>10642382</v>
      </c>
      <c r="G2231">
        <v>432200</v>
      </c>
      <c r="H2231">
        <v>13333162</v>
      </c>
      <c r="I2231">
        <v>148000</v>
      </c>
      <c r="J2231">
        <v>13334010</v>
      </c>
      <c r="K2231">
        <v>159700</v>
      </c>
    </row>
    <row r="2232" spans="1:11" x14ac:dyDescent="0.3">
      <c r="A2232" t="s">
        <v>2241</v>
      </c>
      <c r="B2232">
        <v>660675</v>
      </c>
      <c r="C2232">
        <v>5916600</v>
      </c>
      <c r="D2232">
        <v>338337</v>
      </c>
      <c r="E2232">
        <v>1174900</v>
      </c>
      <c r="F2232">
        <v>10652665</v>
      </c>
      <c r="G2232">
        <v>434000</v>
      </c>
      <c r="H2232">
        <v>13345290</v>
      </c>
      <c r="I2232">
        <v>149000</v>
      </c>
      <c r="J2232">
        <v>13347041</v>
      </c>
      <c r="K2232">
        <v>163500</v>
      </c>
    </row>
    <row r="2233" spans="1:11" x14ac:dyDescent="0.3">
      <c r="A2233" t="s">
        <v>2242</v>
      </c>
      <c r="B2233">
        <v>660675</v>
      </c>
      <c r="C2233">
        <v>5424300</v>
      </c>
      <c r="D2233">
        <v>326341</v>
      </c>
      <c r="E2233">
        <v>1124300</v>
      </c>
      <c r="F2233">
        <v>10662944</v>
      </c>
      <c r="G2233">
        <v>440200</v>
      </c>
      <c r="H2233">
        <v>13357923</v>
      </c>
      <c r="I2233">
        <v>146700</v>
      </c>
      <c r="J2233">
        <v>13360131</v>
      </c>
      <c r="K2233">
        <v>162000</v>
      </c>
    </row>
    <row r="2234" spans="1:11" x14ac:dyDescent="0.3">
      <c r="A2234" t="s">
        <v>2243</v>
      </c>
      <c r="B2234">
        <v>660675</v>
      </c>
      <c r="C2234">
        <v>5594700</v>
      </c>
      <c r="D2234">
        <v>341599</v>
      </c>
      <c r="E2234">
        <v>1175500</v>
      </c>
      <c r="F2234">
        <v>10673199</v>
      </c>
      <c r="G2234">
        <v>429800</v>
      </c>
      <c r="H2234">
        <v>13370659</v>
      </c>
      <c r="I2234">
        <v>151700</v>
      </c>
      <c r="J2234">
        <v>13372534</v>
      </c>
      <c r="K2234">
        <v>164500</v>
      </c>
    </row>
    <row r="2235" spans="1:11" x14ac:dyDescent="0.3">
      <c r="A2235" t="s">
        <v>2244</v>
      </c>
      <c r="B2235">
        <v>660675</v>
      </c>
      <c r="C2235">
        <v>5659200</v>
      </c>
      <c r="D2235">
        <v>318751</v>
      </c>
      <c r="E2235">
        <v>1189500</v>
      </c>
      <c r="F2235">
        <v>10683479</v>
      </c>
      <c r="G2235">
        <v>436500</v>
      </c>
      <c r="H2235">
        <v>13383406</v>
      </c>
      <c r="I2235">
        <v>150800</v>
      </c>
      <c r="J2235">
        <v>13385249</v>
      </c>
      <c r="K2235">
        <v>160700</v>
      </c>
    </row>
    <row r="2236" spans="1:11" x14ac:dyDescent="0.3">
      <c r="A2236" t="s">
        <v>2245</v>
      </c>
      <c r="B2236">
        <v>660675</v>
      </c>
      <c r="C2236">
        <v>5633800</v>
      </c>
      <c r="D2236">
        <v>343538</v>
      </c>
      <c r="E2236">
        <v>1192400</v>
      </c>
      <c r="F2236">
        <v>10693759</v>
      </c>
      <c r="G2236">
        <v>437400</v>
      </c>
      <c r="H2236">
        <v>13396753</v>
      </c>
      <c r="I2236">
        <v>146500</v>
      </c>
      <c r="J2236">
        <v>13397997</v>
      </c>
      <c r="K2236">
        <v>163600</v>
      </c>
    </row>
    <row r="2237" spans="1:11" x14ac:dyDescent="0.3">
      <c r="A2237" t="s">
        <v>2246</v>
      </c>
      <c r="B2237">
        <v>660675</v>
      </c>
      <c r="C2237">
        <v>5543700</v>
      </c>
      <c r="D2237">
        <v>329181</v>
      </c>
      <c r="E2237">
        <v>1143300</v>
      </c>
      <c r="F2237">
        <v>10703993</v>
      </c>
      <c r="G2237">
        <v>440800</v>
      </c>
      <c r="H2237">
        <v>13409488</v>
      </c>
      <c r="I2237">
        <v>151200</v>
      </c>
      <c r="J2237">
        <v>13410621</v>
      </c>
      <c r="K2237">
        <v>189000</v>
      </c>
    </row>
    <row r="2238" spans="1:11" x14ac:dyDescent="0.3">
      <c r="A2238" t="s">
        <v>2247</v>
      </c>
      <c r="B2238">
        <v>660675</v>
      </c>
      <c r="C2238">
        <v>5579000</v>
      </c>
      <c r="D2238">
        <v>338521</v>
      </c>
      <c r="E2238">
        <v>1259700</v>
      </c>
      <c r="F2238">
        <v>10714255</v>
      </c>
      <c r="G2238">
        <v>443300</v>
      </c>
      <c r="H2238">
        <v>13421544</v>
      </c>
      <c r="I2238">
        <v>152100</v>
      </c>
      <c r="J2238">
        <v>13423209</v>
      </c>
      <c r="K2238">
        <v>168300</v>
      </c>
    </row>
    <row r="2239" spans="1:11" x14ac:dyDescent="0.3">
      <c r="A2239" t="s">
        <v>2248</v>
      </c>
      <c r="B2239">
        <v>660675</v>
      </c>
      <c r="C2239">
        <v>5835200</v>
      </c>
      <c r="D2239">
        <v>332141</v>
      </c>
      <c r="E2239">
        <v>1183000</v>
      </c>
      <c r="F2239">
        <v>10724509</v>
      </c>
      <c r="G2239">
        <v>440800</v>
      </c>
      <c r="H2239">
        <v>13435853</v>
      </c>
      <c r="I2239">
        <v>154800</v>
      </c>
      <c r="J2239">
        <v>13435577</v>
      </c>
      <c r="K2239">
        <v>161700</v>
      </c>
    </row>
    <row r="2240" spans="1:11" x14ac:dyDescent="0.3">
      <c r="A2240" t="s">
        <v>2249</v>
      </c>
      <c r="B2240">
        <v>660675</v>
      </c>
      <c r="C2240">
        <v>6251900</v>
      </c>
      <c r="D2240">
        <v>338817</v>
      </c>
      <c r="E2240">
        <v>1187800</v>
      </c>
      <c r="F2240">
        <v>10734746</v>
      </c>
      <c r="G2240">
        <v>439200</v>
      </c>
      <c r="H2240">
        <v>13449660</v>
      </c>
      <c r="I2240">
        <v>154700</v>
      </c>
      <c r="J2240">
        <v>13449316</v>
      </c>
      <c r="K2240">
        <v>166700</v>
      </c>
    </row>
    <row r="2241" spans="1:11" x14ac:dyDescent="0.3">
      <c r="A2241" t="s">
        <v>2250</v>
      </c>
      <c r="B2241">
        <v>660675</v>
      </c>
      <c r="C2241">
        <v>5661400</v>
      </c>
      <c r="D2241">
        <v>331756</v>
      </c>
      <c r="E2241">
        <v>1148200</v>
      </c>
      <c r="F2241">
        <v>10745043</v>
      </c>
      <c r="G2241">
        <v>430900</v>
      </c>
      <c r="H2241">
        <v>13461596</v>
      </c>
      <c r="I2241">
        <v>146400</v>
      </c>
      <c r="J2241">
        <v>13461120</v>
      </c>
      <c r="K2241">
        <v>200100</v>
      </c>
    </row>
    <row r="2242" spans="1:11" x14ac:dyDescent="0.3">
      <c r="A2242" t="s">
        <v>2251</v>
      </c>
      <c r="B2242">
        <v>660675</v>
      </c>
      <c r="C2242">
        <v>5956900</v>
      </c>
      <c r="D2242">
        <v>334682</v>
      </c>
      <c r="E2242">
        <v>1163300</v>
      </c>
      <c r="F2242">
        <v>10755304</v>
      </c>
      <c r="G2242">
        <v>437100</v>
      </c>
      <c r="H2242">
        <v>13474542</v>
      </c>
      <c r="I2242">
        <v>153100</v>
      </c>
      <c r="J2242">
        <v>13474117</v>
      </c>
      <c r="K2242">
        <v>163400</v>
      </c>
    </row>
    <row r="2243" spans="1:11" x14ac:dyDescent="0.3">
      <c r="A2243" t="s">
        <v>2252</v>
      </c>
      <c r="B2243">
        <v>660675</v>
      </c>
      <c r="C2243">
        <v>5906800</v>
      </c>
      <c r="D2243">
        <v>336174</v>
      </c>
      <c r="E2243">
        <v>1159100</v>
      </c>
      <c r="F2243">
        <v>10765540</v>
      </c>
      <c r="G2243">
        <v>434500</v>
      </c>
      <c r="H2243">
        <v>13487508</v>
      </c>
      <c r="I2243">
        <v>151600</v>
      </c>
      <c r="J2243">
        <v>13487861</v>
      </c>
      <c r="K2243">
        <v>167600</v>
      </c>
    </row>
    <row r="2244" spans="1:11" x14ac:dyDescent="0.3">
      <c r="A2244" t="s">
        <v>2253</v>
      </c>
      <c r="B2244">
        <v>660675</v>
      </c>
      <c r="C2244">
        <v>6016200</v>
      </c>
      <c r="D2244">
        <v>353638</v>
      </c>
      <c r="E2244">
        <v>1218700</v>
      </c>
      <c r="F2244">
        <v>10775789</v>
      </c>
      <c r="G2244">
        <v>441100</v>
      </c>
      <c r="H2244">
        <v>13500715</v>
      </c>
      <c r="I2244">
        <v>144800</v>
      </c>
      <c r="J2244">
        <v>13500792</v>
      </c>
      <c r="K2244">
        <v>167200</v>
      </c>
    </row>
    <row r="2245" spans="1:11" x14ac:dyDescent="0.3">
      <c r="A2245" t="s">
        <v>2254</v>
      </c>
      <c r="B2245">
        <v>660675</v>
      </c>
      <c r="C2245">
        <v>5876600</v>
      </c>
      <c r="D2245">
        <v>319122</v>
      </c>
      <c r="E2245">
        <v>1101800</v>
      </c>
      <c r="F2245">
        <v>10786061</v>
      </c>
      <c r="G2245">
        <v>436500</v>
      </c>
      <c r="H2245">
        <v>13513086</v>
      </c>
      <c r="I2245">
        <v>146100</v>
      </c>
      <c r="J2245">
        <v>13513211</v>
      </c>
      <c r="K2245">
        <v>164700</v>
      </c>
    </row>
    <row r="2246" spans="1:11" x14ac:dyDescent="0.3">
      <c r="A2246" t="s">
        <v>2255</v>
      </c>
      <c r="B2246">
        <v>660675</v>
      </c>
      <c r="C2246">
        <v>5494100</v>
      </c>
      <c r="D2246">
        <v>341831</v>
      </c>
      <c r="E2246">
        <v>1223400</v>
      </c>
      <c r="F2246">
        <v>10796296</v>
      </c>
      <c r="G2246">
        <v>439200</v>
      </c>
      <c r="H2246">
        <v>13526022</v>
      </c>
      <c r="I2246">
        <v>146600</v>
      </c>
      <c r="J2246">
        <v>13525697</v>
      </c>
      <c r="K2246">
        <v>168400</v>
      </c>
    </row>
    <row r="2247" spans="1:11" x14ac:dyDescent="0.3">
      <c r="A2247" t="s">
        <v>2256</v>
      </c>
      <c r="B2247">
        <v>660675</v>
      </c>
      <c r="C2247">
        <v>5815700</v>
      </c>
      <c r="D2247">
        <v>332400</v>
      </c>
      <c r="E2247">
        <v>1155200</v>
      </c>
      <c r="F2247">
        <v>10806599</v>
      </c>
      <c r="G2247">
        <v>442800</v>
      </c>
      <c r="H2247">
        <v>13538496</v>
      </c>
      <c r="I2247">
        <v>149300</v>
      </c>
      <c r="J2247">
        <v>13539316</v>
      </c>
      <c r="K2247">
        <v>172900</v>
      </c>
    </row>
    <row r="2248" spans="1:11" x14ac:dyDescent="0.3">
      <c r="A2248" t="s">
        <v>2257</v>
      </c>
      <c r="B2248">
        <v>660675</v>
      </c>
      <c r="C2248">
        <v>5528200</v>
      </c>
      <c r="D2248">
        <v>334502</v>
      </c>
      <c r="E2248">
        <v>1681200</v>
      </c>
      <c r="F2248">
        <v>10816880</v>
      </c>
      <c r="G2248">
        <v>441600</v>
      </c>
      <c r="H2248">
        <v>13550771</v>
      </c>
      <c r="I2248">
        <v>149800</v>
      </c>
      <c r="J2248">
        <v>13553050</v>
      </c>
      <c r="K2248">
        <v>166200</v>
      </c>
    </row>
    <row r="2249" spans="1:11" x14ac:dyDescent="0.3">
      <c r="A2249" t="s">
        <v>2258</v>
      </c>
      <c r="B2249">
        <v>660675</v>
      </c>
      <c r="C2249">
        <v>5748000</v>
      </c>
      <c r="D2249">
        <v>320434</v>
      </c>
      <c r="E2249">
        <v>1180000</v>
      </c>
      <c r="F2249">
        <v>10827151</v>
      </c>
      <c r="G2249">
        <v>436800</v>
      </c>
      <c r="H2249">
        <v>13564268</v>
      </c>
      <c r="I2249">
        <v>151400</v>
      </c>
      <c r="J2249">
        <v>13565414</v>
      </c>
      <c r="K2249">
        <v>171500</v>
      </c>
    </row>
    <row r="2250" spans="1:11" x14ac:dyDescent="0.3">
      <c r="A2250" t="s">
        <v>2259</v>
      </c>
      <c r="B2250">
        <v>660675</v>
      </c>
      <c r="C2250">
        <v>5937200</v>
      </c>
      <c r="D2250">
        <v>318257</v>
      </c>
      <c r="E2250">
        <v>1133200</v>
      </c>
      <c r="F2250">
        <v>10837412</v>
      </c>
      <c r="G2250">
        <v>438600</v>
      </c>
      <c r="H2250">
        <v>13576379</v>
      </c>
      <c r="I2250">
        <v>148700</v>
      </c>
      <c r="J2250">
        <v>13580017</v>
      </c>
      <c r="K2250">
        <v>160400</v>
      </c>
    </row>
    <row r="2251" spans="1:11" x14ac:dyDescent="0.3">
      <c r="A2251" t="s">
        <v>2260</v>
      </c>
      <c r="B2251">
        <v>660675</v>
      </c>
      <c r="C2251">
        <v>5753900</v>
      </c>
      <c r="D2251">
        <v>323262</v>
      </c>
      <c r="E2251">
        <v>1113000</v>
      </c>
      <c r="F2251">
        <v>10847666</v>
      </c>
      <c r="G2251">
        <v>438900</v>
      </c>
      <c r="H2251">
        <v>13588694</v>
      </c>
      <c r="I2251">
        <v>143000</v>
      </c>
      <c r="J2251">
        <v>13592434</v>
      </c>
      <c r="K2251">
        <v>165300</v>
      </c>
    </row>
    <row r="2252" spans="1:11" x14ac:dyDescent="0.3">
      <c r="A2252" t="s">
        <v>2261</v>
      </c>
      <c r="B2252">
        <v>660675</v>
      </c>
      <c r="C2252">
        <v>5946500</v>
      </c>
      <c r="D2252">
        <v>327292</v>
      </c>
      <c r="E2252">
        <v>1131400</v>
      </c>
      <c r="F2252">
        <v>10857939</v>
      </c>
      <c r="G2252">
        <v>433400</v>
      </c>
      <c r="H2252">
        <v>13602095</v>
      </c>
      <c r="I2252">
        <v>151800</v>
      </c>
      <c r="J2252">
        <v>13606366</v>
      </c>
      <c r="K2252">
        <v>170400</v>
      </c>
    </row>
    <row r="2253" spans="1:11" x14ac:dyDescent="0.3">
      <c r="A2253" t="s">
        <v>2262</v>
      </c>
      <c r="B2253">
        <v>660675</v>
      </c>
      <c r="C2253">
        <v>6051700</v>
      </c>
      <c r="D2253">
        <v>322028</v>
      </c>
      <c r="E2253">
        <v>1158300</v>
      </c>
      <c r="F2253">
        <v>10868210</v>
      </c>
      <c r="G2253">
        <v>434200</v>
      </c>
      <c r="H2253">
        <v>13614277</v>
      </c>
      <c r="I2253">
        <v>148200</v>
      </c>
      <c r="J2253">
        <v>13618655</v>
      </c>
      <c r="K2253">
        <v>191400</v>
      </c>
    </row>
    <row r="2254" spans="1:11" x14ac:dyDescent="0.3">
      <c r="A2254" t="s">
        <v>2263</v>
      </c>
      <c r="B2254">
        <v>660675</v>
      </c>
      <c r="C2254">
        <v>6043500</v>
      </c>
      <c r="D2254">
        <v>340404</v>
      </c>
      <c r="E2254">
        <v>1178500</v>
      </c>
      <c r="F2254">
        <v>10878490</v>
      </c>
      <c r="G2254">
        <v>435200</v>
      </c>
      <c r="H2254">
        <v>13627418</v>
      </c>
      <c r="I2254">
        <v>150400</v>
      </c>
      <c r="J2254">
        <v>13631342</v>
      </c>
      <c r="K2254">
        <v>167200</v>
      </c>
    </row>
    <row r="2255" spans="1:11" x14ac:dyDescent="0.3">
      <c r="A2255" t="s">
        <v>2264</v>
      </c>
      <c r="B2255">
        <v>660675</v>
      </c>
      <c r="C2255">
        <v>5992100</v>
      </c>
      <c r="D2255">
        <v>331820</v>
      </c>
      <c r="E2255">
        <v>1156900</v>
      </c>
      <c r="F2255">
        <v>10888741</v>
      </c>
      <c r="G2255">
        <v>437900</v>
      </c>
      <c r="H2255">
        <v>13639718</v>
      </c>
      <c r="I2255">
        <v>150300</v>
      </c>
      <c r="J2255">
        <v>13644044</v>
      </c>
      <c r="K2255">
        <v>164400</v>
      </c>
    </row>
    <row r="2256" spans="1:11" x14ac:dyDescent="0.3">
      <c r="A2256" t="s">
        <v>2265</v>
      </c>
      <c r="B2256">
        <v>660675</v>
      </c>
      <c r="C2256">
        <v>5690100</v>
      </c>
      <c r="D2256">
        <v>329922</v>
      </c>
      <c r="E2256">
        <v>1144400</v>
      </c>
      <c r="F2256">
        <v>10899021</v>
      </c>
      <c r="G2256">
        <v>445500</v>
      </c>
      <c r="H2256">
        <v>13653895</v>
      </c>
      <c r="I2256">
        <v>151300</v>
      </c>
      <c r="J2256">
        <v>13657625</v>
      </c>
      <c r="K2256">
        <v>161000</v>
      </c>
    </row>
    <row r="2257" spans="1:11" x14ac:dyDescent="0.3">
      <c r="A2257" t="s">
        <v>2266</v>
      </c>
      <c r="B2257">
        <v>660675</v>
      </c>
      <c r="C2257">
        <v>5893900</v>
      </c>
      <c r="D2257">
        <v>333227</v>
      </c>
      <c r="E2257">
        <v>1278100</v>
      </c>
      <c r="F2257">
        <v>10909272</v>
      </c>
      <c r="G2257">
        <v>446000</v>
      </c>
      <c r="H2257">
        <v>13666367</v>
      </c>
      <c r="I2257">
        <v>146900</v>
      </c>
      <c r="J2257">
        <v>13670280</v>
      </c>
      <c r="K2257">
        <v>164700</v>
      </c>
    </row>
    <row r="2258" spans="1:11" x14ac:dyDescent="0.3">
      <c r="A2258" t="s">
        <v>2267</v>
      </c>
      <c r="B2258">
        <v>660675</v>
      </c>
      <c r="C2258">
        <v>6154500</v>
      </c>
      <c r="D2258">
        <v>345500</v>
      </c>
      <c r="E2258">
        <v>1314800</v>
      </c>
      <c r="F2258">
        <v>10919521</v>
      </c>
      <c r="G2258">
        <v>439100</v>
      </c>
      <c r="H2258">
        <v>13678713</v>
      </c>
      <c r="I2258">
        <v>160400</v>
      </c>
      <c r="J2258">
        <v>13684347</v>
      </c>
      <c r="K2258">
        <v>166900</v>
      </c>
    </row>
    <row r="2259" spans="1:11" x14ac:dyDescent="0.3">
      <c r="A2259" t="s">
        <v>2268</v>
      </c>
      <c r="B2259">
        <v>660675</v>
      </c>
      <c r="C2259">
        <v>5914900</v>
      </c>
      <c r="D2259">
        <v>335364</v>
      </c>
      <c r="E2259">
        <v>1259700</v>
      </c>
      <c r="F2259">
        <v>10929767</v>
      </c>
      <c r="G2259">
        <v>441100</v>
      </c>
      <c r="H2259">
        <v>13691212</v>
      </c>
      <c r="I2259">
        <v>154300</v>
      </c>
      <c r="J2259">
        <v>13698310</v>
      </c>
      <c r="K2259">
        <v>173400</v>
      </c>
    </row>
    <row r="2260" spans="1:11" x14ac:dyDescent="0.3">
      <c r="A2260" t="s">
        <v>2269</v>
      </c>
      <c r="B2260">
        <v>660675</v>
      </c>
      <c r="C2260">
        <v>5939700</v>
      </c>
      <c r="D2260">
        <v>335358</v>
      </c>
      <c r="E2260">
        <v>1177700</v>
      </c>
      <c r="F2260">
        <v>10940004</v>
      </c>
      <c r="G2260">
        <v>433000</v>
      </c>
      <c r="H2260">
        <v>13705987</v>
      </c>
      <c r="I2260">
        <v>144000</v>
      </c>
      <c r="J2260">
        <v>13711293</v>
      </c>
      <c r="K2260">
        <v>166200</v>
      </c>
    </row>
    <row r="2261" spans="1:11" x14ac:dyDescent="0.3">
      <c r="A2261" t="s">
        <v>2270</v>
      </c>
      <c r="B2261">
        <v>660675</v>
      </c>
      <c r="C2261">
        <v>5694800</v>
      </c>
      <c r="D2261">
        <v>317738</v>
      </c>
      <c r="E2261">
        <v>1126500</v>
      </c>
      <c r="F2261">
        <v>10950269</v>
      </c>
      <c r="G2261">
        <v>432100</v>
      </c>
      <c r="H2261">
        <v>13718739</v>
      </c>
      <c r="I2261">
        <v>147400</v>
      </c>
      <c r="J2261">
        <v>13723582</v>
      </c>
      <c r="K2261">
        <v>162200</v>
      </c>
    </row>
    <row r="2262" spans="1:11" x14ac:dyDescent="0.3">
      <c r="A2262" t="s">
        <v>2271</v>
      </c>
      <c r="B2262">
        <v>660675</v>
      </c>
      <c r="C2262">
        <v>5760200</v>
      </c>
      <c r="D2262">
        <v>327136</v>
      </c>
      <c r="E2262">
        <v>1131800</v>
      </c>
      <c r="F2262">
        <v>10960544</v>
      </c>
      <c r="G2262">
        <v>433800</v>
      </c>
      <c r="H2262">
        <v>13731686</v>
      </c>
      <c r="I2262">
        <v>148600</v>
      </c>
      <c r="J2262">
        <v>13737413</v>
      </c>
      <c r="K2262">
        <v>170500</v>
      </c>
    </row>
    <row r="2263" spans="1:11" x14ac:dyDescent="0.3">
      <c r="A2263" t="s">
        <v>2272</v>
      </c>
      <c r="B2263">
        <v>660675</v>
      </c>
      <c r="C2263">
        <v>5467900</v>
      </c>
      <c r="D2263">
        <v>325947</v>
      </c>
      <c r="E2263">
        <v>1125500</v>
      </c>
      <c r="F2263">
        <v>10970797</v>
      </c>
      <c r="G2263">
        <v>440200</v>
      </c>
      <c r="H2263">
        <v>13744247</v>
      </c>
      <c r="I2263">
        <v>139800</v>
      </c>
      <c r="J2263">
        <v>13751027</v>
      </c>
      <c r="K2263">
        <v>163300</v>
      </c>
    </row>
    <row r="2264" spans="1:11" x14ac:dyDescent="0.3">
      <c r="A2264" t="s">
        <v>2273</v>
      </c>
      <c r="B2264">
        <v>660675</v>
      </c>
      <c r="C2264">
        <v>5531700</v>
      </c>
      <c r="D2264">
        <v>327917</v>
      </c>
      <c r="E2264">
        <v>1159000</v>
      </c>
      <c r="F2264">
        <v>10981051</v>
      </c>
      <c r="G2264">
        <v>442100</v>
      </c>
      <c r="H2264">
        <v>13758650</v>
      </c>
      <c r="I2264">
        <v>152300</v>
      </c>
      <c r="J2264">
        <v>13763073</v>
      </c>
      <c r="K2264">
        <v>160300</v>
      </c>
    </row>
    <row r="2265" spans="1:11" x14ac:dyDescent="0.3">
      <c r="A2265" t="s">
        <v>2274</v>
      </c>
      <c r="B2265">
        <v>660675</v>
      </c>
      <c r="C2265">
        <v>6189300</v>
      </c>
      <c r="D2265">
        <v>339239</v>
      </c>
      <c r="E2265">
        <v>1204800</v>
      </c>
      <c r="F2265">
        <v>10991313</v>
      </c>
      <c r="G2265">
        <v>438600</v>
      </c>
      <c r="H2265">
        <v>13771227</v>
      </c>
      <c r="I2265">
        <v>147900</v>
      </c>
      <c r="J2265">
        <v>13776327</v>
      </c>
      <c r="K2265">
        <v>170500</v>
      </c>
    </row>
    <row r="2266" spans="1:11" x14ac:dyDescent="0.3">
      <c r="A2266" t="s">
        <v>2275</v>
      </c>
      <c r="B2266">
        <v>660675</v>
      </c>
      <c r="C2266">
        <v>5819800</v>
      </c>
      <c r="D2266">
        <v>333872</v>
      </c>
      <c r="E2266">
        <v>1162700</v>
      </c>
      <c r="F2266">
        <v>11001587</v>
      </c>
      <c r="G2266">
        <v>463700</v>
      </c>
      <c r="H2266">
        <v>13784044</v>
      </c>
      <c r="I2266">
        <v>149500</v>
      </c>
      <c r="J2266">
        <v>13789234</v>
      </c>
      <c r="K2266">
        <v>160400</v>
      </c>
    </row>
    <row r="2267" spans="1:11" x14ac:dyDescent="0.3">
      <c r="A2267" t="s">
        <v>2276</v>
      </c>
      <c r="B2267">
        <v>660675</v>
      </c>
      <c r="C2267">
        <v>5616300</v>
      </c>
      <c r="D2267">
        <v>335438</v>
      </c>
      <c r="E2267">
        <v>1208700</v>
      </c>
      <c r="F2267">
        <v>11011842</v>
      </c>
      <c r="G2267">
        <v>451800</v>
      </c>
      <c r="H2267">
        <v>13799377</v>
      </c>
      <c r="I2267">
        <v>151200</v>
      </c>
      <c r="J2267">
        <v>13801352</v>
      </c>
      <c r="K2267">
        <v>160700</v>
      </c>
    </row>
    <row r="2268" spans="1:11" x14ac:dyDescent="0.3">
      <c r="A2268" t="s">
        <v>2277</v>
      </c>
      <c r="B2268">
        <v>660675</v>
      </c>
      <c r="C2268">
        <v>5511600</v>
      </c>
      <c r="D2268">
        <v>345101</v>
      </c>
      <c r="E2268">
        <v>1193500</v>
      </c>
      <c r="F2268">
        <v>11022090</v>
      </c>
      <c r="G2268">
        <v>436200</v>
      </c>
      <c r="H2268">
        <v>13812023</v>
      </c>
      <c r="I2268">
        <v>148700</v>
      </c>
      <c r="J2268">
        <v>13814438</v>
      </c>
      <c r="K2268">
        <v>168100</v>
      </c>
    </row>
    <row r="2269" spans="1:11" x14ac:dyDescent="0.3">
      <c r="A2269" t="s">
        <v>2278</v>
      </c>
      <c r="B2269">
        <v>660675</v>
      </c>
      <c r="C2269">
        <v>5562500</v>
      </c>
      <c r="D2269">
        <v>330407</v>
      </c>
      <c r="E2269">
        <v>1174500</v>
      </c>
      <c r="F2269">
        <v>11032328</v>
      </c>
      <c r="G2269">
        <v>434100</v>
      </c>
      <c r="H2269">
        <v>13823888</v>
      </c>
      <c r="I2269">
        <v>150900</v>
      </c>
      <c r="J2269">
        <v>13827083</v>
      </c>
      <c r="K2269">
        <v>167600</v>
      </c>
    </row>
    <row r="2270" spans="1:11" x14ac:dyDescent="0.3">
      <c r="A2270" t="s">
        <v>2279</v>
      </c>
      <c r="B2270">
        <v>660675</v>
      </c>
      <c r="C2270">
        <v>5630500</v>
      </c>
      <c r="D2270">
        <v>321979</v>
      </c>
      <c r="E2270">
        <v>1116400</v>
      </c>
      <c r="F2270">
        <v>11042567</v>
      </c>
      <c r="G2270">
        <v>436300</v>
      </c>
      <c r="H2270">
        <v>13836941</v>
      </c>
      <c r="I2270">
        <v>143700</v>
      </c>
      <c r="J2270">
        <v>13840239</v>
      </c>
      <c r="K2270">
        <v>164000</v>
      </c>
    </row>
    <row r="2271" spans="1:11" x14ac:dyDescent="0.3">
      <c r="A2271" t="s">
        <v>2280</v>
      </c>
      <c r="B2271">
        <v>660675</v>
      </c>
      <c r="C2271">
        <v>5809700</v>
      </c>
      <c r="D2271">
        <v>331735</v>
      </c>
      <c r="E2271">
        <v>1152800</v>
      </c>
      <c r="F2271">
        <v>11052830</v>
      </c>
      <c r="G2271">
        <v>433800</v>
      </c>
      <c r="H2271">
        <v>13850176</v>
      </c>
      <c r="I2271">
        <v>149200</v>
      </c>
      <c r="J2271">
        <v>13854050</v>
      </c>
      <c r="K2271">
        <v>165900</v>
      </c>
    </row>
    <row r="2272" spans="1:11" x14ac:dyDescent="0.3">
      <c r="A2272" t="s">
        <v>2281</v>
      </c>
      <c r="B2272">
        <v>660675</v>
      </c>
      <c r="C2272">
        <v>5620300</v>
      </c>
      <c r="D2272">
        <v>334914</v>
      </c>
      <c r="E2272">
        <v>1183400</v>
      </c>
      <c r="F2272">
        <v>11063073</v>
      </c>
      <c r="G2272">
        <v>435500</v>
      </c>
      <c r="H2272">
        <v>13862726</v>
      </c>
      <c r="I2272">
        <v>147000</v>
      </c>
      <c r="J2272">
        <v>13866966</v>
      </c>
      <c r="K2272">
        <v>161400</v>
      </c>
    </row>
    <row r="2273" spans="1:11" x14ac:dyDescent="0.3">
      <c r="A2273" t="s">
        <v>2282</v>
      </c>
      <c r="B2273">
        <v>660675</v>
      </c>
      <c r="C2273">
        <v>5843100</v>
      </c>
      <c r="D2273">
        <v>340000</v>
      </c>
      <c r="E2273">
        <v>1212500</v>
      </c>
      <c r="F2273">
        <v>11073346</v>
      </c>
      <c r="G2273">
        <v>433700</v>
      </c>
      <c r="H2273">
        <v>13875397</v>
      </c>
      <c r="I2273">
        <v>149900</v>
      </c>
      <c r="J2273">
        <v>13880389</v>
      </c>
      <c r="K2273">
        <v>169900</v>
      </c>
    </row>
    <row r="2274" spans="1:11" x14ac:dyDescent="0.3">
      <c r="A2274" t="s">
        <v>2283</v>
      </c>
      <c r="B2274">
        <v>660675</v>
      </c>
      <c r="C2274">
        <v>5708500</v>
      </c>
      <c r="D2274">
        <v>324366</v>
      </c>
      <c r="E2274">
        <v>1123200</v>
      </c>
      <c r="F2274">
        <v>11083589</v>
      </c>
      <c r="G2274">
        <v>450500</v>
      </c>
      <c r="H2274">
        <v>13887917</v>
      </c>
      <c r="I2274">
        <v>235900</v>
      </c>
      <c r="J2274">
        <v>13891829</v>
      </c>
      <c r="K2274">
        <v>224800</v>
      </c>
    </row>
    <row r="2275" spans="1:11" x14ac:dyDescent="0.3">
      <c r="A2275" t="s">
        <v>2284</v>
      </c>
      <c r="B2275">
        <v>660675</v>
      </c>
      <c r="C2275">
        <v>5678300</v>
      </c>
      <c r="D2275">
        <v>324393</v>
      </c>
      <c r="E2275">
        <v>1222900</v>
      </c>
      <c r="F2275">
        <v>11093839</v>
      </c>
      <c r="G2275">
        <v>450800</v>
      </c>
      <c r="H2275">
        <v>13901299</v>
      </c>
      <c r="I2275">
        <v>151600</v>
      </c>
      <c r="J2275">
        <v>13905053</v>
      </c>
      <c r="K2275">
        <v>168000</v>
      </c>
    </row>
    <row r="2276" spans="1:11" x14ac:dyDescent="0.3">
      <c r="A2276" t="s">
        <v>2285</v>
      </c>
      <c r="B2276">
        <v>660675</v>
      </c>
      <c r="C2276">
        <v>6172700</v>
      </c>
      <c r="D2276">
        <v>320466</v>
      </c>
      <c r="E2276">
        <v>1129400</v>
      </c>
      <c r="F2276">
        <v>11104092</v>
      </c>
      <c r="G2276">
        <v>433100</v>
      </c>
      <c r="H2276">
        <v>13913786</v>
      </c>
      <c r="I2276">
        <v>151200</v>
      </c>
      <c r="J2276">
        <v>13919664</v>
      </c>
      <c r="K2276">
        <v>170800</v>
      </c>
    </row>
    <row r="2277" spans="1:11" x14ac:dyDescent="0.3">
      <c r="A2277" t="s">
        <v>2286</v>
      </c>
      <c r="B2277">
        <v>660675</v>
      </c>
      <c r="C2277">
        <v>6362500</v>
      </c>
      <c r="D2277">
        <v>329953</v>
      </c>
      <c r="E2277">
        <v>1151400</v>
      </c>
      <c r="F2277">
        <v>11114314</v>
      </c>
      <c r="G2277">
        <v>440200</v>
      </c>
      <c r="H2277">
        <v>13926641</v>
      </c>
      <c r="I2277">
        <v>146800</v>
      </c>
      <c r="J2277">
        <v>13932212</v>
      </c>
      <c r="K2277">
        <v>167100</v>
      </c>
    </row>
    <row r="2278" spans="1:11" x14ac:dyDescent="0.3">
      <c r="A2278" t="s">
        <v>2287</v>
      </c>
      <c r="B2278">
        <v>660675</v>
      </c>
      <c r="C2278">
        <v>6897400</v>
      </c>
      <c r="D2278">
        <v>340725</v>
      </c>
      <c r="E2278">
        <v>1209700</v>
      </c>
      <c r="F2278">
        <v>11124576</v>
      </c>
      <c r="G2278">
        <v>436500</v>
      </c>
      <c r="H2278">
        <v>13939829</v>
      </c>
      <c r="I2278">
        <v>147900</v>
      </c>
      <c r="J2278">
        <v>13946443</v>
      </c>
      <c r="K2278">
        <v>177000</v>
      </c>
    </row>
    <row r="2279" spans="1:11" x14ac:dyDescent="0.3">
      <c r="A2279" t="s">
        <v>2288</v>
      </c>
      <c r="B2279">
        <v>660675</v>
      </c>
      <c r="C2279">
        <v>6318800</v>
      </c>
      <c r="D2279">
        <v>320578</v>
      </c>
      <c r="E2279">
        <v>1106000</v>
      </c>
      <c r="F2279">
        <v>11134832</v>
      </c>
      <c r="G2279">
        <v>432500</v>
      </c>
      <c r="H2279">
        <v>13952893</v>
      </c>
      <c r="I2279">
        <v>152500</v>
      </c>
      <c r="J2279">
        <v>13959397</v>
      </c>
      <c r="K2279">
        <v>170700</v>
      </c>
    </row>
    <row r="2280" spans="1:11" x14ac:dyDescent="0.3">
      <c r="A2280" t="s">
        <v>2289</v>
      </c>
      <c r="B2280">
        <v>660675</v>
      </c>
      <c r="C2280">
        <v>6219500</v>
      </c>
      <c r="D2280">
        <v>335716</v>
      </c>
      <c r="E2280">
        <v>1705700</v>
      </c>
      <c r="F2280">
        <v>11145095</v>
      </c>
      <c r="G2280">
        <v>454900</v>
      </c>
      <c r="H2280">
        <v>13965334</v>
      </c>
      <c r="I2280">
        <v>156600</v>
      </c>
      <c r="J2280">
        <v>13971818</v>
      </c>
      <c r="K2280">
        <v>176600</v>
      </c>
    </row>
    <row r="2281" spans="1:11" x14ac:dyDescent="0.3">
      <c r="A2281" t="s">
        <v>2290</v>
      </c>
      <c r="B2281">
        <v>660675</v>
      </c>
      <c r="C2281">
        <v>5954500</v>
      </c>
      <c r="D2281">
        <v>328302</v>
      </c>
      <c r="E2281">
        <v>1251900</v>
      </c>
      <c r="F2281">
        <v>11155316</v>
      </c>
      <c r="G2281">
        <v>443700</v>
      </c>
      <c r="H2281">
        <v>13978203</v>
      </c>
      <c r="I2281">
        <v>148400</v>
      </c>
      <c r="J2281">
        <v>13985116</v>
      </c>
      <c r="K2281">
        <v>172000</v>
      </c>
    </row>
    <row r="2282" spans="1:11" x14ac:dyDescent="0.3">
      <c r="A2282" t="s">
        <v>2291</v>
      </c>
      <c r="B2282">
        <v>660675</v>
      </c>
      <c r="C2282">
        <v>5909300</v>
      </c>
      <c r="D2282">
        <v>320982</v>
      </c>
      <c r="E2282">
        <v>1153000</v>
      </c>
      <c r="F2282">
        <v>11165545</v>
      </c>
      <c r="G2282">
        <v>442000</v>
      </c>
      <c r="H2282">
        <v>13990674</v>
      </c>
      <c r="I2282">
        <v>151000</v>
      </c>
      <c r="J2282">
        <v>13997913</v>
      </c>
      <c r="K2282">
        <v>177100</v>
      </c>
    </row>
    <row r="2283" spans="1:11" x14ac:dyDescent="0.3">
      <c r="A2283" t="s">
        <v>2292</v>
      </c>
      <c r="B2283">
        <v>660675</v>
      </c>
      <c r="C2283">
        <v>5942000</v>
      </c>
      <c r="D2283">
        <v>339829</v>
      </c>
      <c r="E2283">
        <v>1180000</v>
      </c>
      <c r="F2283">
        <v>11175812</v>
      </c>
      <c r="G2283">
        <v>431700</v>
      </c>
      <c r="H2283">
        <v>14003811</v>
      </c>
      <c r="I2283">
        <v>150200</v>
      </c>
      <c r="J2283">
        <v>14011410</v>
      </c>
      <c r="K2283">
        <v>163400</v>
      </c>
    </row>
    <row r="2284" spans="1:11" x14ac:dyDescent="0.3">
      <c r="A2284" t="s">
        <v>2293</v>
      </c>
      <c r="B2284">
        <v>660675</v>
      </c>
      <c r="C2284">
        <v>6302800</v>
      </c>
      <c r="D2284">
        <v>336196</v>
      </c>
      <c r="E2284">
        <v>1161200</v>
      </c>
      <c r="F2284">
        <v>11186058</v>
      </c>
      <c r="G2284">
        <v>440700</v>
      </c>
      <c r="H2284">
        <v>14016886</v>
      </c>
      <c r="I2284">
        <v>146100</v>
      </c>
      <c r="J2284">
        <v>14024583</v>
      </c>
      <c r="K2284">
        <v>165100</v>
      </c>
    </row>
    <row r="2285" spans="1:11" x14ac:dyDescent="0.3">
      <c r="A2285" t="s">
        <v>2294</v>
      </c>
      <c r="B2285">
        <v>660675</v>
      </c>
      <c r="C2285">
        <v>6136000</v>
      </c>
      <c r="D2285">
        <v>323110</v>
      </c>
      <c r="E2285">
        <v>1120900</v>
      </c>
      <c r="F2285">
        <v>11196288</v>
      </c>
      <c r="G2285">
        <v>430000</v>
      </c>
      <c r="H2285">
        <v>14029469</v>
      </c>
      <c r="I2285">
        <v>150800</v>
      </c>
      <c r="J2285">
        <v>14036699</v>
      </c>
      <c r="K2285">
        <v>164200</v>
      </c>
    </row>
    <row r="2286" spans="1:11" x14ac:dyDescent="0.3">
      <c r="A2286" t="s">
        <v>2295</v>
      </c>
      <c r="B2286">
        <v>660675</v>
      </c>
      <c r="C2286">
        <v>5575900</v>
      </c>
      <c r="D2286">
        <v>329516</v>
      </c>
      <c r="E2286">
        <v>1165800</v>
      </c>
      <c r="F2286">
        <v>11206533</v>
      </c>
      <c r="G2286">
        <v>434000</v>
      </c>
      <c r="H2286">
        <v>14041320</v>
      </c>
      <c r="I2286">
        <v>148300</v>
      </c>
      <c r="J2286">
        <v>14049666</v>
      </c>
      <c r="K2286">
        <v>163200</v>
      </c>
    </row>
    <row r="2287" spans="1:11" x14ac:dyDescent="0.3">
      <c r="A2287" t="s">
        <v>2296</v>
      </c>
      <c r="B2287">
        <v>660675</v>
      </c>
      <c r="C2287">
        <v>5488300</v>
      </c>
      <c r="D2287">
        <v>319786</v>
      </c>
      <c r="E2287">
        <v>1132800</v>
      </c>
      <c r="F2287">
        <v>11216775</v>
      </c>
      <c r="G2287">
        <v>431700</v>
      </c>
      <c r="H2287">
        <v>14053816</v>
      </c>
      <c r="I2287">
        <v>148600</v>
      </c>
      <c r="J2287">
        <v>14063442</v>
      </c>
      <c r="K2287">
        <v>162700</v>
      </c>
    </row>
    <row r="2288" spans="1:11" x14ac:dyDescent="0.3">
      <c r="A2288" t="s">
        <v>2297</v>
      </c>
      <c r="B2288">
        <v>660675</v>
      </c>
      <c r="C2288">
        <v>5744400</v>
      </c>
      <c r="D2288">
        <v>324704</v>
      </c>
      <c r="E2288">
        <v>1124100</v>
      </c>
      <c r="F2288">
        <v>11227025</v>
      </c>
      <c r="G2288">
        <v>438500</v>
      </c>
      <c r="H2288">
        <v>14066983</v>
      </c>
      <c r="I2288">
        <v>149200</v>
      </c>
      <c r="J2288">
        <v>14076870</v>
      </c>
      <c r="K2288">
        <v>160700</v>
      </c>
    </row>
    <row r="2289" spans="1:11" x14ac:dyDescent="0.3">
      <c r="A2289" t="s">
        <v>2298</v>
      </c>
      <c r="B2289">
        <v>660675</v>
      </c>
      <c r="C2289">
        <v>5837100</v>
      </c>
      <c r="D2289">
        <v>331541</v>
      </c>
      <c r="E2289">
        <v>1213700</v>
      </c>
      <c r="F2289">
        <v>11237315</v>
      </c>
      <c r="G2289">
        <v>441500</v>
      </c>
      <c r="H2289">
        <v>14081258</v>
      </c>
      <c r="I2289">
        <v>159400</v>
      </c>
      <c r="J2289">
        <v>14091681</v>
      </c>
      <c r="K2289">
        <v>163300</v>
      </c>
    </row>
    <row r="2290" spans="1:11" x14ac:dyDescent="0.3">
      <c r="A2290" t="s">
        <v>2299</v>
      </c>
      <c r="B2290">
        <v>660675</v>
      </c>
      <c r="C2290">
        <v>6069000</v>
      </c>
      <c r="D2290">
        <v>329084</v>
      </c>
      <c r="E2290">
        <v>1379600</v>
      </c>
      <c r="F2290">
        <v>11247541</v>
      </c>
      <c r="G2290">
        <v>674300</v>
      </c>
      <c r="H2290">
        <v>14093129</v>
      </c>
      <c r="I2290">
        <v>207300</v>
      </c>
      <c r="J2290">
        <v>14104174</v>
      </c>
      <c r="K2290">
        <v>181200</v>
      </c>
    </row>
    <row r="2291" spans="1:11" x14ac:dyDescent="0.3">
      <c r="A2291" t="s">
        <v>2300</v>
      </c>
      <c r="B2291">
        <v>660675</v>
      </c>
      <c r="C2291">
        <v>6654300</v>
      </c>
      <c r="D2291">
        <v>334012</v>
      </c>
      <c r="E2291">
        <v>1189800</v>
      </c>
      <c r="F2291">
        <v>11257823</v>
      </c>
      <c r="G2291">
        <v>442200</v>
      </c>
      <c r="H2291">
        <v>14105815</v>
      </c>
      <c r="I2291">
        <v>145300</v>
      </c>
      <c r="J2291">
        <v>14116651</v>
      </c>
      <c r="K2291">
        <v>165500</v>
      </c>
    </row>
    <row r="2292" spans="1:11" x14ac:dyDescent="0.3">
      <c r="A2292" t="s">
        <v>2301</v>
      </c>
      <c r="B2292">
        <v>660675</v>
      </c>
      <c r="C2292">
        <v>5808900</v>
      </c>
      <c r="D2292">
        <v>332284</v>
      </c>
      <c r="E2292">
        <v>1177600</v>
      </c>
      <c r="F2292">
        <v>11268092</v>
      </c>
      <c r="G2292">
        <v>434300</v>
      </c>
      <c r="H2292">
        <v>14117927</v>
      </c>
      <c r="I2292">
        <v>148600</v>
      </c>
      <c r="J2292">
        <v>14130032</v>
      </c>
      <c r="K2292">
        <v>177500</v>
      </c>
    </row>
    <row r="2293" spans="1:11" x14ac:dyDescent="0.3">
      <c r="A2293" t="s">
        <v>2302</v>
      </c>
      <c r="B2293">
        <v>660675</v>
      </c>
      <c r="C2293">
        <v>5777700</v>
      </c>
      <c r="D2293">
        <v>335681</v>
      </c>
      <c r="E2293">
        <v>1185000</v>
      </c>
      <c r="F2293">
        <v>11278368</v>
      </c>
      <c r="G2293">
        <v>439900</v>
      </c>
      <c r="H2293">
        <v>14130160</v>
      </c>
      <c r="I2293">
        <v>145600</v>
      </c>
      <c r="J2293">
        <v>14143243</v>
      </c>
      <c r="K2293">
        <v>163400</v>
      </c>
    </row>
    <row r="2294" spans="1:11" x14ac:dyDescent="0.3">
      <c r="A2294" t="s">
        <v>2303</v>
      </c>
      <c r="B2294">
        <v>660675</v>
      </c>
      <c r="C2294">
        <v>6238600</v>
      </c>
      <c r="D2294">
        <v>317411</v>
      </c>
      <c r="E2294">
        <v>1288300</v>
      </c>
      <c r="F2294">
        <v>11288597</v>
      </c>
      <c r="G2294">
        <v>447300</v>
      </c>
      <c r="H2294">
        <v>14143470</v>
      </c>
      <c r="I2294">
        <v>153800</v>
      </c>
      <c r="J2294">
        <v>14155547</v>
      </c>
      <c r="K2294">
        <v>167400</v>
      </c>
    </row>
    <row r="2295" spans="1:11" x14ac:dyDescent="0.3">
      <c r="A2295" t="s">
        <v>2304</v>
      </c>
      <c r="B2295">
        <v>660675</v>
      </c>
      <c r="C2295">
        <v>5762100</v>
      </c>
      <c r="D2295">
        <v>325933</v>
      </c>
      <c r="E2295">
        <v>1138900</v>
      </c>
      <c r="F2295">
        <v>11298830</v>
      </c>
      <c r="G2295">
        <v>439900</v>
      </c>
      <c r="H2295">
        <v>14156571</v>
      </c>
      <c r="I2295">
        <v>148300</v>
      </c>
      <c r="J2295">
        <v>14167854</v>
      </c>
      <c r="K2295">
        <v>162600</v>
      </c>
    </row>
    <row r="2296" spans="1:11" x14ac:dyDescent="0.3">
      <c r="A2296" t="s">
        <v>2305</v>
      </c>
      <c r="B2296">
        <v>660675</v>
      </c>
      <c r="C2296">
        <v>5819100</v>
      </c>
      <c r="D2296">
        <v>337517</v>
      </c>
      <c r="E2296">
        <v>1168700</v>
      </c>
      <c r="F2296">
        <v>11309108</v>
      </c>
      <c r="G2296">
        <v>434400</v>
      </c>
      <c r="H2296">
        <v>14169794</v>
      </c>
      <c r="I2296">
        <v>150800</v>
      </c>
      <c r="J2296">
        <v>14181443</v>
      </c>
      <c r="K2296">
        <v>170300</v>
      </c>
    </row>
    <row r="2297" spans="1:11" x14ac:dyDescent="0.3">
      <c r="A2297" t="s">
        <v>2306</v>
      </c>
      <c r="B2297">
        <v>660675</v>
      </c>
      <c r="C2297">
        <v>5667000</v>
      </c>
      <c r="D2297">
        <v>335487</v>
      </c>
      <c r="E2297">
        <v>1162200</v>
      </c>
      <c r="F2297">
        <v>11319312</v>
      </c>
      <c r="G2297">
        <v>435900</v>
      </c>
      <c r="H2297">
        <v>14181685</v>
      </c>
      <c r="I2297">
        <v>210600</v>
      </c>
      <c r="J2297">
        <v>14193300</v>
      </c>
      <c r="K2297">
        <v>165600</v>
      </c>
    </row>
    <row r="2298" spans="1:11" x14ac:dyDescent="0.3">
      <c r="A2298" t="s">
        <v>2307</v>
      </c>
      <c r="B2298">
        <v>660675</v>
      </c>
      <c r="C2298">
        <v>5964000</v>
      </c>
      <c r="D2298">
        <v>341054</v>
      </c>
      <c r="E2298">
        <v>1375700</v>
      </c>
      <c r="F2298">
        <v>11329549</v>
      </c>
      <c r="G2298">
        <v>457000</v>
      </c>
      <c r="H2298">
        <v>14193916</v>
      </c>
      <c r="I2298">
        <v>150900</v>
      </c>
      <c r="J2298">
        <v>14206496</v>
      </c>
      <c r="K2298">
        <v>166300</v>
      </c>
    </row>
    <row r="2299" spans="1:11" x14ac:dyDescent="0.3">
      <c r="A2299" t="s">
        <v>2308</v>
      </c>
      <c r="B2299">
        <v>660675</v>
      </c>
      <c r="C2299">
        <v>6638700</v>
      </c>
      <c r="D2299">
        <v>337740</v>
      </c>
      <c r="E2299">
        <v>1465300</v>
      </c>
      <c r="F2299">
        <v>11339828</v>
      </c>
      <c r="G2299">
        <v>438500</v>
      </c>
      <c r="H2299">
        <v>14206272</v>
      </c>
      <c r="I2299">
        <v>150900</v>
      </c>
      <c r="J2299">
        <v>14219960</v>
      </c>
      <c r="K2299">
        <v>171600</v>
      </c>
    </row>
    <row r="2300" spans="1:11" x14ac:dyDescent="0.3">
      <c r="A2300" t="s">
        <v>2309</v>
      </c>
      <c r="B2300">
        <v>660675</v>
      </c>
      <c r="C2300">
        <v>5887200</v>
      </c>
      <c r="D2300">
        <v>326878</v>
      </c>
      <c r="E2300">
        <v>1126600</v>
      </c>
      <c r="F2300">
        <v>11350077</v>
      </c>
      <c r="G2300">
        <v>444900</v>
      </c>
      <c r="H2300">
        <v>14219915</v>
      </c>
      <c r="I2300">
        <v>151400</v>
      </c>
      <c r="J2300">
        <v>14232344</v>
      </c>
      <c r="K2300">
        <v>166000</v>
      </c>
    </row>
    <row r="2301" spans="1:11" x14ac:dyDescent="0.3">
      <c r="A2301" t="s">
        <v>2310</v>
      </c>
      <c r="B2301">
        <v>660675</v>
      </c>
      <c r="C2301">
        <v>5893500</v>
      </c>
      <c r="D2301">
        <v>330234</v>
      </c>
      <c r="E2301">
        <v>1141500</v>
      </c>
      <c r="F2301">
        <v>11360344</v>
      </c>
      <c r="G2301">
        <v>436800</v>
      </c>
      <c r="H2301">
        <v>14232452</v>
      </c>
      <c r="I2301">
        <v>147900</v>
      </c>
      <c r="J2301">
        <v>14244273</v>
      </c>
      <c r="K2301">
        <v>162400</v>
      </c>
    </row>
    <row r="2302" spans="1:11" x14ac:dyDescent="0.3">
      <c r="A2302" t="s">
        <v>2311</v>
      </c>
      <c r="B2302">
        <v>719400</v>
      </c>
      <c r="C2302">
        <v>6331700</v>
      </c>
      <c r="D2302">
        <v>365731</v>
      </c>
      <c r="E2302">
        <v>1262500</v>
      </c>
      <c r="F2302">
        <v>11371145</v>
      </c>
      <c r="G2302">
        <v>453900</v>
      </c>
      <c r="H2302">
        <v>14247432</v>
      </c>
      <c r="I2302">
        <v>155300</v>
      </c>
      <c r="J2302">
        <v>14260124</v>
      </c>
      <c r="K2302">
        <v>180800</v>
      </c>
    </row>
    <row r="2303" spans="1:11" x14ac:dyDescent="0.3">
      <c r="A2303" t="s">
        <v>2312</v>
      </c>
      <c r="B2303">
        <v>719400</v>
      </c>
      <c r="C2303">
        <v>6311700</v>
      </c>
      <c r="D2303">
        <v>364179</v>
      </c>
      <c r="E2303">
        <v>1258000</v>
      </c>
      <c r="F2303">
        <v>11381958</v>
      </c>
      <c r="G2303">
        <v>460700</v>
      </c>
      <c r="H2303">
        <v>14260367</v>
      </c>
      <c r="I2303">
        <v>156100</v>
      </c>
      <c r="J2303">
        <v>14273770</v>
      </c>
      <c r="K2303">
        <v>169800</v>
      </c>
    </row>
    <row r="2304" spans="1:11" x14ac:dyDescent="0.3">
      <c r="A2304" t="s">
        <v>2313</v>
      </c>
      <c r="B2304">
        <v>719400</v>
      </c>
      <c r="C2304">
        <v>6135400</v>
      </c>
      <c r="D2304">
        <v>366250</v>
      </c>
      <c r="E2304">
        <v>1846600</v>
      </c>
      <c r="F2304">
        <v>11392740</v>
      </c>
      <c r="G2304">
        <v>466600</v>
      </c>
      <c r="H2304">
        <v>14273876</v>
      </c>
      <c r="I2304">
        <v>160700</v>
      </c>
      <c r="J2304">
        <v>14288259</v>
      </c>
      <c r="K2304">
        <v>176300</v>
      </c>
    </row>
    <row r="2305" spans="1:11" x14ac:dyDescent="0.3">
      <c r="A2305" t="s">
        <v>2314</v>
      </c>
      <c r="B2305">
        <v>719400</v>
      </c>
      <c r="C2305">
        <v>6585900</v>
      </c>
      <c r="D2305">
        <v>363191</v>
      </c>
      <c r="E2305">
        <v>1302500</v>
      </c>
      <c r="F2305">
        <v>11403545</v>
      </c>
      <c r="G2305">
        <v>462100</v>
      </c>
      <c r="H2305">
        <v>14288073</v>
      </c>
      <c r="I2305">
        <v>156400</v>
      </c>
      <c r="J2305">
        <v>14301353</v>
      </c>
      <c r="K2305">
        <v>173800</v>
      </c>
    </row>
    <row r="2306" spans="1:11" x14ac:dyDescent="0.3">
      <c r="A2306" t="s">
        <v>2315</v>
      </c>
      <c r="B2306">
        <v>719400</v>
      </c>
      <c r="C2306">
        <v>6450900</v>
      </c>
      <c r="D2306">
        <v>355233</v>
      </c>
      <c r="E2306">
        <v>1224900</v>
      </c>
      <c r="F2306">
        <v>11414325</v>
      </c>
      <c r="G2306">
        <v>456500</v>
      </c>
      <c r="H2306">
        <v>14301218</v>
      </c>
      <c r="I2306">
        <v>152200</v>
      </c>
      <c r="J2306">
        <v>14316493</v>
      </c>
      <c r="K2306">
        <v>174700</v>
      </c>
    </row>
    <row r="2307" spans="1:11" x14ac:dyDescent="0.3">
      <c r="A2307" t="s">
        <v>2316</v>
      </c>
      <c r="B2307">
        <v>719400</v>
      </c>
      <c r="C2307">
        <v>6375600</v>
      </c>
      <c r="D2307">
        <v>353587</v>
      </c>
      <c r="E2307">
        <v>1223200</v>
      </c>
      <c r="F2307">
        <v>11425130</v>
      </c>
      <c r="G2307">
        <v>455700</v>
      </c>
      <c r="H2307">
        <v>14314187</v>
      </c>
      <c r="I2307">
        <v>153700</v>
      </c>
      <c r="J2307">
        <v>14330136</v>
      </c>
      <c r="K2307">
        <v>176300</v>
      </c>
    </row>
    <row r="2308" spans="1:11" x14ac:dyDescent="0.3">
      <c r="A2308" t="s">
        <v>2317</v>
      </c>
      <c r="B2308">
        <v>719400</v>
      </c>
      <c r="C2308">
        <v>6180500</v>
      </c>
      <c r="D2308">
        <v>359186</v>
      </c>
      <c r="E2308">
        <v>1331700</v>
      </c>
      <c r="F2308">
        <v>11435939</v>
      </c>
      <c r="G2308">
        <v>467500</v>
      </c>
      <c r="H2308">
        <v>14327761</v>
      </c>
      <c r="I2308">
        <v>160400</v>
      </c>
      <c r="J2308">
        <v>14343177</v>
      </c>
      <c r="K2308">
        <v>175100</v>
      </c>
    </row>
    <row r="2309" spans="1:11" x14ac:dyDescent="0.3">
      <c r="A2309" t="s">
        <v>2318</v>
      </c>
      <c r="B2309">
        <v>719400</v>
      </c>
      <c r="C2309">
        <v>6541600</v>
      </c>
      <c r="D2309">
        <v>353779</v>
      </c>
      <c r="E2309">
        <v>1235500</v>
      </c>
      <c r="F2309">
        <v>11446711</v>
      </c>
      <c r="G2309">
        <v>460700</v>
      </c>
      <c r="H2309">
        <v>14340741</v>
      </c>
      <c r="I2309">
        <v>158400</v>
      </c>
      <c r="J2309">
        <v>14356635</v>
      </c>
      <c r="K2309">
        <v>176000</v>
      </c>
    </row>
    <row r="2310" spans="1:11" x14ac:dyDescent="0.3">
      <c r="A2310" t="s">
        <v>2319</v>
      </c>
      <c r="B2310">
        <v>719400</v>
      </c>
      <c r="C2310">
        <v>6176700</v>
      </c>
      <c r="D2310">
        <v>356284</v>
      </c>
      <c r="E2310">
        <v>1260600</v>
      </c>
      <c r="F2310">
        <v>11457471</v>
      </c>
      <c r="G2310">
        <v>529400</v>
      </c>
      <c r="H2310">
        <v>14353947</v>
      </c>
      <c r="I2310">
        <v>154600</v>
      </c>
      <c r="J2310">
        <v>14369966</v>
      </c>
      <c r="K2310">
        <v>169100</v>
      </c>
    </row>
    <row r="2311" spans="1:11" x14ac:dyDescent="0.3">
      <c r="A2311" t="s">
        <v>2320</v>
      </c>
      <c r="B2311">
        <v>719400</v>
      </c>
      <c r="C2311">
        <v>6701700</v>
      </c>
      <c r="D2311">
        <v>346827</v>
      </c>
      <c r="E2311">
        <v>1229500</v>
      </c>
      <c r="F2311">
        <v>11468217</v>
      </c>
      <c r="G2311">
        <v>452900</v>
      </c>
      <c r="H2311">
        <v>14366674</v>
      </c>
      <c r="I2311">
        <v>154100</v>
      </c>
      <c r="J2311">
        <v>14383505</v>
      </c>
      <c r="K2311">
        <v>169900</v>
      </c>
    </row>
    <row r="2312" spans="1:11" x14ac:dyDescent="0.3">
      <c r="A2312" t="s">
        <v>2321</v>
      </c>
      <c r="B2312">
        <v>719400</v>
      </c>
      <c r="C2312">
        <v>6619400</v>
      </c>
      <c r="D2312">
        <v>367176</v>
      </c>
      <c r="E2312">
        <v>1274500</v>
      </c>
      <c r="F2312">
        <v>11479020</v>
      </c>
      <c r="G2312">
        <v>461500</v>
      </c>
      <c r="H2312">
        <v>14380948</v>
      </c>
      <c r="I2312">
        <v>158400</v>
      </c>
      <c r="J2312">
        <v>14397945</v>
      </c>
      <c r="K2312">
        <v>172800</v>
      </c>
    </row>
    <row r="2313" spans="1:11" x14ac:dyDescent="0.3">
      <c r="A2313" t="s">
        <v>2322</v>
      </c>
      <c r="B2313">
        <v>719400</v>
      </c>
      <c r="C2313">
        <v>6203300</v>
      </c>
      <c r="D2313">
        <v>369330</v>
      </c>
      <c r="E2313">
        <v>1302700</v>
      </c>
      <c r="F2313">
        <v>11489811</v>
      </c>
      <c r="G2313">
        <v>455300</v>
      </c>
      <c r="H2313">
        <v>14395048</v>
      </c>
      <c r="I2313">
        <v>160200</v>
      </c>
      <c r="J2313">
        <v>14410786</v>
      </c>
      <c r="K2313">
        <v>170600</v>
      </c>
    </row>
    <row r="2314" spans="1:11" x14ac:dyDescent="0.3">
      <c r="A2314" t="s">
        <v>2323</v>
      </c>
      <c r="B2314">
        <v>719400</v>
      </c>
      <c r="C2314">
        <v>5975800</v>
      </c>
      <c r="D2314">
        <v>367455</v>
      </c>
      <c r="E2314">
        <v>1292600</v>
      </c>
      <c r="F2314">
        <v>11500585</v>
      </c>
      <c r="G2314">
        <v>454800</v>
      </c>
      <c r="H2314">
        <v>14410574</v>
      </c>
      <c r="I2314">
        <v>169900</v>
      </c>
      <c r="J2314">
        <v>14423881</v>
      </c>
      <c r="K2314">
        <v>172200</v>
      </c>
    </row>
    <row r="2315" spans="1:11" x14ac:dyDescent="0.3">
      <c r="A2315" t="s">
        <v>2324</v>
      </c>
      <c r="B2315">
        <v>719400</v>
      </c>
      <c r="C2315">
        <v>6189800</v>
      </c>
      <c r="D2315">
        <v>364370</v>
      </c>
      <c r="E2315">
        <v>1270800</v>
      </c>
      <c r="F2315">
        <v>11511375</v>
      </c>
      <c r="G2315">
        <v>462700</v>
      </c>
      <c r="H2315">
        <v>14424212</v>
      </c>
      <c r="I2315">
        <v>158300</v>
      </c>
      <c r="J2315">
        <v>14436653</v>
      </c>
      <c r="K2315">
        <v>172000</v>
      </c>
    </row>
    <row r="2316" spans="1:11" x14ac:dyDescent="0.3">
      <c r="A2316" t="s">
        <v>2325</v>
      </c>
      <c r="B2316">
        <v>719400</v>
      </c>
      <c r="C2316">
        <v>6101000</v>
      </c>
      <c r="D2316">
        <v>360471</v>
      </c>
      <c r="E2316">
        <v>1589600</v>
      </c>
      <c r="F2316">
        <v>11522180</v>
      </c>
      <c r="G2316">
        <v>472400</v>
      </c>
      <c r="H2316">
        <v>14437926</v>
      </c>
      <c r="I2316">
        <v>162500</v>
      </c>
      <c r="J2316">
        <v>14450863</v>
      </c>
      <c r="K2316">
        <v>175700</v>
      </c>
    </row>
    <row r="2317" spans="1:11" x14ac:dyDescent="0.3">
      <c r="A2317" t="s">
        <v>2326</v>
      </c>
      <c r="B2317">
        <v>719400</v>
      </c>
      <c r="C2317">
        <v>6352000</v>
      </c>
      <c r="D2317">
        <v>362786</v>
      </c>
      <c r="E2317">
        <v>1318500</v>
      </c>
      <c r="F2317">
        <v>11532941</v>
      </c>
      <c r="G2317">
        <v>456900</v>
      </c>
      <c r="H2317">
        <v>14450878</v>
      </c>
      <c r="I2317">
        <v>157500</v>
      </c>
      <c r="J2317">
        <v>14464750</v>
      </c>
      <c r="K2317">
        <v>170700</v>
      </c>
    </row>
    <row r="2318" spans="1:11" x14ac:dyDescent="0.3">
      <c r="A2318" t="s">
        <v>2327</v>
      </c>
      <c r="B2318">
        <v>719400</v>
      </c>
      <c r="C2318">
        <v>6247000</v>
      </c>
      <c r="D2318">
        <v>353147</v>
      </c>
      <c r="E2318">
        <v>1215900</v>
      </c>
      <c r="F2318">
        <v>11543759</v>
      </c>
      <c r="G2318">
        <v>456900</v>
      </c>
      <c r="H2318">
        <v>14464154</v>
      </c>
      <c r="I2318">
        <v>157300</v>
      </c>
      <c r="J2318">
        <v>14477847</v>
      </c>
      <c r="K2318">
        <v>172300</v>
      </c>
    </row>
    <row r="2319" spans="1:11" x14ac:dyDescent="0.3">
      <c r="A2319" t="s">
        <v>2328</v>
      </c>
      <c r="B2319">
        <v>719400</v>
      </c>
      <c r="C2319">
        <v>6824000</v>
      </c>
      <c r="D2319">
        <v>352805</v>
      </c>
      <c r="E2319">
        <v>1259200</v>
      </c>
      <c r="F2319">
        <v>11554544</v>
      </c>
      <c r="G2319">
        <v>458700</v>
      </c>
      <c r="H2319">
        <v>14479688</v>
      </c>
      <c r="I2319">
        <v>154600</v>
      </c>
      <c r="J2319">
        <v>14491398</v>
      </c>
      <c r="K2319">
        <v>171300</v>
      </c>
    </row>
    <row r="2320" spans="1:11" x14ac:dyDescent="0.3">
      <c r="A2320" t="s">
        <v>2329</v>
      </c>
      <c r="B2320">
        <v>719400</v>
      </c>
      <c r="C2320">
        <v>6077600</v>
      </c>
      <c r="D2320">
        <v>374255</v>
      </c>
      <c r="E2320">
        <v>1358900</v>
      </c>
      <c r="F2320">
        <v>11565327</v>
      </c>
      <c r="G2320">
        <v>470300</v>
      </c>
      <c r="H2320">
        <v>14493519</v>
      </c>
      <c r="I2320">
        <v>158500</v>
      </c>
      <c r="J2320">
        <v>14503661</v>
      </c>
      <c r="K2320">
        <v>172700</v>
      </c>
    </row>
    <row r="2321" spans="1:11" x14ac:dyDescent="0.3">
      <c r="A2321" t="s">
        <v>2330</v>
      </c>
      <c r="B2321">
        <v>719400</v>
      </c>
      <c r="C2321">
        <v>6251700</v>
      </c>
      <c r="D2321">
        <v>361371</v>
      </c>
      <c r="E2321">
        <v>1257900</v>
      </c>
      <c r="F2321">
        <v>11576141</v>
      </c>
      <c r="G2321">
        <v>460900</v>
      </c>
      <c r="H2321">
        <v>14507675</v>
      </c>
      <c r="I2321">
        <v>157200</v>
      </c>
      <c r="J2321">
        <v>14517605</v>
      </c>
      <c r="K2321">
        <v>176000</v>
      </c>
    </row>
    <row r="2322" spans="1:11" x14ac:dyDescent="0.3">
      <c r="A2322" t="s">
        <v>2331</v>
      </c>
      <c r="B2322">
        <v>719400</v>
      </c>
      <c r="C2322">
        <v>6022400</v>
      </c>
      <c r="D2322">
        <v>359037</v>
      </c>
      <c r="E2322">
        <v>1419000</v>
      </c>
      <c r="F2322">
        <v>11586898</v>
      </c>
      <c r="G2322">
        <v>461800</v>
      </c>
      <c r="H2322">
        <v>14520880</v>
      </c>
      <c r="I2322">
        <v>158400</v>
      </c>
      <c r="J2322">
        <v>14531173</v>
      </c>
      <c r="K2322">
        <v>177900</v>
      </c>
    </row>
    <row r="2323" spans="1:11" x14ac:dyDescent="0.3">
      <c r="A2323" t="s">
        <v>2332</v>
      </c>
      <c r="B2323">
        <v>719400</v>
      </c>
      <c r="C2323">
        <v>6330600</v>
      </c>
      <c r="D2323">
        <v>379285</v>
      </c>
      <c r="E2323">
        <v>1337500</v>
      </c>
      <c r="F2323">
        <v>11597666</v>
      </c>
      <c r="G2323">
        <v>462200</v>
      </c>
      <c r="H2323">
        <v>14534704</v>
      </c>
      <c r="I2323">
        <v>149800</v>
      </c>
      <c r="J2323">
        <v>14546069</v>
      </c>
      <c r="K2323">
        <v>172400</v>
      </c>
    </row>
    <row r="2324" spans="1:11" x14ac:dyDescent="0.3">
      <c r="A2324" t="s">
        <v>2333</v>
      </c>
      <c r="B2324">
        <v>719400</v>
      </c>
      <c r="C2324">
        <v>6200400</v>
      </c>
      <c r="D2324">
        <v>359709</v>
      </c>
      <c r="E2324">
        <v>1383000</v>
      </c>
      <c r="F2324">
        <v>11608451</v>
      </c>
      <c r="G2324">
        <v>508700</v>
      </c>
      <c r="H2324">
        <v>14549262</v>
      </c>
      <c r="I2324">
        <v>165300</v>
      </c>
      <c r="J2324">
        <v>14559262</v>
      </c>
      <c r="K2324">
        <v>170700</v>
      </c>
    </row>
    <row r="2325" spans="1:11" x14ac:dyDescent="0.3">
      <c r="A2325" t="s">
        <v>2334</v>
      </c>
      <c r="B2325">
        <v>719400</v>
      </c>
      <c r="C2325">
        <v>6387300</v>
      </c>
      <c r="D2325">
        <v>364410</v>
      </c>
      <c r="E2325">
        <v>1259400</v>
      </c>
      <c r="F2325">
        <v>11619242</v>
      </c>
      <c r="G2325">
        <v>452100</v>
      </c>
      <c r="H2325">
        <v>14563318</v>
      </c>
      <c r="I2325">
        <v>159200</v>
      </c>
      <c r="J2325">
        <v>14572997</v>
      </c>
      <c r="K2325">
        <v>174200</v>
      </c>
    </row>
    <row r="2326" spans="1:11" x14ac:dyDescent="0.3">
      <c r="A2326" t="s">
        <v>2335</v>
      </c>
      <c r="B2326">
        <v>719400</v>
      </c>
      <c r="C2326">
        <v>6273100</v>
      </c>
      <c r="D2326">
        <v>364617</v>
      </c>
      <c r="E2326">
        <v>1259700</v>
      </c>
      <c r="F2326">
        <v>11630045</v>
      </c>
      <c r="G2326">
        <v>453900</v>
      </c>
      <c r="H2326">
        <v>14578017</v>
      </c>
      <c r="I2326">
        <v>165200</v>
      </c>
      <c r="J2326">
        <v>14586070</v>
      </c>
      <c r="K2326">
        <v>170600</v>
      </c>
    </row>
    <row r="2327" spans="1:11" x14ac:dyDescent="0.3">
      <c r="A2327" t="s">
        <v>2336</v>
      </c>
      <c r="B2327">
        <v>719400</v>
      </c>
      <c r="C2327">
        <v>6545900</v>
      </c>
      <c r="D2327">
        <v>344780</v>
      </c>
      <c r="E2327">
        <v>1199400</v>
      </c>
      <c r="F2327">
        <v>11640855</v>
      </c>
      <c r="G2327">
        <v>460900</v>
      </c>
      <c r="H2327">
        <v>14591167</v>
      </c>
      <c r="I2327">
        <v>155700</v>
      </c>
      <c r="J2327">
        <v>14599988</v>
      </c>
      <c r="K2327">
        <v>178800</v>
      </c>
    </row>
    <row r="2328" spans="1:11" x14ac:dyDescent="0.3">
      <c r="A2328" t="s">
        <v>2337</v>
      </c>
      <c r="B2328">
        <v>719400</v>
      </c>
      <c r="C2328">
        <v>6405700</v>
      </c>
      <c r="D2328">
        <v>365002</v>
      </c>
      <c r="E2328">
        <v>1569500</v>
      </c>
      <c r="F2328">
        <v>11651623</v>
      </c>
      <c r="G2328">
        <v>473200</v>
      </c>
      <c r="H2328">
        <v>14603676</v>
      </c>
      <c r="I2328">
        <v>173900</v>
      </c>
      <c r="J2328">
        <v>14613959</v>
      </c>
      <c r="K2328">
        <v>175900</v>
      </c>
    </row>
    <row r="2329" spans="1:11" x14ac:dyDescent="0.3">
      <c r="A2329" t="s">
        <v>2338</v>
      </c>
      <c r="B2329">
        <v>719400</v>
      </c>
      <c r="C2329">
        <v>6469100</v>
      </c>
      <c r="D2329">
        <v>363193</v>
      </c>
      <c r="E2329">
        <v>1301000</v>
      </c>
      <c r="F2329">
        <v>11662407</v>
      </c>
      <c r="G2329">
        <v>453800</v>
      </c>
      <c r="H2329">
        <v>14617332</v>
      </c>
      <c r="I2329">
        <v>163800</v>
      </c>
      <c r="J2329">
        <v>14626776</v>
      </c>
      <c r="K2329">
        <v>175500</v>
      </c>
    </row>
    <row r="2330" spans="1:11" x14ac:dyDescent="0.3">
      <c r="A2330" t="s">
        <v>2339</v>
      </c>
      <c r="B2330">
        <v>719400</v>
      </c>
      <c r="C2330">
        <v>6509400</v>
      </c>
      <c r="D2330">
        <v>363128</v>
      </c>
      <c r="E2330">
        <v>1284600</v>
      </c>
      <c r="F2330">
        <v>11673182</v>
      </c>
      <c r="G2330">
        <v>463400</v>
      </c>
      <c r="H2330">
        <v>14632230</v>
      </c>
      <c r="I2330">
        <v>154000</v>
      </c>
      <c r="J2330">
        <v>14639207</v>
      </c>
      <c r="K2330">
        <v>174700</v>
      </c>
    </row>
    <row r="2331" spans="1:11" x14ac:dyDescent="0.3">
      <c r="A2331" t="s">
        <v>2340</v>
      </c>
      <c r="B2331">
        <v>719400</v>
      </c>
      <c r="C2331">
        <v>6821500</v>
      </c>
      <c r="D2331">
        <v>360701</v>
      </c>
      <c r="E2331">
        <v>1277100</v>
      </c>
      <c r="F2331">
        <v>11683962</v>
      </c>
      <c r="G2331">
        <v>453600</v>
      </c>
      <c r="H2331">
        <v>14646686</v>
      </c>
      <c r="I2331">
        <v>156600</v>
      </c>
      <c r="J2331">
        <v>14653448</v>
      </c>
      <c r="K2331">
        <v>183700</v>
      </c>
    </row>
    <row r="2332" spans="1:11" x14ac:dyDescent="0.3">
      <c r="A2332" t="s">
        <v>2341</v>
      </c>
      <c r="B2332">
        <v>719400</v>
      </c>
      <c r="C2332">
        <v>6209600</v>
      </c>
      <c r="D2332">
        <v>360797</v>
      </c>
      <c r="E2332">
        <v>1290100</v>
      </c>
      <c r="F2332">
        <v>11694760</v>
      </c>
      <c r="G2332">
        <v>460000</v>
      </c>
      <c r="H2332">
        <v>14659649</v>
      </c>
      <c r="I2332">
        <v>155200</v>
      </c>
      <c r="J2332">
        <v>14666147</v>
      </c>
      <c r="K2332">
        <v>171400</v>
      </c>
    </row>
    <row r="2333" spans="1:11" x14ac:dyDescent="0.3">
      <c r="A2333" t="s">
        <v>2342</v>
      </c>
      <c r="B2333">
        <v>719400</v>
      </c>
      <c r="C2333">
        <v>6332100</v>
      </c>
      <c r="D2333">
        <v>367098</v>
      </c>
      <c r="E2333">
        <v>1269600</v>
      </c>
      <c r="F2333">
        <v>11705531</v>
      </c>
      <c r="G2333">
        <v>487000</v>
      </c>
      <c r="H2333">
        <v>14673574</v>
      </c>
      <c r="I2333">
        <v>182100</v>
      </c>
      <c r="J2333">
        <v>14679033</v>
      </c>
      <c r="K2333">
        <v>175400</v>
      </c>
    </row>
    <row r="2334" spans="1:11" x14ac:dyDescent="0.3">
      <c r="A2334" t="s">
        <v>2343</v>
      </c>
      <c r="B2334">
        <v>719400</v>
      </c>
      <c r="C2334">
        <v>6570300</v>
      </c>
      <c r="D2334">
        <v>366879</v>
      </c>
      <c r="E2334">
        <v>1321900</v>
      </c>
      <c r="F2334">
        <v>11716337</v>
      </c>
      <c r="G2334">
        <v>461500</v>
      </c>
      <c r="H2334">
        <v>14688532</v>
      </c>
      <c r="I2334">
        <v>164000</v>
      </c>
      <c r="J2334">
        <v>14692237</v>
      </c>
      <c r="K2334">
        <v>172500</v>
      </c>
    </row>
    <row r="2335" spans="1:11" x14ac:dyDescent="0.3">
      <c r="A2335" t="s">
        <v>2344</v>
      </c>
      <c r="B2335">
        <v>719400</v>
      </c>
      <c r="C2335">
        <v>6316000</v>
      </c>
      <c r="D2335">
        <v>359564</v>
      </c>
      <c r="E2335">
        <v>1240000</v>
      </c>
      <c r="F2335">
        <v>11727121</v>
      </c>
      <c r="G2335">
        <v>453100</v>
      </c>
      <c r="H2335">
        <v>14702775</v>
      </c>
      <c r="I2335">
        <v>160000</v>
      </c>
      <c r="J2335">
        <v>14707475</v>
      </c>
      <c r="K2335">
        <v>171500</v>
      </c>
    </row>
    <row r="2336" spans="1:11" x14ac:dyDescent="0.3">
      <c r="A2336" t="s">
        <v>2345</v>
      </c>
      <c r="B2336">
        <v>719400</v>
      </c>
      <c r="C2336">
        <v>6327500</v>
      </c>
      <c r="D2336">
        <v>353539</v>
      </c>
      <c r="E2336">
        <v>1433800</v>
      </c>
      <c r="F2336">
        <v>11737914</v>
      </c>
      <c r="G2336">
        <v>459000</v>
      </c>
      <c r="H2336">
        <v>14717019</v>
      </c>
      <c r="I2336">
        <v>160000</v>
      </c>
      <c r="J2336">
        <v>14720386</v>
      </c>
      <c r="K2336">
        <v>173800</v>
      </c>
    </row>
    <row r="2337" spans="1:11" x14ac:dyDescent="0.3">
      <c r="A2337" t="s">
        <v>2346</v>
      </c>
      <c r="B2337">
        <v>719400</v>
      </c>
      <c r="C2337">
        <v>6487600</v>
      </c>
      <c r="D2337">
        <v>353497</v>
      </c>
      <c r="E2337">
        <v>1248000</v>
      </c>
      <c r="F2337">
        <v>11748689</v>
      </c>
      <c r="G2337">
        <v>460800</v>
      </c>
      <c r="H2337">
        <v>14729593</v>
      </c>
      <c r="I2337">
        <v>153400</v>
      </c>
      <c r="J2337">
        <v>14733882</v>
      </c>
      <c r="K2337">
        <v>175800</v>
      </c>
    </row>
    <row r="2338" spans="1:11" x14ac:dyDescent="0.3">
      <c r="A2338" t="s">
        <v>2347</v>
      </c>
      <c r="B2338">
        <v>719400</v>
      </c>
      <c r="C2338">
        <v>6356600</v>
      </c>
      <c r="D2338">
        <v>355559</v>
      </c>
      <c r="E2338">
        <v>1238000</v>
      </c>
      <c r="F2338">
        <v>11759481</v>
      </c>
      <c r="G2338">
        <v>458200</v>
      </c>
      <c r="H2338">
        <v>14744174</v>
      </c>
      <c r="I2338">
        <v>157700</v>
      </c>
      <c r="J2338">
        <v>14747365</v>
      </c>
      <c r="K2338">
        <v>170200</v>
      </c>
    </row>
    <row r="2339" spans="1:11" x14ac:dyDescent="0.3">
      <c r="A2339" t="s">
        <v>2348</v>
      </c>
      <c r="B2339">
        <v>719400</v>
      </c>
      <c r="C2339">
        <v>6781500</v>
      </c>
      <c r="D2339">
        <v>347639</v>
      </c>
      <c r="E2339">
        <v>1237800</v>
      </c>
      <c r="F2339">
        <v>11770258</v>
      </c>
      <c r="G2339">
        <v>474300</v>
      </c>
      <c r="H2339">
        <v>14757626</v>
      </c>
      <c r="I2339">
        <v>156600</v>
      </c>
      <c r="J2339">
        <v>14760853</v>
      </c>
      <c r="K2339">
        <v>175800</v>
      </c>
    </row>
    <row r="2340" spans="1:11" x14ac:dyDescent="0.3">
      <c r="A2340" t="s">
        <v>2349</v>
      </c>
      <c r="B2340">
        <v>719400</v>
      </c>
      <c r="C2340">
        <v>6402500</v>
      </c>
      <c r="D2340">
        <v>359151</v>
      </c>
      <c r="E2340">
        <v>1271500</v>
      </c>
      <c r="F2340">
        <v>11781051</v>
      </c>
      <c r="G2340">
        <v>456000</v>
      </c>
      <c r="H2340">
        <v>14770827</v>
      </c>
      <c r="I2340">
        <v>157100</v>
      </c>
      <c r="J2340">
        <v>14775650</v>
      </c>
      <c r="K2340">
        <v>171200</v>
      </c>
    </row>
    <row r="2341" spans="1:11" x14ac:dyDescent="0.3">
      <c r="A2341" t="s">
        <v>2350</v>
      </c>
      <c r="B2341">
        <v>719400</v>
      </c>
      <c r="C2341">
        <v>6412500</v>
      </c>
      <c r="D2341">
        <v>356705</v>
      </c>
      <c r="E2341">
        <v>1233100</v>
      </c>
      <c r="F2341">
        <v>11791837</v>
      </c>
      <c r="G2341">
        <v>456500</v>
      </c>
      <c r="H2341">
        <v>14784777</v>
      </c>
      <c r="I2341">
        <v>155400</v>
      </c>
      <c r="J2341">
        <v>14788742</v>
      </c>
      <c r="K2341">
        <v>170300</v>
      </c>
    </row>
    <row r="2342" spans="1:11" x14ac:dyDescent="0.3">
      <c r="A2342" t="s">
        <v>2351</v>
      </c>
      <c r="B2342">
        <v>719400</v>
      </c>
      <c r="C2342">
        <v>6454900</v>
      </c>
      <c r="D2342">
        <v>352495</v>
      </c>
      <c r="E2342">
        <v>1219200</v>
      </c>
      <c r="F2342">
        <v>11802608</v>
      </c>
      <c r="G2342">
        <v>458200</v>
      </c>
      <c r="H2342">
        <v>14798110</v>
      </c>
      <c r="I2342">
        <v>155600</v>
      </c>
      <c r="J2342">
        <v>14804029</v>
      </c>
      <c r="K2342">
        <v>184700</v>
      </c>
    </row>
    <row r="2343" spans="1:11" x14ac:dyDescent="0.3">
      <c r="A2343" t="s">
        <v>2352</v>
      </c>
      <c r="B2343">
        <v>719400</v>
      </c>
      <c r="C2343">
        <v>6470800</v>
      </c>
      <c r="D2343">
        <v>366745</v>
      </c>
      <c r="E2343">
        <v>1280900</v>
      </c>
      <c r="F2343">
        <v>11813388</v>
      </c>
      <c r="G2343">
        <v>458900</v>
      </c>
      <c r="H2343">
        <v>14811706</v>
      </c>
      <c r="I2343">
        <v>154000</v>
      </c>
      <c r="J2343">
        <v>14817107</v>
      </c>
      <c r="K2343">
        <v>176400</v>
      </c>
    </row>
    <row r="2344" spans="1:11" x14ac:dyDescent="0.3">
      <c r="A2344" t="s">
        <v>2353</v>
      </c>
      <c r="B2344">
        <v>719400</v>
      </c>
      <c r="C2344">
        <v>6487100</v>
      </c>
      <c r="D2344">
        <v>365985</v>
      </c>
      <c r="E2344">
        <v>1319400</v>
      </c>
      <c r="F2344">
        <v>11824192</v>
      </c>
      <c r="G2344">
        <v>464100</v>
      </c>
      <c r="H2344">
        <v>14825665</v>
      </c>
      <c r="I2344">
        <v>163700</v>
      </c>
      <c r="J2344">
        <v>14831534</v>
      </c>
      <c r="K2344">
        <v>183700</v>
      </c>
    </row>
    <row r="2345" spans="1:11" x14ac:dyDescent="0.3">
      <c r="A2345" t="s">
        <v>2354</v>
      </c>
      <c r="B2345">
        <v>719400</v>
      </c>
      <c r="C2345">
        <v>6382500</v>
      </c>
      <c r="D2345">
        <v>370217</v>
      </c>
      <c r="E2345">
        <v>1347600</v>
      </c>
      <c r="F2345">
        <v>11834990</v>
      </c>
      <c r="G2345">
        <v>453100</v>
      </c>
      <c r="H2345">
        <v>14839831</v>
      </c>
      <c r="I2345">
        <v>156700</v>
      </c>
      <c r="J2345">
        <v>14844811</v>
      </c>
      <c r="K2345">
        <v>171100</v>
      </c>
    </row>
    <row r="2346" spans="1:11" x14ac:dyDescent="0.3">
      <c r="A2346" t="s">
        <v>2355</v>
      </c>
      <c r="B2346">
        <v>719400</v>
      </c>
      <c r="C2346">
        <v>6263300</v>
      </c>
      <c r="D2346">
        <v>366111</v>
      </c>
      <c r="E2346">
        <v>1267600</v>
      </c>
      <c r="F2346">
        <v>11845796</v>
      </c>
      <c r="G2346">
        <v>457000</v>
      </c>
      <c r="H2346">
        <v>14854761</v>
      </c>
      <c r="I2346">
        <v>161500</v>
      </c>
      <c r="J2346">
        <v>14858691</v>
      </c>
      <c r="K2346">
        <v>172300</v>
      </c>
    </row>
    <row r="2347" spans="1:11" x14ac:dyDescent="0.3">
      <c r="A2347" t="s">
        <v>2356</v>
      </c>
      <c r="B2347">
        <v>719400</v>
      </c>
      <c r="C2347">
        <v>6297400</v>
      </c>
      <c r="D2347">
        <v>372424</v>
      </c>
      <c r="E2347">
        <v>1544700</v>
      </c>
      <c r="F2347">
        <v>11856628</v>
      </c>
      <c r="G2347">
        <v>457600</v>
      </c>
      <c r="H2347">
        <v>14869042</v>
      </c>
      <c r="I2347">
        <v>157900</v>
      </c>
      <c r="J2347">
        <v>14872941</v>
      </c>
      <c r="K2347">
        <v>178000</v>
      </c>
    </row>
    <row r="2348" spans="1:11" x14ac:dyDescent="0.3">
      <c r="A2348" t="s">
        <v>2357</v>
      </c>
      <c r="B2348">
        <v>719400</v>
      </c>
      <c r="C2348">
        <v>6468400</v>
      </c>
      <c r="D2348">
        <v>362608</v>
      </c>
      <c r="E2348">
        <v>1250900</v>
      </c>
      <c r="F2348">
        <v>11867402</v>
      </c>
      <c r="G2348">
        <v>460600</v>
      </c>
      <c r="H2348">
        <v>14882730</v>
      </c>
      <c r="I2348">
        <v>156900</v>
      </c>
      <c r="J2348">
        <v>14886481</v>
      </c>
      <c r="K2348">
        <v>173000</v>
      </c>
    </row>
    <row r="2349" spans="1:11" x14ac:dyDescent="0.3">
      <c r="A2349" t="s">
        <v>2358</v>
      </c>
      <c r="B2349">
        <v>719400</v>
      </c>
      <c r="C2349">
        <v>6463600</v>
      </c>
      <c r="D2349">
        <v>358523</v>
      </c>
      <c r="E2349">
        <v>1245100</v>
      </c>
      <c r="F2349">
        <v>11878182</v>
      </c>
      <c r="G2349">
        <v>454700</v>
      </c>
      <c r="H2349">
        <v>14895389</v>
      </c>
      <c r="I2349">
        <v>165700</v>
      </c>
      <c r="J2349">
        <v>14901446</v>
      </c>
      <c r="K2349">
        <v>179100</v>
      </c>
    </row>
    <row r="2350" spans="1:11" x14ac:dyDescent="0.3">
      <c r="A2350" t="s">
        <v>2359</v>
      </c>
      <c r="B2350">
        <v>719400</v>
      </c>
      <c r="C2350">
        <v>6215700</v>
      </c>
      <c r="D2350">
        <v>349276</v>
      </c>
      <c r="E2350">
        <v>1442800</v>
      </c>
      <c r="F2350">
        <v>11888975</v>
      </c>
      <c r="G2350">
        <v>557900</v>
      </c>
      <c r="H2350">
        <v>14907711</v>
      </c>
      <c r="I2350">
        <v>201300</v>
      </c>
      <c r="J2350">
        <v>14915689</v>
      </c>
      <c r="K2350">
        <v>276900</v>
      </c>
    </row>
    <row r="2351" spans="1:11" x14ac:dyDescent="0.3">
      <c r="A2351" t="s">
        <v>2360</v>
      </c>
      <c r="B2351">
        <v>719400</v>
      </c>
      <c r="C2351">
        <v>6803300</v>
      </c>
      <c r="D2351">
        <v>355191</v>
      </c>
      <c r="E2351">
        <v>1225300</v>
      </c>
      <c r="F2351">
        <v>11899790</v>
      </c>
      <c r="G2351">
        <v>455500</v>
      </c>
      <c r="H2351">
        <v>14920234</v>
      </c>
      <c r="I2351">
        <v>159200</v>
      </c>
      <c r="J2351">
        <v>14929634</v>
      </c>
      <c r="K2351">
        <v>174900</v>
      </c>
    </row>
    <row r="2352" spans="1:11" x14ac:dyDescent="0.3">
      <c r="A2352" t="s">
        <v>2361</v>
      </c>
      <c r="B2352">
        <v>719400</v>
      </c>
      <c r="C2352">
        <v>7330600</v>
      </c>
      <c r="D2352">
        <v>358969</v>
      </c>
      <c r="E2352">
        <v>1243300</v>
      </c>
      <c r="F2352">
        <v>11910597</v>
      </c>
      <c r="G2352">
        <v>452100</v>
      </c>
      <c r="H2352">
        <v>14935360</v>
      </c>
      <c r="I2352">
        <v>162400</v>
      </c>
      <c r="J2352">
        <v>14942611</v>
      </c>
      <c r="K2352">
        <v>174400</v>
      </c>
    </row>
    <row r="2353" spans="1:11" x14ac:dyDescent="0.3">
      <c r="A2353" t="s">
        <v>2362</v>
      </c>
      <c r="B2353">
        <v>719400</v>
      </c>
      <c r="C2353">
        <v>6167700</v>
      </c>
      <c r="D2353">
        <v>361620</v>
      </c>
      <c r="E2353">
        <v>1250800</v>
      </c>
      <c r="F2353">
        <v>11921363</v>
      </c>
      <c r="G2353">
        <v>455500</v>
      </c>
      <c r="H2353">
        <v>14948437</v>
      </c>
      <c r="I2353">
        <v>158000</v>
      </c>
      <c r="J2353">
        <v>14955847</v>
      </c>
      <c r="K2353">
        <v>173000</v>
      </c>
    </row>
    <row r="2354" spans="1:11" x14ac:dyDescent="0.3">
      <c r="A2354" t="s">
        <v>2363</v>
      </c>
      <c r="B2354">
        <v>719400</v>
      </c>
      <c r="C2354">
        <v>6329100</v>
      </c>
      <c r="D2354">
        <v>351568</v>
      </c>
      <c r="E2354">
        <v>1224800</v>
      </c>
      <c r="F2354">
        <v>11932138</v>
      </c>
      <c r="G2354">
        <v>454000</v>
      </c>
      <c r="H2354">
        <v>14962470</v>
      </c>
      <c r="I2354">
        <v>157600</v>
      </c>
      <c r="J2354">
        <v>14969465</v>
      </c>
      <c r="K2354">
        <v>171400</v>
      </c>
    </row>
    <row r="2355" spans="1:11" x14ac:dyDescent="0.3">
      <c r="A2355" t="s">
        <v>2364</v>
      </c>
      <c r="B2355">
        <v>719400</v>
      </c>
      <c r="C2355">
        <v>6302000</v>
      </c>
      <c r="D2355">
        <v>361330</v>
      </c>
      <c r="E2355">
        <v>1259000</v>
      </c>
      <c r="F2355">
        <v>11942921</v>
      </c>
      <c r="G2355">
        <v>499100</v>
      </c>
      <c r="H2355">
        <v>14977215</v>
      </c>
      <c r="I2355">
        <v>186300</v>
      </c>
      <c r="J2355">
        <v>14982914</v>
      </c>
      <c r="K2355">
        <v>170000</v>
      </c>
    </row>
    <row r="2356" spans="1:11" x14ac:dyDescent="0.3">
      <c r="A2356" t="s">
        <v>2365</v>
      </c>
      <c r="B2356">
        <v>719400</v>
      </c>
      <c r="C2356">
        <v>6487500</v>
      </c>
      <c r="D2356">
        <v>358084</v>
      </c>
      <c r="E2356">
        <v>1264900</v>
      </c>
      <c r="F2356">
        <v>11953663</v>
      </c>
      <c r="G2356">
        <v>454200</v>
      </c>
      <c r="H2356">
        <v>14992009</v>
      </c>
      <c r="I2356">
        <v>158900</v>
      </c>
      <c r="J2356">
        <v>14996836</v>
      </c>
      <c r="K2356">
        <v>173500</v>
      </c>
    </row>
    <row r="2357" spans="1:11" x14ac:dyDescent="0.3">
      <c r="A2357" t="s">
        <v>2366</v>
      </c>
      <c r="B2357">
        <v>719400</v>
      </c>
      <c r="C2357">
        <v>6553100</v>
      </c>
      <c r="D2357">
        <v>361525</v>
      </c>
      <c r="E2357">
        <v>1248400</v>
      </c>
      <c r="F2357">
        <v>11964432</v>
      </c>
      <c r="G2357">
        <v>463300</v>
      </c>
      <c r="H2357">
        <v>15006066</v>
      </c>
      <c r="I2357">
        <v>158700</v>
      </c>
      <c r="J2357">
        <v>15009931</v>
      </c>
      <c r="K2357">
        <v>176400</v>
      </c>
    </row>
    <row r="2358" spans="1:11" x14ac:dyDescent="0.3">
      <c r="A2358" t="s">
        <v>2367</v>
      </c>
      <c r="B2358">
        <v>719400</v>
      </c>
      <c r="C2358">
        <v>6136000</v>
      </c>
      <c r="D2358">
        <v>361941</v>
      </c>
      <c r="E2358">
        <v>1248100</v>
      </c>
      <c r="F2358">
        <v>11975168</v>
      </c>
      <c r="G2358">
        <v>450700</v>
      </c>
      <c r="H2358">
        <v>15020283</v>
      </c>
      <c r="I2358">
        <v>154300</v>
      </c>
      <c r="J2358">
        <v>15022902</v>
      </c>
      <c r="K2358">
        <v>172700</v>
      </c>
    </row>
    <row r="2359" spans="1:11" x14ac:dyDescent="0.3">
      <c r="A2359" t="s">
        <v>2368</v>
      </c>
      <c r="B2359">
        <v>719400</v>
      </c>
      <c r="C2359">
        <v>6135400</v>
      </c>
      <c r="D2359">
        <v>361276</v>
      </c>
      <c r="E2359">
        <v>1284800</v>
      </c>
      <c r="F2359">
        <v>11985953</v>
      </c>
      <c r="G2359">
        <v>456900</v>
      </c>
      <c r="H2359">
        <v>15033114</v>
      </c>
      <c r="I2359">
        <v>156800</v>
      </c>
      <c r="J2359">
        <v>15036550</v>
      </c>
      <c r="K2359">
        <v>173100</v>
      </c>
    </row>
    <row r="2360" spans="1:11" x14ac:dyDescent="0.3">
      <c r="A2360" t="s">
        <v>2369</v>
      </c>
      <c r="B2360">
        <v>719400</v>
      </c>
      <c r="C2360">
        <v>6564000</v>
      </c>
      <c r="D2360">
        <v>353771</v>
      </c>
      <c r="E2360">
        <v>1239500</v>
      </c>
      <c r="F2360">
        <v>11996732</v>
      </c>
      <c r="G2360">
        <v>459500</v>
      </c>
      <c r="H2360">
        <v>15047916</v>
      </c>
      <c r="I2360">
        <v>220700</v>
      </c>
      <c r="J2360">
        <v>15049939</v>
      </c>
      <c r="K2360">
        <v>213000</v>
      </c>
    </row>
    <row r="2361" spans="1:11" x14ac:dyDescent="0.3">
      <c r="A2361" t="s">
        <v>2370</v>
      </c>
      <c r="B2361">
        <v>719400</v>
      </c>
      <c r="C2361">
        <v>6936700</v>
      </c>
      <c r="D2361">
        <v>347109</v>
      </c>
      <c r="E2361">
        <v>1244300</v>
      </c>
      <c r="F2361">
        <v>12007548</v>
      </c>
      <c r="G2361">
        <v>456300</v>
      </c>
      <c r="H2361">
        <v>15061045</v>
      </c>
      <c r="I2361">
        <v>154000</v>
      </c>
      <c r="J2361">
        <v>15062982</v>
      </c>
      <c r="K2361">
        <v>169900</v>
      </c>
    </row>
    <row r="2362" spans="1:11" x14ac:dyDescent="0.3">
      <c r="A2362" t="s">
        <v>2371</v>
      </c>
      <c r="B2362">
        <v>719400</v>
      </c>
      <c r="C2362">
        <v>6400100</v>
      </c>
      <c r="D2362">
        <v>361866</v>
      </c>
      <c r="E2362">
        <v>1248800</v>
      </c>
      <c r="F2362">
        <v>12018352</v>
      </c>
      <c r="G2362">
        <v>463800</v>
      </c>
      <c r="H2362">
        <v>15075423</v>
      </c>
      <c r="I2362">
        <v>160200</v>
      </c>
      <c r="J2362">
        <v>15075540</v>
      </c>
      <c r="K2362">
        <v>172500</v>
      </c>
    </row>
    <row r="2363" spans="1:11" x14ac:dyDescent="0.3">
      <c r="A2363" t="s">
        <v>2372</v>
      </c>
      <c r="B2363">
        <v>719400</v>
      </c>
      <c r="C2363">
        <v>6158300</v>
      </c>
      <c r="D2363">
        <v>368225</v>
      </c>
      <c r="E2363">
        <v>1269900</v>
      </c>
      <c r="F2363">
        <v>12029133</v>
      </c>
      <c r="G2363">
        <v>457800</v>
      </c>
      <c r="H2363">
        <v>15090353</v>
      </c>
      <c r="I2363">
        <v>158000</v>
      </c>
      <c r="J2363">
        <v>15088840</v>
      </c>
      <c r="K2363">
        <v>167500</v>
      </c>
    </row>
    <row r="2364" spans="1:11" x14ac:dyDescent="0.3">
      <c r="A2364" t="s">
        <v>2373</v>
      </c>
      <c r="B2364">
        <v>719400</v>
      </c>
      <c r="C2364">
        <v>6221900</v>
      </c>
      <c r="D2364">
        <v>362499</v>
      </c>
      <c r="E2364">
        <v>1249600</v>
      </c>
      <c r="F2364">
        <v>12039956</v>
      </c>
      <c r="G2364">
        <v>459400</v>
      </c>
      <c r="H2364">
        <v>15103764</v>
      </c>
      <c r="I2364">
        <v>190300</v>
      </c>
      <c r="J2364">
        <v>15102834</v>
      </c>
      <c r="K2364">
        <v>205100</v>
      </c>
    </row>
    <row r="2365" spans="1:11" x14ac:dyDescent="0.3">
      <c r="A2365" t="s">
        <v>2374</v>
      </c>
      <c r="B2365">
        <v>719400</v>
      </c>
      <c r="C2365">
        <v>6260100</v>
      </c>
      <c r="D2365">
        <v>353576</v>
      </c>
      <c r="E2365">
        <v>1237700</v>
      </c>
      <c r="F2365">
        <v>12050750</v>
      </c>
      <c r="G2365">
        <v>459800</v>
      </c>
      <c r="H2365">
        <v>15117373</v>
      </c>
      <c r="I2365">
        <v>155100</v>
      </c>
      <c r="J2365">
        <v>15117170</v>
      </c>
      <c r="K2365">
        <v>174500</v>
      </c>
    </row>
    <row r="2366" spans="1:11" x14ac:dyDescent="0.3">
      <c r="A2366" t="s">
        <v>2375</v>
      </c>
      <c r="B2366">
        <v>719400</v>
      </c>
      <c r="C2366">
        <v>6294000</v>
      </c>
      <c r="D2366">
        <v>362145</v>
      </c>
      <c r="E2366">
        <v>1255700</v>
      </c>
      <c r="F2366">
        <v>12061530</v>
      </c>
      <c r="G2366">
        <v>481300</v>
      </c>
      <c r="H2366">
        <v>15130698</v>
      </c>
      <c r="I2366">
        <v>207900</v>
      </c>
      <c r="J2366">
        <v>15130659</v>
      </c>
      <c r="K2366">
        <v>238900</v>
      </c>
    </row>
    <row r="2367" spans="1:11" x14ac:dyDescent="0.3">
      <c r="A2367" t="s">
        <v>2376</v>
      </c>
      <c r="B2367">
        <v>719400</v>
      </c>
      <c r="C2367">
        <v>6910600</v>
      </c>
      <c r="D2367">
        <v>357719</v>
      </c>
      <c r="E2367">
        <v>1368500</v>
      </c>
      <c r="F2367">
        <v>12072328</v>
      </c>
      <c r="G2367">
        <v>461100</v>
      </c>
      <c r="H2367">
        <v>15143642</v>
      </c>
      <c r="I2367">
        <v>152900</v>
      </c>
      <c r="J2367">
        <v>15144581</v>
      </c>
      <c r="K2367">
        <v>177300</v>
      </c>
    </row>
    <row r="2368" spans="1:11" x14ac:dyDescent="0.3">
      <c r="A2368" t="s">
        <v>2377</v>
      </c>
      <c r="B2368">
        <v>719400</v>
      </c>
      <c r="C2368">
        <v>6903400</v>
      </c>
      <c r="D2368">
        <v>369239</v>
      </c>
      <c r="E2368">
        <v>1305800</v>
      </c>
      <c r="F2368">
        <v>12083124</v>
      </c>
      <c r="G2368">
        <v>458200</v>
      </c>
      <c r="H2368">
        <v>15157613</v>
      </c>
      <c r="I2368">
        <v>156800</v>
      </c>
      <c r="J2368">
        <v>15158568</v>
      </c>
      <c r="K2368">
        <v>174800</v>
      </c>
    </row>
    <row r="2369" spans="1:11" x14ac:dyDescent="0.3">
      <c r="A2369" t="s">
        <v>2378</v>
      </c>
      <c r="B2369">
        <v>719400</v>
      </c>
      <c r="C2369">
        <v>6682900</v>
      </c>
      <c r="D2369">
        <v>357437</v>
      </c>
      <c r="E2369">
        <v>1236400</v>
      </c>
      <c r="F2369">
        <v>12093913</v>
      </c>
      <c r="G2369">
        <v>457100</v>
      </c>
      <c r="H2369">
        <v>15170158</v>
      </c>
      <c r="I2369">
        <v>155800</v>
      </c>
      <c r="J2369">
        <v>15171486</v>
      </c>
      <c r="K2369">
        <v>170200</v>
      </c>
    </row>
    <row r="2370" spans="1:11" x14ac:dyDescent="0.3">
      <c r="A2370" t="s">
        <v>2379</v>
      </c>
      <c r="B2370">
        <v>719400</v>
      </c>
      <c r="C2370">
        <v>6256100</v>
      </c>
      <c r="D2370">
        <v>363232</v>
      </c>
      <c r="E2370">
        <v>1268800</v>
      </c>
      <c r="F2370">
        <v>12104721</v>
      </c>
      <c r="G2370">
        <v>460300</v>
      </c>
      <c r="H2370">
        <v>15182708</v>
      </c>
      <c r="I2370">
        <v>156700</v>
      </c>
      <c r="J2370">
        <v>15184364</v>
      </c>
      <c r="K2370">
        <v>173900</v>
      </c>
    </row>
    <row r="2371" spans="1:11" x14ac:dyDescent="0.3">
      <c r="A2371" t="s">
        <v>2380</v>
      </c>
      <c r="B2371">
        <v>719400</v>
      </c>
      <c r="C2371">
        <v>6063900</v>
      </c>
      <c r="D2371">
        <v>362196</v>
      </c>
      <c r="E2371">
        <v>1913800</v>
      </c>
      <c r="F2371">
        <v>12115529</v>
      </c>
      <c r="G2371">
        <v>711500</v>
      </c>
      <c r="H2371">
        <v>15196983</v>
      </c>
      <c r="I2371">
        <v>209800</v>
      </c>
      <c r="J2371">
        <v>15199496</v>
      </c>
      <c r="K2371">
        <v>281600</v>
      </c>
    </row>
    <row r="2372" spans="1:11" x14ac:dyDescent="0.3">
      <c r="A2372" t="s">
        <v>2381</v>
      </c>
      <c r="B2372">
        <v>719400</v>
      </c>
      <c r="C2372">
        <v>6375000</v>
      </c>
      <c r="D2372">
        <v>359061</v>
      </c>
      <c r="E2372">
        <v>1240900</v>
      </c>
      <c r="F2372">
        <v>12126336</v>
      </c>
      <c r="G2372">
        <v>459000</v>
      </c>
      <c r="H2372">
        <v>15210158</v>
      </c>
      <c r="I2372">
        <v>156500</v>
      </c>
      <c r="J2372">
        <v>15214662</v>
      </c>
      <c r="K2372">
        <v>171200</v>
      </c>
    </row>
    <row r="2373" spans="1:11" x14ac:dyDescent="0.3">
      <c r="A2373" t="s">
        <v>2382</v>
      </c>
      <c r="B2373">
        <v>719400</v>
      </c>
      <c r="C2373">
        <v>6457600</v>
      </c>
      <c r="D2373">
        <v>352844</v>
      </c>
      <c r="E2373">
        <v>1219800</v>
      </c>
      <c r="F2373">
        <v>12137139</v>
      </c>
      <c r="G2373">
        <v>458300</v>
      </c>
      <c r="H2373">
        <v>15223467</v>
      </c>
      <c r="I2373">
        <v>151000</v>
      </c>
      <c r="J2373">
        <v>15229670</v>
      </c>
      <c r="K2373">
        <v>178700</v>
      </c>
    </row>
    <row r="2374" spans="1:11" x14ac:dyDescent="0.3">
      <c r="A2374" t="s">
        <v>2383</v>
      </c>
      <c r="B2374">
        <v>719400</v>
      </c>
      <c r="C2374">
        <v>6197200</v>
      </c>
      <c r="D2374">
        <v>357741</v>
      </c>
      <c r="E2374">
        <v>1236400</v>
      </c>
      <c r="F2374">
        <v>12147939</v>
      </c>
      <c r="G2374">
        <v>456500</v>
      </c>
      <c r="H2374">
        <v>15236576</v>
      </c>
      <c r="I2374">
        <v>155400</v>
      </c>
      <c r="J2374">
        <v>15242617</v>
      </c>
      <c r="K2374">
        <v>167000</v>
      </c>
    </row>
    <row r="2375" spans="1:11" x14ac:dyDescent="0.3">
      <c r="A2375" t="s">
        <v>2384</v>
      </c>
      <c r="B2375">
        <v>719400</v>
      </c>
      <c r="C2375">
        <v>5986700</v>
      </c>
      <c r="D2375">
        <v>367036</v>
      </c>
      <c r="E2375">
        <v>1276200</v>
      </c>
      <c r="F2375">
        <v>12158736</v>
      </c>
      <c r="G2375">
        <v>459200</v>
      </c>
      <c r="H2375">
        <v>15249462</v>
      </c>
      <c r="I2375">
        <v>157700</v>
      </c>
      <c r="J2375">
        <v>15255586</v>
      </c>
      <c r="K2375">
        <v>169900</v>
      </c>
    </row>
    <row r="2376" spans="1:11" x14ac:dyDescent="0.3">
      <c r="A2376" t="s">
        <v>2385</v>
      </c>
      <c r="B2376">
        <v>719400</v>
      </c>
      <c r="C2376">
        <v>6194300</v>
      </c>
      <c r="D2376">
        <v>358629</v>
      </c>
      <c r="E2376">
        <v>1526400</v>
      </c>
      <c r="F2376">
        <v>12169540</v>
      </c>
      <c r="G2376">
        <v>730300</v>
      </c>
      <c r="H2376">
        <v>15262803</v>
      </c>
      <c r="I2376">
        <v>169500</v>
      </c>
      <c r="J2376">
        <v>15268478</v>
      </c>
      <c r="K2376">
        <v>208100</v>
      </c>
    </row>
    <row r="2377" spans="1:11" x14ac:dyDescent="0.3">
      <c r="A2377" t="s">
        <v>2386</v>
      </c>
      <c r="B2377">
        <v>719400</v>
      </c>
      <c r="C2377">
        <v>6472200</v>
      </c>
      <c r="D2377">
        <v>354108</v>
      </c>
      <c r="E2377">
        <v>1257600</v>
      </c>
      <c r="F2377">
        <v>12180364</v>
      </c>
      <c r="G2377">
        <v>460400</v>
      </c>
      <c r="H2377">
        <v>15276084</v>
      </c>
      <c r="I2377">
        <v>154400</v>
      </c>
      <c r="J2377">
        <v>15282214</v>
      </c>
      <c r="K2377">
        <v>170000</v>
      </c>
    </row>
    <row r="2378" spans="1:11" x14ac:dyDescent="0.3">
      <c r="A2378" t="s">
        <v>2387</v>
      </c>
      <c r="B2378">
        <v>719400</v>
      </c>
      <c r="C2378">
        <v>6299100</v>
      </c>
      <c r="D2378">
        <v>364390</v>
      </c>
      <c r="E2378">
        <v>1253500</v>
      </c>
      <c r="F2378">
        <v>12191144</v>
      </c>
      <c r="G2378">
        <v>457300</v>
      </c>
      <c r="H2378">
        <v>15288198</v>
      </c>
      <c r="I2378">
        <v>156000</v>
      </c>
      <c r="J2378">
        <v>15295095</v>
      </c>
      <c r="K2378">
        <v>172600</v>
      </c>
    </row>
    <row r="2379" spans="1:11" x14ac:dyDescent="0.3">
      <c r="A2379" t="s">
        <v>2388</v>
      </c>
      <c r="B2379">
        <v>719400</v>
      </c>
      <c r="C2379">
        <v>6452000</v>
      </c>
      <c r="D2379">
        <v>358070</v>
      </c>
      <c r="E2379">
        <v>1282500</v>
      </c>
      <c r="F2379">
        <v>12201924</v>
      </c>
      <c r="G2379">
        <v>460300</v>
      </c>
      <c r="H2379">
        <v>15301910</v>
      </c>
      <c r="I2379">
        <v>154000</v>
      </c>
      <c r="J2379">
        <v>15308525</v>
      </c>
      <c r="K2379">
        <v>177800</v>
      </c>
    </row>
    <row r="2380" spans="1:11" x14ac:dyDescent="0.3">
      <c r="A2380" t="s">
        <v>2389</v>
      </c>
      <c r="B2380">
        <v>719400</v>
      </c>
      <c r="C2380">
        <v>6095700</v>
      </c>
      <c r="D2380">
        <v>365329</v>
      </c>
      <c r="E2380">
        <v>1293000</v>
      </c>
      <c r="F2380">
        <v>12212708</v>
      </c>
      <c r="G2380">
        <v>451800</v>
      </c>
      <c r="H2380">
        <v>15315607</v>
      </c>
      <c r="I2380">
        <v>151900</v>
      </c>
      <c r="J2380">
        <v>15322931</v>
      </c>
      <c r="K2380">
        <v>179600</v>
      </c>
    </row>
    <row r="2381" spans="1:11" x14ac:dyDescent="0.3">
      <c r="A2381" t="s">
        <v>2390</v>
      </c>
      <c r="B2381">
        <v>719400</v>
      </c>
      <c r="C2381">
        <v>6512800</v>
      </c>
      <c r="D2381">
        <v>361102</v>
      </c>
      <c r="E2381">
        <v>1252000</v>
      </c>
      <c r="F2381">
        <v>12223489</v>
      </c>
      <c r="G2381">
        <v>456900</v>
      </c>
      <c r="H2381">
        <v>15328750</v>
      </c>
      <c r="I2381">
        <v>159200</v>
      </c>
      <c r="J2381">
        <v>15336064</v>
      </c>
      <c r="K2381">
        <v>177900</v>
      </c>
    </row>
    <row r="2382" spans="1:11" x14ac:dyDescent="0.3">
      <c r="A2382" t="s">
        <v>2391</v>
      </c>
      <c r="B2382">
        <v>719400</v>
      </c>
      <c r="C2382">
        <v>6184200</v>
      </c>
      <c r="D2382">
        <v>359096</v>
      </c>
      <c r="E2382">
        <v>1339200</v>
      </c>
      <c r="F2382">
        <v>12234257</v>
      </c>
      <c r="G2382">
        <v>469100</v>
      </c>
      <c r="H2382">
        <v>15341861</v>
      </c>
      <c r="I2382">
        <v>174100</v>
      </c>
      <c r="J2382">
        <v>15350050</v>
      </c>
      <c r="K2382">
        <v>172400</v>
      </c>
    </row>
    <row r="2383" spans="1:11" x14ac:dyDescent="0.3">
      <c r="A2383" t="s">
        <v>2392</v>
      </c>
      <c r="B2383">
        <v>719400</v>
      </c>
      <c r="C2383">
        <v>6693600</v>
      </c>
      <c r="D2383">
        <v>367062</v>
      </c>
      <c r="E2383">
        <v>1268700</v>
      </c>
      <c r="F2383">
        <v>12245028</v>
      </c>
      <c r="G2383">
        <v>456600</v>
      </c>
      <c r="H2383">
        <v>15355370</v>
      </c>
      <c r="I2383">
        <v>158600</v>
      </c>
      <c r="J2383">
        <v>15362767</v>
      </c>
      <c r="K2383">
        <v>169500</v>
      </c>
    </row>
    <row r="2384" spans="1:11" x14ac:dyDescent="0.3">
      <c r="A2384" t="s">
        <v>2393</v>
      </c>
      <c r="B2384">
        <v>719400</v>
      </c>
      <c r="C2384">
        <v>6551500</v>
      </c>
      <c r="D2384">
        <v>368521</v>
      </c>
      <c r="E2384">
        <v>1276500</v>
      </c>
      <c r="F2384">
        <v>12255792</v>
      </c>
      <c r="G2384">
        <v>496900</v>
      </c>
      <c r="H2384">
        <v>15368580</v>
      </c>
      <c r="I2384">
        <v>158300</v>
      </c>
      <c r="J2384">
        <v>15375510</v>
      </c>
      <c r="K2384">
        <v>176800</v>
      </c>
    </row>
    <row r="2385" spans="1:11" x14ac:dyDescent="0.3">
      <c r="A2385" t="s">
        <v>2394</v>
      </c>
      <c r="B2385">
        <v>719400</v>
      </c>
      <c r="C2385">
        <v>6258400</v>
      </c>
      <c r="D2385">
        <v>358412</v>
      </c>
      <c r="E2385">
        <v>1235900</v>
      </c>
      <c r="F2385">
        <v>12266573</v>
      </c>
      <c r="G2385">
        <v>460800</v>
      </c>
      <c r="H2385">
        <v>15382575</v>
      </c>
      <c r="I2385">
        <v>162300</v>
      </c>
      <c r="J2385">
        <v>15389494</v>
      </c>
      <c r="K2385">
        <v>168900</v>
      </c>
    </row>
    <row r="2386" spans="1:11" x14ac:dyDescent="0.3">
      <c r="A2386" t="s">
        <v>2395</v>
      </c>
      <c r="B2386">
        <v>719400</v>
      </c>
      <c r="C2386">
        <v>6311800</v>
      </c>
      <c r="D2386">
        <v>357122</v>
      </c>
      <c r="E2386">
        <v>1236400</v>
      </c>
      <c r="F2386">
        <v>12277369</v>
      </c>
      <c r="G2386">
        <v>470500</v>
      </c>
      <c r="H2386">
        <v>15395798</v>
      </c>
      <c r="I2386">
        <v>157900</v>
      </c>
      <c r="J2386">
        <v>15402370</v>
      </c>
      <c r="K2386">
        <v>172400</v>
      </c>
    </row>
    <row r="2387" spans="1:11" x14ac:dyDescent="0.3">
      <c r="A2387" t="s">
        <v>2396</v>
      </c>
      <c r="B2387">
        <v>719400</v>
      </c>
      <c r="C2387">
        <v>6264200</v>
      </c>
      <c r="D2387">
        <v>363444</v>
      </c>
      <c r="E2387">
        <v>1259000</v>
      </c>
      <c r="F2387">
        <v>12288167</v>
      </c>
      <c r="G2387">
        <v>457500</v>
      </c>
      <c r="H2387">
        <v>15408722</v>
      </c>
      <c r="I2387">
        <v>155200</v>
      </c>
      <c r="J2387">
        <v>15416235</v>
      </c>
      <c r="K2387">
        <v>170600</v>
      </c>
    </row>
    <row r="2388" spans="1:11" x14ac:dyDescent="0.3">
      <c r="A2388" t="s">
        <v>2397</v>
      </c>
      <c r="B2388">
        <v>719400</v>
      </c>
      <c r="C2388">
        <v>6400300</v>
      </c>
      <c r="D2388">
        <v>365273</v>
      </c>
      <c r="E2388">
        <v>1301900</v>
      </c>
      <c r="F2388">
        <v>12298949</v>
      </c>
      <c r="G2388">
        <v>453200</v>
      </c>
      <c r="H2388">
        <v>15422189</v>
      </c>
      <c r="I2388">
        <v>155600</v>
      </c>
      <c r="J2388">
        <v>15429104</v>
      </c>
      <c r="K2388">
        <v>178900</v>
      </c>
    </row>
    <row r="2389" spans="1:11" x14ac:dyDescent="0.3">
      <c r="A2389" t="s">
        <v>2398</v>
      </c>
      <c r="B2389">
        <v>719400</v>
      </c>
      <c r="C2389">
        <v>6235200</v>
      </c>
      <c r="D2389">
        <v>355739</v>
      </c>
      <c r="E2389">
        <v>1266200</v>
      </c>
      <c r="F2389">
        <v>12309716</v>
      </c>
      <c r="G2389">
        <v>458700</v>
      </c>
      <c r="H2389">
        <v>15436627</v>
      </c>
      <c r="I2389">
        <v>160100</v>
      </c>
      <c r="J2389">
        <v>15441382</v>
      </c>
      <c r="K2389">
        <v>173400</v>
      </c>
    </row>
    <row r="2390" spans="1:11" x14ac:dyDescent="0.3">
      <c r="A2390" t="s">
        <v>2399</v>
      </c>
      <c r="B2390">
        <v>719400</v>
      </c>
      <c r="C2390">
        <v>6609600</v>
      </c>
      <c r="D2390">
        <v>370121</v>
      </c>
      <c r="E2390">
        <v>1272000</v>
      </c>
      <c r="F2390">
        <v>12320483</v>
      </c>
      <c r="G2390">
        <v>463100</v>
      </c>
      <c r="H2390">
        <v>15448953</v>
      </c>
      <c r="I2390">
        <v>155400</v>
      </c>
      <c r="J2390">
        <v>15455407</v>
      </c>
      <c r="K2390">
        <v>169500</v>
      </c>
    </row>
    <row r="2391" spans="1:11" x14ac:dyDescent="0.3">
      <c r="A2391" t="s">
        <v>2400</v>
      </c>
      <c r="B2391">
        <v>719400</v>
      </c>
      <c r="C2391">
        <v>6479100</v>
      </c>
      <c r="D2391">
        <v>355737</v>
      </c>
      <c r="E2391">
        <v>1238400</v>
      </c>
      <c r="F2391">
        <v>12331279</v>
      </c>
      <c r="G2391">
        <v>460500</v>
      </c>
      <c r="H2391">
        <v>15462585</v>
      </c>
      <c r="I2391">
        <v>157500</v>
      </c>
      <c r="J2391">
        <v>15469867</v>
      </c>
      <c r="K2391">
        <v>172400</v>
      </c>
    </row>
    <row r="2392" spans="1:11" x14ac:dyDescent="0.3">
      <c r="A2392" t="s">
        <v>2401</v>
      </c>
      <c r="B2392">
        <v>719400</v>
      </c>
      <c r="C2392">
        <v>6586600</v>
      </c>
      <c r="D2392">
        <v>364300</v>
      </c>
      <c r="E2392">
        <v>1269700</v>
      </c>
      <c r="F2392">
        <v>12342049</v>
      </c>
      <c r="G2392">
        <v>457300</v>
      </c>
      <c r="H2392">
        <v>15476197</v>
      </c>
      <c r="I2392">
        <v>153700</v>
      </c>
      <c r="J2392">
        <v>15482665</v>
      </c>
      <c r="K2392">
        <v>172900</v>
      </c>
    </row>
    <row r="2393" spans="1:11" x14ac:dyDescent="0.3">
      <c r="A2393" t="s">
        <v>2402</v>
      </c>
      <c r="B2393">
        <v>719400</v>
      </c>
      <c r="C2393">
        <v>6098400</v>
      </c>
      <c r="D2393">
        <v>349565</v>
      </c>
      <c r="E2393">
        <v>1341300</v>
      </c>
      <c r="F2393">
        <v>12352806</v>
      </c>
      <c r="G2393">
        <v>539300</v>
      </c>
      <c r="H2393">
        <v>15491330</v>
      </c>
      <c r="I2393">
        <v>160200</v>
      </c>
      <c r="J2393">
        <v>15497032</v>
      </c>
      <c r="K2393">
        <v>180700</v>
      </c>
    </row>
    <row r="2394" spans="1:11" x14ac:dyDescent="0.3">
      <c r="A2394" t="s">
        <v>2403</v>
      </c>
      <c r="B2394">
        <v>719400</v>
      </c>
      <c r="C2394">
        <v>6438800</v>
      </c>
      <c r="D2394">
        <v>343809</v>
      </c>
      <c r="E2394">
        <v>1288300</v>
      </c>
      <c r="F2394">
        <v>12363585</v>
      </c>
      <c r="G2394">
        <v>463100</v>
      </c>
      <c r="H2394">
        <v>15505496</v>
      </c>
      <c r="I2394">
        <v>160100</v>
      </c>
      <c r="J2394">
        <v>15511035</v>
      </c>
      <c r="K2394">
        <v>173700</v>
      </c>
    </row>
    <row r="2395" spans="1:11" x14ac:dyDescent="0.3">
      <c r="A2395" t="s">
        <v>2404</v>
      </c>
      <c r="B2395">
        <v>719400</v>
      </c>
      <c r="C2395">
        <v>6337900</v>
      </c>
      <c r="D2395">
        <v>346653</v>
      </c>
      <c r="E2395">
        <v>1197900</v>
      </c>
      <c r="F2395">
        <v>12374340</v>
      </c>
      <c r="G2395">
        <v>459000</v>
      </c>
      <c r="H2395">
        <v>15518546</v>
      </c>
      <c r="I2395">
        <v>153400</v>
      </c>
      <c r="J2395">
        <v>15525365</v>
      </c>
      <c r="K2395">
        <v>175600</v>
      </c>
    </row>
    <row r="2396" spans="1:11" x14ac:dyDescent="0.3">
      <c r="A2396" t="s">
        <v>2405</v>
      </c>
      <c r="B2396">
        <v>719400</v>
      </c>
      <c r="C2396">
        <v>6247600</v>
      </c>
      <c r="D2396">
        <v>358010</v>
      </c>
      <c r="E2396">
        <v>1240200</v>
      </c>
      <c r="F2396">
        <v>12385113</v>
      </c>
      <c r="G2396">
        <v>451100</v>
      </c>
      <c r="H2396">
        <v>15532154</v>
      </c>
      <c r="I2396">
        <v>156500</v>
      </c>
      <c r="J2396">
        <v>15537977</v>
      </c>
      <c r="K2396">
        <v>170100</v>
      </c>
    </row>
    <row r="2397" spans="1:11" x14ac:dyDescent="0.3">
      <c r="A2397" t="s">
        <v>2406</v>
      </c>
      <c r="B2397">
        <v>719400</v>
      </c>
      <c r="C2397">
        <v>5992900</v>
      </c>
      <c r="D2397">
        <v>373682</v>
      </c>
      <c r="E2397">
        <v>1292900</v>
      </c>
      <c r="F2397">
        <v>12395886</v>
      </c>
      <c r="G2397">
        <v>457800</v>
      </c>
      <c r="H2397">
        <v>15546169</v>
      </c>
      <c r="I2397">
        <v>158000</v>
      </c>
      <c r="J2397">
        <v>15551993</v>
      </c>
      <c r="K2397">
        <v>172300</v>
      </c>
    </row>
    <row r="2398" spans="1:11" x14ac:dyDescent="0.3">
      <c r="A2398" t="s">
        <v>2407</v>
      </c>
      <c r="B2398">
        <v>719400</v>
      </c>
      <c r="C2398">
        <v>6505900</v>
      </c>
      <c r="D2398">
        <v>349596</v>
      </c>
      <c r="E2398">
        <v>1239000</v>
      </c>
      <c r="F2398">
        <v>12406617</v>
      </c>
      <c r="G2398">
        <v>458400</v>
      </c>
      <c r="H2398">
        <v>15560671</v>
      </c>
      <c r="I2398">
        <v>164500</v>
      </c>
      <c r="J2398">
        <v>15564903</v>
      </c>
      <c r="K2398">
        <v>175100</v>
      </c>
    </row>
    <row r="2399" spans="1:11" x14ac:dyDescent="0.3">
      <c r="A2399" t="s">
        <v>2408</v>
      </c>
      <c r="B2399">
        <v>719400</v>
      </c>
      <c r="C2399">
        <v>6523300</v>
      </c>
      <c r="D2399">
        <v>371589</v>
      </c>
      <c r="E2399">
        <v>1293800</v>
      </c>
      <c r="F2399">
        <v>12417386</v>
      </c>
      <c r="G2399">
        <v>565700</v>
      </c>
      <c r="H2399">
        <v>15574996</v>
      </c>
      <c r="I2399">
        <v>232200</v>
      </c>
      <c r="J2399">
        <v>15578693</v>
      </c>
      <c r="K2399">
        <v>210500</v>
      </c>
    </row>
    <row r="2400" spans="1:11" x14ac:dyDescent="0.3">
      <c r="A2400" t="s">
        <v>2409</v>
      </c>
      <c r="B2400">
        <v>719400</v>
      </c>
      <c r="C2400">
        <v>6166000</v>
      </c>
      <c r="D2400">
        <v>356076</v>
      </c>
      <c r="E2400">
        <v>1275200</v>
      </c>
      <c r="F2400">
        <v>12428183</v>
      </c>
      <c r="G2400">
        <v>455100</v>
      </c>
      <c r="H2400">
        <v>15588314</v>
      </c>
      <c r="I2400">
        <v>158100</v>
      </c>
      <c r="J2400">
        <v>15592061</v>
      </c>
      <c r="K2400">
        <v>176600</v>
      </c>
    </row>
    <row r="2401" spans="1:11" x14ac:dyDescent="0.3">
      <c r="A2401" t="s">
        <v>2410</v>
      </c>
      <c r="B2401">
        <v>719400</v>
      </c>
      <c r="C2401">
        <v>6761300</v>
      </c>
      <c r="D2401">
        <v>373629</v>
      </c>
      <c r="E2401">
        <v>1331800</v>
      </c>
      <c r="F2401">
        <v>12438960</v>
      </c>
      <c r="G2401">
        <v>450300</v>
      </c>
      <c r="H2401">
        <v>15601505</v>
      </c>
      <c r="I2401">
        <v>154700</v>
      </c>
      <c r="J2401">
        <v>15606607</v>
      </c>
      <c r="K2401">
        <v>172900</v>
      </c>
    </row>
    <row r="2402" spans="1:11" x14ac:dyDescent="0.3">
      <c r="A2402" t="s">
        <v>2411</v>
      </c>
      <c r="B2402">
        <v>780625</v>
      </c>
      <c r="C2402">
        <v>6893200</v>
      </c>
      <c r="D2402">
        <v>389614</v>
      </c>
      <c r="E2402">
        <v>1343900</v>
      </c>
      <c r="F2402">
        <v>12450264</v>
      </c>
      <c r="G2402">
        <v>473900</v>
      </c>
      <c r="H2402">
        <v>15616980</v>
      </c>
      <c r="I2402">
        <v>170700</v>
      </c>
      <c r="J2402">
        <v>15619682</v>
      </c>
      <c r="K2402">
        <v>179200</v>
      </c>
    </row>
    <row r="2403" spans="1:11" x14ac:dyDescent="0.3">
      <c r="A2403" t="s">
        <v>2412</v>
      </c>
      <c r="B2403">
        <v>780625</v>
      </c>
      <c r="C2403">
        <v>7053200</v>
      </c>
      <c r="D2403">
        <v>377773</v>
      </c>
      <c r="E2403">
        <v>1306700</v>
      </c>
      <c r="F2403">
        <v>12461577</v>
      </c>
      <c r="G2403">
        <v>473200</v>
      </c>
      <c r="H2403">
        <v>15630773</v>
      </c>
      <c r="I2403">
        <v>162300</v>
      </c>
      <c r="J2403">
        <v>15633860</v>
      </c>
      <c r="K2403">
        <v>187200</v>
      </c>
    </row>
    <row r="2404" spans="1:11" x14ac:dyDescent="0.3">
      <c r="A2404" t="s">
        <v>2413</v>
      </c>
      <c r="B2404">
        <v>780625</v>
      </c>
      <c r="C2404">
        <v>6916200</v>
      </c>
      <c r="D2404">
        <v>383235</v>
      </c>
      <c r="E2404">
        <v>1433200</v>
      </c>
      <c r="F2404">
        <v>12472879</v>
      </c>
      <c r="G2404">
        <v>482100</v>
      </c>
      <c r="H2404">
        <v>15645103</v>
      </c>
      <c r="I2404">
        <v>171400</v>
      </c>
      <c r="J2404">
        <v>15648420</v>
      </c>
      <c r="K2404">
        <v>179500</v>
      </c>
    </row>
    <row r="2405" spans="1:11" x14ac:dyDescent="0.3">
      <c r="A2405" t="s">
        <v>2414</v>
      </c>
      <c r="B2405">
        <v>780625</v>
      </c>
      <c r="C2405">
        <v>7029000</v>
      </c>
      <c r="D2405">
        <v>389966</v>
      </c>
      <c r="E2405">
        <v>1554400</v>
      </c>
      <c r="F2405">
        <v>12484205</v>
      </c>
      <c r="G2405">
        <v>488900</v>
      </c>
      <c r="H2405">
        <v>15660035</v>
      </c>
      <c r="I2405">
        <v>165900</v>
      </c>
      <c r="J2405">
        <v>15663578</v>
      </c>
      <c r="K2405">
        <v>179100</v>
      </c>
    </row>
    <row r="2406" spans="1:11" x14ac:dyDescent="0.3">
      <c r="A2406" t="s">
        <v>2415</v>
      </c>
      <c r="B2406">
        <v>780625</v>
      </c>
      <c r="C2406">
        <v>7139900</v>
      </c>
      <c r="D2406">
        <v>389330</v>
      </c>
      <c r="E2406">
        <v>1339500</v>
      </c>
      <c r="F2406">
        <v>12495523</v>
      </c>
      <c r="G2406">
        <v>486300</v>
      </c>
      <c r="H2406">
        <v>15673910</v>
      </c>
      <c r="I2406">
        <v>164400</v>
      </c>
      <c r="J2406">
        <v>15678221</v>
      </c>
      <c r="K2406">
        <v>185800</v>
      </c>
    </row>
    <row r="2407" spans="1:11" x14ac:dyDescent="0.3">
      <c r="A2407" t="s">
        <v>2416</v>
      </c>
      <c r="B2407">
        <v>780625</v>
      </c>
      <c r="C2407">
        <v>7160100</v>
      </c>
      <c r="D2407">
        <v>398019</v>
      </c>
      <c r="E2407">
        <v>1374900</v>
      </c>
      <c r="F2407">
        <v>12506856</v>
      </c>
      <c r="G2407">
        <v>480500</v>
      </c>
      <c r="H2407">
        <v>15688682</v>
      </c>
      <c r="I2407">
        <v>168200</v>
      </c>
      <c r="J2407">
        <v>15692864</v>
      </c>
      <c r="K2407">
        <v>186300</v>
      </c>
    </row>
    <row r="2408" spans="1:11" x14ac:dyDescent="0.3">
      <c r="A2408" t="s">
        <v>2417</v>
      </c>
      <c r="B2408">
        <v>780625</v>
      </c>
      <c r="C2408">
        <v>6819300</v>
      </c>
      <c r="D2408">
        <v>390154</v>
      </c>
      <c r="E2408">
        <v>1766400</v>
      </c>
      <c r="F2408">
        <v>12518160</v>
      </c>
      <c r="G2408">
        <v>517500</v>
      </c>
      <c r="H2408">
        <v>15702271</v>
      </c>
      <c r="I2408">
        <v>187800</v>
      </c>
      <c r="J2408">
        <v>15706246</v>
      </c>
      <c r="K2408">
        <v>182200</v>
      </c>
    </row>
    <row r="2409" spans="1:11" x14ac:dyDescent="0.3">
      <c r="A2409" t="s">
        <v>2418</v>
      </c>
      <c r="B2409">
        <v>780625</v>
      </c>
      <c r="C2409">
        <v>7227200</v>
      </c>
      <c r="D2409">
        <v>388048</v>
      </c>
      <c r="E2409">
        <v>1335000</v>
      </c>
      <c r="F2409">
        <v>12529466</v>
      </c>
      <c r="G2409">
        <v>479600</v>
      </c>
      <c r="H2409">
        <v>15715532</v>
      </c>
      <c r="I2409">
        <v>158200</v>
      </c>
      <c r="J2409">
        <v>15720595</v>
      </c>
      <c r="K2409">
        <v>178400</v>
      </c>
    </row>
    <row r="2410" spans="1:11" x14ac:dyDescent="0.3">
      <c r="A2410" t="s">
        <v>2419</v>
      </c>
      <c r="B2410">
        <v>780625</v>
      </c>
      <c r="C2410">
        <v>6942400</v>
      </c>
      <c r="D2410">
        <v>381143</v>
      </c>
      <c r="E2410">
        <v>1311800</v>
      </c>
      <c r="F2410">
        <v>12540791</v>
      </c>
      <c r="G2410">
        <v>481200</v>
      </c>
      <c r="H2410">
        <v>15731160</v>
      </c>
      <c r="I2410">
        <v>176100</v>
      </c>
      <c r="J2410">
        <v>15734625</v>
      </c>
      <c r="K2410">
        <v>176300</v>
      </c>
    </row>
    <row r="2411" spans="1:11" x14ac:dyDescent="0.3">
      <c r="A2411" t="s">
        <v>2420</v>
      </c>
      <c r="B2411">
        <v>780625</v>
      </c>
      <c r="C2411">
        <v>6998100</v>
      </c>
      <c r="D2411">
        <v>387297</v>
      </c>
      <c r="E2411">
        <v>1585500</v>
      </c>
      <c r="F2411">
        <v>12552109</v>
      </c>
      <c r="G2411">
        <v>487900</v>
      </c>
      <c r="H2411">
        <v>15745792</v>
      </c>
      <c r="I2411">
        <v>166500</v>
      </c>
      <c r="J2411">
        <v>15748892</v>
      </c>
      <c r="K2411">
        <v>187700</v>
      </c>
    </row>
    <row r="2412" spans="1:11" x14ac:dyDescent="0.3">
      <c r="A2412" t="s">
        <v>2421</v>
      </c>
      <c r="B2412">
        <v>780625</v>
      </c>
      <c r="C2412">
        <v>6979000</v>
      </c>
      <c r="D2412">
        <v>387182</v>
      </c>
      <c r="E2412">
        <v>1332600</v>
      </c>
      <c r="F2412">
        <v>12563439</v>
      </c>
      <c r="G2412">
        <v>473300</v>
      </c>
      <c r="H2412">
        <v>15760443</v>
      </c>
      <c r="I2412">
        <v>166200</v>
      </c>
      <c r="J2412">
        <v>15764151</v>
      </c>
      <c r="K2412">
        <v>184600</v>
      </c>
    </row>
    <row r="2413" spans="1:11" x14ac:dyDescent="0.3">
      <c r="A2413" t="s">
        <v>2422</v>
      </c>
      <c r="B2413">
        <v>780625</v>
      </c>
      <c r="C2413">
        <v>6890000</v>
      </c>
      <c r="D2413">
        <v>389857</v>
      </c>
      <c r="E2413">
        <v>1348500</v>
      </c>
      <c r="F2413">
        <v>12574723</v>
      </c>
      <c r="G2413">
        <v>566000</v>
      </c>
      <c r="H2413">
        <v>15774798</v>
      </c>
      <c r="I2413">
        <v>173900</v>
      </c>
      <c r="J2413">
        <v>15778165</v>
      </c>
      <c r="K2413">
        <v>183600</v>
      </c>
    </row>
    <row r="2414" spans="1:11" x14ac:dyDescent="0.3">
      <c r="A2414" t="s">
        <v>2423</v>
      </c>
      <c r="B2414">
        <v>780625</v>
      </c>
      <c r="C2414">
        <v>7257500</v>
      </c>
      <c r="D2414">
        <v>372146</v>
      </c>
      <c r="E2414">
        <v>1295500</v>
      </c>
      <c r="F2414">
        <v>12586061</v>
      </c>
      <c r="G2414">
        <v>482100</v>
      </c>
      <c r="H2414">
        <v>15789046</v>
      </c>
      <c r="I2414">
        <v>165300</v>
      </c>
      <c r="J2414">
        <v>15792559</v>
      </c>
      <c r="K2414">
        <v>262300</v>
      </c>
    </row>
    <row r="2415" spans="1:11" x14ac:dyDescent="0.3">
      <c r="A2415" t="s">
        <v>2424</v>
      </c>
      <c r="B2415">
        <v>780625</v>
      </c>
      <c r="C2415">
        <v>7058800</v>
      </c>
      <c r="D2415">
        <v>398285</v>
      </c>
      <c r="E2415">
        <v>1369600</v>
      </c>
      <c r="F2415">
        <v>12597371</v>
      </c>
      <c r="G2415">
        <v>483400</v>
      </c>
      <c r="H2415">
        <v>15804015</v>
      </c>
      <c r="I2415">
        <v>163200</v>
      </c>
      <c r="J2415">
        <v>15806411</v>
      </c>
      <c r="K2415">
        <v>177700</v>
      </c>
    </row>
    <row r="2416" spans="1:11" x14ac:dyDescent="0.3">
      <c r="A2416" t="s">
        <v>2425</v>
      </c>
      <c r="B2416">
        <v>780625</v>
      </c>
      <c r="C2416">
        <v>7055300</v>
      </c>
      <c r="D2416">
        <v>391785</v>
      </c>
      <c r="E2416">
        <v>1378700</v>
      </c>
      <c r="F2416">
        <v>12608657</v>
      </c>
      <c r="G2416">
        <v>483000</v>
      </c>
      <c r="H2416">
        <v>15818192</v>
      </c>
      <c r="I2416">
        <v>165000</v>
      </c>
      <c r="J2416">
        <v>15819828</v>
      </c>
      <c r="K2416">
        <v>182800</v>
      </c>
    </row>
    <row r="2417" spans="1:11" x14ac:dyDescent="0.3">
      <c r="A2417" t="s">
        <v>2426</v>
      </c>
      <c r="B2417">
        <v>780625</v>
      </c>
      <c r="C2417">
        <v>6762600</v>
      </c>
      <c r="D2417">
        <v>402677</v>
      </c>
      <c r="E2417">
        <v>1395400</v>
      </c>
      <c r="F2417">
        <v>12619947</v>
      </c>
      <c r="G2417">
        <v>482800</v>
      </c>
      <c r="H2417">
        <v>15833085</v>
      </c>
      <c r="I2417">
        <v>173500</v>
      </c>
      <c r="J2417">
        <v>15834369</v>
      </c>
      <c r="K2417">
        <v>180200</v>
      </c>
    </row>
    <row r="2418" spans="1:11" x14ac:dyDescent="0.3">
      <c r="A2418" t="s">
        <v>2427</v>
      </c>
      <c r="B2418">
        <v>780625</v>
      </c>
      <c r="C2418">
        <v>7171100</v>
      </c>
      <c r="D2418">
        <v>384000</v>
      </c>
      <c r="E2418">
        <v>1325800</v>
      </c>
      <c r="F2418">
        <v>12631232</v>
      </c>
      <c r="G2418">
        <v>616100</v>
      </c>
      <c r="H2418">
        <v>15847146</v>
      </c>
      <c r="I2418">
        <v>170500</v>
      </c>
      <c r="J2418">
        <v>15848389</v>
      </c>
      <c r="K2418">
        <v>184400</v>
      </c>
    </row>
    <row r="2419" spans="1:11" x14ac:dyDescent="0.3">
      <c r="A2419" t="s">
        <v>2428</v>
      </c>
      <c r="B2419">
        <v>780625</v>
      </c>
      <c r="C2419">
        <v>6940400</v>
      </c>
      <c r="D2419">
        <v>408706</v>
      </c>
      <c r="E2419">
        <v>1435600</v>
      </c>
      <c r="F2419">
        <v>12642534</v>
      </c>
      <c r="G2419">
        <v>470000</v>
      </c>
      <c r="H2419">
        <v>15860737</v>
      </c>
      <c r="I2419">
        <v>167000</v>
      </c>
      <c r="J2419">
        <v>15862972</v>
      </c>
      <c r="K2419">
        <v>187700</v>
      </c>
    </row>
    <row r="2420" spans="1:11" x14ac:dyDescent="0.3">
      <c r="A2420" t="s">
        <v>2429</v>
      </c>
      <c r="B2420">
        <v>780625</v>
      </c>
      <c r="C2420">
        <v>6651000</v>
      </c>
      <c r="D2420">
        <v>379260</v>
      </c>
      <c r="E2420">
        <v>1321800</v>
      </c>
      <c r="F2420">
        <v>12653857</v>
      </c>
      <c r="G2420">
        <v>473100</v>
      </c>
      <c r="H2420">
        <v>15876063</v>
      </c>
      <c r="I2420">
        <v>173700</v>
      </c>
      <c r="J2420">
        <v>15876458</v>
      </c>
      <c r="K2420">
        <v>180700</v>
      </c>
    </row>
    <row r="2421" spans="1:11" x14ac:dyDescent="0.3">
      <c r="A2421" t="s">
        <v>2430</v>
      </c>
      <c r="B2421">
        <v>780625</v>
      </c>
      <c r="C2421">
        <v>6727200</v>
      </c>
      <c r="D2421">
        <v>400105</v>
      </c>
      <c r="E2421">
        <v>1644500</v>
      </c>
      <c r="F2421">
        <v>12665183</v>
      </c>
      <c r="G2421">
        <v>482500</v>
      </c>
      <c r="H2421">
        <v>15891794</v>
      </c>
      <c r="I2421">
        <v>171600</v>
      </c>
      <c r="J2421">
        <v>15891220</v>
      </c>
      <c r="K2421">
        <v>184000</v>
      </c>
    </row>
    <row r="2422" spans="1:11" x14ac:dyDescent="0.3">
      <c r="A2422" t="s">
        <v>2431</v>
      </c>
      <c r="B2422">
        <v>780625</v>
      </c>
      <c r="C2422">
        <v>7144200</v>
      </c>
      <c r="D2422">
        <v>396957</v>
      </c>
      <c r="E2422">
        <v>1365600</v>
      </c>
      <c r="F2422">
        <v>12676548</v>
      </c>
      <c r="G2422">
        <v>473200</v>
      </c>
      <c r="H2422">
        <v>15906418</v>
      </c>
      <c r="I2422">
        <v>162500</v>
      </c>
      <c r="J2422">
        <v>15905448</v>
      </c>
      <c r="K2422">
        <v>175000</v>
      </c>
    </row>
    <row r="2423" spans="1:11" x14ac:dyDescent="0.3">
      <c r="A2423" t="s">
        <v>2432</v>
      </c>
      <c r="B2423">
        <v>780625</v>
      </c>
      <c r="C2423">
        <v>6872700</v>
      </c>
      <c r="D2423">
        <v>384590</v>
      </c>
      <c r="E2423">
        <v>1323600</v>
      </c>
      <c r="F2423">
        <v>12687882</v>
      </c>
      <c r="G2423">
        <v>474400</v>
      </c>
      <c r="H2423">
        <v>15919841</v>
      </c>
      <c r="I2423">
        <v>162200</v>
      </c>
      <c r="J2423">
        <v>15919485</v>
      </c>
      <c r="K2423">
        <v>177400</v>
      </c>
    </row>
    <row r="2424" spans="1:11" x14ac:dyDescent="0.3">
      <c r="A2424" t="s">
        <v>2433</v>
      </c>
      <c r="B2424">
        <v>780625</v>
      </c>
      <c r="C2424">
        <v>7082900</v>
      </c>
      <c r="D2424">
        <v>390250</v>
      </c>
      <c r="E2424">
        <v>1597000</v>
      </c>
      <c r="F2424">
        <v>12699163</v>
      </c>
      <c r="G2424">
        <v>492200</v>
      </c>
      <c r="H2424">
        <v>15933395</v>
      </c>
      <c r="I2424">
        <v>168800</v>
      </c>
      <c r="J2424">
        <v>15932954</v>
      </c>
      <c r="K2424">
        <v>181500</v>
      </c>
    </row>
    <row r="2425" spans="1:11" x14ac:dyDescent="0.3">
      <c r="A2425" t="s">
        <v>2434</v>
      </c>
      <c r="B2425">
        <v>780625</v>
      </c>
      <c r="C2425">
        <v>7447200</v>
      </c>
      <c r="D2425">
        <v>385287</v>
      </c>
      <c r="E2425">
        <v>1338900</v>
      </c>
      <c r="F2425">
        <v>12710479</v>
      </c>
      <c r="G2425">
        <v>473800</v>
      </c>
      <c r="H2425">
        <v>15948701</v>
      </c>
      <c r="I2425">
        <v>167800</v>
      </c>
      <c r="J2425">
        <v>15946947</v>
      </c>
      <c r="K2425">
        <v>183400</v>
      </c>
    </row>
    <row r="2426" spans="1:11" x14ac:dyDescent="0.3">
      <c r="A2426" t="s">
        <v>2435</v>
      </c>
      <c r="B2426">
        <v>780625</v>
      </c>
      <c r="C2426">
        <v>6909900</v>
      </c>
      <c r="D2426">
        <v>391291</v>
      </c>
      <c r="E2426">
        <v>1347300</v>
      </c>
      <c r="F2426">
        <v>12721757</v>
      </c>
      <c r="G2426">
        <v>475600</v>
      </c>
      <c r="H2426">
        <v>15962543</v>
      </c>
      <c r="I2426">
        <v>164500</v>
      </c>
      <c r="J2426">
        <v>15961225</v>
      </c>
      <c r="K2426">
        <v>181000</v>
      </c>
    </row>
    <row r="2427" spans="1:11" x14ac:dyDescent="0.3">
      <c r="A2427" t="s">
        <v>2436</v>
      </c>
      <c r="B2427">
        <v>780625</v>
      </c>
      <c r="C2427">
        <v>6812800</v>
      </c>
      <c r="D2427">
        <v>396930</v>
      </c>
      <c r="E2427">
        <v>1466000</v>
      </c>
      <c r="F2427">
        <v>12733031</v>
      </c>
      <c r="G2427">
        <v>592200</v>
      </c>
      <c r="H2427">
        <v>15977127</v>
      </c>
      <c r="I2427">
        <v>169300</v>
      </c>
      <c r="J2427">
        <v>15974805</v>
      </c>
      <c r="K2427">
        <v>180500</v>
      </c>
    </row>
    <row r="2428" spans="1:11" x14ac:dyDescent="0.3">
      <c r="A2428" t="s">
        <v>2437</v>
      </c>
      <c r="B2428">
        <v>780625</v>
      </c>
      <c r="C2428">
        <v>7410200</v>
      </c>
      <c r="D2428">
        <v>398518</v>
      </c>
      <c r="E2428">
        <v>1377700</v>
      </c>
      <c r="F2428">
        <v>12744309</v>
      </c>
      <c r="G2428">
        <v>475700</v>
      </c>
      <c r="H2428">
        <v>15990760</v>
      </c>
      <c r="I2428">
        <v>164700</v>
      </c>
      <c r="J2428">
        <v>15989252</v>
      </c>
      <c r="K2428">
        <v>184800</v>
      </c>
    </row>
    <row r="2429" spans="1:11" x14ac:dyDescent="0.3">
      <c r="A2429" t="s">
        <v>2438</v>
      </c>
      <c r="B2429">
        <v>780625</v>
      </c>
      <c r="C2429">
        <v>7231000</v>
      </c>
      <c r="D2429">
        <v>394893</v>
      </c>
      <c r="E2429">
        <v>1357000</v>
      </c>
      <c r="F2429">
        <v>12755591</v>
      </c>
      <c r="G2429">
        <v>479700</v>
      </c>
      <c r="H2429">
        <v>16006208</v>
      </c>
      <c r="I2429">
        <v>168300</v>
      </c>
      <c r="J2429">
        <v>16004359</v>
      </c>
      <c r="K2429">
        <v>185600</v>
      </c>
    </row>
    <row r="2430" spans="1:11" x14ac:dyDescent="0.3">
      <c r="A2430" t="s">
        <v>2439</v>
      </c>
      <c r="B2430">
        <v>780625</v>
      </c>
      <c r="C2430">
        <v>7281900</v>
      </c>
      <c r="D2430">
        <v>393350</v>
      </c>
      <c r="E2430">
        <v>1532700</v>
      </c>
      <c r="F2430">
        <v>12766877</v>
      </c>
      <c r="G2430">
        <v>517700</v>
      </c>
      <c r="H2430">
        <v>16020178</v>
      </c>
      <c r="I2430">
        <v>162800</v>
      </c>
      <c r="J2430">
        <v>16018646</v>
      </c>
      <c r="K2430">
        <v>187200</v>
      </c>
    </row>
    <row r="2431" spans="1:11" x14ac:dyDescent="0.3">
      <c r="A2431" t="s">
        <v>2440</v>
      </c>
      <c r="B2431">
        <v>780625</v>
      </c>
      <c r="C2431">
        <v>6953500</v>
      </c>
      <c r="D2431">
        <v>388870</v>
      </c>
      <c r="E2431">
        <v>1360100</v>
      </c>
      <c r="F2431">
        <v>12778148</v>
      </c>
      <c r="G2431">
        <v>470900</v>
      </c>
      <c r="H2431">
        <v>16033744</v>
      </c>
      <c r="I2431">
        <v>159200</v>
      </c>
      <c r="J2431">
        <v>16034259</v>
      </c>
      <c r="K2431">
        <v>180700</v>
      </c>
    </row>
    <row r="2432" spans="1:11" x14ac:dyDescent="0.3">
      <c r="A2432" t="s">
        <v>2441</v>
      </c>
      <c r="B2432">
        <v>780625</v>
      </c>
      <c r="C2432">
        <v>7485300</v>
      </c>
      <c r="D2432">
        <v>382564</v>
      </c>
      <c r="E2432">
        <v>1322900</v>
      </c>
      <c r="F2432">
        <v>12789458</v>
      </c>
      <c r="G2432">
        <v>476300</v>
      </c>
      <c r="H2432">
        <v>16049391</v>
      </c>
      <c r="I2432">
        <v>168700</v>
      </c>
      <c r="J2432">
        <v>16047806</v>
      </c>
      <c r="K2432">
        <v>182500</v>
      </c>
    </row>
    <row r="2433" spans="1:11" x14ac:dyDescent="0.3">
      <c r="A2433" t="s">
        <v>2442</v>
      </c>
      <c r="B2433">
        <v>780625</v>
      </c>
      <c r="C2433">
        <v>6929100</v>
      </c>
      <c r="D2433">
        <v>380196</v>
      </c>
      <c r="E2433">
        <v>1335600</v>
      </c>
      <c r="F2433">
        <v>12800742</v>
      </c>
      <c r="G2433">
        <v>548400</v>
      </c>
      <c r="H2433">
        <v>16064895</v>
      </c>
      <c r="I2433">
        <v>240700</v>
      </c>
      <c r="J2433">
        <v>16062270</v>
      </c>
      <c r="K2433">
        <v>202200</v>
      </c>
    </row>
    <row r="2434" spans="1:11" x14ac:dyDescent="0.3">
      <c r="A2434" t="s">
        <v>2443</v>
      </c>
      <c r="B2434">
        <v>780625</v>
      </c>
      <c r="C2434">
        <v>7245500</v>
      </c>
      <c r="D2434">
        <v>391748</v>
      </c>
      <c r="E2434">
        <v>1439700</v>
      </c>
      <c r="F2434">
        <v>12812021</v>
      </c>
      <c r="G2434">
        <v>478700</v>
      </c>
      <c r="H2434">
        <v>16080380</v>
      </c>
      <c r="I2434">
        <v>200200</v>
      </c>
      <c r="J2434">
        <v>16076953</v>
      </c>
      <c r="K2434">
        <v>186000</v>
      </c>
    </row>
    <row r="2435" spans="1:11" x14ac:dyDescent="0.3">
      <c r="A2435" t="s">
        <v>2444</v>
      </c>
      <c r="B2435">
        <v>780625</v>
      </c>
      <c r="C2435">
        <v>7246000</v>
      </c>
      <c r="D2435">
        <v>383139</v>
      </c>
      <c r="E2435">
        <v>1318000</v>
      </c>
      <c r="F2435">
        <v>12823317</v>
      </c>
      <c r="G2435">
        <v>471000</v>
      </c>
      <c r="H2435">
        <v>16094689</v>
      </c>
      <c r="I2435">
        <v>168200</v>
      </c>
      <c r="J2435">
        <v>16090529</v>
      </c>
      <c r="K2435">
        <v>179500</v>
      </c>
    </row>
    <row r="2436" spans="1:11" x14ac:dyDescent="0.3">
      <c r="A2436" t="s">
        <v>2445</v>
      </c>
      <c r="B2436">
        <v>780625</v>
      </c>
      <c r="C2436">
        <v>6563100</v>
      </c>
      <c r="D2436">
        <v>401624</v>
      </c>
      <c r="E2436">
        <v>1394500</v>
      </c>
      <c r="F2436">
        <v>12834593</v>
      </c>
      <c r="G2436">
        <v>477900</v>
      </c>
      <c r="H2436">
        <v>16108796</v>
      </c>
      <c r="I2436">
        <v>162200</v>
      </c>
      <c r="J2436">
        <v>16106226</v>
      </c>
      <c r="K2436">
        <v>193200</v>
      </c>
    </row>
    <row r="2437" spans="1:11" x14ac:dyDescent="0.3">
      <c r="A2437" t="s">
        <v>2446</v>
      </c>
      <c r="B2437">
        <v>780625</v>
      </c>
      <c r="C2437">
        <v>7351700</v>
      </c>
      <c r="D2437">
        <v>411658</v>
      </c>
      <c r="E2437">
        <v>1626200</v>
      </c>
      <c r="F2437">
        <v>12845904</v>
      </c>
      <c r="G2437">
        <v>477300</v>
      </c>
      <c r="H2437">
        <v>16123103</v>
      </c>
      <c r="I2437">
        <v>170400</v>
      </c>
      <c r="J2437">
        <v>16121645</v>
      </c>
      <c r="K2437">
        <v>192600</v>
      </c>
    </row>
    <row r="2438" spans="1:11" x14ac:dyDescent="0.3">
      <c r="A2438" t="s">
        <v>2447</v>
      </c>
      <c r="B2438">
        <v>780625</v>
      </c>
      <c r="C2438">
        <v>7232300</v>
      </c>
      <c r="D2438">
        <v>396316</v>
      </c>
      <c r="E2438">
        <v>1368600</v>
      </c>
      <c r="F2438">
        <v>12857225</v>
      </c>
      <c r="G2438">
        <v>482300</v>
      </c>
      <c r="H2438">
        <v>16137407</v>
      </c>
      <c r="I2438">
        <v>165400</v>
      </c>
      <c r="J2438">
        <v>16135321</v>
      </c>
      <c r="K2438">
        <v>183000</v>
      </c>
    </row>
    <row r="2439" spans="1:11" x14ac:dyDescent="0.3">
      <c r="A2439" t="s">
        <v>2448</v>
      </c>
      <c r="B2439">
        <v>780625</v>
      </c>
      <c r="C2439">
        <v>6954700</v>
      </c>
      <c r="D2439">
        <v>386195</v>
      </c>
      <c r="E2439">
        <v>1375200</v>
      </c>
      <c r="F2439">
        <v>12868537</v>
      </c>
      <c r="G2439">
        <v>477700</v>
      </c>
      <c r="H2439">
        <v>16152035</v>
      </c>
      <c r="I2439">
        <v>166500</v>
      </c>
      <c r="J2439">
        <v>16148789</v>
      </c>
      <c r="K2439">
        <v>181000</v>
      </c>
    </row>
    <row r="2440" spans="1:11" x14ac:dyDescent="0.3">
      <c r="A2440" t="s">
        <v>2449</v>
      </c>
      <c r="B2440">
        <v>780625</v>
      </c>
      <c r="C2440">
        <v>7062500</v>
      </c>
      <c r="D2440">
        <v>380216</v>
      </c>
      <c r="E2440">
        <v>1774700</v>
      </c>
      <c r="F2440">
        <v>12879858</v>
      </c>
      <c r="G2440">
        <v>517200</v>
      </c>
      <c r="H2440">
        <v>16165545</v>
      </c>
      <c r="I2440">
        <v>180000</v>
      </c>
      <c r="J2440">
        <v>16162774</v>
      </c>
      <c r="K2440">
        <v>180800</v>
      </c>
    </row>
    <row r="2441" spans="1:11" x14ac:dyDescent="0.3">
      <c r="A2441" t="s">
        <v>2450</v>
      </c>
      <c r="B2441">
        <v>780625</v>
      </c>
      <c r="C2441">
        <v>7376900</v>
      </c>
      <c r="D2441">
        <v>395863</v>
      </c>
      <c r="E2441">
        <v>1363800</v>
      </c>
      <c r="F2441">
        <v>12891141</v>
      </c>
      <c r="G2441">
        <v>481100</v>
      </c>
      <c r="H2441">
        <v>16180162</v>
      </c>
      <c r="I2441">
        <v>165600</v>
      </c>
      <c r="J2441">
        <v>16176135</v>
      </c>
      <c r="K2441">
        <v>183100</v>
      </c>
    </row>
    <row r="2442" spans="1:11" x14ac:dyDescent="0.3">
      <c r="A2442" t="s">
        <v>2451</v>
      </c>
      <c r="B2442">
        <v>780625</v>
      </c>
      <c r="C2442">
        <v>7561400</v>
      </c>
      <c r="D2442">
        <v>382891</v>
      </c>
      <c r="E2442">
        <v>1381300</v>
      </c>
      <c r="F2442">
        <v>12902445</v>
      </c>
      <c r="G2442">
        <v>481000</v>
      </c>
      <c r="H2442">
        <v>16194746</v>
      </c>
      <c r="I2442">
        <v>164800</v>
      </c>
      <c r="J2442">
        <v>16192460</v>
      </c>
      <c r="K2442">
        <v>185400</v>
      </c>
    </row>
    <row r="2443" spans="1:11" x14ac:dyDescent="0.3">
      <c r="A2443" t="s">
        <v>2452</v>
      </c>
      <c r="B2443">
        <v>780625</v>
      </c>
      <c r="C2443">
        <v>6801000</v>
      </c>
      <c r="D2443">
        <v>382576</v>
      </c>
      <c r="E2443">
        <v>1557800</v>
      </c>
      <c r="F2443">
        <v>12913750</v>
      </c>
      <c r="G2443">
        <v>494700</v>
      </c>
      <c r="H2443">
        <v>16210296</v>
      </c>
      <c r="I2443">
        <v>180400</v>
      </c>
      <c r="J2443">
        <v>16206887</v>
      </c>
      <c r="K2443">
        <v>184600</v>
      </c>
    </row>
    <row r="2444" spans="1:11" x14ac:dyDescent="0.3">
      <c r="A2444" t="s">
        <v>2453</v>
      </c>
      <c r="B2444">
        <v>780625</v>
      </c>
      <c r="C2444">
        <v>6751300</v>
      </c>
      <c r="D2444">
        <v>387178</v>
      </c>
      <c r="E2444">
        <v>1381800</v>
      </c>
      <c r="F2444">
        <v>12925108</v>
      </c>
      <c r="G2444">
        <v>475800</v>
      </c>
      <c r="H2444">
        <v>16225474</v>
      </c>
      <c r="I2444">
        <v>170200</v>
      </c>
      <c r="J2444">
        <v>16221739</v>
      </c>
      <c r="K2444">
        <v>177100</v>
      </c>
    </row>
    <row r="2445" spans="1:11" x14ac:dyDescent="0.3">
      <c r="A2445" t="s">
        <v>2454</v>
      </c>
      <c r="B2445">
        <v>780625</v>
      </c>
      <c r="C2445">
        <v>6909900</v>
      </c>
      <c r="D2445">
        <v>388926</v>
      </c>
      <c r="E2445">
        <v>1339100</v>
      </c>
      <c r="F2445">
        <v>12936407</v>
      </c>
      <c r="G2445">
        <v>477200</v>
      </c>
      <c r="H2445">
        <v>16239587</v>
      </c>
      <c r="I2445">
        <v>167400</v>
      </c>
      <c r="J2445">
        <v>16236230</v>
      </c>
      <c r="K2445">
        <v>184500</v>
      </c>
    </row>
    <row r="2446" spans="1:11" x14ac:dyDescent="0.3">
      <c r="A2446" t="s">
        <v>2455</v>
      </c>
      <c r="B2446">
        <v>780625</v>
      </c>
      <c r="C2446">
        <v>6974900</v>
      </c>
      <c r="D2446">
        <v>381671</v>
      </c>
      <c r="E2446">
        <v>1562000</v>
      </c>
      <c r="F2446">
        <v>12947710</v>
      </c>
      <c r="G2446">
        <v>484400</v>
      </c>
      <c r="H2446">
        <v>16254564</v>
      </c>
      <c r="I2446">
        <v>158700</v>
      </c>
      <c r="J2446">
        <v>16251378</v>
      </c>
      <c r="K2446">
        <v>181000</v>
      </c>
    </row>
    <row r="2447" spans="1:11" x14ac:dyDescent="0.3">
      <c r="A2447" t="s">
        <v>2456</v>
      </c>
      <c r="B2447">
        <v>780625</v>
      </c>
      <c r="C2447">
        <v>7637600</v>
      </c>
      <c r="D2447">
        <v>401285</v>
      </c>
      <c r="E2447">
        <v>1674500</v>
      </c>
      <c r="F2447">
        <v>12959007</v>
      </c>
      <c r="G2447">
        <v>579700</v>
      </c>
      <c r="H2447">
        <v>16269945</v>
      </c>
      <c r="I2447">
        <v>193500</v>
      </c>
      <c r="J2447">
        <v>16265410</v>
      </c>
      <c r="K2447">
        <v>184900</v>
      </c>
    </row>
    <row r="2448" spans="1:11" x14ac:dyDescent="0.3">
      <c r="A2448" t="s">
        <v>2457</v>
      </c>
      <c r="B2448">
        <v>780625</v>
      </c>
      <c r="C2448">
        <v>7017900</v>
      </c>
      <c r="D2448">
        <v>399333</v>
      </c>
      <c r="E2448">
        <v>1411000</v>
      </c>
      <c r="F2448">
        <v>12970324</v>
      </c>
      <c r="G2448">
        <v>480200</v>
      </c>
      <c r="H2448">
        <v>16284470</v>
      </c>
      <c r="I2448">
        <v>170100</v>
      </c>
      <c r="J2448">
        <v>16279055</v>
      </c>
      <c r="K2448">
        <v>180000</v>
      </c>
    </row>
    <row r="2449" spans="1:11" x14ac:dyDescent="0.3">
      <c r="A2449" t="s">
        <v>2458</v>
      </c>
      <c r="B2449">
        <v>780625</v>
      </c>
      <c r="C2449">
        <v>6995300</v>
      </c>
      <c r="D2449">
        <v>401197</v>
      </c>
      <c r="E2449">
        <v>1496300</v>
      </c>
      <c r="F2449">
        <v>12981597</v>
      </c>
      <c r="G2449">
        <v>476500</v>
      </c>
      <c r="H2449">
        <v>16298377</v>
      </c>
      <c r="I2449">
        <v>167600</v>
      </c>
      <c r="J2449">
        <v>16292153</v>
      </c>
      <c r="K2449">
        <v>213100</v>
      </c>
    </row>
    <row r="2450" spans="1:11" x14ac:dyDescent="0.3">
      <c r="A2450" t="s">
        <v>2459</v>
      </c>
      <c r="B2450">
        <v>780625</v>
      </c>
      <c r="C2450">
        <v>7149900</v>
      </c>
      <c r="D2450">
        <v>389790</v>
      </c>
      <c r="E2450">
        <v>1347100</v>
      </c>
      <c r="F2450">
        <v>12992895</v>
      </c>
      <c r="G2450">
        <v>472200</v>
      </c>
      <c r="H2450">
        <v>16312677</v>
      </c>
      <c r="I2450">
        <v>162300</v>
      </c>
      <c r="J2450">
        <v>16307419</v>
      </c>
      <c r="K2450">
        <v>186400</v>
      </c>
    </row>
    <row r="2451" spans="1:11" x14ac:dyDescent="0.3">
      <c r="A2451" t="s">
        <v>2460</v>
      </c>
      <c r="B2451">
        <v>780625</v>
      </c>
      <c r="C2451">
        <v>7427000</v>
      </c>
      <c r="D2451">
        <v>389385</v>
      </c>
      <c r="E2451">
        <v>1349000</v>
      </c>
      <c r="F2451">
        <v>13004208</v>
      </c>
      <c r="G2451">
        <v>475100</v>
      </c>
      <c r="H2451">
        <v>16327241</v>
      </c>
      <c r="I2451">
        <v>163900</v>
      </c>
      <c r="J2451">
        <v>16321877</v>
      </c>
      <c r="K2451">
        <v>182700</v>
      </c>
    </row>
    <row r="2452" spans="1:11" x14ac:dyDescent="0.3">
      <c r="A2452" t="s">
        <v>2461</v>
      </c>
      <c r="B2452">
        <v>780625</v>
      </c>
      <c r="C2452">
        <v>6782900</v>
      </c>
      <c r="D2452">
        <v>383542</v>
      </c>
      <c r="E2452">
        <v>1394500</v>
      </c>
      <c r="F2452">
        <v>13015514</v>
      </c>
      <c r="G2452">
        <v>486400</v>
      </c>
      <c r="H2452">
        <v>16341201</v>
      </c>
      <c r="I2452">
        <v>198900</v>
      </c>
      <c r="J2452">
        <v>16335831</v>
      </c>
      <c r="K2452">
        <v>260400</v>
      </c>
    </row>
    <row r="2453" spans="1:11" x14ac:dyDescent="0.3">
      <c r="A2453" t="s">
        <v>2462</v>
      </c>
      <c r="B2453">
        <v>780625</v>
      </c>
      <c r="C2453">
        <v>6956600</v>
      </c>
      <c r="D2453">
        <v>400025</v>
      </c>
      <c r="E2453">
        <v>1455000</v>
      </c>
      <c r="F2453">
        <v>13026822</v>
      </c>
      <c r="G2453">
        <v>471600</v>
      </c>
      <c r="H2453">
        <v>16354933</v>
      </c>
      <c r="I2453">
        <v>164700</v>
      </c>
      <c r="J2453">
        <v>16349728</v>
      </c>
      <c r="K2453">
        <v>185400</v>
      </c>
    </row>
    <row r="2454" spans="1:11" x14ac:dyDescent="0.3">
      <c r="A2454" t="s">
        <v>2463</v>
      </c>
      <c r="B2454">
        <v>780625</v>
      </c>
      <c r="C2454">
        <v>6827000</v>
      </c>
      <c r="D2454">
        <v>396890</v>
      </c>
      <c r="E2454">
        <v>1373500</v>
      </c>
      <c r="F2454">
        <v>13038107</v>
      </c>
      <c r="G2454">
        <v>468100</v>
      </c>
      <c r="H2454">
        <v>16368528</v>
      </c>
      <c r="I2454">
        <v>165200</v>
      </c>
      <c r="J2454">
        <v>16364595</v>
      </c>
      <c r="K2454">
        <v>182200</v>
      </c>
    </row>
    <row r="2455" spans="1:11" x14ac:dyDescent="0.3">
      <c r="A2455" t="s">
        <v>2464</v>
      </c>
      <c r="B2455">
        <v>780625</v>
      </c>
      <c r="C2455">
        <v>7198900</v>
      </c>
      <c r="D2455">
        <v>384705</v>
      </c>
      <c r="E2455">
        <v>1608100</v>
      </c>
      <c r="F2455">
        <v>13049415</v>
      </c>
      <c r="G2455">
        <v>574100</v>
      </c>
      <c r="H2455">
        <v>16383436</v>
      </c>
      <c r="I2455">
        <v>200600</v>
      </c>
      <c r="J2455">
        <v>16378638</v>
      </c>
      <c r="K2455">
        <v>238500</v>
      </c>
    </row>
    <row r="2456" spans="1:11" x14ac:dyDescent="0.3">
      <c r="A2456" t="s">
        <v>2465</v>
      </c>
      <c r="B2456">
        <v>780625</v>
      </c>
      <c r="C2456">
        <v>6897900</v>
      </c>
      <c r="D2456">
        <v>386413</v>
      </c>
      <c r="E2456">
        <v>1386500</v>
      </c>
      <c r="F2456">
        <v>13060750</v>
      </c>
      <c r="G2456">
        <v>478900</v>
      </c>
      <c r="H2456">
        <v>16397396</v>
      </c>
      <c r="I2456">
        <v>174400</v>
      </c>
      <c r="J2456">
        <v>16393001</v>
      </c>
      <c r="K2456">
        <v>200600</v>
      </c>
    </row>
    <row r="2457" spans="1:11" x14ac:dyDescent="0.3">
      <c r="A2457" t="s">
        <v>2466</v>
      </c>
      <c r="B2457">
        <v>780625</v>
      </c>
      <c r="C2457">
        <v>6649100</v>
      </c>
      <c r="D2457">
        <v>407500</v>
      </c>
      <c r="E2457">
        <v>1439500</v>
      </c>
      <c r="F2457">
        <v>13072108</v>
      </c>
      <c r="G2457">
        <v>479600</v>
      </c>
      <c r="H2457">
        <v>16412274</v>
      </c>
      <c r="I2457">
        <v>163200</v>
      </c>
      <c r="J2457">
        <v>16408208</v>
      </c>
      <c r="K2457">
        <v>181100</v>
      </c>
    </row>
    <row r="2458" spans="1:11" x14ac:dyDescent="0.3">
      <c r="A2458" t="s">
        <v>2467</v>
      </c>
      <c r="B2458">
        <v>780625</v>
      </c>
      <c r="C2458">
        <v>6990200</v>
      </c>
      <c r="D2458">
        <v>383024</v>
      </c>
      <c r="E2458">
        <v>1323400</v>
      </c>
      <c r="F2458">
        <v>13083422</v>
      </c>
      <c r="G2458">
        <v>467100</v>
      </c>
      <c r="H2458">
        <v>16425471</v>
      </c>
      <c r="I2458">
        <v>162200</v>
      </c>
      <c r="J2458">
        <v>16422095</v>
      </c>
      <c r="K2458">
        <v>184300</v>
      </c>
    </row>
    <row r="2459" spans="1:11" x14ac:dyDescent="0.3">
      <c r="A2459" t="s">
        <v>2468</v>
      </c>
      <c r="B2459">
        <v>780625</v>
      </c>
      <c r="C2459">
        <v>7422000</v>
      </c>
      <c r="D2459">
        <v>395553</v>
      </c>
      <c r="E2459">
        <v>1367200</v>
      </c>
      <c r="F2459">
        <v>13094735</v>
      </c>
      <c r="G2459">
        <v>469700</v>
      </c>
      <c r="H2459">
        <v>16440326</v>
      </c>
      <c r="I2459">
        <v>197000</v>
      </c>
      <c r="J2459">
        <v>16436015</v>
      </c>
      <c r="K2459">
        <v>177300</v>
      </c>
    </row>
    <row r="2460" spans="1:11" x14ac:dyDescent="0.3">
      <c r="A2460" t="s">
        <v>2469</v>
      </c>
      <c r="B2460">
        <v>780625</v>
      </c>
      <c r="C2460">
        <v>6858800</v>
      </c>
      <c r="D2460">
        <v>394482</v>
      </c>
      <c r="E2460">
        <v>1385200</v>
      </c>
      <c r="F2460">
        <v>13106037</v>
      </c>
      <c r="G2460">
        <v>481300</v>
      </c>
      <c r="H2460">
        <v>16454341</v>
      </c>
      <c r="I2460">
        <v>167900</v>
      </c>
      <c r="J2460">
        <v>16450386</v>
      </c>
      <c r="K2460">
        <v>180300</v>
      </c>
    </row>
    <row r="2461" spans="1:11" x14ac:dyDescent="0.3">
      <c r="A2461" t="s">
        <v>2470</v>
      </c>
      <c r="B2461">
        <v>780625</v>
      </c>
      <c r="C2461">
        <v>7374500</v>
      </c>
      <c r="D2461">
        <v>381813</v>
      </c>
      <c r="E2461">
        <v>1368700</v>
      </c>
      <c r="F2461">
        <v>13117331</v>
      </c>
      <c r="G2461">
        <v>488700</v>
      </c>
      <c r="H2461">
        <v>16467802</v>
      </c>
      <c r="I2461">
        <v>167600</v>
      </c>
      <c r="J2461">
        <v>16464160</v>
      </c>
      <c r="K2461">
        <v>210600</v>
      </c>
    </row>
    <row r="2462" spans="1:11" x14ac:dyDescent="0.3">
      <c r="A2462" t="s">
        <v>2471</v>
      </c>
      <c r="B2462">
        <v>780625</v>
      </c>
      <c r="C2462">
        <v>7718100</v>
      </c>
      <c r="D2462">
        <v>392665</v>
      </c>
      <c r="E2462">
        <v>1359300</v>
      </c>
      <c r="F2462">
        <v>13128604</v>
      </c>
      <c r="G2462">
        <v>474600</v>
      </c>
      <c r="H2462">
        <v>16482538</v>
      </c>
      <c r="I2462">
        <v>159800</v>
      </c>
      <c r="J2462">
        <v>16478128</v>
      </c>
      <c r="K2462">
        <v>181100</v>
      </c>
    </row>
    <row r="2463" spans="1:11" x14ac:dyDescent="0.3">
      <c r="A2463" t="s">
        <v>2472</v>
      </c>
      <c r="B2463">
        <v>780625</v>
      </c>
      <c r="C2463">
        <v>7030800</v>
      </c>
      <c r="D2463">
        <v>388943</v>
      </c>
      <c r="E2463">
        <v>1355600</v>
      </c>
      <c r="F2463">
        <v>13139927</v>
      </c>
      <c r="G2463">
        <v>472100</v>
      </c>
      <c r="H2463">
        <v>16497397</v>
      </c>
      <c r="I2463">
        <v>163100</v>
      </c>
      <c r="J2463">
        <v>16492177</v>
      </c>
      <c r="K2463">
        <v>183000</v>
      </c>
    </row>
    <row r="2464" spans="1:11" x14ac:dyDescent="0.3">
      <c r="A2464" t="s">
        <v>2473</v>
      </c>
      <c r="B2464">
        <v>780625</v>
      </c>
      <c r="C2464">
        <v>7304500</v>
      </c>
      <c r="D2464">
        <v>394902</v>
      </c>
      <c r="E2464">
        <v>1384000</v>
      </c>
      <c r="F2464">
        <v>13151206</v>
      </c>
      <c r="G2464">
        <v>621200</v>
      </c>
      <c r="H2464">
        <v>16511137</v>
      </c>
      <c r="I2464">
        <v>210400</v>
      </c>
      <c r="J2464">
        <v>16506866</v>
      </c>
      <c r="K2464">
        <v>258600</v>
      </c>
    </row>
    <row r="2465" spans="1:11" x14ac:dyDescent="0.3">
      <c r="A2465" t="s">
        <v>2474</v>
      </c>
      <c r="B2465">
        <v>780625</v>
      </c>
      <c r="C2465">
        <v>6852300</v>
      </c>
      <c r="D2465">
        <v>390042</v>
      </c>
      <c r="E2465">
        <v>1398400</v>
      </c>
      <c r="F2465">
        <v>13162492</v>
      </c>
      <c r="G2465">
        <v>477500</v>
      </c>
      <c r="H2465">
        <v>16524832</v>
      </c>
      <c r="I2465">
        <v>161800</v>
      </c>
      <c r="J2465">
        <v>16521183</v>
      </c>
      <c r="K2465">
        <v>183100</v>
      </c>
    </row>
    <row r="2466" spans="1:11" x14ac:dyDescent="0.3">
      <c r="A2466" t="s">
        <v>2475</v>
      </c>
      <c r="B2466">
        <v>780625</v>
      </c>
      <c r="C2466">
        <v>6744600</v>
      </c>
      <c r="D2466">
        <v>405393</v>
      </c>
      <c r="E2466">
        <v>1394900</v>
      </c>
      <c r="F2466">
        <v>13173789</v>
      </c>
      <c r="G2466">
        <v>474500</v>
      </c>
      <c r="H2466">
        <v>16541264</v>
      </c>
      <c r="I2466">
        <v>170400</v>
      </c>
      <c r="J2466">
        <v>16534823</v>
      </c>
      <c r="K2466">
        <v>177300</v>
      </c>
    </row>
    <row r="2467" spans="1:11" x14ac:dyDescent="0.3">
      <c r="A2467" t="s">
        <v>2476</v>
      </c>
      <c r="B2467">
        <v>780625</v>
      </c>
      <c r="C2467">
        <v>6968900</v>
      </c>
      <c r="D2467">
        <v>402232</v>
      </c>
      <c r="E2467">
        <v>1383100</v>
      </c>
      <c r="F2467">
        <v>13185066</v>
      </c>
      <c r="G2467">
        <v>471700</v>
      </c>
      <c r="H2467">
        <v>16554626</v>
      </c>
      <c r="I2467">
        <v>169600</v>
      </c>
      <c r="J2467">
        <v>16548773</v>
      </c>
      <c r="K2467">
        <v>220800</v>
      </c>
    </row>
    <row r="2468" spans="1:11" x14ac:dyDescent="0.3">
      <c r="A2468" t="s">
        <v>2477</v>
      </c>
      <c r="B2468">
        <v>780625</v>
      </c>
      <c r="C2468">
        <v>7437700</v>
      </c>
      <c r="D2468">
        <v>385481</v>
      </c>
      <c r="E2468">
        <v>1358300</v>
      </c>
      <c r="F2468">
        <v>13196394</v>
      </c>
      <c r="G2468">
        <v>491100</v>
      </c>
      <c r="H2468">
        <v>16568668</v>
      </c>
      <c r="I2468">
        <v>169300</v>
      </c>
      <c r="J2468">
        <v>16563751</v>
      </c>
      <c r="K2468">
        <v>184700</v>
      </c>
    </row>
    <row r="2469" spans="1:11" x14ac:dyDescent="0.3">
      <c r="A2469" t="s">
        <v>2478</v>
      </c>
      <c r="B2469">
        <v>780625</v>
      </c>
      <c r="C2469">
        <v>6677000</v>
      </c>
      <c r="D2469">
        <v>391759</v>
      </c>
      <c r="E2469">
        <v>1351100</v>
      </c>
      <c r="F2469">
        <v>13207713</v>
      </c>
      <c r="G2469">
        <v>472800</v>
      </c>
      <c r="H2469">
        <v>16582989</v>
      </c>
      <c r="I2469">
        <v>168300</v>
      </c>
      <c r="J2469">
        <v>16577173</v>
      </c>
      <c r="K2469">
        <v>185600</v>
      </c>
    </row>
    <row r="2470" spans="1:11" x14ac:dyDescent="0.3">
      <c r="A2470" t="s">
        <v>2479</v>
      </c>
      <c r="B2470">
        <v>780625</v>
      </c>
      <c r="C2470">
        <v>7088800</v>
      </c>
      <c r="D2470">
        <v>371660</v>
      </c>
      <c r="E2470">
        <v>1280600</v>
      </c>
      <c r="F2470">
        <v>13219058</v>
      </c>
      <c r="G2470">
        <v>475600</v>
      </c>
      <c r="H2470">
        <v>16596782</v>
      </c>
      <c r="I2470">
        <v>162400</v>
      </c>
      <c r="J2470">
        <v>16592511</v>
      </c>
      <c r="K2470">
        <v>183500</v>
      </c>
    </row>
    <row r="2471" spans="1:11" x14ac:dyDescent="0.3">
      <c r="A2471" t="s">
        <v>2480</v>
      </c>
      <c r="B2471">
        <v>780625</v>
      </c>
      <c r="C2471">
        <v>6825900</v>
      </c>
      <c r="D2471">
        <v>396718</v>
      </c>
      <c r="E2471">
        <v>1399600</v>
      </c>
      <c r="F2471">
        <v>13230328</v>
      </c>
      <c r="G2471">
        <v>496800</v>
      </c>
      <c r="H2471">
        <v>16611299</v>
      </c>
      <c r="I2471">
        <v>176900</v>
      </c>
      <c r="J2471">
        <v>16606604</v>
      </c>
      <c r="K2471">
        <v>182600</v>
      </c>
    </row>
    <row r="2472" spans="1:11" x14ac:dyDescent="0.3">
      <c r="A2472" t="s">
        <v>2481</v>
      </c>
      <c r="B2472">
        <v>780625</v>
      </c>
      <c r="C2472">
        <v>6886800</v>
      </c>
      <c r="D2472">
        <v>388068</v>
      </c>
      <c r="E2472">
        <v>1369500</v>
      </c>
      <c r="F2472">
        <v>13241646</v>
      </c>
      <c r="G2472">
        <v>473700</v>
      </c>
      <c r="H2472">
        <v>16625744</v>
      </c>
      <c r="I2472">
        <v>165700</v>
      </c>
      <c r="J2472">
        <v>16621078</v>
      </c>
      <c r="K2472">
        <v>181900</v>
      </c>
    </row>
    <row r="2473" spans="1:11" x14ac:dyDescent="0.3">
      <c r="A2473" t="s">
        <v>2482</v>
      </c>
      <c r="B2473">
        <v>780625</v>
      </c>
      <c r="C2473">
        <v>7412000</v>
      </c>
      <c r="D2473">
        <v>394708</v>
      </c>
      <c r="E2473">
        <v>1370500</v>
      </c>
      <c r="F2473">
        <v>13252930</v>
      </c>
      <c r="G2473">
        <v>478600</v>
      </c>
      <c r="H2473">
        <v>16639361</v>
      </c>
      <c r="I2473">
        <v>164000</v>
      </c>
      <c r="J2473">
        <v>16635493</v>
      </c>
      <c r="K2473">
        <v>178700</v>
      </c>
    </row>
    <row r="2474" spans="1:11" x14ac:dyDescent="0.3">
      <c r="A2474" t="s">
        <v>2483</v>
      </c>
      <c r="B2474">
        <v>780625</v>
      </c>
      <c r="C2474">
        <v>7165700</v>
      </c>
      <c r="D2474">
        <v>394353</v>
      </c>
      <c r="E2474">
        <v>1361000</v>
      </c>
      <c r="F2474">
        <v>13264197</v>
      </c>
      <c r="G2474">
        <v>478700</v>
      </c>
      <c r="H2474">
        <v>16654551</v>
      </c>
      <c r="I2474">
        <v>167400</v>
      </c>
      <c r="J2474">
        <v>16650106</v>
      </c>
      <c r="K2474">
        <v>182500</v>
      </c>
    </row>
    <row r="2475" spans="1:11" x14ac:dyDescent="0.3">
      <c r="A2475" t="s">
        <v>2484</v>
      </c>
      <c r="B2475">
        <v>780625</v>
      </c>
      <c r="C2475">
        <v>6714800</v>
      </c>
      <c r="D2475">
        <v>380543</v>
      </c>
      <c r="E2475">
        <v>1548900</v>
      </c>
      <c r="F2475">
        <v>13275504</v>
      </c>
      <c r="G2475">
        <v>481700</v>
      </c>
      <c r="H2475">
        <v>16669435</v>
      </c>
      <c r="I2475">
        <v>166700</v>
      </c>
      <c r="J2475">
        <v>16664971</v>
      </c>
      <c r="K2475">
        <v>193000</v>
      </c>
    </row>
    <row r="2476" spans="1:11" x14ac:dyDescent="0.3">
      <c r="A2476" t="s">
        <v>2485</v>
      </c>
      <c r="B2476">
        <v>780625</v>
      </c>
      <c r="C2476">
        <v>6754600</v>
      </c>
      <c r="D2476">
        <v>391497</v>
      </c>
      <c r="E2476">
        <v>1350900</v>
      </c>
      <c r="F2476">
        <v>13286827</v>
      </c>
      <c r="G2476">
        <v>474400</v>
      </c>
      <c r="H2476">
        <v>16683950</v>
      </c>
      <c r="I2476">
        <v>164700</v>
      </c>
      <c r="J2476">
        <v>16678706</v>
      </c>
      <c r="K2476">
        <v>179900</v>
      </c>
    </row>
    <row r="2477" spans="1:11" x14ac:dyDescent="0.3">
      <c r="A2477" t="s">
        <v>2486</v>
      </c>
      <c r="B2477">
        <v>780625</v>
      </c>
      <c r="C2477">
        <v>6747400</v>
      </c>
      <c r="D2477">
        <v>405272</v>
      </c>
      <c r="E2477">
        <v>1400900</v>
      </c>
      <c r="F2477">
        <v>13298131</v>
      </c>
      <c r="G2477">
        <v>468900</v>
      </c>
      <c r="H2477">
        <v>16699126</v>
      </c>
      <c r="I2477">
        <v>166400</v>
      </c>
      <c r="J2477">
        <v>16693379</v>
      </c>
      <c r="K2477">
        <v>181600</v>
      </c>
    </row>
    <row r="2478" spans="1:11" x14ac:dyDescent="0.3">
      <c r="A2478" t="s">
        <v>2487</v>
      </c>
      <c r="B2478">
        <v>780625</v>
      </c>
      <c r="C2478">
        <v>6926900</v>
      </c>
      <c r="D2478">
        <v>378280</v>
      </c>
      <c r="E2478">
        <v>1482400</v>
      </c>
      <c r="F2478">
        <v>13309465</v>
      </c>
      <c r="G2478">
        <v>487400</v>
      </c>
      <c r="H2478">
        <v>16713508</v>
      </c>
      <c r="I2478">
        <v>164000</v>
      </c>
      <c r="J2478">
        <v>16707252</v>
      </c>
      <c r="K2478">
        <v>181100</v>
      </c>
    </row>
    <row r="2479" spans="1:11" x14ac:dyDescent="0.3">
      <c r="A2479" t="s">
        <v>2488</v>
      </c>
      <c r="B2479">
        <v>780625</v>
      </c>
      <c r="C2479">
        <v>6829500</v>
      </c>
      <c r="D2479">
        <v>402549</v>
      </c>
      <c r="E2479">
        <v>1460100</v>
      </c>
      <c r="F2479">
        <v>13320768</v>
      </c>
      <c r="G2479">
        <v>495300</v>
      </c>
      <c r="H2479">
        <v>16726663</v>
      </c>
      <c r="I2479">
        <v>169900</v>
      </c>
      <c r="J2479">
        <v>16721123</v>
      </c>
      <c r="K2479">
        <v>180500</v>
      </c>
    </row>
    <row r="2480" spans="1:11" x14ac:dyDescent="0.3">
      <c r="A2480" t="s">
        <v>2489</v>
      </c>
      <c r="B2480">
        <v>780625</v>
      </c>
      <c r="C2480">
        <v>6927700</v>
      </c>
      <c r="D2480">
        <v>381183</v>
      </c>
      <c r="E2480">
        <v>1315600</v>
      </c>
      <c r="F2480">
        <v>13332053</v>
      </c>
      <c r="G2480">
        <v>476100</v>
      </c>
      <c r="H2480">
        <v>16742181</v>
      </c>
      <c r="I2480">
        <v>165400</v>
      </c>
      <c r="J2480">
        <v>16734519</v>
      </c>
      <c r="K2480">
        <v>177700</v>
      </c>
    </row>
    <row r="2481" spans="1:11" x14ac:dyDescent="0.3">
      <c r="A2481" t="s">
        <v>2490</v>
      </c>
      <c r="B2481">
        <v>780625</v>
      </c>
      <c r="C2481">
        <v>7249500</v>
      </c>
      <c r="D2481">
        <v>384307</v>
      </c>
      <c r="E2481">
        <v>1436300</v>
      </c>
      <c r="F2481">
        <v>13343399</v>
      </c>
      <c r="G2481">
        <v>479400</v>
      </c>
      <c r="H2481">
        <v>16756540</v>
      </c>
      <c r="I2481">
        <v>164100</v>
      </c>
      <c r="J2481">
        <v>16747838</v>
      </c>
      <c r="K2481">
        <v>180700</v>
      </c>
    </row>
    <row r="2482" spans="1:11" x14ac:dyDescent="0.3">
      <c r="A2482" t="s">
        <v>2491</v>
      </c>
      <c r="B2482">
        <v>780625</v>
      </c>
      <c r="C2482">
        <v>6947800</v>
      </c>
      <c r="D2482">
        <v>403152</v>
      </c>
      <c r="E2482">
        <v>1455100</v>
      </c>
      <c r="F2482">
        <v>13354702</v>
      </c>
      <c r="G2482">
        <v>484300</v>
      </c>
      <c r="H2482">
        <v>16771581</v>
      </c>
      <c r="I2482">
        <v>168300</v>
      </c>
      <c r="J2482">
        <v>16762441</v>
      </c>
      <c r="K2482">
        <v>177300</v>
      </c>
    </row>
    <row r="2483" spans="1:11" x14ac:dyDescent="0.3">
      <c r="A2483" t="s">
        <v>2492</v>
      </c>
      <c r="B2483">
        <v>780625</v>
      </c>
      <c r="C2483">
        <v>6954200</v>
      </c>
      <c r="D2483">
        <v>400015</v>
      </c>
      <c r="E2483">
        <v>1591600</v>
      </c>
      <c r="F2483">
        <v>13366036</v>
      </c>
      <c r="G2483">
        <v>580000</v>
      </c>
      <c r="H2483">
        <v>16787799</v>
      </c>
      <c r="I2483">
        <v>199300</v>
      </c>
      <c r="J2483">
        <v>16776395</v>
      </c>
      <c r="K2483">
        <v>228000</v>
      </c>
    </row>
    <row r="2484" spans="1:11" x14ac:dyDescent="0.3">
      <c r="A2484" t="s">
        <v>2493</v>
      </c>
      <c r="B2484">
        <v>780625</v>
      </c>
      <c r="C2484">
        <v>7305500</v>
      </c>
      <c r="D2484">
        <v>379237</v>
      </c>
      <c r="E2484">
        <v>1325700</v>
      </c>
      <c r="F2484">
        <v>13377374</v>
      </c>
      <c r="G2484">
        <v>475900</v>
      </c>
      <c r="H2484">
        <v>16802018</v>
      </c>
      <c r="I2484">
        <v>163800</v>
      </c>
      <c r="J2484">
        <v>16790590</v>
      </c>
      <c r="K2484">
        <v>181900</v>
      </c>
    </row>
    <row r="2485" spans="1:11" x14ac:dyDescent="0.3">
      <c r="A2485" t="s">
        <v>2494</v>
      </c>
      <c r="B2485">
        <v>780625</v>
      </c>
      <c r="C2485">
        <v>6924700</v>
      </c>
      <c r="D2485">
        <v>391814</v>
      </c>
      <c r="E2485">
        <v>1389500</v>
      </c>
      <c r="F2485">
        <v>13388688</v>
      </c>
      <c r="G2485">
        <v>476400</v>
      </c>
      <c r="H2485">
        <v>16816796</v>
      </c>
      <c r="I2485">
        <v>163000</v>
      </c>
      <c r="J2485">
        <v>16805509</v>
      </c>
      <c r="K2485">
        <v>187200</v>
      </c>
    </row>
    <row r="2486" spans="1:11" x14ac:dyDescent="0.3">
      <c r="A2486" t="s">
        <v>2495</v>
      </c>
      <c r="B2486">
        <v>780625</v>
      </c>
      <c r="C2486">
        <v>6938500</v>
      </c>
      <c r="D2486">
        <v>392881</v>
      </c>
      <c r="E2486">
        <v>1356100</v>
      </c>
      <c r="F2486">
        <v>13400011</v>
      </c>
      <c r="G2486">
        <v>469000</v>
      </c>
      <c r="H2486">
        <v>16831268</v>
      </c>
      <c r="I2486">
        <v>171300</v>
      </c>
      <c r="J2486">
        <v>16818824</v>
      </c>
      <c r="K2486">
        <v>178400</v>
      </c>
    </row>
    <row r="2487" spans="1:11" x14ac:dyDescent="0.3">
      <c r="A2487" t="s">
        <v>2496</v>
      </c>
      <c r="B2487">
        <v>780625</v>
      </c>
      <c r="C2487">
        <v>6649900</v>
      </c>
      <c r="D2487">
        <v>403377</v>
      </c>
      <c r="E2487">
        <v>1441900</v>
      </c>
      <c r="F2487">
        <v>13411293</v>
      </c>
      <c r="G2487">
        <v>2094700</v>
      </c>
      <c r="H2487">
        <v>16845291</v>
      </c>
      <c r="I2487">
        <v>167700</v>
      </c>
      <c r="J2487">
        <v>16832755</v>
      </c>
      <c r="K2487">
        <v>189200</v>
      </c>
    </row>
    <row r="2488" spans="1:11" x14ac:dyDescent="0.3">
      <c r="A2488" t="s">
        <v>2497</v>
      </c>
      <c r="B2488">
        <v>780625</v>
      </c>
      <c r="C2488">
        <v>7053200</v>
      </c>
      <c r="D2488">
        <v>391864</v>
      </c>
      <c r="E2488">
        <v>1351600</v>
      </c>
      <c r="F2488">
        <v>13422566</v>
      </c>
      <c r="G2488">
        <v>484300</v>
      </c>
      <c r="H2488">
        <v>16859498</v>
      </c>
      <c r="I2488">
        <v>166300</v>
      </c>
      <c r="J2488">
        <v>16846792</v>
      </c>
      <c r="K2488">
        <v>176800</v>
      </c>
    </row>
    <row r="2489" spans="1:11" x14ac:dyDescent="0.3">
      <c r="A2489" t="s">
        <v>2498</v>
      </c>
      <c r="B2489">
        <v>780625</v>
      </c>
      <c r="C2489">
        <v>6796400</v>
      </c>
      <c r="D2489">
        <v>379284</v>
      </c>
      <c r="E2489">
        <v>1312700</v>
      </c>
      <c r="F2489">
        <v>13433874</v>
      </c>
      <c r="G2489">
        <v>475700</v>
      </c>
      <c r="H2489">
        <v>16874165</v>
      </c>
      <c r="I2489">
        <v>166600</v>
      </c>
      <c r="J2489">
        <v>16860395</v>
      </c>
      <c r="K2489">
        <v>186300</v>
      </c>
    </row>
    <row r="2490" spans="1:11" x14ac:dyDescent="0.3">
      <c r="A2490" t="s">
        <v>2499</v>
      </c>
      <c r="B2490">
        <v>780625</v>
      </c>
      <c r="C2490">
        <v>6755500</v>
      </c>
      <c r="D2490">
        <v>387829</v>
      </c>
      <c r="E2490">
        <v>1506600</v>
      </c>
      <c r="F2490">
        <v>13445194</v>
      </c>
      <c r="G2490">
        <v>477500</v>
      </c>
      <c r="H2490">
        <v>16889167</v>
      </c>
      <c r="I2490">
        <v>167600</v>
      </c>
      <c r="J2490">
        <v>16875067</v>
      </c>
      <c r="K2490">
        <v>182900</v>
      </c>
    </row>
    <row r="2491" spans="1:11" x14ac:dyDescent="0.3">
      <c r="A2491" t="s">
        <v>2500</v>
      </c>
      <c r="B2491">
        <v>780625</v>
      </c>
      <c r="C2491">
        <v>6838500</v>
      </c>
      <c r="D2491">
        <v>390389</v>
      </c>
      <c r="E2491">
        <v>1419800</v>
      </c>
      <c r="F2491">
        <v>13456501</v>
      </c>
      <c r="G2491">
        <v>529800</v>
      </c>
      <c r="H2491">
        <v>16902827</v>
      </c>
      <c r="I2491">
        <v>167400</v>
      </c>
      <c r="J2491">
        <v>16888018</v>
      </c>
      <c r="K2491">
        <v>178800</v>
      </c>
    </row>
    <row r="2492" spans="1:11" x14ac:dyDescent="0.3">
      <c r="A2492" t="s">
        <v>2501</v>
      </c>
      <c r="B2492">
        <v>780625</v>
      </c>
      <c r="C2492">
        <v>6728800</v>
      </c>
      <c r="D2492">
        <v>397774</v>
      </c>
      <c r="E2492">
        <v>1394800</v>
      </c>
      <c r="F2492">
        <v>13467804</v>
      </c>
      <c r="G2492">
        <v>477900</v>
      </c>
      <c r="H2492">
        <v>16917103</v>
      </c>
      <c r="I2492">
        <v>157500</v>
      </c>
      <c r="J2492">
        <v>16901522</v>
      </c>
      <c r="K2492">
        <v>182400</v>
      </c>
    </row>
    <row r="2493" spans="1:11" x14ac:dyDescent="0.3">
      <c r="A2493" t="s">
        <v>2502</v>
      </c>
      <c r="B2493">
        <v>780625</v>
      </c>
      <c r="C2493">
        <v>7550300</v>
      </c>
      <c r="D2493">
        <v>371171</v>
      </c>
      <c r="E2493">
        <v>1333600</v>
      </c>
      <c r="F2493">
        <v>13479109</v>
      </c>
      <c r="G2493">
        <v>477900</v>
      </c>
      <c r="H2493">
        <v>16931285</v>
      </c>
      <c r="I2493">
        <v>167600</v>
      </c>
      <c r="J2493">
        <v>16915654</v>
      </c>
      <c r="K2493">
        <v>186200</v>
      </c>
    </row>
    <row r="2494" spans="1:11" x14ac:dyDescent="0.3">
      <c r="A2494" t="s">
        <v>2503</v>
      </c>
      <c r="B2494">
        <v>780625</v>
      </c>
      <c r="C2494">
        <v>6788300</v>
      </c>
      <c r="D2494">
        <v>391564</v>
      </c>
      <c r="E2494">
        <v>1446500</v>
      </c>
      <c r="F2494">
        <v>13490416</v>
      </c>
      <c r="G2494">
        <v>479500</v>
      </c>
      <c r="H2494">
        <v>16945245</v>
      </c>
      <c r="I2494">
        <v>172700</v>
      </c>
      <c r="J2494">
        <v>16929597</v>
      </c>
      <c r="K2494">
        <v>181400</v>
      </c>
    </row>
    <row r="2495" spans="1:11" x14ac:dyDescent="0.3">
      <c r="A2495" t="s">
        <v>2504</v>
      </c>
      <c r="B2495">
        <v>780625</v>
      </c>
      <c r="C2495">
        <v>6881800</v>
      </c>
      <c r="D2495">
        <v>390533</v>
      </c>
      <c r="E2495">
        <v>1679700</v>
      </c>
      <c r="F2495">
        <v>13501738</v>
      </c>
      <c r="G2495">
        <v>580200</v>
      </c>
      <c r="H2495">
        <v>16958458</v>
      </c>
      <c r="I2495">
        <v>201400</v>
      </c>
      <c r="J2495">
        <v>16943062</v>
      </c>
      <c r="K2495">
        <v>228000</v>
      </c>
    </row>
    <row r="2496" spans="1:11" x14ac:dyDescent="0.3">
      <c r="A2496" t="s">
        <v>2505</v>
      </c>
      <c r="B2496">
        <v>780625</v>
      </c>
      <c r="C2496">
        <v>7939100</v>
      </c>
      <c r="D2496">
        <v>401060</v>
      </c>
      <c r="E2496">
        <v>1403200</v>
      </c>
      <c r="F2496">
        <v>13513030</v>
      </c>
      <c r="G2496">
        <v>477400</v>
      </c>
      <c r="H2496">
        <v>16973684</v>
      </c>
      <c r="I2496">
        <v>168600</v>
      </c>
      <c r="J2496">
        <v>16957404</v>
      </c>
      <c r="K2496">
        <v>183100</v>
      </c>
    </row>
    <row r="2497" spans="1:11" x14ac:dyDescent="0.3">
      <c r="A2497" t="s">
        <v>2506</v>
      </c>
      <c r="B2497">
        <v>780625</v>
      </c>
      <c r="C2497">
        <v>6807500</v>
      </c>
      <c r="D2497">
        <v>389370</v>
      </c>
      <c r="E2497">
        <v>1346300</v>
      </c>
      <c r="F2497">
        <v>13524315</v>
      </c>
      <c r="G2497">
        <v>473900</v>
      </c>
      <c r="H2497">
        <v>16987637</v>
      </c>
      <c r="I2497">
        <v>172600</v>
      </c>
      <c r="J2497">
        <v>16970994</v>
      </c>
      <c r="K2497">
        <v>181500</v>
      </c>
    </row>
    <row r="2498" spans="1:11" x14ac:dyDescent="0.3">
      <c r="A2498" t="s">
        <v>2507</v>
      </c>
      <c r="B2498">
        <v>780625</v>
      </c>
      <c r="C2498">
        <v>6692400</v>
      </c>
      <c r="D2498">
        <v>384498</v>
      </c>
      <c r="E2498">
        <v>1331100</v>
      </c>
      <c r="F2498">
        <v>13535602</v>
      </c>
      <c r="G2498">
        <v>481300</v>
      </c>
      <c r="H2498">
        <v>17002199</v>
      </c>
      <c r="I2498">
        <v>169500</v>
      </c>
      <c r="J2498">
        <v>16983923</v>
      </c>
      <c r="K2498">
        <v>178700</v>
      </c>
    </row>
    <row r="2499" spans="1:11" x14ac:dyDescent="0.3">
      <c r="A2499" t="s">
        <v>2508</v>
      </c>
      <c r="B2499">
        <v>780625</v>
      </c>
      <c r="C2499">
        <v>6921700</v>
      </c>
      <c r="D2499">
        <v>405717</v>
      </c>
      <c r="E2499">
        <v>2291300</v>
      </c>
      <c r="F2499">
        <v>13546905</v>
      </c>
      <c r="G2499">
        <v>591800</v>
      </c>
      <c r="H2499">
        <v>17016025</v>
      </c>
      <c r="I2499">
        <v>167300</v>
      </c>
      <c r="J2499">
        <v>16999285</v>
      </c>
      <c r="K2499">
        <v>183800</v>
      </c>
    </row>
    <row r="2500" spans="1:11" x14ac:dyDescent="0.3">
      <c r="A2500" t="s">
        <v>2509</v>
      </c>
      <c r="B2500">
        <v>780625</v>
      </c>
      <c r="C2500">
        <v>6853700</v>
      </c>
      <c r="D2500">
        <v>401717</v>
      </c>
      <c r="E2500">
        <v>1383100</v>
      </c>
      <c r="F2500">
        <v>13558210</v>
      </c>
      <c r="G2500">
        <v>473500</v>
      </c>
      <c r="H2500">
        <v>17031109</v>
      </c>
      <c r="I2500">
        <v>165000</v>
      </c>
      <c r="J2500">
        <v>17012307</v>
      </c>
      <c r="K2500">
        <v>183700</v>
      </c>
    </row>
    <row r="2501" spans="1:11" x14ac:dyDescent="0.3">
      <c r="A2501" t="s">
        <v>2510</v>
      </c>
      <c r="B2501">
        <v>780625</v>
      </c>
      <c r="C2501">
        <v>6765700</v>
      </c>
      <c r="D2501">
        <v>386114</v>
      </c>
      <c r="E2501">
        <v>1337300</v>
      </c>
      <c r="F2501">
        <v>13569480</v>
      </c>
      <c r="G2501">
        <v>472900</v>
      </c>
      <c r="H2501">
        <v>17046747</v>
      </c>
      <c r="I2501">
        <v>165200</v>
      </c>
      <c r="J2501">
        <v>17026911</v>
      </c>
      <c r="K2501">
        <v>187000</v>
      </c>
    </row>
    <row r="2502" spans="1:11" x14ac:dyDescent="0.3">
      <c r="A2502" t="s">
        <v>2511</v>
      </c>
      <c r="B2502">
        <v>844350</v>
      </c>
      <c r="C2502">
        <v>7323700</v>
      </c>
      <c r="D2502">
        <v>423949</v>
      </c>
      <c r="E2502">
        <v>1476400</v>
      </c>
      <c r="F2502">
        <v>13581334</v>
      </c>
      <c r="G2502">
        <v>493500</v>
      </c>
      <c r="H2502">
        <v>17062751</v>
      </c>
      <c r="I2502">
        <v>177900</v>
      </c>
      <c r="J2502">
        <v>17041333</v>
      </c>
      <c r="K2502">
        <v>196800</v>
      </c>
    </row>
    <row r="2503" spans="1:11" x14ac:dyDescent="0.3">
      <c r="A2503" t="s">
        <v>2512</v>
      </c>
      <c r="B2503">
        <v>844350</v>
      </c>
      <c r="C2503">
        <v>7698700</v>
      </c>
      <c r="D2503">
        <v>405034</v>
      </c>
      <c r="E2503">
        <v>1405000</v>
      </c>
      <c r="F2503">
        <v>13593177</v>
      </c>
      <c r="G2503">
        <v>501500</v>
      </c>
      <c r="H2503">
        <v>17077883</v>
      </c>
      <c r="I2503">
        <v>174800</v>
      </c>
      <c r="J2503">
        <v>17057021</v>
      </c>
      <c r="K2503">
        <v>190400</v>
      </c>
    </row>
    <row r="2504" spans="1:11" x14ac:dyDescent="0.3">
      <c r="A2504" t="s">
        <v>2513</v>
      </c>
      <c r="B2504">
        <v>844350</v>
      </c>
      <c r="C2504">
        <v>7768300</v>
      </c>
      <c r="D2504">
        <v>425183</v>
      </c>
      <c r="E2504">
        <v>1475200</v>
      </c>
      <c r="F2504">
        <v>13605024</v>
      </c>
      <c r="G2504">
        <v>491400</v>
      </c>
      <c r="H2504">
        <v>17093004</v>
      </c>
      <c r="I2504">
        <v>173400</v>
      </c>
      <c r="J2504">
        <v>17071459</v>
      </c>
      <c r="K2504">
        <v>192400</v>
      </c>
    </row>
    <row r="2505" spans="1:11" x14ac:dyDescent="0.3">
      <c r="A2505" t="s">
        <v>2514</v>
      </c>
      <c r="B2505">
        <v>844350</v>
      </c>
      <c r="C2505">
        <v>7773000</v>
      </c>
      <c r="D2505">
        <v>418159</v>
      </c>
      <c r="E2505">
        <v>1452400</v>
      </c>
      <c r="F2505">
        <v>13616864</v>
      </c>
      <c r="G2505">
        <v>501900</v>
      </c>
      <c r="H2505">
        <v>17107213</v>
      </c>
      <c r="I2505">
        <v>173200</v>
      </c>
      <c r="J2505">
        <v>17084595</v>
      </c>
      <c r="K2505">
        <v>194500</v>
      </c>
    </row>
    <row r="2506" spans="1:11" x14ac:dyDescent="0.3">
      <c r="A2506" t="s">
        <v>2515</v>
      </c>
      <c r="B2506">
        <v>844350</v>
      </c>
      <c r="C2506">
        <v>8071900</v>
      </c>
      <c r="D2506">
        <v>420964</v>
      </c>
      <c r="E2506">
        <v>1497800</v>
      </c>
      <c r="F2506">
        <v>13628707</v>
      </c>
      <c r="G2506">
        <v>494700</v>
      </c>
      <c r="H2506">
        <v>17121791</v>
      </c>
      <c r="I2506">
        <v>183700</v>
      </c>
      <c r="J2506">
        <v>17099318</v>
      </c>
      <c r="K2506">
        <v>192300</v>
      </c>
    </row>
    <row r="2507" spans="1:11" x14ac:dyDescent="0.3">
      <c r="A2507" t="s">
        <v>2516</v>
      </c>
      <c r="B2507">
        <v>844350</v>
      </c>
      <c r="C2507">
        <v>8147200</v>
      </c>
      <c r="D2507">
        <v>424864</v>
      </c>
      <c r="E2507">
        <v>1463500</v>
      </c>
      <c r="F2507">
        <v>13640545</v>
      </c>
      <c r="G2507">
        <v>503200</v>
      </c>
      <c r="H2507">
        <v>17136326</v>
      </c>
      <c r="I2507">
        <v>174200</v>
      </c>
      <c r="J2507">
        <v>17113985</v>
      </c>
      <c r="K2507">
        <v>194300</v>
      </c>
    </row>
    <row r="2508" spans="1:11" x14ac:dyDescent="0.3">
      <c r="A2508" t="s">
        <v>2517</v>
      </c>
      <c r="B2508">
        <v>844350</v>
      </c>
      <c r="C2508">
        <v>7667400</v>
      </c>
      <c r="D2508">
        <v>433567</v>
      </c>
      <c r="E2508">
        <v>1493200</v>
      </c>
      <c r="F2508">
        <v>13652396</v>
      </c>
      <c r="G2508">
        <v>497500</v>
      </c>
      <c r="H2508">
        <v>17151622</v>
      </c>
      <c r="I2508">
        <v>169800</v>
      </c>
      <c r="J2508">
        <v>17128845</v>
      </c>
      <c r="K2508">
        <v>189000</v>
      </c>
    </row>
    <row r="2509" spans="1:11" x14ac:dyDescent="0.3">
      <c r="A2509" t="s">
        <v>2518</v>
      </c>
      <c r="B2509">
        <v>844350</v>
      </c>
      <c r="C2509">
        <v>8216600</v>
      </c>
      <c r="D2509">
        <v>428328</v>
      </c>
      <c r="E2509">
        <v>1537400</v>
      </c>
      <c r="F2509">
        <v>13664253</v>
      </c>
      <c r="G2509">
        <v>488100</v>
      </c>
      <c r="H2509">
        <v>17165472</v>
      </c>
      <c r="I2509">
        <v>167500</v>
      </c>
      <c r="J2509">
        <v>17142960</v>
      </c>
      <c r="K2509">
        <v>192700</v>
      </c>
    </row>
    <row r="2510" spans="1:11" x14ac:dyDescent="0.3">
      <c r="A2510" t="s">
        <v>2519</v>
      </c>
      <c r="B2510">
        <v>844350</v>
      </c>
      <c r="C2510">
        <v>7563700</v>
      </c>
      <c r="D2510">
        <v>421936</v>
      </c>
      <c r="E2510">
        <v>1456300</v>
      </c>
      <c r="F2510">
        <v>13676063</v>
      </c>
      <c r="G2510">
        <v>497900</v>
      </c>
      <c r="H2510">
        <v>17180250</v>
      </c>
      <c r="I2510">
        <v>171600</v>
      </c>
      <c r="J2510">
        <v>17158760</v>
      </c>
      <c r="K2510">
        <v>188600</v>
      </c>
    </row>
    <row r="2511" spans="1:11" x14ac:dyDescent="0.3">
      <c r="A2511" t="s">
        <v>2520</v>
      </c>
      <c r="B2511">
        <v>844350</v>
      </c>
      <c r="C2511">
        <v>7394500</v>
      </c>
      <c r="D2511">
        <v>429357</v>
      </c>
      <c r="E2511">
        <v>1478600</v>
      </c>
      <c r="F2511">
        <v>13687911</v>
      </c>
      <c r="G2511">
        <v>594800</v>
      </c>
      <c r="H2511">
        <v>17196745</v>
      </c>
      <c r="I2511">
        <v>184700</v>
      </c>
      <c r="J2511">
        <v>17174158</v>
      </c>
      <c r="K2511">
        <v>189700</v>
      </c>
    </row>
    <row r="2512" spans="1:11" x14ac:dyDescent="0.3">
      <c r="A2512" t="s">
        <v>2521</v>
      </c>
      <c r="B2512">
        <v>844350</v>
      </c>
      <c r="C2512">
        <v>8402600</v>
      </c>
      <c r="D2512">
        <v>420615</v>
      </c>
      <c r="E2512">
        <v>1483900</v>
      </c>
      <c r="F2512">
        <v>13699747</v>
      </c>
      <c r="G2512">
        <v>500700</v>
      </c>
      <c r="H2512">
        <v>17210792</v>
      </c>
      <c r="I2512">
        <v>174600</v>
      </c>
      <c r="J2512">
        <v>17189187</v>
      </c>
      <c r="K2512">
        <v>193000</v>
      </c>
    </row>
    <row r="2513" spans="1:11" x14ac:dyDescent="0.3">
      <c r="A2513" t="s">
        <v>2522</v>
      </c>
      <c r="B2513">
        <v>844350</v>
      </c>
      <c r="C2513">
        <v>8204000</v>
      </c>
      <c r="D2513">
        <v>410333</v>
      </c>
      <c r="E2513">
        <v>1415100</v>
      </c>
      <c r="F2513">
        <v>13711548</v>
      </c>
      <c r="G2513">
        <v>491400</v>
      </c>
      <c r="H2513">
        <v>17225770</v>
      </c>
      <c r="I2513">
        <v>171400</v>
      </c>
      <c r="J2513">
        <v>17202845</v>
      </c>
      <c r="K2513">
        <v>190700</v>
      </c>
    </row>
    <row r="2514" spans="1:11" x14ac:dyDescent="0.3">
      <c r="A2514" t="s">
        <v>2523</v>
      </c>
      <c r="B2514">
        <v>844350</v>
      </c>
      <c r="C2514">
        <v>7613000</v>
      </c>
      <c r="D2514">
        <v>417984</v>
      </c>
      <c r="E2514">
        <v>1496700</v>
      </c>
      <c r="F2514">
        <v>13723390</v>
      </c>
      <c r="G2514">
        <v>498300</v>
      </c>
      <c r="H2514">
        <v>17240080</v>
      </c>
      <c r="I2514">
        <v>179100</v>
      </c>
      <c r="J2514">
        <v>17217712</v>
      </c>
      <c r="K2514">
        <v>193800</v>
      </c>
    </row>
    <row r="2515" spans="1:11" x14ac:dyDescent="0.3">
      <c r="A2515" t="s">
        <v>2524</v>
      </c>
      <c r="B2515">
        <v>844350</v>
      </c>
      <c r="C2515">
        <v>7621400</v>
      </c>
      <c r="D2515">
        <v>428121</v>
      </c>
      <c r="E2515">
        <v>1539800</v>
      </c>
      <c r="F2515">
        <v>13735226</v>
      </c>
      <c r="G2515">
        <v>496700</v>
      </c>
      <c r="H2515">
        <v>17255391</v>
      </c>
      <c r="I2515">
        <v>177600</v>
      </c>
      <c r="J2515">
        <v>17231765</v>
      </c>
      <c r="K2515">
        <v>189000</v>
      </c>
    </row>
    <row r="2516" spans="1:11" x14ac:dyDescent="0.3">
      <c r="A2516" t="s">
        <v>2525</v>
      </c>
      <c r="B2516">
        <v>844350</v>
      </c>
      <c r="C2516">
        <v>7526300</v>
      </c>
      <c r="D2516">
        <v>436982</v>
      </c>
      <c r="E2516">
        <v>1570200</v>
      </c>
      <c r="F2516">
        <v>13747068</v>
      </c>
      <c r="G2516">
        <v>495700</v>
      </c>
      <c r="H2516">
        <v>17270614</v>
      </c>
      <c r="I2516">
        <v>173500</v>
      </c>
      <c r="J2516">
        <v>17246454</v>
      </c>
      <c r="K2516">
        <v>188800</v>
      </c>
    </row>
    <row r="2517" spans="1:11" x14ac:dyDescent="0.3">
      <c r="A2517" t="s">
        <v>2526</v>
      </c>
      <c r="B2517">
        <v>844350</v>
      </c>
      <c r="C2517">
        <v>7575900</v>
      </c>
      <c r="D2517">
        <v>415756</v>
      </c>
      <c r="E2517">
        <v>1441100</v>
      </c>
      <c r="F2517">
        <v>13758917</v>
      </c>
      <c r="G2517">
        <v>490400</v>
      </c>
      <c r="H2517">
        <v>17287399</v>
      </c>
      <c r="I2517">
        <v>179200</v>
      </c>
      <c r="J2517">
        <v>17264055</v>
      </c>
      <c r="K2517">
        <v>196400</v>
      </c>
    </row>
    <row r="2518" spans="1:11" x14ac:dyDescent="0.3">
      <c r="A2518" t="s">
        <v>2527</v>
      </c>
      <c r="B2518">
        <v>844350</v>
      </c>
      <c r="C2518">
        <v>7406600</v>
      </c>
      <c r="D2518">
        <v>421284</v>
      </c>
      <c r="E2518">
        <v>1527400</v>
      </c>
      <c r="F2518">
        <v>13770776</v>
      </c>
      <c r="G2518">
        <v>541500</v>
      </c>
      <c r="H2518">
        <v>17302496</v>
      </c>
      <c r="I2518">
        <v>176200</v>
      </c>
      <c r="J2518">
        <v>17279825</v>
      </c>
      <c r="K2518">
        <v>190000</v>
      </c>
    </row>
    <row r="2519" spans="1:11" x14ac:dyDescent="0.3">
      <c r="A2519" t="s">
        <v>2528</v>
      </c>
      <c r="B2519">
        <v>844350</v>
      </c>
      <c r="C2519">
        <v>7463800</v>
      </c>
      <c r="D2519">
        <v>438657</v>
      </c>
      <c r="E2519">
        <v>1519400</v>
      </c>
      <c r="F2519">
        <v>13782638</v>
      </c>
      <c r="G2519">
        <v>496500</v>
      </c>
      <c r="H2519">
        <v>17316629</v>
      </c>
      <c r="I2519">
        <v>171600</v>
      </c>
      <c r="J2519">
        <v>17294515</v>
      </c>
      <c r="K2519">
        <v>190000</v>
      </c>
    </row>
    <row r="2520" spans="1:11" x14ac:dyDescent="0.3">
      <c r="A2520" t="s">
        <v>2529</v>
      </c>
      <c r="B2520">
        <v>844350</v>
      </c>
      <c r="C2520">
        <v>7436800</v>
      </c>
      <c r="D2520">
        <v>426434</v>
      </c>
      <c r="E2520">
        <v>1474900</v>
      </c>
      <c r="F2520">
        <v>13794466</v>
      </c>
      <c r="G2520">
        <v>506500</v>
      </c>
      <c r="H2520">
        <v>17333932</v>
      </c>
      <c r="I2520">
        <v>181700</v>
      </c>
      <c r="J2520">
        <v>17309001</v>
      </c>
      <c r="K2520">
        <v>187800</v>
      </c>
    </row>
    <row r="2521" spans="1:11" x14ac:dyDescent="0.3">
      <c r="A2521" t="s">
        <v>2530</v>
      </c>
      <c r="B2521">
        <v>844350</v>
      </c>
      <c r="C2521">
        <v>7875700</v>
      </c>
      <c r="D2521">
        <v>422839</v>
      </c>
      <c r="E2521">
        <v>1796500</v>
      </c>
      <c r="F2521">
        <v>13806265</v>
      </c>
      <c r="G2521">
        <v>662600</v>
      </c>
      <c r="H2521">
        <v>17349628</v>
      </c>
      <c r="I2521">
        <v>282200</v>
      </c>
      <c r="J2521">
        <v>17323283</v>
      </c>
      <c r="K2521">
        <v>188100</v>
      </c>
    </row>
    <row r="2522" spans="1:11" x14ac:dyDescent="0.3">
      <c r="A2522" t="s">
        <v>2531</v>
      </c>
      <c r="B2522">
        <v>844350</v>
      </c>
      <c r="C2522">
        <v>8026300</v>
      </c>
      <c r="D2522">
        <v>414332</v>
      </c>
      <c r="E2522">
        <v>1480200</v>
      </c>
      <c r="F2522">
        <v>13818080</v>
      </c>
      <c r="G2522">
        <v>502000</v>
      </c>
      <c r="H2522">
        <v>17364372</v>
      </c>
      <c r="I2522">
        <v>176400</v>
      </c>
      <c r="J2522">
        <v>17337014</v>
      </c>
      <c r="K2522">
        <v>192500</v>
      </c>
    </row>
    <row r="2523" spans="1:11" x14ac:dyDescent="0.3">
      <c r="A2523" t="s">
        <v>2532</v>
      </c>
      <c r="B2523">
        <v>844350</v>
      </c>
      <c r="C2523">
        <v>7567100</v>
      </c>
      <c r="D2523">
        <v>416439</v>
      </c>
      <c r="E2523">
        <v>1441000</v>
      </c>
      <c r="F2523">
        <v>13829939</v>
      </c>
      <c r="G2523">
        <v>495600</v>
      </c>
      <c r="H2523">
        <v>17380657</v>
      </c>
      <c r="I2523">
        <v>175800</v>
      </c>
      <c r="J2523">
        <v>17352181</v>
      </c>
      <c r="K2523">
        <v>186800</v>
      </c>
    </row>
    <row r="2524" spans="1:11" x14ac:dyDescent="0.3">
      <c r="A2524" t="s">
        <v>2533</v>
      </c>
      <c r="B2524">
        <v>844350</v>
      </c>
      <c r="C2524">
        <v>8045300</v>
      </c>
      <c r="D2524">
        <v>420418</v>
      </c>
      <c r="E2524">
        <v>1881900</v>
      </c>
      <c r="F2524">
        <v>13841741</v>
      </c>
      <c r="G2524">
        <v>608500</v>
      </c>
      <c r="H2524">
        <v>17395525</v>
      </c>
      <c r="I2524">
        <v>178100</v>
      </c>
      <c r="J2524">
        <v>17367574</v>
      </c>
      <c r="K2524">
        <v>185800</v>
      </c>
    </row>
    <row r="2525" spans="1:11" x14ac:dyDescent="0.3">
      <c r="A2525" t="s">
        <v>2534</v>
      </c>
      <c r="B2525">
        <v>844350</v>
      </c>
      <c r="C2525">
        <v>7582500</v>
      </c>
      <c r="D2525">
        <v>425002</v>
      </c>
      <c r="E2525">
        <v>1468200</v>
      </c>
      <c r="F2525">
        <v>13853555</v>
      </c>
      <c r="G2525">
        <v>489500</v>
      </c>
      <c r="H2525">
        <v>17410761</v>
      </c>
      <c r="I2525">
        <v>175500</v>
      </c>
      <c r="J2525">
        <v>17382967</v>
      </c>
      <c r="K2525">
        <v>188700</v>
      </c>
    </row>
    <row r="2526" spans="1:11" x14ac:dyDescent="0.3">
      <c r="A2526" t="s">
        <v>2535</v>
      </c>
      <c r="B2526">
        <v>844350</v>
      </c>
      <c r="C2526">
        <v>7322900</v>
      </c>
      <c r="D2526">
        <v>431465</v>
      </c>
      <c r="E2526">
        <v>1642100</v>
      </c>
      <c r="F2526">
        <v>13865380</v>
      </c>
      <c r="G2526">
        <v>499500</v>
      </c>
      <c r="H2526">
        <v>17425608</v>
      </c>
      <c r="I2526">
        <v>180800</v>
      </c>
      <c r="J2526">
        <v>17397217</v>
      </c>
      <c r="K2526">
        <v>190600</v>
      </c>
    </row>
    <row r="2527" spans="1:11" x14ac:dyDescent="0.3">
      <c r="A2527" t="s">
        <v>2536</v>
      </c>
      <c r="B2527">
        <v>844350</v>
      </c>
      <c r="C2527">
        <v>7963400</v>
      </c>
      <c r="D2527">
        <v>440258</v>
      </c>
      <c r="E2527">
        <v>1787000</v>
      </c>
      <c r="F2527">
        <v>13877233</v>
      </c>
      <c r="G2527">
        <v>502300</v>
      </c>
      <c r="H2527">
        <v>17439866</v>
      </c>
      <c r="I2527">
        <v>180300</v>
      </c>
      <c r="J2527">
        <v>17412198</v>
      </c>
      <c r="K2527">
        <v>197400</v>
      </c>
    </row>
    <row r="2528" spans="1:11" x14ac:dyDescent="0.3">
      <c r="A2528" t="s">
        <v>2537</v>
      </c>
      <c r="B2528">
        <v>844350</v>
      </c>
      <c r="C2528">
        <v>8015200</v>
      </c>
      <c r="D2528">
        <v>418787</v>
      </c>
      <c r="E2528">
        <v>1441300</v>
      </c>
      <c r="F2528">
        <v>13889055</v>
      </c>
      <c r="G2528">
        <v>508300</v>
      </c>
      <c r="H2528">
        <v>17454680</v>
      </c>
      <c r="I2528">
        <v>174800</v>
      </c>
      <c r="J2528">
        <v>17427662</v>
      </c>
      <c r="K2528">
        <v>192000</v>
      </c>
    </row>
    <row r="2529" spans="1:11" x14ac:dyDescent="0.3">
      <c r="A2529" t="s">
        <v>2538</v>
      </c>
      <c r="B2529">
        <v>844350</v>
      </c>
      <c r="C2529">
        <v>7695800</v>
      </c>
      <c r="D2529">
        <v>419343</v>
      </c>
      <c r="E2529">
        <v>1451000</v>
      </c>
      <c r="F2529">
        <v>13900869</v>
      </c>
      <c r="G2529">
        <v>494700</v>
      </c>
      <c r="H2529">
        <v>17470221</v>
      </c>
      <c r="I2529">
        <v>172200</v>
      </c>
      <c r="J2529">
        <v>17443426</v>
      </c>
      <c r="K2529">
        <v>191600</v>
      </c>
    </row>
    <row r="2530" spans="1:11" x14ac:dyDescent="0.3">
      <c r="A2530" t="s">
        <v>2539</v>
      </c>
      <c r="B2530">
        <v>844350</v>
      </c>
      <c r="C2530">
        <v>7350500</v>
      </c>
      <c r="D2530">
        <v>422518</v>
      </c>
      <c r="E2530">
        <v>1659000</v>
      </c>
      <c r="F2530">
        <v>13912718</v>
      </c>
      <c r="G2530">
        <v>514000</v>
      </c>
      <c r="H2530">
        <v>17486030</v>
      </c>
      <c r="I2530">
        <v>197000</v>
      </c>
      <c r="J2530">
        <v>17459351</v>
      </c>
      <c r="K2530">
        <v>188400</v>
      </c>
    </row>
    <row r="2531" spans="1:11" x14ac:dyDescent="0.3">
      <c r="A2531" t="s">
        <v>2540</v>
      </c>
      <c r="B2531">
        <v>844350</v>
      </c>
      <c r="C2531">
        <v>7842800</v>
      </c>
      <c r="D2531">
        <v>422528</v>
      </c>
      <c r="E2531">
        <v>1741200</v>
      </c>
      <c r="F2531">
        <v>13924536</v>
      </c>
      <c r="G2531">
        <v>595600</v>
      </c>
      <c r="H2531">
        <v>17500690</v>
      </c>
      <c r="I2531">
        <v>175700</v>
      </c>
      <c r="J2531">
        <v>17473868</v>
      </c>
      <c r="K2531">
        <v>195600</v>
      </c>
    </row>
    <row r="2532" spans="1:11" x14ac:dyDescent="0.3">
      <c r="A2532" t="s">
        <v>2541</v>
      </c>
      <c r="B2532">
        <v>844350</v>
      </c>
      <c r="C2532">
        <v>7731900</v>
      </c>
      <c r="D2532">
        <v>410251</v>
      </c>
      <c r="E2532">
        <v>1462400</v>
      </c>
      <c r="F2532">
        <v>13936361</v>
      </c>
      <c r="G2532">
        <v>507800</v>
      </c>
      <c r="H2532">
        <v>17514990</v>
      </c>
      <c r="I2532">
        <v>173100</v>
      </c>
      <c r="J2532">
        <v>17489500</v>
      </c>
      <c r="K2532">
        <v>190000</v>
      </c>
    </row>
    <row r="2533" spans="1:11" x14ac:dyDescent="0.3">
      <c r="A2533" t="s">
        <v>2542</v>
      </c>
      <c r="B2533">
        <v>844350</v>
      </c>
      <c r="C2533">
        <v>7745400</v>
      </c>
      <c r="D2533">
        <v>417491</v>
      </c>
      <c r="E2533">
        <v>1506200</v>
      </c>
      <c r="F2533">
        <v>13948188</v>
      </c>
      <c r="G2533">
        <v>504900</v>
      </c>
      <c r="H2533">
        <v>17529798</v>
      </c>
      <c r="I2533">
        <v>347600</v>
      </c>
      <c r="J2533">
        <v>17505401</v>
      </c>
      <c r="K2533">
        <v>238000</v>
      </c>
    </row>
    <row r="2534" spans="1:11" x14ac:dyDescent="0.3">
      <c r="A2534" t="s">
        <v>2543</v>
      </c>
      <c r="B2534">
        <v>844350</v>
      </c>
      <c r="C2534">
        <v>8582000</v>
      </c>
      <c r="D2534">
        <v>414189</v>
      </c>
      <c r="E2534">
        <v>1477800</v>
      </c>
      <c r="F2534">
        <v>13960018</v>
      </c>
      <c r="G2534">
        <v>503100</v>
      </c>
      <c r="H2534">
        <v>17544184</v>
      </c>
      <c r="I2534">
        <v>174700</v>
      </c>
      <c r="J2534">
        <v>17519431</v>
      </c>
      <c r="K2534">
        <v>193300</v>
      </c>
    </row>
    <row r="2535" spans="1:11" x14ac:dyDescent="0.3">
      <c r="A2535" t="s">
        <v>2544</v>
      </c>
      <c r="B2535">
        <v>844350</v>
      </c>
      <c r="C2535">
        <v>7617900</v>
      </c>
      <c r="D2535">
        <v>420599</v>
      </c>
      <c r="E2535">
        <v>1483900</v>
      </c>
      <c r="F2535">
        <v>13971843</v>
      </c>
      <c r="G2535">
        <v>503000</v>
      </c>
      <c r="H2535">
        <v>17558998</v>
      </c>
      <c r="I2535">
        <v>173300</v>
      </c>
      <c r="J2535">
        <v>17534321</v>
      </c>
      <c r="K2535">
        <v>191900</v>
      </c>
    </row>
    <row r="2536" spans="1:11" x14ac:dyDescent="0.3">
      <c r="A2536" t="s">
        <v>2545</v>
      </c>
      <c r="B2536">
        <v>844350</v>
      </c>
      <c r="C2536">
        <v>8175100</v>
      </c>
      <c r="D2536">
        <v>418292</v>
      </c>
      <c r="E2536">
        <v>1650900</v>
      </c>
      <c r="F2536">
        <v>13983662</v>
      </c>
      <c r="G2536">
        <v>503900</v>
      </c>
      <c r="H2536">
        <v>17573293</v>
      </c>
      <c r="I2536">
        <v>176800</v>
      </c>
      <c r="J2536">
        <v>17549363</v>
      </c>
      <c r="K2536">
        <v>197200</v>
      </c>
    </row>
    <row r="2537" spans="1:11" x14ac:dyDescent="0.3">
      <c r="A2537" t="s">
        <v>2546</v>
      </c>
      <c r="B2537">
        <v>844350</v>
      </c>
      <c r="C2537">
        <v>7740700</v>
      </c>
      <c r="D2537">
        <v>422305</v>
      </c>
      <c r="E2537">
        <v>1462000</v>
      </c>
      <c r="F2537">
        <v>13995520</v>
      </c>
      <c r="G2537">
        <v>495500</v>
      </c>
      <c r="H2537">
        <v>17587558</v>
      </c>
      <c r="I2537">
        <v>174200</v>
      </c>
      <c r="J2537">
        <v>17563388</v>
      </c>
      <c r="K2537">
        <v>189800</v>
      </c>
    </row>
    <row r="2538" spans="1:11" x14ac:dyDescent="0.3">
      <c r="A2538" t="s">
        <v>2547</v>
      </c>
      <c r="B2538">
        <v>844350</v>
      </c>
      <c r="C2538">
        <v>7652400</v>
      </c>
      <c r="D2538">
        <v>412014</v>
      </c>
      <c r="E2538">
        <v>1422400</v>
      </c>
      <c r="F2538">
        <v>14007338</v>
      </c>
      <c r="G2538">
        <v>496000</v>
      </c>
      <c r="H2538">
        <v>17601327</v>
      </c>
      <c r="I2538">
        <v>173400</v>
      </c>
      <c r="J2538">
        <v>17578192</v>
      </c>
      <c r="K2538">
        <v>187800</v>
      </c>
    </row>
    <row r="2539" spans="1:11" x14ac:dyDescent="0.3">
      <c r="A2539" t="s">
        <v>2548</v>
      </c>
      <c r="B2539">
        <v>844350</v>
      </c>
      <c r="C2539">
        <v>7494100</v>
      </c>
      <c r="D2539">
        <v>422244</v>
      </c>
      <c r="E2539">
        <v>1524200</v>
      </c>
      <c r="F2539">
        <v>14019181</v>
      </c>
      <c r="G2539">
        <v>525200</v>
      </c>
      <c r="H2539">
        <v>17616605</v>
      </c>
      <c r="I2539">
        <v>180300</v>
      </c>
      <c r="J2539">
        <v>17592205</v>
      </c>
      <c r="K2539">
        <v>187700</v>
      </c>
    </row>
    <row r="2540" spans="1:11" x14ac:dyDescent="0.3">
      <c r="A2540" t="s">
        <v>2549</v>
      </c>
      <c r="B2540">
        <v>844350</v>
      </c>
      <c r="C2540">
        <v>7749900</v>
      </c>
      <c r="D2540">
        <v>421561</v>
      </c>
      <c r="E2540">
        <v>1458000</v>
      </c>
      <c r="F2540">
        <v>14031043</v>
      </c>
      <c r="G2540">
        <v>496300</v>
      </c>
      <c r="H2540">
        <v>17631133</v>
      </c>
      <c r="I2540">
        <v>178300</v>
      </c>
      <c r="J2540">
        <v>17606064</v>
      </c>
      <c r="K2540">
        <v>186400</v>
      </c>
    </row>
    <row r="2541" spans="1:11" x14ac:dyDescent="0.3">
      <c r="A2541" t="s">
        <v>2550</v>
      </c>
      <c r="B2541">
        <v>844350</v>
      </c>
      <c r="C2541">
        <v>7588500</v>
      </c>
      <c r="D2541">
        <v>434332</v>
      </c>
      <c r="E2541">
        <v>1519600</v>
      </c>
      <c r="F2541">
        <v>14042872</v>
      </c>
      <c r="G2541">
        <v>489700</v>
      </c>
      <c r="H2541">
        <v>17645995</v>
      </c>
      <c r="I2541">
        <v>167300</v>
      </c>
      <c r="J2541">
        <v>17620654</v>
      </c>
      <c r="K2541">
        <v>186900</v>
      </c>
    </row>
    <row r="2542" spans="1:11" x14ac:dyDescent="0.3">
      <c r="A2542" t="s">
        <v>2551</v>
      </c>
      <c r="B2542">
        <v>844350</v>
      </c>
      <c r="C2542">
        <v>7270900</v>
      </c>
      <c r="D2542">
        <v>423607</v>
      </c>
      <c r="E2542">
        <v>1712000</v>
      </c>
      <c r="F2542">
        <v>14054707</v>
      </c>
      <c r="G2542">
        <v>509500</v>
      </c>
      <c r="H2542">
        <v>17662291</v>
      </c>
      <c r="I2542">
        <v>187400</v>
      </c>
      <c r="J2542">
        <v>17636721</v>
      </c>
      <c r="K2542">
        <v>193900</v>
      </c>
    </row>
    <row r="2543" spans="1:11" x14ac:dyDescent="0.3">
      <c r="A2543" t="s">
        <v>2552</v>
      </c>
      <c r="B2543">
        <v>844350</v>
      </c>
      <c r="C2543">
        <v>7636600</v>
      </c>
      <c r="D2543">
        <v>432696</v>
      </c>
      <c r="E2543">
        <v>1496100</v>
      </c>
      <c r="F2543">
        <v>14066520</v>
      </c>
      <c r="G2543">
        <v>491900</v>
      </c>
      <c r="H2543">
        <v>17675764</v>
      </c>
      <c r="I2543">
        <v>176800</v>
      </c>
      <c r="J2543">
        <v>17652210</v>
      </c>
      <c r="K2543">
        <v>193100</v>
      </c>
    </row>
    <row r="2544" spans="1:11" x14ac:dyDescent="0.3">
      <c r="A2544" t="s">
        <v>2553</v>
      </c>
      <c r="B2544">
        <v>844350</v>
      </c>
      <c r="C2544">
        <v>7559000</v>
      </c>
      <c r="D2544">
        <v>412845</v>
      </c>
      <c r="E2544">
        <v>1478800</v>
      </c>
      <c r="F2544">
        <v>14078400</v>
      </c>
      <c r="G2544">
        <v>499800</v>
      </c>
      <c r="H2544">
        <v>17690934</v>
      </c>
      <c r="I2544">
        <v>181000</v>
      </c>
      <c r="J2544">
        <v>17666609</v>
      </c>
      <c r="K2544">
        <v>189100</v>
      </c>
    </row>
    <row r="2545" spans="1:11" x14ac:dyDescent="0.3">
      <c r="A2545" t="s">
        <v>2554</v>
      </c>
      <c r="B2545">
        <v>844350</v>
      </c>
      <c r="C2545">
        <v>7268600</v>
      </c>
      <c r="D2545">
        <v>436769</v>
      </c>
      <c r="E2545">
        <v>1763700</v>
      </c>
      <c r="F2545">
        <v>14090224</v>
      </c>
      <c r="G2545">
        <v>608900</v>
      </c>
      <c r="H2545">
        <v>17705930</v>
      </c>
      <c r="I2545">
        <v>206700</v>
      </c>
      <c r="J2545">
        <v>17682382</v>
      </c>
      <c r="K2545">
        <v>408300</v>
      </c>
    </row>
    <row r="2546" spans="1:11" x14ac:dyDescent="0.3">
      <c r="A2546" t="s">
        <v>2555</v>
      </c>
      <c r="B2546">
        <v>844350</v>
      </c>
      <c r="C2546">
        <v>7978600</v>
      </c>
      <c r="D2546">
        <v>401048</v>
      </c>
      <c r="E2546">
        <v>1430900</v>
      </c>
      <c r="F2546">
        <v>14102068</v>
      </c>
      <c r="G2546">
        <v>494700</v>
      </c>
      <c r="H2546">
        <v>17720984</v>
      </c>
      <c r="I2546">
        <v>176500</v>
      </c>
      <c r="J2546">
        <v>17698175</v>
      </c>
      <c r="K2546">
        <v>194800</v>
      </c>
    </row>
    <row r="2547" spans="1:11" x14ac:dyDescent="0.3">
      <c r="A2547" t="s">
        <v>2556</v>
      </c>
      <c r="B2547">
        <v>844350</v>
      </c>
      <c r="C2547">
        <v>7399200</v>
      </c>
      <c r="D2547">
        <v>433122</v>
      </c>
      <c r="E2547">
        <v>1488300</v>
      </c>
      <c r="F2547">
        <v>14113880</v>
      </c>
      <c r="G2547">
        <v>493600</v>
      </c>
      <c r="H2547">
        <v>17736869</v>
      </c>
      <c r="I2547">
        <v>174000</v>
      </c>
      <c r="J2547">
        <v>17713235</v>
      </c>
      <c r="K2547">
        <v>187300</v>
      </c>
    </row>
    <row r="2548" spans="1:11" x14ac:dyDescent="0.3">
      <c r="A2548" t="s">
        <v>2557</v>
      </c>
      <c r="B2548">
        <v>844350</v>
      </c>
      <c r="C2548">
        <v>7956400</v>
      </c>
      <c r="D2548">
        <v>421806</v>
      </c>
      <c r="E2548">
        <v>1739500</v>
      </c>
      <c r="F2548">
        <v>14125727</v>
      </c>
      <c r="G2548">
        <v>594100</v>
      </c>
      <c r="H2548">
        <v>17751463</v>
      </c>
      <c r="I2548">
        <v>175300</v>
      </c>
      <c r="J2548">
        <v>17728540</v>
      </c>
      <c r="K2548">
        <v>198900</v>
      </c>
    </row>
    <row r="2549" spans="1:11" x14ac:dyDescent="0.3">
      <c r="A2549" t="s">
        <v>2558</v>
      </c>
      <c r="B2549">
        <v>844350</v>
      </c>
      <c r="C2549">
        <v>7605700</v>
      </c>
      <c r="D2549">
        <v>424718</v>
      </c>
      <c r="E2549">
        <v>1466000</v>
      </c>
      <c r="F2549">
        <v>14137581</v>
      </c>
      <c r="G2549">
        <v>492900</v>
      </c>
      <c r="H2549">
        <v>17770464</v>
      </c>
      <c r="I2549">
        <v>176500</v>
      </c>
      <c r="J2549">
        <v>17744927</v>
      </c>
      <c r="K2549">
        <v>187900</v>
      </c>
    </row>
    <row r="2550" spans="1:11" x14ac:dyDescent="0.3">
      <c r="A2550" t="s">
        <v>2559</v>
      </c>
      <c r="B2550">
        <v>844350</v>
      </c>
      <c r="C2550">
        <v>7619900</v>
      </c>
      <c r="D2550">
        <v>427901</v>
      </c>
      <c r="E2550">
        <v>1474700</v>
      </c>
      <c r="F2550">
        <v>14149422</v>
      </c>
      <c r="G2550">
        <v>625800</v>
      </c>
      <c r="H2550">
        <v>17785599</v>
      </c>
      <c r="I2550">
        <v>172500</v>
      </c>
      <c r="J2550">
        <v>17761556</v>
      </c>
      <c r="K2550">
        <v>190900</v>
      </c>
    </row>
    <row r="2551" spans="1:11" x14ac:dyDescent="0.3">
      <c r="A2551" t="s">
        <v>2560</v>
      </c>
      <c r="B2551">
        <v>844350</v>
      </c>
      <c r="C2551">
        <v>7544700</v>
      </c>
      <c r="D2551">
        <v>416167</v>
      </c>
      <c r="E2551">
        <v>1503500</v>
      </c>
      <c r="F2551">
        <v>14161228</v>
      </c>
      <c r="G2551">
        <v>619700</v>
      </c>
      <c r="H2551">
        <v>17802775</v>
      </c>
      <c r="I2551">
        <v>179300</v>
      </c>
      <c r="J2551">
        <v>17777041</v>
      </c>
      <c r="K2551">
        <v>197200</v>
      </c>
    </row>
    <row r="2552" spans="1:11" x14ac:dyDescent="0.3">
      <c r="A2552" t="s">
        <v>2561</v>
      </c>
      <c r="B2552">
        <v>844350</v>
      </c>
      <c r="C2552">
        <v>7508100</v>
      </c>
      <c r="D2552">
        <v>429892</v>
      </c>
      <c r="E2552">
        <v>1530400</v>
      </c>
      <c r="F2552">
        <v>14173057</v>
      </c>
      <c r="G2552">
        <v>491200</v>
      </c>
      <c r="H2552">
        <v>17817625</v>
      </c>
      <c r="I2552">
        <v>179700</v>
      </c>
      <c r="J2552">
        <v>17791104</v>
      </c>
      <c r="K2552">
        <v>186500</v>
      </c>
    </row>
    <row r="2553" spans="1:11" x14ac:dyDescent="0.3">
      <c r="A2553" t="s">
        <v>2562</v>
      </c>
      <c r="B2553">
        <v>844350</v>
      </c>
      <c r="C2553">
        <v>7643000</v>
      </c>
      <c r="D2553">
        <v>424092</v>
      </c>
      <c r="E2553">
        <v>1474100</v>
      </c>
      <c r="F2553">
        <v>14184894</v>
      </c>
      <c r="G2553">
        <v>499600</v>
      </c>
      <c r="H2553">
        <v>17832838</v>
      </c>
      <c r="I2553">
        <v>176600</v>
      </c>
      <c r="J2553">
        <v>17806442</v>
      </c>
      <c r="K2553">
        <v>189000</v>
      </c>
    </row>
    <row r="2554" spans="1:11" x14ac:dyDescent="0.3">
      <c r="A2554" t="s">
        <v>2563</v>
      </c>
      <c r="B2554">
        <v>844350</v>
      </c>
      <c r="C2554">
        <v>7599300</v>
      </c>
      <c r="D2554">
        <v>417130</v>
      </c>
      <c r="E2554">
        <v>1453900</v>
      </c>
      <c r="F2554">
        <v>14196708</v>
      </c>
      <c r="G2554">
        <v>499500</v>
      </c>
      <c r="H2554">
        <v>17847176</v>
      </c>
      <c r="I2554">
        <v>176600</v>
      </c>
      <c r="J2554">
        <v>17820490</v>
      </c>
      <c r="K2554">
        <v>190200</v>
      </c>
    </row>
    <row r="2555" spans="1:11" x14ac:dyDescent="0.3">
      <c r="A2555" t="s">
        <v>2564</v>
      </c>
      <c r="B2555">
        <v>844350</v>
      </c>
      <c r="C2555">
        <v>7538000</v>
      </c>
      <c r="D2555">
        <v>433361</v>
      </c>
      <c r="E2555">
        <v>1547500</v>
      </c>
      <c r="F2555">
        <v>14208554</v>
      </c>
      <c r="G2555">
        <v>491600</v>
      </c>
      <c r="H2555">
        <v>17861667</v>
      </c>
      <c r="I2555">
        <v>179800</v>
      </c>
      <c r="J2555">
        <v>17835779</v>
      </c>
      <c r="K2555">
        <v>192100</v>
      </c>
    </row>
    <row r="2556" spans="1:11" x14ac:dyDescent="0.3">
      <c r="A2556" t="s">
        <v>2565</v>
      </c>
      <c r="B2556">
        <v>844350</v>
      </c>
      <c r="C2556">
        <v>7470500</v>
      </c>
      <c r="D2556">
        <v>435766</v>
      </c>
      <c r="E2556">
        <v>1501600</v>
      </c>
      <c r="F2556">
        <v>14220383</v>
      </c>
      <c r="G2556">
        <v>486400</v>
      </c>
      <c r="H2556">
        <v>17876292</v>
      </c>
      <c r="I2556">
        <v>172500</v>
      </c>
      <c r="J2556">
        <v>17851811</v>
      </c>
      <c r="K2556">
        <v>194300</v>
      </c>
    </row>
    <row r="2557" spans="1:11" x14ac:dyDescent="0.3">
      <c r="A2557" t="s">
        <v>2566</v>
      </c>
      <c r="B2557">
        <v>844350</v>
      </c>
      <c r="C2557">
        <v>7418100</v>
      </c>
      <c r="D2557">
        <v>420691</v>
      </c>
      <c r="E2557">
        <v>1458900</v>
      </c>
      <c r="F2557">
        <v>14232197</v>
      </c>
      <c r="G2557">
        <v>496700</v>
      </c>
      <c r="H2557">
        <v>17891539</v>
      </c>
      <c r="I2557">
        <v>175100</v>
      </c>
      <c r="J2557">
        <v>17866509</v>
      </c>
      <c r="K2557">
        <v>189100</v>
      </c>
    </row>
    <row r="2558" spans="1:11" x14ac:dyDescent="0.3">
      <c r="A2558" t="s">
        <v>2567</v>
      </c>
      <c r="B2558">
        <v>844350</v>
      </c>
      <c r="C2558">
        <v>7627300</v>
      </c>
      <c r="D2558">
        <v>416696</v>
      </c>
      <c r="E2558">
        <v>1956800</v>
      </c>
      <c r="F2558">
        <v>14244007</v>
      </c>
      <c r="G2558">
        <v>644800</v>
      </c>
      <c r="H2558">
        <v>17907168</v>
      </c>
      <c r="I2558">
        <v>211700</v>
      </c>
      <c r="J2558">
        <v>17880358</v>
      </c>
      <c r="K2558">
        <v>197200</v>
      </c>
    </row>
    <row r="2559" spans="1:11" x14ac:dyDescent="0.3">
      <c r="A2559" t="s">
        <v>2568</v>
      </c>
      <c r="B2559">
        <v>844350</v>
      </c>
      <c r="C2559">
        <v>7926000</v>
      </c>
      <c r="D2559">
        <v>433674</v>
      </c>
      <c r="E2559">
        <v>1494200</v>
      </c>
      <c r="F2559">
        <v>14255821</v>
      </c>
      <c r="G2559">
        <v>496300</v>
      </c>
      <c r="H2559">
        <v>17921108</v>
      </c>
      <c r="I2559">
        <v>173700</v>
      </c>
      <c r="J2559">
        <v>17895762</v>
      </c>
      <c r="K2559">
        <v>192700</v>
      </c>
    </row>
    <row r="2560" spans="1:11" x14ac:dyDescent="0.3">
      <c r="A2560" t="s">
        <v>2569</v>
      </c>
      <c r="B2560">
        <v>844350</v>
      </c>
      <c r="C2560">
        <v>7443200</v>
      </c>
      <c r="D2560">
        <v>411846</v>
      </c>
      <c r="E2560">
        <v>1471600</v>
      </c>
      <c r="F2560">
        <v>14267634</v>
      </c>
      <c r="G2560">
        <v>503000</v>
      </c>
      <c r="H2560">
        <v>17934316</v>
      </c>
      <c r="I2560">
        <v>175000</v>
      </c>
      <c r="J2560">
        <v>17910958</v>
      </c>
      <c r="K2560">
        <v>193900</v>
      </c>
    </row>
    <row r="2561" spans="1:11" x14ac:dyDescent="0.3">
      <c r="A2561" t="s">
        <v>2570</v>
      </c>
      <c r="B2561">
        <v>844350</v>
      </c>
      <c r="C2561">
        <v>7462400</v>
      </c>
      <c r="D2561">
        <v>431248</v>
      </c>
      <c r="E2561">
        <v>1494600</v>
      </c>
      <c r="F2561">
        <v>14279476</v>
      </c>
      <c r="G2561">
        <v>494800</v>
      </c>
      <c r="H2561">
        <v>17950073</v>
      </c>
      <c r="I2561">
        <v>177000</v>
      </c>
      <c r="J2561">
        <v>17926167</v>
      </c>
      <c r="K2561">
        <v>188500</v>
      </c>
    </row>
    <row r="2562" spans="1:11" x14ac:dyDescent="0.3">
      <c r="A2562" t="s">
        <v>2571</v>
      </c>
      <c r="B2562">
        <v>844350</v>
      </c>
      <c r="C2562">
        <v>7540500</v>
      </c>
      <c r="D2562">
        <v>432326</v>
      </c>
      <c r="E2562">
        <v>1484500</v>
      </c>
      <c r="F2562">
        <v>14291311</v>
      </c>
      <c r="G2562">
        <v>501300</v>
      </c>
      <c r="H2562">
        <v>17965245</v>
      </c>
      <c r="I2562">
        <v>174000</v>
      </c>
      <c r="J2562">
        <v>17940463</v>
      </c>
      <c r="K2562">
        <v>187600</v>
      </c>
    </row>
    <row r="2563" spans="1:11" x14ac:dyDescent="0.3">
      <c r="A2563" t="s">
        <v>2572</v>
      </c>
      <c r="B2563">
        <v>844350</v>
      </c>
      <c r="C2563">
        <v>7847900</v>
      </c>
      <c r="D2563">
        <v>417967</v>
      </c>
      <c r="E2563">
        <v>1441400</v>
      </c>
      <c r="F2563">
        <v>14303144</v>
      </c>
      <c r="G2563">
        <v>560200</v>
      </c>
      <c r="H2563">
        <v>17981596</v>
      </c>
      <c r="I2563">
        <v>179900</v>
      </c>
      <c r="J2563">
        <v>17955985</v>
      </c>
      <c r="K2563">
        <v>195600</v>
      </c>
    </row>
    <row r="2564" spans="1:11" x14ac:dyDescent="0.3">
      <c r="A2564" t="s">
        <v>2573</v>
      </c>
      <c r="B2564">
        <v>844350</v>
      </c>
      <c r="C2564">
        <v>7594900</v>
      </c>
      <c r="D2564">
        <v>423014</v>
      </c>
      <c r="E2564">
        <v>1530800</v>
      </c>
      <c r="F2564">
        <v>14314954</v>
      </c>
      <c r="G2564">
        <v>495500</v>
      </c>
      <c r="H2564">
        <v>17997158</v>
      </c>
      <c r="I2564">
        <v>176600</v>
      </c>
      <c r="J2564">
        <v>17970807</v>
      </c>
      <c r="K2564">
        <v>185900</v>
      </c>
    </row>
    <row r="2565" spans="1:11" x14ac:dyDescent="0.3">
      <c r="A2565" t="s">
        <v>2574</v>
      </c>
      <c r="B2565">
        <v>844350</v>
      </c>
      <c r="C2565">
        <v>8620200</v>
      </c>
      <c r="D2565">
        <v>423235</v>
      </c>
      <c r="E2565">
        <v>1461000</v>
      </c>
      <c r="F2565">
        <v>14326766</v>
      </c>
      <c r="G2565">
        <v>495400</v>
      </c>
      <c r="H2565">
        <v>18011408</v>
      </c>
      <c r="I2565">
        <v>176300</v>
      </c>
      <c r="J2565">
        <v>17987687</v>
      </c>
      <c r="K2565">
        <v>191500</v>
      </c>
    </row>
    <row r="2566" spans="1:11" x14ac:dyDescent="0.3">
      <c r="A2566" t="s">
        <v>2575</v>
      </c>
      <c r="B2566">
        <v>844350</v>
      </c>
      <c r="C2566">
        <v>7973300</v>
      </c>
      <c r="D2566">
        <v>419680</v>
      </c>
      <c r="E2566">
        <v>1563200</v>
      </c>
      <c r="F2566">
        <v>14338597</v>
      </c>
      <c r="G2566">
        <v>488500</v>
      </c>
      <c r="H2566">
        <v>18025783</v>
      </c>
      <c r="I2566">
        <v>177800</v>
      </c>
      <c r="J2566">
        <v>18001799</v>
      </c>
      <c r="K2566">
        <v>192000</v>
      </c>
    </row>
    <row r="2567" spans="1:11" x14ac:dyDescent="0.3">
      <c r="A2567" t="s">
        <v>2576</v>
      </c>
      <c r="B2567">
        <v>844350</v>
      </c>
      <c r="C2567">
        <v>7610700</v>
      </c>
      <c r="D2567">
        <v>413945</v>
      </c>
      <c r="E2567">
        <v>1446500</v>
      </c>
      <c r="F2567">
        <v>14350418</v>
      </c>
      <c r="G2567">
        <v>497500</v>
      </c>
      <c r="H2567">
        <v>18042158</v>
      </c>
      <c r="I2567">
        <v>178100</v>
      </c>
      <c r="J2567">
        <v>18017127</v>
      </c>
      <c r="K2567">
        <v>187400</v>
      </c>
    </row>
    <row r="2568" spans="1:11" x14ac:dyDescent="0.3">
      <c r="A2568" t="s">
        <v>2577</v>
      </c>
      <c r="B2568">
        <v>844350</v>
      </c>
      <c r="C2568">
        <v>7372600</v>
      </c>
      <c r="D2568">
        <v>429341</v>
      </c>
      <c r="E2568">
        <v>1482700</v>
      </c>
      <c r="F2568">
        <v>14362228</v>
      </c>
      <c r="G2568">
        <v>492300</v>
      </c>
      <c r="H2568">
        <v>18056617</v>
      </c>
      <c r="I2568">
        <v>167600</v>
      </c>
      <c r="J2568">
        <v>18031228</v>
      </c>
      <c r="K2568">
        <v>188700</v>
      </c>
    </row>
    <row r="2569" spans="1:11" x14ac:dyDescent="0.3">
      <c r="A2569" t="s">
        <v>2578</v>
      </c>
      <c r="B2569">
        <v>844350</v>
      </c>
      <c r="C2569">
        <v>7896600</v>
      </c>
      <c r="D2569">
        <v>427076</v>
      </c>
      <c r="E2569">
        <v>1483800</v>
      </c>
      <c r="F2569">
        <v>14374058</v>
      </c>
      <c r="G2569">
        <v>497200</v>
      </c>
      <c r="H2569">
        <v>18070971</v>
      </c>
      <c r="I2569">
        <v>175400</v>
      </c>
      <c r="J2569">
        <v>18046577</v>
      </c>
      <c r="K2569">
        <v>188100</v>
      </c>
    </row>
    <row r="2570" spans="1:11" x14ac:dyDescent="0.3">
      <c r="A2570" t="s">
        <v>2579</v>
      </c>
      <c r="B2570">
        <v>844350</v>
      </c>
      <c r="C2570">
        <v>7391400</v>
      </c>
      <c r="D2570">
        <v>434092</v>
      </c>
      <c r="E2570">
        <v>1517700</v>
      </c>
      <c r="F2570">
        <v>14385890</v>
      </c>
      <c r="G2570">
        <v>493700</v>
      </c>
      <c r="H2570">
        <v>18085870</v>
      </c>
      <c r="I2570">
        <v>170600</v>
      </c>
      <c r="J2570">
        <v>18060951</v>
      </c>
      <c r="K2570">
        <v>185900</v>
      </c>
    </row>
    <row r="2571" spans="1:11" x14ac:dyDescent="0.3">
      <c r="A2571" t="s">
        <v>2580</v>
      </c>
      <c r="B2571">
        <v>844350</v>
      </c>
      <c r="C2571">
        <v>7793800</v>
      </c>
      <c r="D2571">
        <v>430659</v>
      </c>
      <c r="E2571">
        <v>1851900</v>
      </c>
      <c r="F2571">
        <v>14397728</v>
      </c>
      <c r="G2571">
        <v>518800</v>
      </c>
      <c r="H2571">
        <v>18100840</v>
      </c>
      <c r="I2571">
        <v>175100</v>
      </c>
      <c r="J2571">
        <v>18076069</v>
      </c>
      <c r="K2571">
        <v>186600</v>
      </c>
    </row>
    <row r="2572" spans="1:11" x14ac:dyDescent="0.3">
      <c r="A2572" t="s">
        <v>2581</v>
      </c>
      <c r="B2572">
        <v>844350</v>
      </c>
      <c r="C2572">
        <v>7677500</v>
      </c>
      <c r="D2572">
        <v>431484</v>
      </c>
      <c r="E2572">
        <v>1525900</v>
      </c>
      <c r="F2572">
        <v>14409548</v>
      </c>
      <c r="G2572">
        <v>491000</v>
      </c>
      <c r="H2572">
        <v>18115782</v>
      </c>
      <c r="I2572">
        <v>173700</v>
      </c>
      <c r="J2572">
        <v>18091904</v>
      </c>
      <c r="K2572">
        <v>196700</v>
      </c>
    </row>
    <row r="2573" spans="1:11" x14ac:dyDescent="0.3">
      <c r="A2573" t="s">
        <v>2582</v>
      </c>
      <c r="B2573">
        <v>844350</v>
      </c>
      <c r="C2573">
        <v>8467000</v>
      </c>
      <c r="D2573">
        <v>411449</v>
      </c>
      <c r="E2573">
        <v>1432000</v>
      </c>
      <c r="F2573">
        <v>14421360</v>
      </c>
      <c r="G2573">
        <v>490900</v>
      </c>
      <c r="H2573">
        <v>18132176</v>
      </c>
      <c r="I2573">
        <v>175000</v>
      </c>
      <c r="J2573">
        <v>18106771</v>
      </c>
      <c r="K2573">
        <v>188700</v>
      </c>
    </row>
    <row r="2574" spans="1:11" x14ac:dyDescent="0.3">
      <c r="A2574" t="s">
        <v>2583</v>
      </c>
      <c r="B2574">
        <v>844350</v>
      </c>
      <c r="C2574">
        <v>7583100</v>
      </c>
      <c r="D2574">
        <v>432959</v>
      </c>
      <c r="E2574">
        <v>1508600</v>
      </c>
      <c r="F2574">
        <v>14433182</v>
      </c>
      <c r="G2574">
        <v>493000</v>
      </c>
      <c r="H2574">
        <v>18147596</v>
      </c>
      <c r="I2574">
        <v>179300</v>
      </c>
      <c r="J2574">
        <v>18122629</v>
      </c>
      <c r="K2574">
        <v>188200</v>
      </c>
    </row>
    <row r="2575" spans="1:11" x14ac:dyDescent="0.3">
      <c r="A2575" t="s">
        <v>2584</v>
      </c>
      <c r="B2575">
        <v>844350</v>
      </c>
      <c r="C2575">
        <v>7840500</v>
      </c>
      <c r="D2575">
        <v>404710</v>
      </c>
      <c r="E2575">
        <v>1811400</v>
      </c>
      <c r="F2575">
        <v>14445007</v>
      </c>
      <c r="G2575">
        <v>745700</v>
      </c>
      <c r="H2575">
        <v>18162640</v>
      </c>
      <c r="I2575">
        <v>209400</v>
      </c>
      <c r="J2575">
        <v>18136775</v>
      </c>
      <c r="K2575">
        <v>241700</v>
      </c>
    </row>
    <row r="2576" spans="1:11" x14ac:dyDescent="0.3">
      <c r="A2576" t="s">
        <v>2585</v>
      </c>
      <c r="B2576">
        <v>844350</v>
      </c>
      <c r="C2576">
        <v>7711300</v>
      </c>
      <c r="D2576">
        <v>414971</v>
      </c>
      <c r="E2576">
        <v>1429700</v>
      </c>
      <c r="F2576">
        <v>14456864</v>
      </c>
      <c r="G2576">
        <v>492800</v>
      </c>
      <c r="H2576">
        <v>18180859</v>
      </c>
      <c r="I2576">
        <v>173500</v>
      </c>
      <c r="J2576">
        <v>18151978</v>
      </c>
      <c r="K2576">
        <v>191600</v>
      </c>
    </row>
    <row r="2577" spans="1:11" x14ac:dyDescent="0.3">
      <c r="A2577" t="s">
        <v>2586</v>
      </c>
      <c r="B2577">
        <v>844350</v>
      </c>
      <c r="C2577">
        <v>7821100</v>
      </c>
      <c r="D2577">
        <v>420903</v>
      </c>
      <c r="E2577">
        <v>1448600</v>
      </c>
      <c r="F2577">
        <v>14468729</v>
      </c>
      <c r="G2577">
        <v>494900</v>
      </c>
      <c r="H2577">
        <v>18195529</v>
      </c>
      <c r="I2577">
        <v>187800</v>
      </c>
      <c r="J2577">
        <v>18167314</v>
      </c>
      <c r="K2577">
        <v>188700</v>
      </c>
    </row>
    <row r="2578" spans="1:11" x14ac:dyDescent="0.3">
      <c r="A2578" t="s">
        <v>2587</v>
      </c>
      <c r="B2578">
        <v>844350</v>
      </c>
      <c r="C2578">
        <v>8202600</v>
      </c>
      <c r="D2578">
        <v>411028</v>
      </c>
      <c r="E2578">
        <v>1474800</v>
      </c>
      <c r="F2578">
        <v>14480563</v>
      </c>
      <c r="G2578">
        <v>497100</v>
      </c>
      <c r="H2578">
        <v>18210672</v>
      </c>
      <c r="I2578">
        <v>172000</v>
      </c>
      <c r="J2578">
        <v>18184048</v>
      </c>
      <c r="K2578">
        <v>190000</v>
      </c>
    </row>
    <row r="2579" spans="1:11" x14ac:dyDescent="0.3">
      <c r="A2579" t="s">
        <v>2588</v>
      </c>
      <c r="B2579">
        <v>844350</v>
      </c>
      <c r="C2579">
        <v>7633800</v>
      </c>
      <c r="D2579">
        <v>418848</v>
      </c>
      <c r="E2579">
        <v>1446800</v>
      </c>
      <c r="F2579">
        <v>14492418</v>
      </c>
      <c r="G2579">
        <v>496100</v>
      </c>
      <c r="H2579">
        <v>18228110</v>
      </c>
      <c r="I2579">
        <v>190000</v>
      </c>
      <c r="J2579">
        <v>18198931</v>
      </c>
      <c r="K2579">
        <v>188100</v>
      </c>
    </row>
    <row r="2580" spans="1:11" x14ac:dyDescent="0.3">
      <c r="A2580" t="s">
        <v>2589</v>
      </c>
      <c r="B2580">
        <v>844350</v>
      </c>
      <c r="C2580">
        <v>7489200</v>
      </c>
      <c r="D2580">
        <v>420398</v>
      </c>
      <c r="E2580">
        <v>1717400</v>
      </c>
      <c r="F2580">
        <v>14504249</v>
      </c>
      <c r="G2580">
        <v>503000</v>
      </c>
      <c r="H2580">
        <v>18242106</v>
      </c>
      <c r="I2580">
        <v>175700</v>
      </c>
      <c r="J2580">
        <v>18213694</v>
      </c>
      <c r="K2580">
        <v>186900</v>
      </c>
    </row>
    <row r="2581" spans="1:11" x14ac:dyDescent="0.3">
      <c r="A2581" t="s">
        <v>2590</v>
      </c>
      <c r="B2581">
        <v>844350</v>
      </c>
      <c r="C2581">
        <v>7407000</v>
      </c>
      <c r="D2581">
        <v>417916</v>
      </c>
      <c r="E2581">
        <v>1447400</v>
      </c>
      <c r="F2581">
        <v>14516076</v>
      </c>
      <c r="G2581">
        <v>487500</v>
      </c>
      <c r="H2581">
        <v>18256474</v>
      </c>
      <c r="I2581">
        <v>170100</v>
      </c>
      <c r="J2581">
        <v>18228300</v>
      </c>
      <c r="K2581">
        <v>192900</v>
      </c>
    </row>
    <row r="2582" spans="1:11" x14ac:dyDescent="0.3">
      <c r="A2582" t="s">
        <v>2591</v>
      </c>
      <c r="B2582">
        <v>844350</v>
      </c>
      <c r="C2582">
        <v>7349900</v>
      </c>
      <c r="D2582">
        <v>413161</v>
      </c>
      <c r="E2582">
        <v>1439600</v>
      </c>
      <c r="F2582">
        <v>14527915</v>
      </c>
      <c r="G2582">
        <v>497600</v>
      </c>
      <c r="H2582">
        <v>18270962</v>
      </c>
      <c r="I2582">
        <v>171500</v>
      </c>
      <c r="J2582">
        <v>18242931</v>
      </c>
      <c r="K2582">
        <v>188100</v>
      </c>
    </row>
    <row r="2583" spans="1:11" x14ac:dyDescent="0.3">
      <c r="A2583" t="s">
        <v>2592</v>
      </c>
      <c r="B2583">
        <v>844350</v>
      </c>
      <c r="C2583">
        <v>7456300</v>
      </c>
      <c r="D2583">
        <v>421816</v>
      </c>
      <c r="E2583">
        <v>1504000</v>
      </c>
      <c r="F2583">
        <v>14539731</v>
      </c>
      <c r="G2583">
        <v>492400</v>
      </c>
      <c r="H2583">
        <v>18285721</v>
      </c>
      <c r="I2583">
        <v>177700</v>
      </c>
      <c r="J2583">
        <v>18258869</v>
      </c>
      <c r="K2583">
        <v>196900</v>
      </c>
    </row>
    <row r="2584" spans="1:11" x14ac:dyDescent="0.3">
      <c r="A2584" t="s">
        <v>2593</v>
      </c>
      <c r="B2584">
        <v>844350</v>
      </c>
      <c r="C2584">
        <v>7234800</v>
      </c>
      <c r="D2584">
        <v>434671</v>
      </c>
      <c r="E2584">
        <v>1763400</v>
      </c>
      <c r="F2584">
        <v>14551575</v>
      </c>
      <c r="G2584">
        <v>528300</v>
      </c>
      <c r="H2584">
        <v>18300233</v>
      </c>
      <c r="I2584">
        <v>174700</v>
      </c>
      <c r="J2584">
        <v>18274971</v>
      </c>
      <c r="K2584">
        <v>188500</v>
      </c>
    </row>
    <row r="2585" spans="1:11" x14ac:dyDescent="0.3">
      <c r="A2585" t="s">
        <v>2594</v>
      </c>
      <c r="B2585">
        <v>844350</v>
      </c>
      <c r="C2585">
        <v>7857400</v>
      </c>
      <c r="D2585">
        <v>423613</v>
      </c>
      <c r="E2585">
        <v>1487900</v>
      </c>
      <c r="F2585">
        <v>14563393</v>
      </c>
      <c r="G2585">
        <v>500500</v>
      </c>
      <c r="H2585">
        <v>18315064</v>
      </c>
      <c r="I2585">
        <v>176700</v>
      </c>
      <c r="J2585">
        <v>18289394</v>
      </c>
      <c r="K2585">
        <v>183700</v>
      </c>
    </row>
    <row r="2586" spans="1:11" x14ac:dyDescent="0.3">
      <c r="A2586" t="s">
        <v>2595</v>
      </c>
      <c r="B2586">
        <v>844350</v>
      </c>
      <c r="C2586">
        <v>7303000</v>
      </c>
      <c r="D2586">
        <v>435029</v>
      </c>
      <c r="E2586">
        <v>1519700</v>
      </c>
      <c r="F2586">
        <v>14575193</v>
      </c>
      <c r="G2586">
        <v>596400</v>
      </c>
      <c r="H2586">
        <v>18328835</v>
      </c>
      <c r="I2586">
        <v>171000</v>
      </c>
      <c r="J2586">
        <v>18303319</v>
      </c>
      <c r="K2586">
        <v>188500</v>
      </c>
    </row>
    <row r="2587" spans="1:11" x14ac:dyDescent="0.3">
      <c r="A2587" t="s">
        <v>2596</v>
      </c>
      <c r="B2587">
        <v>844350</v>
      </c>
      <c r="C2587">
        <v>7619900</v>
      </c>
      <c r="D2587">
        <v>431863</v>
      </c>
      <c r="E2587">
        <v>1541500</v>
      </c>
      <c r="F2587">
        <v>14587003</v>
      </c>
      <c r="G2587">
        <v>496700</v>
      </c>
      <c r="H2587">
        <v>18342662</v>
      </c>
      <c r="I2587">
        <v>169800</v>
      </c>
      <c r="J2587">
        <v>18318251</v>
      </c>
      <c r="K2587">
        <v>189300</v>
      </c>
    </row>
    <row r="2588" spans="1:11" x14ac:dyDescent="0.3">
      <c r="A2588" t="s">
        <v>2597</v>
      </c>
      <c r="B2588">
        <v>844350</v>
      </c>
      <c r="C2588">
        <v>7693200</v>
      </c>
      <c r="D2588">
        <v>427089</v>
      </c>
      <c r="E2588">
        <v>1752800</v>
      </c>
      <c r="F2588">
        <v>14598803</v>
      </c>
      <c r="G2588">
        <v>511700</v>
      </c>
      <c r="H2588">
        <v>18356684</v>
      </c>
      <c r="I2588">
        <v>171500</v>
      </c>
      <c r="J2588">
        <v>18332997</v>
      </c>
      <c r="K2588">
        <v>203300</v>
      </c>
    </row>
    <row r="2589" spans="1:11" x14ac:dyDescent="0.3">
      <c r="A2589" t="s">
        <v>2598</v>
      </c>
      <c r="B2589">
        <v>844350</v>
      </c>
      <c r="C2589">
        <v>7417100</v>
      </c>
      <c r="D2589">
        <v>421190</v>
      </c>
      <c r="E2589">
        <v>1452400</v>
      </c>
      <c r="F2589">
        <v>14610632</v>
      </c>
      <c r="G2589">
        <v>1609100</v>
      </c>
      <c r="H2589">
        <v>18372598</v>
      </c>
      <c r="I2589">
        <v>175800</v>
      </c>
      <c r="J2589">
        <v>18348723</v>
      </c>
      <c r="K2589">
        <v>188600</v>
      </c>
    </row>
    <row r="2590" spans="1:11" x14ac:dyDescent="0.3">
      <c r="A2590" t="s">
        <v>2599</v>
      </c>
      <c r="B2590">
        <v>844350</v>
      </c>
      <c r="C2590">
        <v>7361400</v>
      </c>
      <c r="D2590">
        <v>427710</v>
      </c>
      <c r="E2590">
        <v>1473200</v>
      </c>
      <c r="F2590">
        <v>14622491</v>
      </c>
      <c r="G2590">
        <v>504400</v>
      </c>
      <c r="H2590">
        <v>18387120</v>
      </c>
      <c r="I2590">
        <v>230300</v>
      </c>
      <c r="J2590">
        <v>18363966</v>
      </c>
      <c r="K2590">
        <v>254500</v>
      </c>
    </row>
    <row r="2591" spans="1:11" x14ac:dyDescent="0.3">
      <c r="A2591" t="s">
        <v>2600</v>
      </c>
      <c r="B2591">
        <v>844350</v>
      </c>
      <c r="C2591">
        <v>7902400</v>
      </c>
      <c r="D2591">
        <v>417347</v>
      </c>
      <c r="E2591">
        <v>1482900</v>
      </c>
      <c r="F2591">
        <v>14634356</v>
      </c>
      <c r="G2591">
        <v>505400</v>
      </c>
      <c r="H2591">
        <v>18401975</v>
      </c>
      <c r="I2591">
        <v>170100</v>
      </c>
      <c r="J2591">
        <v>18377995</v>
      </c>
      <c r="K2591">
        <v>183800</v>
      </c>
    </row>
    <row r="2592" spans="1:11" x14ac:dyDescent="0.3">
      <c r="A2592" t="s">
        <v>2601</v>
      </c>
      <c r="B2592">
        <v>844350</v>
      </c>
      <c r="C2592">
        <v>7675300</v>
      </c>
      <c r="D2592">
        <v>420204</v>
      </c>
      <c r="E2592">
        <v>1451000</v>
      </c>
      <c r="F2592">
        <v>14646189</v>
      </c>
      <c r="G2592">
        <v>494400</v>
      </c>
      <c r="H2592">
        <v>18417039</v>
      </c>
      <c r="I2592">
        <v>180100</v>
      </c>
      <c r="J2592">
        <v>18393167</v>
      </c>
      <c r="K2592">
        <v>193700</v>
      </c>
    </row>
    <row r="2593" spans="1:11" x14ac:dyDescent="0.3">
      <c r="A2593" t="s">
        <v>2602</v>
      </c>
      <c r="B2593">
        <v>844350</v>
      </c>
      <c r="C2593">
        <v>8610800</v>
      </c>
      <c r="D2593">
        <v>419891</v>
      </c>
      <c r="E2593">
        <v>1467200</v>
      </c>
      <c r="F2593">
        <v>14657996</v>
      </c>
      <c r="G2593">
        <v>496900</v>
      </c>
      <c r="H2593">
        <v>18433007</v>
      </c>
      <c r="I2593">
        <v>171200</v>
      </c>
      <c r="J2593">
        <v>18408090</v>
      </c>
      <c r="K2593">
        <v>188900</v>
      </c>
    </row>
    <row r="2594" spans="1:11" x14ac:dyDescent="0.3">
      <c r="A2594" t="s">
        <v>2603</v>
      </c>
      <c r="B2594">
        <v>844350</v>
      </c>
      <c r="C2594">
        <v>8277300</v>
      </c>
      <c r="D2594">
        <v>423894</v>
      </c>
      <c r="E2594">
        <v>1486000</v>
      </c>
      <c r="F2594">
        <v>14669875</v>
      </c>
      <c r="G2594">
        <v>502000</v>
      </c>
      <c r="H2594">
        <v>18447886</v>
      </c>
      <c r="I2594">
        <v>174800</v>
      </c>
      <c r="J2594">
        <v>18423623</v>
      </c>
      <c r="K2594">
        <v>190400</v>
      </c>
    </row>
    <row r="2595" spans="1:11" x14ac:dyDescent="0.3">
      <c r="A2595" t="s">
        <v>2604</v>
      </c>
      <c r="B2595">
        <v>844350</v>
      </c>
      <c r="C2595">
        <v>7592100</v>
      </c>
      <c r="D2595">
        <v>416924</v>
      </c>
      <c r="E2595">
        <v>1701100</v>
      </c>
      <c r="F2595">
        <v>14681704</v>
      </c>
      <c r="G2595">
        <v>503900</v>
      </c>
      <c r="H2595">
        <v>18464313</v>
      </c>
      <c r="I2595">
        <v>175600</v>
      </c>
      <c r="J2595">
        <v>18438355</v>
      </c>
      <c r="K2595">
        <v>195800</v>
      </c>
    </row>
    <row r="2596" spans="1:11" x14ac:dyDescent="0.3">
      <c r="A2596" t="s">
        <v>2605</v>
      </c>
      <c r="B2596">
        <v>844350</v>
      </c>
      <c r="C2596">
        <v>7547400</v>
      </c>
      <c r="D2596">
        <v>426601</v>
      </c>
      <c r="E2596">
        <v>1470700</v>
      </c>
      <c r="F2596">
        <v>14693537</v>
      </c>
      <c r="G2596">
        <v>493300</v>
      </c>
      <c r="H2596">
        <v>18479223</v>
      </c>
      <c r="I2596">
        <v>181500</v>
      </c>
      <c r="J2596">
        <v>18452964</v>
      </c>
      <c r="K2596">
        <v>189400</v>
      </c>
    </row>
    <row r="2597" spans="1:11" x14ac:dyDescent="0.3">
      <c r="A2597" t="s">
        <v>2606</v>
      </c>
      <c r="B2597">
        <v>844350</v>
      </c>
      <c r="C2597">
        <v>7698700</v>
      </c>
      <c r="D2597">
        <v>423592</v>
      </c>
      <c r="E2597">
        <v>1462300</v>
      </c>
      <c r="F2597">
        <v>14705357</v>
      </c>
      <c r="G2597">
        <v>493300</v>
      </c>
      <c r="H2597">
        <v>18495183</v>
      </c>
      <c r="I2597">
        <v>178500</v>
      </c>
      <c r="J2597">
        <v>18467771</v>
      </c>
      <c r="K2597">
        <v>193300</v>
      </c>
    </row>
    <row r="2598" spans="1:11" x14ac:dyDescent="0.3">
      <c r="A2598" t="s">
        <v>2607</v>
      </c>
      <c r="B2598">
        <v>844350</v>
      </c>
      <c r="C2598">
        <v>7662400</v>
      </c>
      <c r="D2598">
        <v>411606</v>
      </c>
      <c r="E2598">
        <v>1428700</v>
      </c>
      <c r="F2598">
        <v>14717191</v>
      </c>
      <c r="G2598">
        <v>491200</v>
      </c>
      <c r="H2598">
        <v>18509404</v>
      </c>
      <c r="I2598">
        <v>173200</v>
      </c>
      <c r="J2598">
        <v>18482249</v>
      </c>
      <c r="K2598">
        <v>187100</v>
      </c>
    </row>
    <row r="2599" spans="1:11" x14ac:dyDescent="0.3">
      <c r="A2599" t="s">
        <v>2608</v>
      </c>
      <c r="B2599">
        <v>844350</v>
      </c>
      <c r="C2599">
        <v>7551600</v>
      </c>
      <c r="D2599">
        <v>426619</v>
      </c>
      <c r="E2599">
        <v>1471800</v>
      </c>
      <c r="F2599">
        <v>14728983</v>
      </c>
      <c r="G2599">
        <v>495500</v>
      </c>
      <c r="H2599">
        <v>18523528</v>
      </c>
      <c r="I2599">
        <v>168500</v>
      </c>
      <c r="J2599">
        <v>18496079</v>
      </c>
      <c r="K2599">
        <v>186800</v>
      </c>
    </row>
    <row r="2600" spans="1:11" x14ac:dyDescent="0.3">
      <c r="A2600" t="s">
        <v>2609</v>
      </c>
      <c r="B2600">
        <v>844350</v>
      </c>
      <c r="C2600">
        <v>7241800</v>
      </c>
      <c r="D2600">
        <v>419318</v>
      </c>
      <c r="E2600">
        <v>1727700</v>
      </c>
      <c r="F2600">
        <v>14740852</v>
      </c>
      <c r="G2600">
        <v>609000</v>
      </c>
      <c r="H2600">
        <v>18539455</v>
      </c>
      <c r="I2600">
        <v>211300</v>
      </c>
      <c r="J2600">
        <v>18512251</v>
      </c>
      <c r="K2600">
        <v>242400</v>
      </c>
    </row>
    <row r="2601" spans="1:11" x14ac:dyDescent="0.3">
      <c r="A2601" t="s">
        <v>2610</v>
      </c>
      <c r="B2601">
        <v>844350</v>
      </c>
      <c r="C2601">
        <v>7705600</v>
      </c>
      <c r="D2601">
        <v>426209</v>
      </c>
      <c r="E2601">
        <v>1468300</v>
      </c>
      <c r="F2601">
        <v>14752673</v>
      </c>
      <c r="G2601">
        <v>493900</v>
      </c>
      <c r="H2601">
        <v>18555424</v>
      </c>
      <c r="I2601">
        <v>174400</v>
      </c>
      <c r="J2601">
        <v>18526918</v>
      </c>
      <c r="K2601">
        <v>186400</v>
      </c>
    </row>
    <row r="2602" spans="1:11" x14ac:dyDescent="0.3">
      <c r="A2602" t="s">
        <v>2611</v>
      </c>
      <c r="B2602">
        <v>910575</v>
      </c>
      <c r="C2602">
        <v>8146400</v>
      </c>
      <c r="D2602">
        <v>460832</v>
      </c>
      <c r="E2602">
        <v>1587700</v>
      </c>
      <c r="F2602">
        <v>14765009</v>
      </c>
      <c r="G2602">
        <v>516700</v>
      </c>
      <c r="H2602">
        <v>18570027</v>
      </c>
      <c r="I2602">
        <v>178400</v>
      </c>
      <c r="J2602">
        <v>18541962</v>
      </c>
      <c r="K2602">
        <v>204900</v>
      </c>
    </row>
    <row r="2603" spans="1:11" x14ac:dyDescent="0.3">
      <c r="A2603" t="s">
        <v>2612</v>
      </c>
      <c r="B2603">
        <v>910575</v>
      </c>
      <c r="C2603">
        <v>8365200</v>
      </c>
      <c r="D2603">
        <v>442432</v>
      </c>
      <c r="E2603">
        <v>1528000</v>
      </c>
      <c r="F2603">
        <v>14777378</v>
      </c>
      <c r="G2603">
        <v>515600</v>
      </c>
      <c r="H2603">
        <v>18585099</v>
      </c>
      <c r="I2603">
        <v>183200</v>
      </c>
      <c r="J2603">
        <v>18558611</v>
      </c>
      <c r="K2603">
        <v>197600</v>
      </c>
    </row>
    <row r="2604" spans="1:11" x14ac:dyDescent="0.3">
      <c r="A2604" t="s">
        <v>2613</v>
      </c>
      <c r="B2604">
        <v>910575</v>
      </c>
      <c r="C2604">
        <v>8008500</v>
      </c>
      <c r="D2604">
        <v>453459</v>
      </c>
      <c r="E2604">
        <v>1561300</v>
      </c>
      <c r="F2604">
        <v>14789743</v>
      </c>
      <c r="G2604">
        <v>521000</v>
      </c>
      <c r="H2604">
        <v>18600322</v>
      </c>
      <c r="I2604">
        <v>176700</v>
      </c>
      <c r="J2604">
        <v>18573384</v>
      </c>
      <c r="K2604">
        <v>194200</v>
      </c>
    </row>
    <row r="2605" spans="1:11" x14ac:dyDescent="0.3">
      <c r="A2605" t="s">
        <v>2614</v>
      </c>
      <c r="B2605">
        <v>910575</v>
      </c>
      <c r="C2605">
        <v>8988800</v>
      </c>
      <c r="D2605">
        <v>465154</v>
      </c>
      <c r="E2605">
        <v>1603000</v>
      </c>
      <c r="F2605">
        <v>14802115</v>
      </c>
      <c r="G2605">
        <v>518800</v>
      </c>
      <c r="H2605">
        <v>18615980</v>
      </c>
      <c r="I2605">
        <v>186200</v>
      </c>
      <c r="J2605">
        <v>18589576</v>
      </c>
      <c r="K2605">
        <v>202300</v>
      </c>
    </row>
    <row r="2606" spans="1:11" x14ac:dyDescent="0.3">
      <c r="A2606" t="s">
        <v>2615</v>
      </c>
      <c r="B2606">
        <v>910575</v>
      </c>
      <c r="C2606">
        <v>8412700</v>
      </c>
      <c r="D2606">
        <v>464236</v>
      </c>
      <c r="E2606">
        <v>1597800</v>
      </c>
      <c r="F2606">
        <v>14814513</v>
      </c>
      <c r="G2606">
        <v>518300</v>
      </c>
      <c r="H2606">
        <v>18631594</v>
      </c>
      <c r="I2606">
        <v>183400</v>
      </c>
      <c r="J2606">
        <v>18604914</v>
      </c>
      <c r="K2606">
        <v>203300</v>
      </c>
    </row>
    <row r="2607" spans="1:11" x14ac:dyDescent="0.3">
      <c r="A2607" t="s">
        <v>2616</v>
      </c>
      <c r="B2607">
        <v>910575</v>
      </c>
      <c r="C2607">
        <v>8597700</v>
      </c>
      <c r="D2607">
        <v>472508</v>
      </c>
      <c r="E2607">
        <v>1667300</v>
      </c>
      <c r="F2607">
        <v>14826871</v>
      </c>
      <c r="G2607">
        <v>521800</v>
      </c>
      <c r="H2607">
        <v>18646984</v>
      </c>
      <c r="I2607">
        <v>179200</v>
      </c>
      <c r="J2607">
        <v>18621943</v>
      </c>
      <c r="K2607">
        <v>197300</v>
      </c>
    </row>
    <row r="2608" spans="1:11" x14ac:dyDescent="0.3">
      <c r="A2608" t="s">
        <v>2617</v>
      </c>
      <c r="B2608">
        <v>910575</v>
      </c>
      <c r="C2608">
        <v>8426600</v>
      </c>
      <c r="D2608">
        <v>447441</v>
      </c>
      <c r="E2608">
        <v>1551800</v>
      </c>
      <c r="F2608">
        <v>14839221</v>
      </c>
      <c r="G2608">
        <v>517400</v>
      </c>
      <c r="H2608">
        <v>18662925</v>
      </c>
      <c r="I2608">
        <v>182600</v>
      </c>
      <c r="J2608">
        <v>18637618</v>
      </c>
      <c r="K2608">
        <v>201900</v>
      </c>
    </row>
    <row r="2609" spans="1:11" x14ac:dyDescent="0.3">
      <c r="A2609" t="s">
        <v>2618</v>
      </c>
      <c r="B2609">
        <v>910575</v>
      </c>
      <c r="C2609">
        <v>8143600</v>
      </c>
      <c r="D2609">
        <v>462463</v>
      </c>
      <c r="E2609">
        <v>1615200</v>
      </c>
      <c r="F2609">
        <v>14851610</v>
      </c>
      <c r="G2609">
        <v>526100</v>
      </c>
      <c r="H2609">
        <v>18678740</v>
      </c>
      <c r="I2609">
        <v>178000</v>
      </c>
      <c r="J2609">
        <v>18652249</v>
      </c>
      <c r="K2609">
        <v>194900</v>
      </c>
    </row>
    <row r="2610" spans="1:11" x14ac:dyDescent="0.3">
      <c r="A2610" t="s">
        <v>2619</v>
      </c>
      <c r="B2610">
        <v>910575</v>
      </c>
      <c r="C2610">
        <v>8313600</v>
      </c>
      <c r="D2610">
        <v>452802</v>
      </c>
      <c r="E2610">
        <v>1562700</v>
      </c>
      <c r="F2610">
        <v>14863961</v>
      </c>
      <c r="G2610">
        <v>564300</v>
      </c>
      <c r="H2610">
        <v>18694209</v>
      </c>
      <c r="I2610">
        <v>179900</v>
      </c>
      <c r="J2610">
        <v>18667789</v>
      </c>
      <c r="K2610">
        <v>200000</v>
      </c>
    </row>
    <row r="2611" spans="1:11" x14ac:dyDescent="0.3">
      <c r="A2611" t="s">
        <v>2620</v>
      </c>
      <c r="B2611">
        <v>910575</v>
      </c>
      <c r="C2611">
        <v>8670100</v>
      </c>
      <c r="D2611">
        <v>457809</v>
      </c>
      <c r="E2611">
        <v>1835500</v>
      </c>
      <c r="F2611">
        <v>14876335</v>
      </c>
      <c r="G2611">
        <v>530500</v>
      </c>
      <c r="H2611">
        <v>18710433</v>
      </c>
      <c r="I2611">
        <v>177400</v>
      </c>
      <c r="J2611">
        <v>18683446</v>
      </c>
      <c r="K2611">
        <v>199800</v>
      </c>
    </row>
    <row r="2612" spans="1:11" x14ac:dyDescent="0.3">
      <c r="A2612" t="s">
        <v>2621</v>
      </c>
      <c r="B2612">
        <v>910575</v>
      </c>
      <c r="C2612">
        <v>8288200</v>
      </c>
      <c r="D2612">
        <v>446506</v>
      </c>
      <c r="E2612">
        <v>1588800</v>
      </c>
      <c r="F2612">
        <v>14888682</v>
      </c>
      <c r="G2612">
        <v>527300</v>
      </c>
      <c r="H2612">
        <v>18726032</v>
      </c>
      <c r="I2612">
        <v>180700</v>
      </c>
      <c r="J2612">
        <v>18698085</v>
      </c>
      <c r="K2612">
        <v>197300</v>
      </c>
    </row>
    <row r="2613" spans="1:11" x14ac:dyDescent="0.3">
      <c r="A2613" t="s">
        <v>2622</v>
      </c>
      <c r="B2613">
        <v>910575</v>
      </c>
      <c r="C2613">
        <v>8288300</v>
      </c>
      <c r="D2613">
        <v>472895</v>
      </c>
      <c r="E2613">
        <v>1631100</v>
      </c>
      <c r="F2613">
        <v>14901043</v>
      </c>
      <c r="G2613">
        <v>565800</v>
      </c>
      <c r="H2613">
        <v>18741440</v>
      </c>
      <c r="I2613">
        <v>179900</v>
      </c>
      <c r="J2613">
        <v>18713205</v>
      </c>
      <c r="K2613">
        <v>198200</v>
      </c>
    </row>
    <row r="2614" spans="1:11" x14ac:dyDescent="0.3">
      <c r="A2614" t="s">
        <v>2623</v>
      </c>
      <c r="B2614">
        <v>910575</v>
      </c>
      <c r="C2614">
        <v>8553400</v>
      </c>
      <c r="D2614">
        <v>460135</v>
      </c>
      <c r="E2614">
        <v>1716400</v>
      </c>
      <c r="F2614">
        <v>14913417</v>
      </c>
      <c r="G2614">
        <v>528100</v>
      </c>
      <c r="H2614">
        <v>18756339</v>
      </c>
      <c r="I2614">
        <v>178000</v>
      </c>
      <c r="J2614">
        <v>18728559</v>
      </c>
      <c r="K2614">
        <v>200100</v>
      </c>
    </row>
    <row r="2615" spans="1:11" x14ac:dyDescent="0.3">
      <c r="A2615" t="s">
        <v>2624</v>
      </c>
      <c r="B2615">
        <v>910575</v>
      </c>
      <c r="C2615">
        <v>8088900</v>
      </c>
      <c r="D2615">
        <v>447897</v>
      </c>
      <c r="E2615">
        <v>1556200</v>
      </c>
      <c r="F2615">
        <v>14925772</v>
      </c>
      <c r="G2615">
        <v>528700</v>
      </c>
      <c r="H2615">
        <v>18771881</v>
      </c>
      <c r="I2615">
        <v>183800</v>
      </c>
      <c r="J2615">
        <v>18742716</v>
      </c>
      <c r="K2615">
        <v>207800</v>
      </c>
    </row>
    <row r="2616" spans="1:11" x14ac:dyDescent="0.3">
      <c r="A2616" t="s">
        <v>2625</v>
      </c>
      <c r="B2616">
        <v>910575</v>
      </c>
      <c r="C2616">
        <v>8047800</v>
      </c>
      <c r="D2616">
        <v>459028</v>
      </c>
      <c r="E2616">
        <v>1579200</v>
      </c>
      <c r="F2616">
        <v>14938140</v>
      </c>
      <c r="G2616">
        <v>529200</v>
      </c>
      <c r="H2616">
        <v>18786854</v>
      </c>
      <c r="I2616">
        <v>175900</v>
      </c>
      <c r="J2616">
        <v>18758720</v>
      </c>
      <c r="K2616">
        <v>200100</v>
      </c>
    </row>
    <row r="2617" spans="1:11" x14ac:dyDescent="0.3">
      <c r="A2617" t="s">
        <v>2626</v>
      </c>
      <c r="B2617">
        <v>910575</v>
      </c>
      <c r="C2617">
        <v>8184900</v>
      </c>
      <c r="D2617">
        <v>456235</v>
      </c>
      <c r="E2617">
        <v>1622400</v>
      </c>
      <c r="F2617">
        <v>14950533</v>
      </c>
      <c r="G2617">
        <v>519300</v>
      </c>
      <c r="H2617">
        <v>18801833</v>
      </c>
      <c r="I2617">
        <v>181100</v>
      </c>
      <c r="J2617">
        <v>18774058</v>
      </c>
      <c r="K2617">
        <v>199500</v>
      </c>
    </row>
    <row r="2618" spans="1:11" x14ac:dyDescent="0.3">
      <c r="A2618" t="s">
        <v>2627</v>
      </c>
      <c r="B2618">
        <v>910575</v>
      </c>
      <c r="C2618">
        <v>8281300</v>
      </c>
      <c r="D2618">
        <v>471819</v>
      </c>
      <c r="E2618">
        <v>1624400</v>
      </c>
      <c r="F2618">
        <v>14962902</v>
      </c>
      <c r="G2618">
        <v>516100</v>
      </c>
      <c r="H2618">
        <v>18817211</v>
      </c>
      <c r="I2618">
        <v>174000</v>
      </c>
      <c r="J2618">
        <v>18788968</v>
      </c>
      <c r="K2618">
        <v>197600</v>
      </c>
    </row>
    <row r="2619" spans="1:11" x14ac:dyDescent="0.3">
      <c r="A2619" t="s">
        <v>2628</v>
      </c>
      <c r="B2619">
        <v>910575</v>
      </c>
      <c r="C2619">
        <v>8456200</v>
      </c>
      <c r="D2619">
        <v>456478</v>
      </c>
      <c r="E2619">
        <v>1570900</v>
      </c>
      <c r="F2619">
        <v>14975285</v>
      </c>
      <c r="G2619">
        <v>513300</v>
      </c>
      <c r="H2619">
        <v>18832261</v>
      </c>
      <c r="I2619">
        <v>184100</v>
      </c>
      <c r="J2619">
        <v>18805074</v>
      </c>
      <c r="K2619">
        <v>195200</v>
      </c>
    </row>
    <row r="2620" spans="1:11" x14ac:dyDescent="0.3">
      <c r="A2620" t="s">
        <v>2629</v>
      </c>
      <c r="B2620">
        <v>910575</v>
      </c>
      <c r="C2620">
        <v>8930800</v>
      </c>
      <c r="D2620">
        <v>451088</v>
      </c>
      <c r="E2620">
        <v>1592400</v>
      </c>
      <c r="F2620">
        <v>14987626</v>
      </c>
      <c r="G2620">
        <v>521700</v>
      </c>
      <c r="H2620">
        <v>18848896</v>
      </c>
      <c r="I2620">
        <v>182000</v>
      </c>
      <c r="J2620">
        <v>18821261</v>
      </c>
      <c r="K2620">
        <v>204600</v>
      </c>
    </row>
    <row r="2621" spans="1:11" x14ac:dyDescent="0.3">
      <c r="A2621" t="s">
        <v>2630</v>
      </c>
      <c r="B2621">
        <v>910575</v>
      </c>
      <c r="C2621">
        <v>8237200</v>
      </c>
      <c r="D2621">
        <v>476931</v>
      </c>
      <c r="E2621">
        <v>1697100</v>
      </c>
      <c r="F2621">
        <v>14999942</v>
      </c>
      <c r="G2621">
        <v>522700</v>
      </c>
      <c r="H2621">
        <v>18865354</v>
      </c>
      <c r="I2621">
        <v>215500</v>
      </c>
      <c r="J2621">
        <v>18837525</v>
      </c>
      <c r="K2621">
        <v>297100</v>
      </c>
    </row>
    <row r="2622" spans="1:11" x14ac:dyDescent="0.3">
      <c r="A2622" t="s">
        <v>2631</v>
      </c>
      <c r="B2622">
        <v>910575</v>
      </c>
      <c r="C2622">
        <v>9053700</v>
      </c>
      <c r="D2622">
        <v>454160</v>
      </c>
      <c r="E2622">
        <v>1594200</v>
      </c>
      <c r="F2622">
        <v>15012334</v>
      </c>
      <c r="G2622">
        <v>522100</v>
      </c>
      <c r="H2622">
        <v>18881841</v>
      </c>
      <c r="I2622">
        <v>180900</v>
      </c>
      <c r="J2622">
        <v>18852764</v>
      </c>
      <c r="K2622">
        <v>194900</v>
      </c>
    </row>
    <row r="2623" spans="1:11" x14ac:dyDescent="0.3">
      <c r="A2623" t="s">
        <v>2632</v>
      </c>
      <c r="B2623">
        <v>910575</v>
      </c>
      <c r="C2623">
        <v>8418900</v>
      </c>
      <c r="D2623">
        <v>450700</v>
      </c>
      <c r="E2623">
        <v>2216000</v>
      </c>
      <c r="F2623">
        <v>15024723</v>
      </c>
      <c r="G2623">
        <v>519900</v>
      </c>
      <c r="H2623">
        <v>18897060</v>
      </c>
      <c r="I2623">
        <v>174900</v>
      </c>
      <c r="J2623">
        <v>18868351</v>
      </c>
      <c r="K2623">
        <v>201100</v>
      </c>
    </row>
    <row r="2624" spans="1:11" x14ac:dyDescent="0.3">
      <c r="A2624" t="s">
        <v>2633</v>
      </c>
      <c r="B2624">
        <v>910575</v>
      </c>
      <c r="C2624">
        <v>8513900</v>
      </c>
      <c r="D2624">
        <v>457713</v>
      </c>
      <c r="E2624">
        <v>1583700</v>
      </c>
      <c r="F2624">
        <v>15037119</v>
      </c>
      <c r="G2624">
        <v>519200</v>
      </c>
      <c r="H2624">
        <v>18912214</v>
      </c>
      <c r="I2624">
        <v>180900</v>
      </c>
      <c r="J2624">
        <v>18883513</v>
      </c>
      <c r="K2624">
        <v>194400</v>
      </c>
    </row>
    <row r="2625" spans="1:11" x14ac:dyDescent="0.3">
      <c r="A2625" t="s">
        <v>2634</v>
      </c>
      <c r="B2625">
        <v>910575</v>
      </c>
      <c r="C2625">
        <v>8469300</v>
      </c>
      <c r="D2625">
        <v>440224</v>
      </c>
      <c r="E2625">
        <v>1551300</v>
      </c>
      <c r="F2625">
        <v>15049456</v>
      </c>
      <c r="G2625">
        <v>524400</v>
      </c>
      <c r="H2625">
        <v>18928324</v>
      </c>
      <c r="I2625">
        <v>177500</v>
      </c>
      <c r="J2625">
        <v>18899146</v>
      </c>
      <c r="K2625">
        <v>200800</v>
      </c>
    </row>
    <row r="2626" spans="1:11" x14ac:dyDescent="0.3">
      <c r="A2626" t="s">
        <v>2635</v>
      </c>
      <c r="B2626">
        <v>910575</v>
      </c>
      <c r="C2626">
        <v>8647700</v>
      </c>
      <c r="D2626">
        <v>455165</v>
      </c>
      <c r="E2626">
        <v>1585900</v>
      </c>
      <c r="F2626">
        <v>15061800</v>
      </c>
      <c r="G2626">
        <v>516200</v>
      </c>
      <c r="H2626">
        <v>18944007</v>
      </c>
      <c r="I2626">
        <v>181400</v>
      </c>
      <c r="J2626">
        <v>18914709</v>
      </c>
      <c r="K2626">
        <v>199700</v>
      </c>
    </row>
    <row r="2627" spans="1:11" x14ac:dyDescent="0.3">
      <c r="A2627" t="s">
        <v>2636</v>
      </c>
      <c r="B2627">
        <v>910575</v>
      </c>
      <c r="C2627">
        <v>8481400</v>
      </c>
      <c r="D2627">
        <v>448996</v>
      </c>
      <c r="E2627">
        <v>1551500</v>
      </c>
      <c r="F2627">
        <v>15074189</v>
      </c>
      <c r="G2627">
        <v>518300</v>
      </c>
      <c r="H2627">
        <v>18960403</v>
      </c>
      <c r="I2627">
        <v>177900</v>
      </c>
      <c r="J2627">
        <v>18930193</v>
      </c>
      <c r="K2627">
        <v>201700</v>
      </c>
    </row>
    <row r="2628" spans="1:11" x14ac:dyDescent="0.3">
      <c r="A2628" t="s">
        <v>2637</v>
      </c>
      <c r="B2628">
        <v>910575</v>
      </c>
      <c r="C2628">
        <v>8359200</v>
      </c>
      <c r="D2628">
        <v>441178</v>
      </c>
      <c r="E2628">
        <v>1590700</v>
      </c>
      <c r="F2628">
        <v>15086553</v>
      </c>
      <c r="G2628">
        <v>523800</v>
      </c>
      <c r="H2628">
        <v>18975819</v>
      </c>
      <c r="I2628">
        <v>187600</v>
      </c>
      <c r="J2628">
        <v>18946975</v>
      </c>
      <c r="K2628">
        <v>206700</v>
      </c>
    </row>
    <row r="2629" spans="1:11" x14ac:dyDescent="0.3">
      <c r="A2629" t="s">
        <v>2638</v>
      </c>
      <c r="B2629">
        <v>910575</v>
      </c>
      <c r="C2629">
        <v>8802600</v>
      </c>
      <c r="D2629">
        <v>450541</v>
      </c>
      <c r="E2629">
        <v>1590200</v>
      </c>
      <c r="F2629">
        <v>15098950</v>
      </c>
      <c r="G2629">
        <v>532900</v>
      </c>
      <c r="H2629">
        <v>18991800</v>
      </c>
      <c r="I2629">
        <v>182300</v>
      </c>
      <c r="J2629">
        <v>18962333</v>
      </c>
      <c r="K2629">
        <v>201300</v>
      </c>
    </row>
    <row r="2630" spans="1:11" x14ac:dyDescent="0.3">
      <c r="A2630" t="s">
        <v>2639</v>
      </c>
      <c r="B2630">
        <v>910575</v>
      </c>
      <c r="C2630">
        <v>8281000</v>
      </c>
      <c r="D2630">
        <v>454864</v>
      </c>
      <c r="E2630">
        <v>1664700</v>
      </c>
      <c r="F2630">
        <v>15111350</v>
      </c>
      <c r="G2630">
        <v>522900</v>
      </c>
      <c r="H2630">
        <v>19007030</v>
      </c>
      <c r="I2630">
        <v>175600</v>
      </c>
      <c r="J2630">
        <v>18977313</v>
      </c>
      <c r="K2630">
        <v>201900</v>
      </c>
    </row>
    <row r="2631" spans="1:11" x14ac:dyDescent="0.3">
      <c r="A2631" t="s">
        <v>2640</v>
      </c>
      <c r="B2631">
        <v>910575</v>
      </c>
      <c r="C2631">
        <v>8197000</v>
      </c>
      <c r="D2631">
        <v>450504</v>
      </c>
      <c r="E2631">
        <v>1606100</v>
      </c>
      <c r="F2631">
        <v>15123705</v>
      </c>
      <c r="G2631">
        <v>525800</v>
      </c>
      <c r="H2631">
        <v>19022233</v>
      </c>
      <c r="I2631">
        <v>175200</v>
      </c>
      <c r="J2631">
        <v>18992064</v>
      </c>
      <c r="K2631">
        <v>193700</v>
      </c>
    </row>
    <row r="2632" spans="1:11" x14ac:dyDescent="0.3">
      <c r="A2632" t="s">
        <v>2641</v>
      </c>
      <c r="B2632">
        <v>910575</v>
      </c>
      <c r="C2632">
        <v>8238300</v>
      </c>
      <c r="D2632">
        <v>461873</v>
      </c>
      <c r="E2632">
        <v>1625100</v>
      </c>
      <c r="F2632">
        <v>15136062</v>
      </c>
      <c r="G2632">
        <v>525400</v>
      </c>
      <c r="H2632">
        <v>19037240</v>
      </c>
      <c r="I2632">
        <v>177000</v>
      </c>
      <c r="J2632">
        <v>19007318</v>
      </c>
      <c r="K2632">
        <v>196200</v>
      </c>
    </row>
    <row r="2633" spans="1:11" x14ac:dyDescent="0.3">
      <c r="A2633" t="s">
        <v>2642</v>
      </c>
      <c r="B2633">
        <v>910575</v>
      </c>
      <c r="C2633">
        <v>8275300</v>
      </c>
      <c r="D2633">
        <v>455214</v>
      </c>
      <c r="E2633">
        <v>1624800</v>
      </c>
      <c r="F2633">
        <v>15148395</v>
      </c>
      <c r="G2633">
        <v>522200</v>
      </c>
      <c r="H2633">
        <v>19054272</v>
      </c>
      <c r="I2633">
        <v>185600</v>
      </c>
      <c r="J2633">
        <v>19022777</v>
      </c>
      <c r="K2633">
        <v>217300</v>
      </c>
    </row>
    <row r="2634" spans="1:11" x14ac:dyDescent="0.3">
      <c r="A2634" t="s">
        <v>2643</v>
      </c>
      <c r="B2634">
        <v>910575</v>
      </c>
      <c r="C2634">
        <v>8348900</v>
      </c>
      <c r="D2634">
        <v>439978</v>
      </c>
      <c r="E2634">
        <v>1606100</v>
      </c>
      <c r="F2634">
        <v>15160751</v>
      </c>
      <c r="G2634">
        <v>558200</v>
      </c>
      <c r="H2634">
        <v>19069585</v>
      </c>
      <c r="I2634">
        <v>180400</v>
      </c>
      <c r="J2634">
        <v>19039159</v>
      </c>
      <c r="K2634">
        <v>209500</v>
      </c>
    </row>
    <row r="2635" spans="1:11" x14ac:dyDescent="0.3">
      <c r="A2635" t="s">
        <v>2644</v>
      </c>
      <c r="B2635">
        <v>910575</v>
      </c>
      <c r="C2635">
        <v>8134900</v>
      </c>
      <c r="D2635">
        <v>457592</v>
      </c>
      <c r="E2635">
        <v>1768800</v>
      </c>
      <c r="F2635">
        <v>15173147</v>
      </c>
      <c r="G2635">
        <v>528300</v>
      </c>
      <c r="H2635">
        <v>19085668</v>
      </c>
      <c r="I2635">
        <v>181800</v>
      </c>
      <c r="J2635">
        <v>19054515</v>
      </c>
      <c r="K2635">
        <v>202600</v>
      </c>
    </row>
    <row r="2636" spans="1:11" x14ac:dyDescent="0.3">
      <c r="A2636" t="s">
        <v>2645</v>
      </c>
      <c r="B2636">
        <v>910575</v>
      </c>
      <c r="C2636">
        <v>8217900</v>
      </c>
      <c r="D2636">
        <v>453230</v>
      </c>
      <c r="E2636">
        <v>1787500</v>
      </c>
      <c r="F2636">
        <v>15185507</v>
      </c>
      <c r="G2636">
        <v>538400</v>
      </c>
      <c r="H2636">
        <v>19101713</v>
      </c>
      <c r="I2636">
        <v>180800</v>
      </c>
      <c r="J2636">
        <v>19069768</v>
      </c>
      <c r="K2636">
        <v>200600</v>
      </c>
    </row>
    <row r="2637" spans="1:11" x14ac:dyDescent="0.3">
      <c r="A2637" t="s">
        <v>2646</v>
      </c>
      <c r="B2637">
        <v>910575</v>
      </c>
      <c r="C2637">
        <v>8727400</v>
      </c>
      <c r="D2637">
        <v>466601</v>
      </c>
      <c r="E2637">
        <v>1655500</v>
      </c>
      <c r="F2637">
        <v>15197872</v>
      </c>
      <c r="G2637">
        <v>526800</v>
      </c>
      <c r="H2637">
        <v>19116633</v>
      </c>
      <c r="I2637">
        <v>178200</v>
      </c>
      <c r="J2637">
        <v>19085730</v>
      </c>
      <c r="K2637">
        <v>196200</v>
      </c>
    </row>
    <row r="2638" spans="1:11" x14ac:dyDescent="0.3">
      <c r="A2638" t="s">
        <v>2647</v>
      </c>
      <c r="B2638">
        <v>910575</v>
      </c>
      <c r="C2638">
        <v>8386100</v>
      </c>
      <c r="D2638">
        <v>446107</v>
      </c>
      <c r="E2638">
        <v>1574200</v>
      </c>
      <c r="F2638">
        <v>15210180</v>
      </c>
      <c r="G2638">
        <v>521300</v>
      </c>
      <c r="H2638">
        <v>19131837</v>
      </c>
      <c r="I2638">
        <v>184400</v>
      </c>
      <c r="J2638">
        <v>19101400</v>
      </c>
      <c r="K2638">
        <v>203400</v>
      </c>
    </row>
    <row r="2639" spans="1:11" x14ac:dyDescent="0.3">
      <c r="A2639" t="s">
        <v>2648</v>
      </c>
      <c r="B2639">
        <v>910575</v>
      </c>
      <c r="C2639">
        <v>9160100</v>
      </c>
      <c r="D2639">
        <v>463582</v>
      </c>
      <c r="E2639">
        <v>1604100</v>
      </c>
      <c r="F2639">
        <v>15222551</v>
      </c>
      <c r="G2639">
        <v>522400</v>
      </c>
      <c r="H2639">
        <v>19146911</v>
      </c>
      <c r="I2639">
        <v>176400</v>
      </c>
      <c r="J2639">
        <v>19117307</v>
      </c>
      <c r="K2639">
        <v>202200</v>
      </c>
    </row>
    <row r="2640" spans="1:11" x14ac:dyDescent="0.3">
      <c r="A2640" t="s">
        <v>2649</v>
      </c>
      <c r="B2640">
        <v>910575</v>
      </c>
      <c r="C2640">
        <v>8110900</v>
      </c>
      <c r="D2640">
        <v>463239</v>
      </c>
      <c r="E2640">
        <v>1597800</v>
      </c>
      <c r="F2640">
        <v>15234922</v>
      </c>
      <c r="G2640">
        <v>515200</v>
      </c>
      <c r="H2640">
        <v>19161440</v>
      </c>
      <c r="I2640">
        <v>177200</v>
      </c>
      <c r="J2640">
        <v>19133344</v>
      </c>
      <c r="K2640">
        <v>193200</v>
      </c>
    </row>
    <row r="2641" spans="1:11" x14ac:dyDescent="0.3">
      <c r="A2641" t="s">
        <v>2650</v>
      </c>
      <c r="B2641">
        <v>910575</v>
      </c>
      <c r="C2641">
        <v>8314100</v>
      </c>
      <c r="D2641">
        <v>447217</v>
      </c>
      <c r="E2641">
        <v>2133500</v>
      </c>
      <c r="F2641">
        <v>15247258</v>
      </c>
      <c r="G2641">
        <v>628700</v>
      </c>
      <c r="H2641">
        <v>19178564</v>
      </c>
      <c r="I2641">
        <v>188300</v>
      </c>
      <c r="J2641">
        <v>19148804</v>
      </c>
      <c r="K2641">
        <v>204700</v>
      </c>
    </row>
    <row r="2642" spans="1:11" x14ac:dyDescent="0.3">
      <c r="A2642" t="s">
        <v>2651</v>
      </c>
      <c r="B2642">
        <v>910575</v>
      </c>
      <c r="C2642">
        <v>8231700</v>
      </c>
      <c r="D2642">
        <v>460712</v>
      </c>
      <c r="E2642">
        <v>1588500</v>
      </c>
      <c r="F2642">
        <v>15259638</v>
      </c>
      <c r="G2642">
        <v>517400</v>
      </c>
      <c r="H2642">
        <v>19193844</v>
      </c>
      <c r="I2642">
        <v>180400</v>
      </c>
      <c r="J2642">
        <v>19163555</v>
      </c>
      <c r="K2642">
        <v>191000</v>
      </c>
    </row>
    <row r="2643" spans="1:11" x14ac:dyDescent="0.3">
      <c r="A2643" t="s">
        <v>2652</v>
      </c>
      <c r="B2643">
        <v>910575</v>
      </c>
      <c r="C2643">
        <v>8092000</v>
      </c>
      <c r="D2643">
        <v>461822</v>
      </c>
      <c r="E2643">
        <v>1722600</v>
      </c>
      <c r="F2643">
        <v>15271984</v>
      </c>
      <c r="G2643">
        <v>528000</v>
      </c>
      <c r="H2643">
        <v>19211779</v>
      </c>
      <c r="I2643">
        <v>183700</v>
      </c>
      <c r="J2643">
        <v>19179297</v>
      </c>
      <c r="K2643">
        <v>199200</v>
      </c>
    </row>
    <row r="2644" spans="1:11" x14ac:dyDescent="0.3">
      <c r="A2644" t="s">
        <v>2653</v>
      </c>
      <c r="B2644">
        <v>910575</v>
      </c>
      <c r="C2644">
        <v>8240300</v>
      </c>
      <c r="D2644">
        <v>456242</v>
      </c>
      <c r="E2644">
        <v>1616000</v>
      </c>
      <c r="F2644">
        <v>15284322</v>
      </c>
      <c r="G2644">
        <v>515600</v>
      </c>
      <c r="H2644">
        <v>19226189</v>
      </c>
      <c r="I2644">
        <v>179300</v>
      </c>
      <c r="J2644">
        <v>19194878</v>
      </c>
      <c r="K2644">
        <v>196000</v>
      </c>
    </row>
    <row r="2645" spans="1:11" x14ac:dyDescent="0.3">
      <c r="A2645" t="s">
        <v>2654</v>
      </c>
      <c r="B2645">
        <v>910575</v>
      </c>
      <c r="C2645">
        <v>8021900</v>
      </c>
      <c r="D2645">
        <v>462358</v>
      </c>
      <c r="E2645">
        <v>1851200</v>
      </c>
      <c r="F2645">
        <v>15296675</v>
      </c>
      <c r="G2645">
        <v>649500</v>
      </c>
      <c r="H2645">
        <v>19241067</v>
      </c>
      <c r="I2645">
        <v>224300</v>
      </c>
      <c r="J2645">
        <v>19209647</v>
      </c>
      <c r="K2645">
        <v>244200</v>
      </c>
    </row>
    <row r="2646" spans="1:11" x14ac:dyDescent="0.3">
      <c r="A2646" t="s">
        <v>2655</v>
      </c>
      <c r="B2646">
        <v>910575</v>
      </c>
      <c r="C2646">
        <v>8395200</v>
      </c>
      <c r="D2646">
        <v>457128</v>
      </c>
      <c r="E2646">
        <v>1959500</v>
      </c>
      <c r="F2646">
        <v>15309033</v>
      </c>
      <c r="G2646">
        <v>614200</v>
      </c>
      <c r="H2646">
        <v>19257340</v>
      </c>
      <c r="I2646">
        <v>185900</v>
      </c>
      <c r="J2646">
        <v>19225246</v>
      </c>
      <c r="K2646">
        <v>208400</v>
      </c>
    </row>
    <row r="2647" spans="1:11" x14ac:dyDescent="0.3">
      <c r="A2647" t="s">
        <v>2656</v>
      </c>
      <c r="B2647">
        <v>910575</v>
      </c>
      <c r="C2647">
        <v>8993300</v>
      </c>
      <c r="D2647">
        <v>462315</v>
      </c>
      <c r="E2647">
        <v>1638200</v>
      </c>
      <c r="F2647">
        <v>15321378</v>
      </c>
      <c r="G2647">
        <v>519100</v>
      </c>
      <c r="H2647">
        <v>19272992</v>
      </c>
      <c r="I2647">
        <v>177600</v>
      </c>
      <c r="J2647">
        <v>19241206</v>
      </c>
      <c r="K2647">
        <v>196500</v>
      </c>
    </row>
    <row r="2648" spans="1:11" x14ac:dyDescent="0.3">
      <c r="A2648" t="s">
        <v>2657</v>
      </c>
      <c r="B2648">
        <v>910575</v>
      </c>
      <c r="C2648">
        <v>7927600</v>
      </c>
      <c r="D2648">
        <v>459389</v>
      </c>
      <c r="E2648">
        <v>2170100</v>
      </c>
      <c r="F2648">
        <v>15333755</v>
      </c>
      <c r="G2648">
        <v>641400</v>
      </c>
      <c r="H2648">
        <v>19289361</v>
      </c>
      <c r="I2648">
        <v>190500</v>
      </c>
      <c r="J2648">
        <v>19258916</v>
      </c>
      <c r="K2648">
        <v>251300</v>
      </c>
    </row>
    <row r="2649" spans="1:11" x14ac:dyDescent="0.3">
      <c r="A2649" t="s">
        <v>2658</v>
      </c>
      <c r="B2649">
        <v>910575</v>
      </c>
      <c r="C2649">
        <v>8254700</v>
      </c>
      <c r="D2649">
        <v>441376</v>
      </c>
      <c r="E2649">
        <v>1575300</v>
      </c>
      <c r="F2649">
        <v>15346098</v>
      </c>
      <c r="G2649">
        <v>721700</v>
      </c>
      <c r="H2649">
        <v>19304987</v>
      </c>
      <c r="I2649">
        <v>182400</v>
      </c>
      <c r="J2649">
        <v>19276191</v>
      </c>
      <c r="K2649">
        <v>194900</v>
      </c>
    </row>
    <row r="2650" spans="1:11" x14ac:dyDescent="0.3">
      <c r="A2650" t="s">
        <v>2659</v>
      </c>
      <c r="B2650">
        <v>910575</v>
      </c>
      <c r="C2650">
        <v>8093100</v>
      </c>
      <c r="D2650">
        <v>461446</v>
      </c>
      <c r="E2650">
        <v>1593800</v>
      </c>
      <c r="F2650">
        <v>15358459</v>
      </c>
      <c r="G2650">
        <v>528600</v>
      </c>
      <c r="H2650">
        <v>19320786</v>
      </c>
      <c r="I2650">
        <v>175800</v>
      </c>
      <c r="J2650">
        <v>19290436</v>
      </c>
      <c r="K2650">
        <v>195600</v>
      </c>
    </row>
    <row r="2651" spans="1:11" x14ac:dyDescent="0.3">
      <c r="A2651" t="s">
        <v>2660</v>
      </c>
      <c r="B2651">
        <v>910575</v>
      </c>
      <c r="C2651">
        <v>8226100</v>
      </c>
      <c r="D2651">
        <v>453256</v>
      </c>
      <c r="E2651">
        <v>1563700</v>
      </c>
      <c r="F2651">
        <v>15370850</v>
      </c>
      <c r="G2651">
        <v>516900</v>
      </c>
      <c r="H2651">
        <v>19337784</v>
      </c>
      <c r="I2651">
        <v>183000</v>
      </c>
      <c r="J2651">
        <v>19306081</v>
      </c>
      <c r="K2651">
        <v>198500</v>
      </c>
    </row>
    <row r="2652" spans="1:11" x14ac:dyDescent="0.3">
      <c r="A2652" t="s">
        <v>2661</v>
      </c>
      <c r="B2652">
        <v>910575</v>
      </c>
      <c r="C2652">
        <v>8977900</v>
      </c>
      <c r="D2652">
        <v>458997</v>
      </c>
      <c r="E2652">
        <v>1619100</v>
      </c>
      <c r="F2652">
        <v>15383209</v>
      </c>
      <c r="G2652">
        <v>525300</v>
      </c>
      <c r="H2652">
        <v>19351796</v>
      </c>
      <c r="I2652">
        <v>207400</v>
      </c>
      <c r="J2652">
        <v>19322732</v>
      </c>
      <c r="K2652">
        <v>197900</v>
      </c>
    </row>
    <row r="2653" spans="1:11" x14ac:dyDescent="0.3">
      <c r="A2653" t="s">
        <v>2662</v>
      </c>
      <c r="B2653">
        <v>910575</v>
      </c>
      <c r="C2653">
        <v>7982200</v>
      </c>
      <c r="D2653">
        <v>453812</v>
      </c>
      <c r="E2653">
        <v>1615800</v>
      </c>
      <c r="F2653">
        <v>15395601</v>
      </c>
      <c r="G2653">
        <v>524800</v>
      </c>
      <c r="H2653">
        <v>19366806</v>
      </c>
      <c r="I2653">
        <v>178000</v>
      </c>
      <c r="J2653">
        <v>19338587</v>
      </c>
      <c r="K2653">
        <v>196900</v>
      </c>
    </row>
    <row r="2654" spans="1:11" x14ac:dyDescent="0.3">
      <c r="A2654" t="s">
        <v>2663</v>
      </c>
      <c r="B2654">
        <v>910575</v>
      </c>
      <c r="C2654">
        <v>8143200</v>
      </c>
      <c r="D2654">
        <v>446817</v>
      </c>
      <c r="E2654">
        <v>1563000</v>
      </c>
      <c r="F2654">
        <v>15407971</v>
      </c>
      <c r="G2654">
        <v>604600</v>
      </c>
      <c r="H2654">
        <v>19381511</v>
      </c>
      <c r="I2654">
        <v>228100</v>
      </c>
      <c r="J2654">
        <v>19354298</v>
      </c>
      <c r="K2654">
        <v>196500</v>
      </c>
    </row>
    <row r="2655" spans="1:11" x14ac:dyDescent="0.3">
      <c r="A2655" t="s">
        <v>2664</v>
      </c>
      <c r="B2655">
        <v>910575</v>
      </c>
      <c r="C2655">
        <v>8238700</v>
      </c>
      <c r="D2655">
        <v>452369</v>
      </c>
      <c r="E2655">
        <v>1560400</v>
      </c>
      <c r="F2655">
        <v>15420322</v>
      </c>
      <c r="G2655">
        <v>517300</v>
      </c>
      <c r="H2655">
        <v>19395639</v>
      </c>
      <c r="I2655">
        <v>178100</v>
      </c>
      <c r="J2655">
        <v>19370153</v>
      </c>
      <c r="K2655">
        <v>193900</v>
      </c>
    </row>
    <row r="2656" spans="1:11" x14ac:dyDescent="0.3">
      <c r="A2656" t="s">
        <v>2665</v>
      </c>
      <c r="B2656">
        <v>910575</v>
      </c>
      <c r="C2656">
        <v>8179900</v>
      </c>
      <c r="D2656">
        <v>455437</v>
      </c>
      <c r="E2656">
        <v>1611700</v>
      </c>
      <c r="F2656">
        <v>15432707</v>
      </c>
      <c r="G2656">
        <v>514800</v>
      </c>
      <c r="H2656">
        <v>19410744</v>
      </c>
      <c r="I2656">
        <v>176700</v>
      </c>
      <c r="J2656">
        <v>19385367</v>
      </c>
      <c r="K2656">
        <v>198000</v>
      </c>
    </row>
    <row r="2657" spans="1:11" x14ac:dyDescent="0.3">
      <c r="A2657" t="s">
        <v>2666</v>
      </c>
      <c r="B2657">
        <v>910575</v>
      </c>
      <c r="C2657">
        <v>8072400</v>
      </c>
      <c r="D2657">
        <v>460218</v>
      </c>
      <c r="E2657">
        <v>1632700</v>
      </c>
      <c r="F2657">
        <v>15445070</v>
      </c>
      <c r="G2657">
        <v>519200</v>
      </c>
      <c r="H2657">
        <v>19426253</v>
      </c>
      <c r="I2657">
        <v>180300</v>
      </c>
      <c r="J2657">
        <v>19400637</v>
      </c>
      <c r="K2657">
        <v>204800</v>
      </c>
    </row>
    <row r="2658" spans="1:11" x14ac:dyDescent="0.3">
      <c r="A2658" t="s">
        <v>2667</v>
      </c>
      <c r="B2658">
        <v>910575</v>
      </c>
      <c r="C2658">
        <v>8267900</v>
      </c>
      <c r="D2658">
        <v>446028</v>
      </c>
      <c r="E2658">
        <v>1540800</v>
      </c>
      <c r="F2658">
        <v>15457469</v>
      </c>
      <c r="G2658">
        <v>519200</v>
      </c>
      <c r="H2658">
        <v>19443160</v>
      </c>
      <c r="I2658">
        <v>183900</v>
      </c>
      <c r="J2658">
        <v>19415622</v>
      </c>
      <c r="K2658">
        <v>198900</v>
      </c>
    </row>
    <row r="2659" spans="1:11" x14ac:dyDescent="0.3">
      <c r="A2659" t="s">
        <v>2668</v>
      </c>
      <c r="B2659">
        <v>910575</v>
      </c>
      <c r="C2659">
        <v>7921800</v>
      </c>
      <c r="D2659">
        <v>453070</v>
      </c>
      <c r="E2659">
        <v>1615300</v>
      </c>
      <c r="F2659">
        <v>15469850</v>
      </c>
      <c r="G2659">
        <v>519700</v>
      </c>
      <c r="H2659">
        <v>19459334</v>
      </c>
      <c r="I2659">
        <v>181000</v>
      </c>
      <c r="J2659">
        <v>19431331</v>
      </c>
      <c r="K2659">
        <v>192900</v>
      </c>
    </row>
    <row r="2660" spans="1:11" x14ac:dyDescent="0.3">
      <c r="A2660" t="s">
        <v>2669</v>
      </c>
      <c r="B2660">
        <v>910575</v>
      </c>
      <c r="C2660">
        <v>8177300</v>
      </c>
      <c r="D2660">
        <v>448529</v>
      </c>
      <c r="E2660">
        <v>1650100</v>
      </c>
      <c r="F2660">
        <v>15482202</v>
      </c>
      <c r="G2660">
        <v>525700</v>
      </c>
      <c r="H2660">
        <v>19474244</v>
      </c>
      <c r="I2660">
        <v>175800</v>
      </c>
      <c r="J2660">
        <v>19445912</v>
      </c>
      <c r="K2660">
        <v>194200</v>
      </c>
    </row>
    <row r="2661" spans="1:11" x14ac:dyDescent="0.3">
      <c r="A2661" t="s">
        <v>2670</v>
      </c>
      <c r="B2661">
        <v>910575</v>
      </c>
      <c r="C2661">
        <v>8246700</v>
      </c>
      <c r="D2661">
        <v>454856</v>
      </c>
      <c r="E2661">
        <v>1587800</v>
      </c>
      <c r="F2661">
        <v>15494564</v>
      </c>
      <c r="G2661">
        <v>516400</v>
      </c>
      <c r="H2661">
        <v>19489369</v>
      </c>
      <c r="I2661">
        <v>178000</v>
      </c>
      <c r="J2661">
        <v>19460826</v>
      </c>
      <c r="K2661">
        <v>195400</v>
      </c>
    </row>
    <row r="2662" spans="1:11" x14ac:dyDescent="0.3">
      <c r="A2662" t="s">
        <v>2671</v>
      </c>
      <c r="B2662">
        <v>910575</v>
      </c>
      <c r="C2662">
        <v>8312500</v>
      </c>
      <c r="D2662">
        <v>460686</v>
      </c>
      <c r="E2662">
        <v>2074200</v>
      </c>
      <c r="F2662">
        <v>15506919</v>
      </c>
      <c r="G2662">
        <v>675300</v>
      </c>
      <c r="H2662">
        <v>19504882</v>
      </c>
      <c r="I2662">
        <v>180300</v>
      </c>
      <c r="J2662">
        <v>19477237</v>
      </c>
      <c r="K2662">
        <v>194100</v>
      </c>
    </row>
    <row r="2663" spans="1:11" x14ac:dyDescent="0.3">
      <c r="A2663" t="s">
        <v>2672</v>
      </c>
      <c r="B2663">
        <v>910575</v>
      </c>
      <c r="C2663">
        <v>8735900</v>
      </c>
      <c r="D2663">
        <v>467209</v>
      </c>
      <c r="E2663">
        <v>1611600</v>
      </c>
      <c r="F2663">
        <v>15519322</v>
      </c>
      <c r="G2663">
        <v>523600</v>
      </c>
      <c r="H2663">
        <v>19520289</v>
      </c>
      <c r="I2663">
        <v>176900</v>
      </c>
      <c r="J2663">
        <v>19493816</v>
      </c>
      <c r="K2663">
        <v>198200</v>
      </c>
    </row>
    <row r="2664" spans="1:11" x14ac:dyDescent="0.3">
      <c r="A2664" t="s">
        <v>2673</v>
      </c>
      <c r="B2664">
        <v>910575</v>
      </c>
      <c r="C2664">
        <v>7942400</v>
      </c>
      <c r="D2664">
        <v>451300</v>
      </c>
      <c r="E2664">
        <v>1596400</v>
      </c>
      <c r="F2664">
        <v>15531682</v>
      </c>
      <c r="G2664">
        <v>516700</v>
      </c>
      <c r="H2664">
        <v>19537058</v>
      </c>
      <c r="I2664">
        <v>221400</v>
      </c>
      <c r="J2664">
        <v>19509901</v>
      </c>
      <c r="K2664">
        <v>233500</v>
      </c>
    </row>
    <row r="2665" spans="1:11" x14ac:dyDescent="0.3">
      <c r="A2665" t="s">
        <v>2674</v>
      </c>
      <c r="B2665">
        <v>910575</v>
      </c>
      <c r="C2665">
        <v>8694000</v>
      </c>
      <c r="D2665">
        <v>458028</v>
      </c>
      <c r="E2665">
        <v>1625300</v>
      </c>
      <c r="F2665">
        <v>15544058</v>
      </c>
      <c r="G2665">
        <v>525000</v>
      </c>
      <c r="H2665">
        <v>19552071</v>
      </c>
      <c r="I2665">
        <v>178800</v>
      </c>
      <c r="J2665">
        <v>19524555</v>
      </c>
      <c r="K2665">
        <v>191000</v>
      </c>
    </row>
    <row r="2666" spans="1:11" x14ac:dyDescent="0.3">
      <c r="A2666" t="s">
        <v>2675</v>
      </c>
      <c r="B2666">
        <v>910575</v>
      </c>
      <c r="C2666">
        <v>8115800</v>
      </c>
      <c r="D2666">
        <v>464880</v>
      </c>
      <c r="E2666">
        <v>1600500</v>
      </c>
      <c r="F2666">
        <v>15556429</v>
      </c>
      <c r="G2666">
        <v>517000</v>
      </c>
      <c r="H2666">
        <v>19567181</v>
      </c>
      <c r="I2666">
        <v>176200</v>
      </c>
      <c r="J2666">
        <v>19539763</v>
      </c>
      <c r="K2666">
        <v>198600</v>
      </c>
    </row>
    <row r="2667" spans="1:11" x14ac:dyDescent="0.3">
      <c r="A2667" t="s">
        <v>2676</v>
      </c>
      <c r="B2667">
        <v>910575</v>
      </c>
      <c r="C2667">
        <v>8473300</v>
      </c>
      <c r="D2667">
        <v>462053</v>
      </c>
      <c r="E2667">
        <v>1974600</v>
      </c>
      <c r="F2667">
        <v>15568777</v>
      </c>
      <c r="G2667">
        <v>654900</v>
      </c>
      <c r="H2667">
        <v>19582830</v>
      </c>
      <c r="I2667">
        <v>224500</v>
      </c>
      <c r="J2667">
        <v>19554670</v>
      </c>
      <c r="K2667">
        <v>250600</v>
      </c>
    </row>
    <row r="2668" spans="1:11" x14ac:dyDescent="0.3">
      <c r="A2668" t="s">
        <v>2677</v>
      </c>
      <c r="B2668">
        <v>910575</v>
      </c>
      <c r="C2668">
        <v>8147600</v>
      </c>
      <c r="D2668">
        <v>452610</v>
      </c>
      <c r="E2668">
        <v>1601400</v>
      </c>
      <c r="F2668">
        <v>15581135</v>
      </c>
      <c r="G2668">
        <v>517300</v>
      </c>
      <c r="H2668">
        <v>19599272</v>
      </c>
      <c r="I2668">
        <v>181500</v>
      </c>
      <c r="J2668">
        <v>19571369</v>
      </c>
      <c r="K2668">
        <v>208700</v>
      </c>
    </row>
    <row r="2669" spans="1:11" x14ac:dyDescent="0.3">
      <c r="A2669" t="s">
        <v>2678</v>
      </c>
      <c r="B2669">
        <v>910575</v>
      </c>
      <c r="C2669">
        <v>8065200</v>
      </c>
      <c r="D2669">
        <v>462778</v>
      </c>
      <c r="E2669">
        <v>1590700</v>
      </c>
      <c r="F2669">
        <v>15593454</v>
      </c>
      <c r="G2669">
        <v>525800</v>
      </c>
      <c r="H2669">
        <v>19613367</v>
      </c>
      <c r="I2669">
        <v>178800</v>
      </c>
      <c r="J2669">
        <v>19586746</v>
      </c>
      <c r="K2669">
        <v>196800</v>
      </c>
    </row>
    <row r="2670" spans="1:11" x14ac:dyDescent="0.3">
      <c r="A2670" t="s">
        <v>2679</v>
      </c>
      <c r="B2670">
        <v>910575</v>
      </c>
      <c r="C2670">
        <v>8108600</v>
      </c>
      <c r="D2670">
        <v>469511</v>
      </c>
      <c r="E2670">
        <v>1623700</v>
      </c>
      <c r="F2670">
        <v>15605824</v>
      </c>
      <c r="G2670">
        <v>514700</v>
      </c>
      <c r="H2670">
        <v>19629133</v>
      </c>
      <c r="I2670">
        <v>181900</v>
      </c>
      <c r="J2670">
        <v>19602016</v>
      </c>
      <c r="K2670">
        <v>199500</v>
      </c>
    </row>
    <row r="2671" spans="1:11" x14ac:dyDescent="0.3">
      <c r="A2671" t="s">
        <v>2680</v>
      </c>
      <c r="B2671">
        <v>910575</v>
      </c>
      <c r="C2671">
        <v>8270600</v>
      </c>
      <c r="D2671">
        <v>464321</v>
      </c>
      <c r="E2671">
        <v>1595900</v>
      </c>
      <c r="F2671">
        <v>15618198</v>
      </c>
      <c r="G2671">
        <v>519800</v>
      </c>
      <c r="H2671">
        <v>19645405</v>
      </c>
      <c r="I2671">
        <v>177800</v>
      </c>
      <c r="J2671">
        <v>19616910</v>
      </c>
      <c r="K2671">
        <v>197700</v>
      </c>
    </row>
    <row r="2672" spans="1:11" x14ac:dyDescent="0.3">
      <c r="A2672" t="s">
        <v>2681</v>
      </c>
      <c r="B2672">
        <v>910575</v>
      </c>
      <c r="C2672">
        <v>7942300</v>
      </c>
      <c r="D2672">
        <v>467251</v>
      </c>
      <c r="E2672">
        <v>1742400</v>
      </c>
      <c r="F2672">
        <v>15630501</v>
      </c>
      <c r="G2672">
        <v>533400</v>
      </c>
      <c r="H2672">
        <v>19661796</v>
      </c>
      <c r="I2672">
        <v>186200</v>
      </c>
      <c r="J2672">
        <v>19632171</v>
      </c>
      <c r="K2672">
        <v>206000</v>
      </c>
    </row>
    <row r="2673" spans="1:11" x14ac:dyDescent="0.3">
      <c r="A2673" t="s">
        <v>2682</v>
      </c>
      <c r="B2673">
        <v>910575</v>
      </c>
      <c r="C2673">
        <v>8773100</v>
      </c>
      <c r="D2673">
        <v>450751</v>
      </c>
      <c r="E2673">
        <v>1593100</v>
      </c>
      <c r="F2673">
        <v>15642852</v>
      </c>
      <c r="G2673">
        <v>521600</v>
      </c>
      <c r="H2673">
        <v>19678729</v>
      </c>
      <c r="I2673">
        <v>188100</v>
      </c>
      <c r="J2673">
        <v>19648369</v>
      </c>
      <c r="K2673">
        <v>198700</v>
      </c>
    </row>
    <row r="2674" spans="1:11" x14ac:dyDescent="0.3">
      <c r="A2674" t="s">
        <v>2683</v>
      </c>
      <c r="B2674">
        <v>910575</v>
      </c>
      <c r="C2674">
        <v>8179300</v>
      </c>
      <c r="D2674">
        <v>469697</v>
      </c>
      <c r="E2674">
        <v>1617300</v>
      </c>
      <c r="F2674">
        <v>15655237</v>
      </c>
      <c r="G2674">
        <v>549800</v>
      </c>
      <c r="H2674">
        <v>19693976</v>
      </c>
      <c r="I2674">
        <v>176600</v>
      </c>
      <c r="J2674">
        <v>19664674</v>
      </c>
      <c r="K2674">
        <v>193100</v>
      </c>
    </row>
    <row r="2675" spans="1:11" x14ac:dyDescent="0.3">
      <c r="A2675" t="s">
        <v>2684</v>
      </c>
      <c r="B2675">
        <v>910575</v>
      </c>
      <c r="C2675">
        <v>8370500</v>
      </c>
      <c r="D2675">
        <v>454271</v>
      </c>
      <c r="E2675">
        <v>1569400</v>
      </c>
      <c r="F2675">
        <v>15667620</v>
      </c>
      <c r="G2675">
        <v>513400</v>
      </c>
      <c r="H2675">
        <v>19709222</v>
      </c>
      <c r="I2675">
        <v>179900</v>
      </c>
      <c r="J2675">
        <v>19679633</v>
      </c>
      <c r="K2675">
        <v>201300</v>
      </c>
    </row>
    <row r="2676" spans="1:11" x14ac:dyDescent="0.3">
      <c r="A2676" t="s">
        <v>2685</v>
      </c>
      <c r="B2676">
        <v>910575</v>
      </c>
      <c r="C2676">
        <v>8024300</v>
      </c>
      <c r="D2676">
        <v>454680</v>
      </c>
      <c r="E2676">
        <v>1570500</v>
      </c>
      <c r="F2676">
        <v>15679986</v>
      </c>
      <c r="G2676">
        <v>513500</v>
      </c>
      <c r="H2676">
        <v>19726173</v>
      </c>
      <c r="I2676">
        <v>178000</v>
      </c>
      <c r="J2676">
        <v>19697510</v>
      </c>
      <c r="K2676">
        <v>196000</v>
      </c>
    </row>
    <row r="2677" spans="1:11" x14ac:dyDescent="0.3">
      <c r="A2677" t="s">
        <v>2686</v>
      </c>
      <c r="B2677">
        <v>910575</v>
      </c>
      <c r="C2677">
        <v>8323800</v>
      </c>
      <c r="D2677">
        <v>458312</v>
      </c>
      <c r="E2677">
        <v>1806700</v>
      </c>
      <c r="F2677">
        <v>15692363</v>
      </c>
      <c r="G2677">
        <v>527200</v>
      </c>
      <c r="H2677">
        <v>19743026</v>
      </c>
      <c r="I2677">
        <v>183700</v>
      </c>
      <c r="J2677">
        <v>19712842</v>
      </c>
      <c r="K2677">
        <v>189600</v>
      </c>
    </row>
    <row r="2678" spans="1:11" x14ac:dyDescent="0.3">
      <c r="A2678" t="s">
        <v>2687</v>
      </c>
      <c r="B2678">
        <v>910575</v>
      </c>
      <c r="C2678">
        <v>8190700</v>
      </c>
      <c r="D2678">
        <v>457449</v>
      </c>
      <c r="E2678">
        <v>1573300</v>
      </c>
      <c r="F2678">
        <v>15704734</v>
      </c>
      <c r="G2678">
        <v>524600</v>
      </c>
      <c r="H2678">
        <v>19758161</v>
      </c>
      <c r="I2678">
        <v>176500</v>
      </c>
      <c r="J2678">
        <v>19727710</v>
      </c>
      <c r="K2678">
        <v>197400</v>
      </c>
    </row>
    <row r="2679" spans="1:11" x14ac:dyDescent="0.3">
      <c r="A2679" t="s">
        <v>2688</v>
      </c>
      <c r="B2679">
        <v>910575</v>
      </c>
      <c r="C2679">
        <v>8277700</v>
      </c>
      <c r="D2679">
        <v>441400</v>
      </c>
      <c r="E2679">
        <v>1537600</v>
      </c>
      <c r="F2679">
        <v>15717092</v>
      </c>
      <c r="G2679">
        <v>516000</v>
      </c>
      <c r="H2679">
        <v>19775275</v>
      </c>
      <c r="I2679">
        <v>190100</v>
      </c>
      <c r="J2679">
        <v>19742299</v>
      </c>
      <c r="K2679">
        <v>196200</v>
      </c>
    </row>
    <row r="2680" spans="1:11" x14ac:dyDescent="0.3">
      <c r="A2680" t="s">
        <v>2689</v>
      </c>
      <c r="B2680">
        <v>910575</v>
      </c>
      <c r="C2680">
        <v>8120500</v>
      </c>
      <c r="D2680">
        <v>459225</v>
      </c>
      <c r="E2680">
        <v>1613400</v>
      </c>
      <c r="F2680">
        <v>15729442</v>
      </c>
      <c r="G2680">
        <v>525600</v>
      </c>
      <c r="H2680">
        <v>19789549</v>
      </c>
      <c r="I2680">
        <v>178900</v>
      </c>
      <c r="J2680">
        <v>19759178</v>
      </c>
      <c r="K2680">
        <v>200600</v>
      </c>
    </row>
    <row r="2681" spans="1:11" x14ac:dyDescent="0.3">
      <c r="A2681" t="s">
        <v>2690</v>
      </c>
      <c r="B2681">
        <v>910575</v>
      </c>
      <c r="C2681">
        <v>8425700</v>
      </c>
      <c r="D2681">
        <v>458138</v>
      </c>
      <c r="E2681">
        <v>1578800</v>
      </c>
      <c r="F2681">
        <v>15741805</v>
      </c>
      <c r="G2681">
        <v>518100</v>
      </c>
      <c r="H2681">
        <v>19804670</v>
      </c>
      <c r="I2681">
        <v>181500</v>
      </c>
      <c r="J2681">
        <v>19775442</v>
      </c>
      <c r="K2681">
        <v>196600</v>
      </c>
    </row>
    <row r="2682" spans="1:11" x14ac:dyDescent="0.3">
      <c r="A2682" t="s">
        <v>2691</v>
      </c>
      <c r="B2682">
        <v>910575</v>
      </c>
      <c r="C2682">
        <v>8187000</v>
      </c>
      <c r="D2682">
        <v>469134</v>
      </c>
      <c r="E2682">
        <v>1616200</v>
      </c>
      <c r="F2682">
        <v>15754202</v>
      </c>
      <c r="G2682">
        <v>537000</v>
      </c>
      <c r="H2682">
        <v>19820660</v>
      </c>
      <c r="I2682">
        <v>202200</v>
      </c>
      <c r="J2682">
        <v>19791133</v>
      </c>
      <c r="K2682">
        <v>235500</v>
      </c>
    </row>
    <row r="2683" spans="1:11" x14ac:dyDescent="0.3">
      <c r="A2683" t="s">
        <v>2692</v>
      </c>
      <c r="B2683">
        <v>910575</v>
      </c>
      <c r="C2683">
        <v>8516900</v>
      </c>
      <c r="D2683">
        <v>465339</v>
      </c>
      <c r="E2683">
        <v>1607800</v>
      </c>
      <c r="F2683">
        <v>15766581</v>
      </c>
      <c r="G2683">
        <v>519900</v>
      </c>
      <c r="H2683">
        <v>19836208</v>
      </c>
      <c r="I2683">
        <v>177600</v>
      </c>
      <c r="J2683">
        <v>19805912</v>
      </c>
      <c r="K2683">
        <v>194500</v>
      </c>
    </row>
    <row r="2684" spans="1:11" x14ac:dyDescent="0.3">
      <c r="A2684" t="s">
        <v>2693</v>
      </c>
      <c r="B2684">
        <v>910575</v>
      </c>
      <c r="C2684">
        <v>8037300</v>
      </c>
      <c r="D2684">
        <v>456336</v>
      </c>
      <c r="E2684">
        <v>1569400</v>
      </c>
      <c r="F2684">
        <v>15778953</v>
      </c>
      <c r="G2684">
        <v>1711600</v>
      </c>
      <c r="H2684">
        <v>19851799</v>
      </c>
      <c r="I2684">
        <v>196000</v>
      </c>
      <c r="J2684">
        <v>19820071</v>
      </c>
      <c r="K2684">
        <v>196900</v>
      </c>
    </row>
    <row r="2685" spans="1:11" x14ac:dyDescent="0.3">
      <c r="A2685" t="s">
        <v>2694</v>
      </c>
      <c r="B2685">
        <v>910575</v>
      </c>
      <c r="C2685">
        <v>8830200</v>
      </c>
      <c r="D2685">
        <v>472099</v>
      </c>
      <c r="E2685">
        <v>1631400</v>
      </c>
      <c r="F2685">
        <v>15791295</v>
      </c>
      <c r="G2685">
        <v>517500</v>
      </c>
      <c r="H2685">
        <v>19866261</v>
      </c>
      <c r="I2685">
        <v>180300</v>
      </c>
      <c r="J2685">
        <v>19835670</v>
      </c>
      <c r="K2685">
        <v>194600</v>
      </c>
    </row>
    <row r="2686" spans="1:11" x14ac:dyDescent="0.3">
      <c r="A2686" t="s">
        <v>2695</v>
      </c>
      <c r="B2686">
        <v>910575</v>
      </c>
      <c r="C2686">
        <v>8181800</v>
      </c>
      <c r="D2686">
        <v>461448</v>
      </c>
      <c r="E2686">
        <v>1632400</v>
      </c>
      <c r="F2686">
        <v>15803643</v>
      </c>
      <c r="G2686">
        <v>529500</v>
      </c>
      <c r="H2686">
        <v>19881773</v>
      </c>
      <c r="I2686">
        <v>182000</v>
      </c>
      <c r="J2686">
        <v>19853445</v>
      </c>
      <c r="K2686">
        <v>199100</v>
      </c>
    </row>
    <row r="2687" spans="1:11" x14ac:dyDescent="0.3">
      <c r="A2687" t="s">
        <v>2696</v>
      </c>
      <c r="B2687">
        <v>910575</v>
      </c>
      <c r="C2687">
        <v>7944400</v>
      </c>
      <c r="D2687">
        <v>455095</v>
      </c>
      <c r="E2687">
        <v>1657700</v>
      </c>
      <c r="F2687">
        <v>15816023</v>
      </c>
      <c r="G2687">
        <v>527900</v>
      </c>
      <c r="H2687">
        <v>19896597</v>
      </c>
      <c r="I2687">
        <v>180600</v>
      </c>
      <c r="J2687">
        <v>19868657</v>
      </c>
      <c r="K2687">
        <v>200300</v>
      </c>
    </row>
    <row r="2688" spans="1:11" x14ac:dyDescent="0.3">
      <c r="A2688" t="s">
        <v>2697</v>
      </c>
      <c r="B2688">
        <v>910575</v>
      </c>
      <c r="C2688">
        <v>8216800</v>
      </c>
      <c r="D2688">
        <v>455519</v>
      </c>
      <c r="E2688">
        <v>1568500</v>
      </c>
      <c r="F2688">
        <v>15828407</v>
      </c>
      <c r="G2688">
        <v>524300</v>
      </c>
      <c r="H2688">
        <v>19912066</v>
      </c>
      <c r="I2688">
        <v>180600</v>
      </c>
      <c r="J2688">
        <v>19883711</v>
      </c>
      <c r="K2688">
        <v>197300</v>
      </c>
    </row>
    <row r="2689" spans="1:11" x14ac:dyDescent="0.3">
      <c r="A2689" t="s">
        <v>2698</v>
      </c>
      <c r="B2689">
        <v>910575</v>
      </c>
      <c r="C2689">
        <v>8216300</v>
      </c>
      <c r="D2689">
        <v>454707</v>
      </c>
      <c r="E2689">
        <v>1577100</v>
      </c>
      <c r="F2689">
        <v>15840800</v>
      </c>
      <c r="G2689">
        <v>518000</v>
      </c>
      <c r="H2689">
        <v>19927188</v>
      </c>
      <c r="I2689">
        <v>182300</v>
      </c>
      <c r="J2689">
        <v>19900371</v>
      </c>
      <c r="K2689">
        <v>203800</v>
      </c>
    </row>
    <row r="2690" spans="1:11" x14ac:dyDescent="0.3">
      <c r="A2690" t="s">
        <v>2699</v>
      </c>
      <c r="B2690">
        <v>910575</v>
      </c>
      <c r="C2690">
        <v>8345700</v>
      </c>
      <c r="D2690">
        <v>443639</v>
      </c>
      <c r="E2690">
        <v>1537100</v>
      </c>
      <c r="F2690">
        <v>15853134</v>
      </c>
      <c r="G2690">
        <v>515500</v>
      </c>
      <c r="H2690">
        <v>19942934</v>
      </c>
      <c r="I2690">
        <v>183800</v>
      </c>
      <c r="J2690">
        <v>19915064</v>
      </c>
      <c r="K2690">
        <v>195200</v>
      </c>
    </row>
    <row r="2691" spans="1:11" x14ac:dyDescent="0.3">
      <c r="A2691" t="s">
        <v>2700</v>
      </c>
      <c r="B2691">
        <v>910575</v>
      </c>
      <c r="C2691">
        <v>9012100</v>
      </c>
      <c r="D2691">
        <v>453103</v>
      </c>
      <c r="E2691">
        <v>1613400</v>
      </c>
      <c r="F2691">
        <v>15865484</v>
      </c>
      <c r="G2691">
        <v>522200</v>
      </c>
      <c r="H2691">
        <v>19959129</v>
      </c>
      <c r="I2691">
        <v>178400</v>
      </c>
      <c r="J2691">
        <v>19930479</v>
      </c>
      <c r="K2691">
        <v>191700</v>
      </c>
    </row>
    <row r="2692" spans="1:11" x14ac:dyDescent="0.3">
      <c r="A2692" t="s">
        <v>2701</v>
      </c>
      <c r="B2692">
        <v>910575</v>
      </c>
      <c r="C2692">
        <v>8254700</v>
      </c>
      <c r="D2692">
        <v>447464</v>
      </c>
      <c r="E2692">
        <v>1804500</v>
      </c>
      <c r="F2692">
        <v>15877838</v>
      </c>
      <c r="G2692">
        <v>555500</v>
      </c>
      <c r="H2692">
        <v>19975313</v>
      </c>
      <c r="I2692">
        <v>181700</v>
      </c>
      <c r="J2692">
        <v>19945474</v>
      </c>
      <c r="K2692">
        <v>200900</v>
      </c>
    </row>
    <row r="2693" spans="1:11" x14ac:dyDescent="0.3">
      <c r="A2693" t="s">
        <v>2702</v>
      </c>
      <c r="B2693">
        <v>910575</v>
      </c>
      <c r="C2693">
        <v>8158500</v>
      </c>
      <c r="D2693">
        <v>451527</v>
      </c>
      <c r="E2693">
        <v>1702700</v>
      </c>
      <c r="F2693">
        <v>15890194</v>
      </c>
      <c r="G2693">
        <v>521200</v>
      </c>
      <c r="H2693">
        <v>19991174</v>
      </c>
      <c r="I2693">
        <v>175300</v>
      </c>
      <c r="J2693">
        <v>19960643</v>
      </c>
      <c r="K2693">
        <v>197000</v>
      </c>
    </row>
    <row r="2694" spans="1:11" x14ac:dyDescent="0.3">
      <c r="A2694" t="s">
        <v>2703</v>
      </c>
      <c r="B2694">
        <v>910575</v>
      </c>
      <c r="C2694">
        <v>8157300</v>
      </c>
      <c r="D2694">
        <v>456374</v>
      </c>
      <c r="E2694">
        <v>1573900</v>
      </c>
      <c r="F2694">
        <v>15902557</v>
      </c>
      <c r="G2694">
        <v>515800</v>
      </c>
      <c r="H2694">
        <v>20006614</v>
      </c>
      <c r="I2694">
        <v>178100</v>
      </c>
      <c r="J2694">
        <v>19975215</v>
      </c>
      <c r="K2694">
        <v>203800</v>
      </c>
    </row>
    <row r="2695" spans="1:11" x14ac:dyDescent="0.3">
      <c r="A2695" t="s">
        <v>2704</v>
      </c>
      <c r="B2695">
        <v>910575</v>
      </c>
      <c r="C2695">
        <v>8280800</v>
      </c>
      <c r="D2695">
        <v>463445</v>
      </c>
      <c r="E2695">
        <v>1599200</v>
      </c>
      <c r="F2695">
        <v>15914913</v>
      </c>
      <c r="G2695">
        <v>593200</v>
      </c>
      <c r="H2695">
        <v>20022286</v>
      </c>
      <c r="I2695">
        <v>178400</v>
      </c>
      <c r="J2695">
        <v>19990188</v>
      </c>
      <c r="K2695">
        <v>199600</v>
      </c>
    </row>
    <row r="2696" spans="1:11" x14ac:dyDescent="0.3">
      <c r="A2696" t="s">
        <v>2705</v>
      </c>
      <c r="B2696">
        <v>910575</v>
      </c>
      <c r="C2696">
        <v>8208100</v>
      </c>
      <c r="D2696">
        <v>455454</v>
      </c>
      <c r="E2696">
        <v>1573300</v>
      </c>
      <c r="F2696">
        <v>15927290</v>
      </c>
      <c r="G2696">
        <v>518600</v>
      </c>
      <c r="H2696">
        <v>20037909</v>
      </c>
      <c r="I2696">
        <v>176800</v>
      </c>
      <c r="J2696">
        <v>20005757</v>
      </c>
      <c r="K2696">
        <v>196700</v>
      </c>
    </row>
    <row r="2697" spans="1:11" x14ac:dyDescent="0.3">
      <c r="A2697" t="s">
        <v>2706</v>
      </c>
      <c r="B2697">
        <v>910575</v>
      </c>
      <c r="C2697">
        <v>8679100</v>
      </c>
      <c r="D2697">
        <v>445035</v>
      </c>
      <c r="E2697">
        <v>1661300</v>
      </c>
      <c r="F2697">
        <v>15939668</v>
      </c>
      <c r="G2697">
        <v>536200</v>
      </c>
      <c r="H2697">
        <v>20053859</v>
      </c>
      <c r="I2697">
        <v>191800</v>
      </c>
      <c r="J2697">
        <v>20021192</v>
      </c>
      <c r="K2697">
        <v>199700</v>
      </c>
    </row>
    <row r="2698" spans="1:11" x14ac:dyDescent="0.3">
      <c r="A2698" t="s">
        <v>2707</v>
      </c>
      <c r="B2698">
        <v>910575</v>
      </c>
      <c r="C2698">
        <v>8808100</v>
      </c>
      <c r="D2698">
        <v>446625</v>
      </c>
      <c r="E2698">
        <v>1539100</v>
      </c>
      <c r="F2698">
        <v>15952046</v>
      </c>
      <c r="G2698">
        <v>517400</v>
      </c>
      <c r="H2698">
        <v>20068617</v>
      </c>
      <c r="I2698">
        <v>179300</v>
      </c>
      <c r="J2698">
        <v>20036661</v>
      </c>
      <c r="K2698">
        <v>196200</v>
      </c>
    </row>
    <row r="2699" spans="1:11" x14ac:dyDescent="0.3">
      <c r="A2699" t="s">
        <v>2708</v>
      </c>
      <c r="B2699">
        <v>910575</v>
      </c>
      <c r="C2699">
        <v>8283600</v>
      </c>
      <c r="D2699">
        <v>443910</v>
      </c>
      <c r="E2699">
        <v>1565300</v>
      </c>
      <c r="F2699">
        <v>15964409</v>
      </c>
      <c r="G2699">
        <v>520200</v>
      </c>
      <c r="H2699">
        <v>20083320</v>
      </c>
      <c r="I2699">
        <v>176900</v>
      </c>
      <c r="J2699">
        <v>20052593</v>
      </c>
      <c r="K2699">
        <v>200200</v>
      </c>
    </row>
    <row r="2700" spans="1:11" x14ac:dyDescent="0.3">
      <c r="A2700" t="s">
        <v>2709</v>
      </c>
      <c r="B2700">
        <v>910575</v>
      </c>
      <c r="C2700">
        <v>9058200</v>
      </c>
      <c r="D2700">
        <v>463134</v>
      </c>
      <c r="E2700">
        <v>1597800</v>
      </c>
      <c r="F2700">
        <v>15976802</v>
      </c>
      <c r="G2700">
        <v>519200</v>
      </c>
      <c r="H2700">
        <v>20099828</v>
      </c>
      <c r="I2700">
        <v>183100</v>
      </c>
      <c r="J2700">
        <v>20068919</v>
      </c>
      <c r="K2700">
        <v>203000</v>
      </c>
    </row>
    <row r="2701" spans="1:11" x14ac:dyDescent="0.3">
      <c r="A2701" t="s">
        <v>2710</v>
      </c>
      <c r="B2701">
        <v>910575</v>
      </c>
      <c r="C2701">
        <v>8166400</v>
      </c>
      <c r="D2701">
        <v>465494</v>
      </c>
      <c r="E2701">
        <v>1639700</v>
      </c>
      <c r="F2701">
        <v>15989189</v>
      </c>
      <c r="G2701">
        <v>515200</v>
      </c>
      <c r="H2701">
        <v>20117060</v>
      </c>
      <c r="I2701">
        <v>191600</v>
      </c>
      <c r="J2701">
        <v>20084842</v>
      </c>
      <c r="K2701">
        <v>198400</v>
      </c>
    </row>
    <row r="2702" spans="1:11" x14ac:dyDescent="0.3">
      <c r="A2702" t="s">
        <v>2711</v>
      </c>
      <c r="B2702">
        <v>979300</v>
      </c>
      <c r="C2702">
        <v>9410600</v>
      </c>
      <c r="D2702">
        <v>493075</v>
      </c>
      <c r="E2702">
        <v>2018100</v>
      </c>
      <c r="F2702">
        <v>16002072</v>
      </c>
      <c r="G2702">
        <v>554600</v>
      </c>
      <c r="H2702">
        <v>20135198</v>
      </c>
      <c r="I2702">
        <v>191100</v>
      </c>
      <c r="J2702">
        <v>20100613</v>
      </c>
      <c r="K2702">
        <v>200100</v>
      </c>
    </row>
    <row r="2703" spans="1:11" x14ac:dyDescent="0.3">
      <c r="A2703" t="s">
        <v>2712</v>
      </c>
      <c r="B2703">
        <v>979300</v>
      </c>
      <c r="C2703">
        <v>8704900</v>
      </c>
      <c r="D2703">
        <v>480961</v>
      </c>
      <c r="E2703">
        <v>1659800</v>
      </c>
      <c r="F2703">
        <v>16014944</v>
      </c>
      <c r="G2703">
        <v>583100</v>
      </c>
      <c r="H2703">
        <v>20151325</v>
      </c>
      <c r="I2703">
        <v>191700</v>
      </c>
      <c r="J2703">
        <v>20116772</v>
      </c>
      <c r="K2703">
        <v>209300</v>
      </c>
    </row>
    <row r="2704" spans="1:11" x14ac:dyDescent="0.3">
      <c r="A2704" t="s">
        <v>2713</v>
      </c>
      <c r="B2704">
        <v>979300</v>
      </c>
      <c r="C2704">
        <v>8584700</v>
      </c>
      <c r="D2704">
        <v>487802</v>
      </c>
      <c r="E2704">
        <v>1938700</v>
      </c>
      <c r="F2704">
        <v>16027849</v>
      </c>
      <c r="G2704">
        <v>544300</v>
      </c>
      <c r="H2704">
        <v>20167747</v>
      </c>
      <c r="I2704">
        <v>197900</v>
      </c>
      <c r="J2704">
        <v>20132665</v>
      </c>
      <c r="K2704">
        <v>217200</v>
      </c>
    </row>
    <row r="2705" spans="1:11" x14ac:dyDescent="0.3">
      <c r="A2705" t="s">
        <v>2714</v>
      </c>
      <c r="B2705">
        <v>979300</v>
      </c>
      <c r="C2705">
        <v>8828900</v>
      </c>
      <c r="D2705">
        <v>502516</v>
      </c>
      <c r="E2705">
        <v>1772100</v>
      </c>
      <c r="F2705">
        <v>16040749</v>
      </c>
      <c r="G2705">
        <v>541600</v>
      </c>
      <c r="H2705">
        <v>20183019</v>
      </c>
      <c r="I2705">
        <v>186300</v>
      </c>
      <c r="J2705">
        <v>20148743</v>
      </c>
      <c r="K2705">
        <v>206200</v>
      </c>
    </row>
    <row r="2706" spans="1:11" x14ac:dyDescent="0.3">
      <c r="A2706" t="s">
        <v>2715</v>
      </c>
      <c r="B2706">
        <v>979300</v>
      </c>
      <c r="C2706">
        <v>9685200</v>
      </c>
      <c r="D2706">
        <v>484993</v>
      </c>
      <c r="E2706">
        <v>1841100</v>
      </c>
      <c r="F2706">
        <v>16053628</v>
      </c>
      <c r="G2706">
        <v>562500</v>
      </c>
      <c r="H2706">
        <v>20199062</v>
      </c>
      <c r="I2706">
        <v>190500</v>
      </c>
      <c r="J2706">
        <v>20164297</v>
      </c>
      <c r="K2706">
        <v>208600</v>
      </c>
    </row>
    <row r="2707" spans="1:11" x14ac:dyDescent="0.3">
      <c r="A2707" t="s">
        <v>2716</v>
      </c>
      <c r="B2707">
        <v>979300</v>
      </c>
      <c r="C2707">
        <v>8709800</v>
      </c>
      <c r="D2707">
        <v>490899</v>
      </c>
      <c r="E2707">
        <v>1983700</v>
      </c>
      <c r="F2707">
        <v>16066535</v>
      </c>
      <c r="G2707">
        <v>549100</v>
      </c>
      <c r="H2707">
        <v>20214445</v>
      </c>
      <c r="I2707">
        <v>195700</v>
      </c>
      <c r="J2707">
        <v>20179997</v>
      </c>
      <c r="K2707">
        <v>217800</v>
      </c>
    </row>
    <row r="2708" spans="1:11" x14ac:dyDescent="0.3">
      <c r="A2708" t="s">
        <v>2717</v>
      </c>
      <c r="B2708">
        <v>979300</v>
      </c>
      <c r="C2708">
        <v>8991300</v>
      </c>
      <c r="D2708">
        <v>483106</v>
      </c>
      <c r="E2708">
        <v>1668700</v>
      </c>
      <c r="F2708">
        <v>16079461</v>
      </c>
      <c r="G2708">
        <v>540700</v>
      </c>
      <c r="H2708">
        <v>20230198</v>
      </c>
      <c r="I2708">
        <v>190500</v>
      </c>
      <c r="J2708">
        <v>20195669</v>
      </c>
      <c r="K2708">
        <v>212900</v>
      </c>
    </row>
    <row r="2709" spans="1:11" x14ac:dyDescent="0.3">
      <c r="A2709" t="s">
        <v>2718</v>
      </c>
      <c r="B2709">
        <v>979300</v>
      </c>
      <c r="C2709">
        <v>8681600</v>
      </c>
      <c r="D2709">
        <v>502896</v>
      </c>
      <c r="E2709">
        <v>1734800</v>
      </c>
      <c r="F2709">
        <v>16092391</v>
      </c>
      <c r="G2709">
        <v>562700</v>
      </c>
      <c r="H2709">
        <v>20245089</v>
      </c>
      <c r="I2709">
        <v>192800</v>
      </c>
      <c r="J2709">
        <v>20211467</v>
      </c>
      <c r="K2709">
        <v>207800</v>
      </c>
    </row>
    <row r="2710" spans="1:11" x14ac:dyDescent="0.3">
      <c r="A2710" t="s">
        <v>2719</v>
      </c>
      <c r="B2710">
        <v>979300</v>
      </c>
      <c r="C2710">
        <v>9271300</v>
      </c>
      <c r="D2710">
        <v>488880</v>
      </c>
      <c r="E2710">
        <v>1691400</v>
      </c>
      <c r="F2710">
        <v>16105288</v>
      </c>
      <c r="G2710">
        <v>540100</v>
      </c>
      <c r="H2710">
        <v>20262028</v>
      </c>
      <c r="I2710">
        <v>188800</v>
      </c>
      <c r="J2710">
        <v>20228240</v>
      </c>
      <c r="K2710">
        <v>212700</v>
      </c>
    </row>
    <row r="2711" spans="1:11" x14ac:dyDescent="0.3">
      <c r="A2711" t="s">
        <v>2720</v>
      </c>
      <c r="B2711">
        <v>979300</v>
      </c>
      <c r="C2711">
        <v>8901400</v>
      </c>
      <c r="D2711">
        <v>484171</v>
      </c>
      <c r="E2711">
        <v>1662800</v>
      </c>
      <c r="F2711">
        <v>16118192</v>
      </c>
      <c r="G2711">
        <v>537600</v>
      </c>
      <c r="H2711">
        <v>20278117</v>
      </c>
      <c r="I2711">
        <v>180500</v>
      </c>
      <c r="J2711">
        <v>20245221</v>
      </c>
      <c r="K2711">
        <v>223800</v>
      </c>
    </row>
    <row r="2712" spans="1:11" x14ac:dyDescent="0.3">
      <c r="A2712" t="s">
        <v>2721</v>
      </c>
      <c r="B2712">
        <v>979300</v>
      </c>
      <c r="C2712">
        <v>8976900</v>
      </c>
      <c r="D2712">
        <v>501911</v>
      </c>
      <c r="E2712">
        <v>1726900</v>
      </c>
      <c r="F2712">
        <v>16131069</v>
      </c>
      <c r="G2712">
        <v>535400</v>
      </c>
      <c r="H2712">
        <v>20293886</v>
      </c>
      <c r="I2712">
        <v>188100</v>
      </c>
      <c r="J2712">
        <v>20263099</v>
      </c>
      <c r="K2712">
        <v>212900</v>
      </c>
    </row>
    <row r="2713" spans="1:11" x14ac:dyDescent="0.3">
      <c r="A2713" t="s">
        <v>2722</v>
      </c>
      <c r="B2713">
        <v>979300</v>
      </c>
      <c r="C2713">
        <v>8837500</v>
      </c>
      <c r="D2713">
        <v>501339</v>
      </c>
      <c r="E2713">
        <v>1727800</v>
      </c>
      <c r="F2713">
        <v>16143986</v>
      </c>
      <c r="G2713">
        <v>545800</v>
      </c>
      <c r="H2713">
        <v>20309307</v>
      </c>
      <c r="I2713">
        <v>182400</v>
      </c>
      <c r="J2713">
        <v>20278283</v>
      </c>
      <c r="K2713">
        <v>207900</v>
      </c>
    </row>
    <row r="2714" spans="1:11" x14ac:dyDescent="0.3">
      <c r="A2714" t="s">
        <v>2723</v>
      </c>
      <c r="B2714">
        <v>979300</v>
      </c>
      <c r="C2714">
        <v>9339400</v>
      </c>
      <c r="D2714">
        <v>490163</v>
      </c>
      <c r="E2714">
        <v>1687400</v>
      </c>
      <c r="F2714">
        <v>16156869</v>
      </c>
      <c r="G2714">
        <v>539800</v>
      </c>
      <c r="H2714">
        <v>20325480</v>
      </c>
      <c r="I2714">
        <v>193200</v>
      </c>
      <c r="J2714">
        <v>20294293</v>
      </c>
      <c r="K2714">
        <v>208500</v>
      </c>
    </row>
    <row r="2715" spans="1:11" x14ac:dyDescent="0.3">
      <c r="A2715" t="s">
        <v>2724</v>
      </c>
      <c r="B2715">
        <v>979300</v>
      </c>
      <c r="C2715">
        <v>8804700</v>
      </c>
      <c r="D2715">
        <v>491003</v>
      </c>
      <c r="E2715">
        <v>1690200</v>
      </c>
      <c r="F2715">
        <v>16169774</v>
      </c>
      <c r="G2715">
        <v>548700</v>
      </c>
      <c r="H2715">
        <v>20341400</v>
      </c>
      <c r="I2715">
        <v>187100</v>
      </c>
      <c r="J2715">
        <v>20311071</v>
      </c>
      <c r="K2715">
        <v>210300</v>
      </c>
    </row>
    <row r="2716" spans="1:11" x14ac:dyDescent="0.3">
      <c r="A2716" t="s">
        <v>2725</v>
      </c>
      <c r="B2716">
        <v>979300</v>
      </c>
      <c r="C2716">
        <v>8879000</v>
      </c>
      <c r="D2716">
        <v>493854</v>
      </c>
      <c r="E2716">
        <v>1700400</v>
      </c>
      <c r="F2716">
        <v>16182688</v>
      </c>
      <c r="G2716">
        <v>536600</v>
      </c>
      <c r="H2716">
        <v>20358079</v>
      </c>
      <c r="I2716">
        <v>189500</v>
      </c>
      <c r="J2716">
        <v>20330398</v>
      </c>
      <c r="K2716">
        <v>219400</v>
      </c>
    </row>
    <row r="2717" spans="1:11" x14ac:dyDescent="0.3">
      <c r="A2717" t="s">
        <v>2726</v>
      </c>
      <c r="B2717">
        <v>979300</v>
      </c>
      <c r="C2717">
        <v>9012900</v>
      </c>
      <c r="D2717">
        <v>493682</v>
      </c>
      <c r="E2717">
        <v>1902400</v>
      </c>
      <c r="F2717">
        <v>16195585</v>
      </c>
      <c r="G2717">
        <v>547600</v>
      </c>
      <c r="H2717">
        <v>20373362</v>
      </c>
      <c r="I2717">
        <v>190100</v>
      </c>
      <c r="J2717">
        <v>20348128</v>
      </c>
      <c r="K2717">
        <v>215700</v>
      </c>
    </row>
    <row r="2718" spans="1:11" x14ac:dyDescent="0.3">
      <c r="A2718" t="s">
        <v>2727</v>
      </c>
      <c r="B2718">
        <v>979300</v>
      </c>
      <c r="C2718">
        <v>9661500</v>
      </c>
      <c r="D2718">
        <v>480584</v>
      </c>
      <c r="E2718">
        <v>1650800</v>
      </c>
      <c r="F2718">
        <v>16208500</v>
      </c>
      <c r="G2718">
        <v>540400</v>
      </c>
      <c r="H2718">
        <v>20389786</v>
      </c>
      <c r="I2718">
        <v>187000</v>
      </c>
      <c r="J2718">
        <v>20366050</v>
      </c>
      <c r="K2718">
        <v>210400</v>
      </c>
    </row>
    <row r="2719" spans="1:11" x14ac:dyDescent="0.3">
      <c r="A2719" t="s">
        <v>2728</v>
      </c>
      <c r="B2719">
        <v>979300</v>
      </c>
      <c r="C2719">
        <v>8864800</v>
      </c>
      <c r="D2719">
        <v>481765</v>
      </c>
      <c r="E2719">
        <v>3864200</v>
      </c>
      <c r="F2719">
        <v>16221406</v>
      </c>
      <c r="G2719">
        <v>2656600</v>
      </c>
      <c r="H2719">
        <v>20406256</v>
      </c>
      <c r="I2719">
        <v>404600</v>
      </c>
      <c r="J2719">
        <v>20381157</v>
      </c>
      <c r="K2719">
        <v>250400</v>
      </c>
    </row>
    <row r="2720" spans="1:11" x14ac:dyDescent="0.3">
      <c r="A2720" t="s">
        <v>2729</v>
      </c>
      <c r="B2720">
        <v>979300</v>
      </c>
      <c r="C2720">
        <v>9254200</v>
      </c>
      <c r="D2720">
        <v>484719</v>
      </c>
      <c r="E2720">
        <v>1727800</v>
      </c>
      <c r="F2720">
        <v>16234305</v>
      </c>
      <c r="G2720">
        <v>544000</v>
      </c>
      <c r="H2720">
        <v>20422708</v>
      </c>
      <c r="I2720">
        <v>194000</v>
      </c>
      <c r="J2720">
        <v>20398622</v>
      </c>
      <c r="K2720">
        <v>208100</v>
      </c>
    </row>
    <row r="2721" spans="1:11" x14ac:dyDescent="0.3">
      <c r="A2721" t="s">
        <v>2730</v>
      </c>
      <c r="B2721">
        <v>979300</v>
      </c>
      <c r="C2721">
        <v>9048600</v>
      </c>
      <c r="D2721">
        <v>489252</v>
      </c>
      <c r="E2721">
        <v>1743600</v>
      </c>
      <c r="F2721">
        <v>16247216</v>
      </c>
      <c r="G2721">
        <v>552200</v>
      </c>
      <c r="H2721">
        <v>20438985</v>
      </c>
      <c r="I2721">
        <v>184400</v>
      </c>
      <c r="J2721">
        <v>20416393</v>
      </c>
      <c r="K2721">
        <v>215800</v>
      </c>
    </row>
    <row r="2722" spans="1:11" x14ac:dyDescent="0.3">
      <c r="A2722" t="s">
        <v>2731</v>
      </c>
      <c r="B2722">
        <v>979300</v>
      </c>
      <c r="C2722">
        <v>8997400</v>
      </c>
      <c r="D2722">
        <v>495121</v>
      </c>
      <c r="E2722">
        <v>1706800</v>
      </c>
      <c r="F2722">
        <v>16260133</v>
      </c>
      <c r="G2722">
        <v>549800</v>
      </c>
      <c r="H2722">
        <v>20454978</v>
      </c>
      <c r="I2722">
        <v>187900</v>
      </c>
      <c r="J2722">
        <v>20432095</v>
      </c>
      <c r="K2722">
        <v>204400</v>
      </c>
    </row>
    <row r="2723" spans="1:11" x14ac:dyDescent="0.3">
      <c r="A2723" t="s">
        <v>2732</v>
      </c>
      <c r="B2723">
        <v>979300</v>
      </c>
      <c r="C2723">
        <v>8888300</v>
      </c>
      <c r="D2723">
        <v>488963</v>
      </c>
      <c r="E2723">
        <v>1903500</v>
      </c>
      <c r="F2723">
        <v>16273019</v>
      </c>
      <c r="G2723">
        <v>571900</v>
      </c>
      <c r="H2723">
        <v>20471579</v>
      </c>
      <c r="I2723">
        <v>186200</v>
      </c>
      <c r="J2723">
        <v>20448433</v>
      </c>
      <c r="K2723">
        <v>207400</v>
      </c>
    </row>
    <row r="2724" spans="1:11" x14ac:dyDescent="0.3">
      <c r="A2724" t="s">
        <v>2733</v>
      </c>
      <c r="B2724">
        <v>979300</v>
      </c>
      <c r="C2724">
        <v>8749700</v>
      </c>
      <c r="D2724">
        <v>503311</v>
      </c>
      <c r="E2724">
        <v>1777500</v>
      </c>
      <c r="F2724">
        <v>16285944</v>
      </c>
      <c r="G2724">
        <v>544600</v>
      </c>
      <c r="H2724">
        <v>20489176</v>
      </c>
      <c r="I2724">
        <v>191000</v>
      </c>
      <c r="J2724">
        <v>20463852</v>
      </c>
      <c r="K2724">
        <v>208400</v>
      </c>
    </row>
    <row r="2725" spans="1:11" x14ac:dyDescent="0.3">
      <c r="A2725" t="s">
        <v>2734</v>
      </c>
      <c r="B2725">
        <v>979300</v>
      </c>
      <c r="C2725">
        <v>8923100</v>
      </c>
      <c r="D2725">
        <v>490885</v>
      </c>
      <c r="E2725">
        <v>1799900</v>
      </c>
      <c r="F2725">
        <v>16298833</v>
      </c>
      <c r="G2725">
        <v>549600</v>
      </c>
      <c r="H2725">
        <v>20504801</v>
      </c>
      <c r="I2725">
        <v>186100</v>
      </c>
      <c r="J2725">
        <v>20480882</v>
      </c>
      <c r="K2725">
        <v>203600</v>
      </c>
    </row>
    <row r="2726" spans="1:11" x14ac:dyDescent="0.3">
      <c r="A2726" t="s">
        <v>2735</v>
      </c>
      <c r="B2726">
        <v>979300</v>
      </c>
      <c r="C2726">
        <v>8871600</v>
      </c>
      <c r="D2726">
        <v>482812</v>
      </c>
      <c r="E2726">
        <v>1723100</v>
      </c>
      <c r="F2726">
        <v>16311743</v>
      </c>
      <c r="G2726">
        <v>538400</v>
      </c>
      <c r="H2726">
        <v>20521488</v>
      </c>
      <c r="I2726">
        <v>193900</v>
      </c>
      <c r="J2726">
        <v>20496593</v>
      </c>
      <c r="K2726">
        <v>207800</v>
      </c>
    </row>
    <row r="2727" spans="1:11" x14ac:dyDescent="0.3">
      <c r="A2727" t="s">
        <v>2736</v>
      </c>
      <c r="B2727">
        <v>979300</v>
      </c>
      <c r="C2727">
        <v>8788600</v>
      </c>
      <c r="D2727">
        <v>502321</v>
      </c>
      <c r="E2727">
        <v>1849300</v>
      </c>
      <c r="F2727">
        <v>16324630</v>
      </c>
      <c r="G2727">
        <v>567300</v>
      </c>
      <c r="H2727">
        <v>20538181</v>
      </c>
      <c r="I2727">
        <v>186700</v>
      </c>
      <c r="J2727">
        <v>20512590</v>
      </c>
      <c r="K2727">
        <v>208000</v>
      </c>
    </row>
    <row r="2728" spans="1:11" x14ac:dyDescent="0.3">
      <c r="A2728" t="s">
        <v>2737</v>
      </c>
      <c r="B2728">
        <v>979300</v>
      </c>
      <c r="C2728">
        <v>9075400</v>
      </c>
      <c r="D2728">
        <v>477291</v>
      </c>
      <c r="E2728">
        <v>1644100</v>
      </c>
      <c r="F2728">
        <v>16337562</v>
      </c>
      <c r="G2728">
        <v>534400</v>
      </c>
      <c r="H2728">
        <v>20554352</v>
      </c>
      <c r="I2728">
        <v>188000</v>
      </c>
      <c r="J2728">
        <v>20529195</v>
      </c>
      <c r="K2728">
        <v>212600</v>
      </c>
    </row>
    <row r="2729" spans="1:11" x14ac:dyDescent="0.3">
      <c r="A2729" t="s">
        <v>2738</v>
      </c>
      <c r="B2729">
        <v>979300</v>
      </c>
      <c r="C2729">
        <v>8790600</v>
      </c>
      <c r="D2729">
        <v>505471</v>
      </c>
      <c r="E2729">
        <v>1741000</v>
      </c>
      <c r="F2729">
        <v>16350528</v>
      </c>
      <c r="G2729">
        <v>538100</v>
      </c>
      <c r="H2729">
        <v>20570267</v>
      </c>
      <c r="I2729">
        <v>186200</v>
      </c>
      <c r="J2729">
        <v>20545950</v>
      </c>
      <c r="K2729">
        <v>205500</v>
      </c>
    </row>
    <row r="2730" spans="1:11" x14ac:dyDescent="0.3">
      <c r="A2730" t="s">
        <v>2739</v>
      </c>
      <c r="B2730">
        <v>979300</v>
      </c>
      <c r="C2730">
        <v>8799600</v>
      </c>
      <c r="D2730">
        <v>493435</v>
      </c>
      <c r="E2730">
        <v>1720000</v>
      </c>
      <c r="F2730">
        <v>16363396</v>
      </c>
      <c r="G2730">
        <v>542300</v>
      </c>
      <c r="H2730">
        <v>20586089</v>
      </c>
      <c r="I2730">
        <v>187500</v>
      </c>
      <c r="J2730">
        <v>20562710</v>
      </c>
      <c r="K2730">
        <v>218200</v>
      </c>
    </row>
    <row r="2731" spans="1:11" x14ac:dyDescent="0.3">
      <c r="A2731" t="s">
        <v>2740</v>
      </c>
      <c r="B2731">
        <v>979300</v>
      </c>
      <c r="C2731">
        <v>8797400</v>
      </c>
      <c r="D2731">
        <v>488094</v>
      </c>
      <c r="E2731">
        <v>1701800</v>
      </c>
      <c r="F2731">
        <v>16376329</v>
      </c>
      <c r="G2731">
        <v>546200</v>
      </c>
      <c r="H2731">
        <v>20603737</v>
      </c>
      <c r="I2731">
        <v>194000</v>
      </c>
      <c r="J2731">
        <v>20578038</v>
      </c>
      <c r="K2731">
        <v>207500</v>
      </c>
    </row>
    <row r="2732" spans="1:11" x14ac:dyDescent="0.3">
      <c r="A2732" t="s">
        <v>2741</v>
      </c>
      <c r="B2732">
        <v>979300</v>
      </c>
      <c r="C2732">
        <v>8778800</v>
      </c>
      <c r="D2732">
        <v>489522</v>
      </c>
      <c r="E2732">
        <v>1780400</v>
      </c>
      <c r="F2732">
        <v>16389164</v>
      </c>
      <c r="G2732">
        <v>541800</v>
      </c>
      <c r="H2732">
        <v>20619585</v>
      </c>
      <c r="I2732">
        <v>185700</v>
      </c>
      <c r="J2732">
        <v>20593043</v>
      </c>
      <c r="K2732">
        <v>208300</v>
      </c>
    </row>
    <row r="2733" spans="1:11" x14ac:dyDescent="0.3">
      <c r="A2733" t="s">
        <v>2742</v>
      </c>
      <c r="B2733">
        <v>979300</v>
      </c>
      <c r="C2733">
        <v>8785000</v>
      </c>
      <c r="D2733">
        <v>510821</v>
      </c>
      <c r="E2733">
        <v>1772600</v>
      </c>
      <c r="F2733">
        <v>16402088</v>
      </c>
      <c r="G2733">
        <v>541800</v>
      </c>
      <c r="H2733">
        <v>20635655</v>
      </c>
      <c r="I2733">
        <v>186500</v>
      </c>
      <c r="J2733">
        <v>20611945</v>
      </c>
      <c r="K2733">
        <v>216400</v>
      </c>
    </row>
    <row r="2734" spans="1:11" x14ac:dyDescent="0.3">
      <c r="A2734" t="s">
        <v>2743</v>
      </c>
      <c r="B2734">
        <v>979300</v>
      </c>
      <c r="C2734">
        <v>9090900</v>
      </c>
      <c r="D2734">
        <v>494651</v>
      </c>
      <c r="E2734">
        <v>1746000</v>
      </c>
      <c r="F2734">
        <v>16414974</v>
      </c>
      <c r="G2734">
        <v>544500</v>
      </c>
      <c r="H2734">
        <v>20651968</v>
      </c>
      <c r="I2734">
        <v>187900</v>
      </c>
      <c r="J2734">
        <v>20626879</v>
      </c>
      <c r="K2734">
        <v>201400</v>
      </c>
    </row>
    <row r="2735" spans="1:11" x14ac:dyDescent="0.3">
      <c r="A2735" t="s">
        <v>2744</v>
      </c>
      <c r="B2735">
        <v>979300</v>
      </c>
      <c r="C2735">
        <v>9381900</v>
      </c>
      <c r="D2735">
        <v>500072</v>
      </c>
      <c r="E2735">
        <v>1722700</v>
      </c>
      <c r="F2735">
        <v>16427866</v>
      </c>
      <c r="G2735">
        <v>708900</v>
      </c>
      <c r="H2735">
        <v>20667882</v>
      </c>
      <c r="I2735">
        <v>189100</v>
      </c>
      <c r="J2735">
        <v>20642465</v>
      </c>
      <c r="K2735">
        <v>205400</v>
      </c>
    </row>
    <row r="2736" spans="1:11" x14ac:dyDescent="0.3">
      <c r="A2736" t="s">
        <v>2745</v>
      </c>
      <c r="B2736">
        <v>979300</v>
      </c>
      <c r="C2736">
        <v>8929600</v>
      </c>
      <c r="D2736">
        <v>482955</v>
      </c>
      <c r="E2736">
        <v>1892100</v>
      </c>
      <c r="F2736">
        <v>16440802</v>
      </c>
      <c r="G2736">
        <v>549300</v>
      </c>
      <c r="H2736">
        <v>20684184</v>
      </c>
      <c r="I2736">
        <v>188400</v>
      </c>
      <c r="J2736">
        <v>20657415</v>
      </c>
      <c r="K2736">
        <v>203800</v>
      </c>
    </row>
    <row r="2737" spans="1:11" x14ac:dyDescent="0.3">
      <c r="A2737" t="s">
        <v>2746</v>
      </c>
      <c r="B2737">
        <v>979300</v>
      </c>
      <c r="C2737">
        <v>9147400</v>
      </c>
      <c r="D2737">
        <v>490952</v>
      </c>
      <c r="E2737">
        <v>1689800</v>
      </c>
      <c r="F2737">
        <v>16453698</v>
      </c>
      <c r="G2737">
        <v>541600</v>
      </c>
      <c r="H2737">
        <v>20702919</v>
      </c>
      <c r="I2737">
        <v>195700</v>
      </c>
      <c r="J2737">
        <v>20674113</v>
      </c>
      <c r="K2737">
        <v>207100</v>
      </c>
    </row>
    <row r="2738" spans="1:11" x14ac:dyDescent="0.3">
      <c r="A2738" t="s">
        <v>2747</v>
      </c>
      <c r="B2738">
        <v>979300</v>
      </c>
      <c r="C2738">
        <v>8827500</v>
      </c>
      <c r="D2738">
        <v>495986</v>
      </c>
      <c r="E2738">
        <v>1918100</v>
      </c>
      <c r="F2738">
        <v>16466597</v>
      </c>
      <c r="G2738">
        <v>551100</v>
      </c>
      <c r="H2738">
        <v>20718482</v>
      </c>
      <c r="I2738">
        <v>186700</v>
      </c>
      <c r="J2738">
        <v>20691501</v>
      </c>
      <c r="K2738">
        <v>210900</v>
      </c>
    </row>
    <row r="2739" spans="1:11" x14ac:dyDescent="0.3">
      <c r="A2739" t="s">
        <v>2748</v>
      </c>
      <c r="B2739">
        <v>979300</v>
      </c>
      <c r="C2739">
        <v>8705600</v>
      </c>
      <c r="D2739">
        <v>477909</v>
      </c>
      <c r="E2739">
        <v>1645500</v>
      </c>
      <c r="F2739">
        <v>16479479</v>
      </c>
      <c r="G2739">
        <v>543500</v>
      </c>
      <c r="H2739">
        <v>20734560</v>
      </c>
      <c r="I2739">
        <v>189800</v>
      </c>
      <c r="J2739">
        <v>20708099</v>
      </c>
      <c r="K2739">
        <v>208700</v>
      </c>
    </row>
    <row r="2740" spans="1:11" x14ac:dyDescent="0.3">
      <c r="A2740" t="s">
        <v>2749</v>
      </c>
      <c r="B2740">
        <v>979300</v>
      </c>
      <c r="C2740">
        <v>8987100</v>
      </c>
      <c r="D2740">
        <v>492825</v>
      </c>
      <c r="E2740">
        <v>1894500</v>
      </c>
      <c r="F2740">
        <v>16492403</v>
      </c>
      <c r="G2740">
        <v>549500</v>
      </c>
      <c r="H2740">
        <v>20751350</v>
      </c>
      <c r="I2740">
        <v>197000</v>
      </c>
      <c r="J2740">
        <v>20723559</v>
      </c>
      <c r="K2740">
        <v>205800</v>
      </c>
    </row>
    <row r="2741" spans="1:11" x14ac:dyDescent="0.3">
      <c r="A2741" t="s">
        <v>2750</v>
      </c>
      <c r="B2741">
        <v>979300</v>
      </c>
      <c r="C2741">
        <v>8627400</v>
      </c>
      <c r="D2741">
        <v>507078</v>
      </c>
      <c r="E2741">
        <v>1788100</v>
      </c>
      <c r="F2741">
        <v>16505285</v>
      </c>
      <c r="G2741">
        <v>543200</v>
      </c>
      <c r="H2741">
        <v>20768470</v>
      </c>
      <c r="I2741">
        <v>195600</v>
      </c>
      <c r="J2741">
        <v>20740932</v>
      </c>
      <c r="K2741">
        <v>215000</v>
      </c>
    </row>
    <row r="2742" spans="1:11" x14ac:dyDescent="0.3">
      <c r="A2742" t="s">
        <v>2751</v>
      </c>
      <c r="B2742">
        <v>979300</v>
      </c>
      <c r="C2742">
        <v>8875200</v>
      </c>
      <c r="D2742">
        <v>489445</v>
      </c>
      <c r="E2742">
        <v>1696800</v>
      </c>
      <c r="F2742">
        <v>16518181</v>
      </c>
      <c r="G2742">
        <v>545200</v>
      </c>
      <c r="H2742">
        <v>20785548</v>
      </c>
      <c r="I2742">
        <v>191100</v>
      </c>
      <c r="J2742">
        <v>20757147</v>
      </c>
      <c r="K2742">
        <v>207200</v>
      </c>
    </row>
    <row r="2743" spans="1:11" x14ac:dyDescent="0.3">
      <c r="A2743" t="s">
        <v>2752</v>
      </c>
      <c r="B2743">
        <v>979300</v>
      </c>
      <c r="C2743">
        <v>8849500</v>
      </c>
      <c r="D2743">
        <v>492189</v>
      </c>
      <c r="E2743">
        <v>1698700</v>
      </c>
      <c r="F2743">
        <v>16531077</v>
      </c>
      <c r="G2743">
        <v>538000</v>
      </c>
      <c r="H2743">
        <v>20801559</v>
      </c>
      <c r="I2743">
        <v>187100</v>
      </c>
      <c r="J2743">
        <v>20776489</v>
      </c>
      <c r="K2743">
        <v>211400</v>
      </c>
    </row>
    <row r="2744" spans="1:11" x14ac:dyDescent="0.3">
      <c r="A2744" t="s">
        <v>2753</v>
      </c>
      <c r="B2744">
        <v>979300</v>
      </c>
      <c r="C2744">
        <v>10517300</v>
      </c>
      <c r="D2744">
        <v>490723</v>
      </c>
      <c r="E2744">
        <v>2543900</v>
      </c>
      <c r="F2744">
        <v>16544007</v>
      </c>
      <c r="G2744">
        <v>649300</v>
      </c>
      <c r="H2744">
        <v>20817360</v>
      </c>
      <c r="I2744">
        <v>227000</v>
      </c>
      <c r="J2744">
        <v>20793593</v>
      </c>
      <c r="K2744">
        <v>236800</v>
      </c>
    </row>
    <row r="2745" spans="1:11" x14ac:dyDescent="0.3">
      <c r="A2745" t="s">
        <v>2754</v>
      </c>
      <c r="B2745">
        <v>979300</v>
      </c>
      <c r="C2745">
        <v>8838800</v>
      </c>
      <c r="D2745">
        <v>478496</v>
      </c>
      <c r="E2745">
        <v>1851000</v>
      </c>
      <c r="F2745">
        <v>16556919</v>
      </c>
      <c r="G2745">
        <v>555500</v>
      </c>
      <c r="H2745">
        <v>20834835</v>
      </c>
      <c r="I2745">
        <v>184700</v>
      </c>
      <c r="J2745">
        <v>20809815</v>
      </c>
      <c r="K2745">
        <v>212600</v>
      </c>
    </row>
    <row r="2746" spans="1:11" x14ac:dyDescent="0.3">
      <c r="A2746" t="s">
        <v>2755</v>
      </c>
      <c r="B2746">
        <v>979300</v>
      </c>
      <c r="C2746">
        <v>8999100</v>
      </c>
      <c r="D2746">
        <v>499612</v>
      </c>
      <c r="E2746">
        <v>1823900</v>
      </c>
      <c r="F2746">
        <v>16569844</v>
      </c>
      <c r="G2746">
        <v>540400</v>
      </c>
      <c r="H2746">
        <v>20850423</v>
      </c>
      <c r="I2746">
        <v>185100</v>
      </c>
      <c r="J2746">
        <v>20826378</v>
      </c>
      <c r="K2746">
        <v>208000</v>
      </c>
    </row>
    <row r="2747" spans="1:11" x14ac:dyDescent="0.3">
      <c r="A2747" t="s">
        <v>2756</v>
      </c>
      <c r="B2747">
        <v>979300</v>
      </c>
      <c r="C2747">
        <v>9107500</v>
      </c>
      <c r="D2747">
        <v>501181</v>
      </c>
      <c r="E2747">
        <v>1794200</v>
      </c>
      <c r="F2747">
        <v>16582739</v>
      </c>
      <c r="G2747">
        <v>544500</v>
      </c>
      <c r="H2747">
        <v>20867024</v>
      </c>
      <c r="I2747">
        <v>191900</v>
      </c>
      <c r="J2747">
        <v>20843036</v>
      </c>
      <c r="K2747">
        <v>205400</v>
      </c>
    </row>
    <row r="2748" spans="1:11" x14ac:dyDescent="0.3">
      <c r="A2748" t="s">
        <v>2757</v>
      </c>
      <c r="B2748">
        <v>979300</v>
      </c>
      <c r="C2748">
        <v>9087000</v>
      </c>
      <c r="D2748">
        <v>481571</v>
      </c>
      <c r="E2748">
        <v>1658100</v>
      </c>
      <c r="F2748">
        <v>16595630</v>
      </c>
      <c r="G2748">
        <v>538700</v>
      </c>
      <c r="H2748">
        <v>20883036</v>
      </c>
      <c r="I2748">
        <v>182600</v>
      </c>
      <c r="J2748">
        <v>20859264</v>
      </c>
      <c r="K2748">
        <v>205000</v>
      </c>
    </row>
    <row r="2749" spans="1:11" x14ac:dyDescent="0.3">
      <c r="A2749" t="s">
        <v>2758</v>
      </c>
      <c r="B2749">
        <v>979300</v>
      </c>
      <c r="C2749">
        <v>9044200</v>
      </c>
      <c r="D2749">
        <v>498290</v>
      </c>
      <c r="E2749">
        <v>1851900</v>
      </c>
      <c r="F2749">
        <v>16608545</v>
      </c>
      <c r="G2749">
        <v>562800</v>
      </c>
      <c r="H2749">
        <v>20899446</v>
      </c>
      <c r="I2749">
        <v>186800</v>
      </c>
      <c r="J2749">
        <v>20875278</v>
      </c>
      <c r="K2749">
        <v>208200</v>
      </c>
    </row>
    <row r="2750" spans="1:11" x14ac:dyDescent="0.3">
      <c r="A2750" t="s">
        <v>2759</v>
      </c>
      <c r="B2750">
        <v>979300</v>
      </c>
      <c r="C2750">
        <v>9103600</v>
      </c>
      <c r="D2750">
        <v>482513</v>
      </c>
      <c r="E2750">
        <v>1671400</v>
      </c>
      <c r="F2750">
        <v>16621444</v>
      </c>
      <c r="G2750">
        <v>546400</v>
      </c>
      <c r="H2750">
        <v>20915600</v>
      </c>
      <c r="I2750">
        <v>184900</v>
      </c>
      <c r="J2750">
        <v>20890445</v>
      </c>
      <c r="K2750">
        <v>205900</v>
      </c>
    </row>
    <row r="2751" spans="1:11" x14ac:dyDescent="0.3">
      <c r="A2751" t="s">
        <v>2760</v>
      </c>
      <c r="B2751">
        <v>979300</v>
      </c>
      <c r="C2751">
        <v>9676500</v>
      </c>
      <c r="D2751">
        <v>488838</v>
      </c>
      <c r="E2751">
        <v>1683000</v>
      </c>
      <c r="F2751">
        <v>16634330</v>
      </c>
      <c r="G2751">
        <v>553600</v>
      </c>
      <c r="H2751">
        <v>20930870</v>
      </c>
      <c r="I2751">
        <v>184300</v>
      </c>
      <c r="J2751">
        <v>20906691</v>
      </c>
      <c r="K2751">
        <v>200900</v>
      </c>
    </row>
    <row r="2752" spans="1:11" x14ac:dyDescent="0.3">
      <c r="A2752" t="s">
        <v>2761</v>
      </c>
      <c r="B2752">
        <v>979300</v>
      </c>
      <c r="C2752">
        <v>8732100</v>
      </c>
      <c r="D2752">
        <v>497891</v>
      </c>
      <c r="E2752">
        <v>1718200</v>
      </c>
      <c r="F2752">
        <v>16647220</v>
      </c>
      <c r="G2752">
        <v>711900</v>
      </c>
      <c r="H2752">
        <v>20946074</v>
      </c>
      <c r="I2752">
        <v>189700</v>
      </c>
      <c r="J2752">
        <v>20921907</v>
      </c>
      <c r="K2752">
        <v>205000</v>
      </c>
    </row>
    <row r="2753" spans="1:11" x14ac:dyDescent="0.3">
      <c r="A2753" t="s">
        <v>2762</v>
      </c>
      <c r="B2753">
        <v>979300</v>
      </c>
      <c r="C2753">
        <v>8990800</v>
      </c>
      <c r="D2753">
        <v>486259</v>
      </c>
      <c r="E2753">
        <v>1674100</v>
      </c>
      <c r="F2753">
        <v>16660080</v>
      </c>
      <c r="G2753">
        <v>542600</v>
      </c>
      <c r="H2753">
        <v>20961528</v>
      </c>
      <c r="I2753">
        <v>185900</v>
      </c>
      <c r="J2753">
        <v>20938015</v>
      </c>
      <c r="K2753">
        <v>206100</v>
      </c>
    </row>
    <row r="2754" spans="1:11" x14ac:dyDescent="0.3">
      <c r="A2754" t="s">
        <v>2763</v>
      </c>
      <c r="B2754">
        <v>979300</v>
      </c>
      <c r="C2754">
        <v>8950200</v>
      </c>
      <c r="D2754">
        <v>497643</v>
      </c>
      <c r="E2754">
        <v>1800000</v>
      </c>
      <c r="F2754">
        <v>16672960</v>
      </c>
      <c r="G2754">
        <v>568200</v>
      </c>
      <c r="H2754">
        <v>20978250</v>
      </c>
      <c r="I2754">
        <v>187500</v>
      </c>
      <c r="J2754">
        <v>20954298</v>
      </c>
      <c r="K2754">
        <v>206100</v>
      </c>
    </row>
    <row r="2755" spans="1:11" x14ac:dyDescent="0.3">
      <c r="A2755" t="s">
        <v>2764</v>
      </c>
      <c r="B2755">
        <v>979300</v>
      </c>
      <c r="C2755">
        <v>8672100</v>
      </c>
      <c r="D2755">
        <v>494667</v>
      </c>
      <c r="E2755">
        <v>1756800</v>
      </c>
      <c r="F2755">
        <v>16685799</v>
      </c>
      <c r="G2755">
        <v>544100</v>
      </c>
      <c r="H2755">
        <v>20994267</v>
      </c>
      <c r="I2755">
        <v>184600</v>
      </c>
      <c r="J2755">
        <v>20969997</v>
      </c>
      <c r="K2755">
        <v>201200</v>
      </c>
    </row>
    <row r="2756" spans="1:11" x14ac:dyDescent="0.3">
      <c r="A2756" t="s">
        <v>2765</v>
      </c>
      <c r="B2756">
        <v>979300</v>
      </c>
      <c r="C2756">
        <v>9095400</v>
      </c>
      <c r="D2756">
        <v>501127</v>
      </c>
      <c r="E2756">
        <v>1782500</v>
      </c>
      <c r="F2756">
        <v>16698693</v>
      </c>
      <c r="G2756">
        <v>545500</v>
      </c>
      <c r="H2756">
        <v>21010794</v>
      </c>
      <c r="I2756">
        <v>191200</v>
      </c>
      <c r="J2756">
        <v>20985365</v>
      </c>
      <c r="K2756">
        <v>205500</v>
      </c>
    </row>
    <row r="2757" spans="1:11" x14ac:dyDescent="0.3">
      <c r="A2757" t="s">
        <v>2766</v>
      </c>
      <c r="B2757">
        <v>979300</v>
      </c>
      <c r="C2757">
        <v>8507500</v>
      </c>
      <c r="D2757">
        <v>513802</v>
      </c>
      <c r="E2757">
        <v>1766500</v>
      </c>
      <c r="F2757">
        <v>16711552</v>
      </c>
      <c r="G2757">
        <v>591600</v>
      </c>
      <c r="H2757">
        <v>21026459</v>
      </c>
      <c r="I2757">
        <v>184800</v>
      </c>
      <c r="J2757">
        <v>21001863</v>
      </c>
      <c r="K2757">
        <v>208200</v>
      </c>
    </row>
    <row r="2758" spans="1:11" x14ac:dyDescent="0.3">
      <c r="A2758" t="s">
        <v>2767</v>
      </c>
      <c r="B2758">
        <v>979300</v>
      </c>
      <c r="C2758">
        <v>8951100</v>
      </c>
      <c r="D2758">
        <v>503957</v>
      </c>
      <c r="E2758">
        <v>1811000</v>
      </c>
      <c r="F2758">
        <v>16724440</v>
      </c>
      <c r="G2758">
        <v>557100</v>
      </c>
      <c r="H2758">
        <v>21043622</v>
      </c>
      <c r="I2758">
        <v>187800</v>
      </c>
      <c r="J2758">
        <v>21017251</v>
      </c>
      <c r="K2758">
        <v>202300</v>
      </c>
    </row>
    <row r="2759" spans="1:11" x14ac:dyDescent="0.3">
      <c r="A2759" t="s">
        <v>2768</v>
      </c>
      <c r="B2759">
        <v>979300</v>
      </c>
      <c r="C2759">
        <v>9501600</v>
      </c>
      <c r="D2759">
        <v>493394</v>
      </c>
      <c r="E2759">
        <v>1760100</v>
      </c>
      <c r="F2759">
        <v>16737343</v>
      </c>
      <c r="G2759">
        <v>544100</v>
      </c>
      <c r="H2759">
        <v>21059695</v>
      </c>
      <c r="I2759">
        <v>187200</v>
      </c>
      <c r="J2759">
        <v>21032411</v>
      </c>
      <c r="K2759">
        <v>204500</v>
      </c>
    </row>
    <row r="2760" spans="1:11" x14ac:dyDescent="0.3">
      <c r="A2760" t="s">
        <v>2769</v>
      </c>
      <c r="B2760">
        <v>979300</v>
      </c>
      <c r="C2760">
        <v>9058000</v>
      </c>
      <c r="D2760">
        <v>492976</v>
      </c>
      <c r="E2760">
        <v>1775400</v>
      </c>
      <c r="F2760">
        <v>16750240</v>
      </c>
      <c r="G2760">
        <v>547900</v>
      </c>
      <c r="H2760">
        <v>21075629</v>
      </c>
      <c r="I2760">
        <v>187400</v>
      </c>
      <c r="J2760">
        <v>21048995</v>
      </c>
      <c r="K2760">
        <v>206900</v>
      </c>
    </row>
    <row r="2761" spans="1:11" x14ac:dyDescent="0.3">
      <c r="A2761" t="s">
        <v>2770</v>
      </c>
      <c r="B2761">
        <v>979300</v>
      </c>
      <c r="C2761">
        <v>9042300</v>
      </c>
      <c r="D2761">
        <v>485889</v>
      </c>
      <c r="E2761">
        <v>1668100</v>
      </c>
      <c r="F2761">
        <v>16763132</v>
      </c>
      <c r="G2761">
        <v>724300</v>
      </c>
      <c r="H2761">
        <v>21091739</v>
      </c>
      <c r="I2761">
        <v>194400</v>
      </c>
      <c r="J2761">
        <v>21063999</v>
      </c>
      <c r="K2761">
        <v>205500</v>
      </c>
    </row>
    <row r="2762" spans="1:11" x14ac:dyDescent="0.3">
      <c r="A2762" t="s">
        <v>2771</v>
      </c>
      <c r="B2762">
        <v>979300</v>
      </c>
      <c r="C2762">
        <v>8911300</v>
      </c>
      <c r="D2762">
        <v>487831</v>
      </c>
      <c r="E2762">
        <v>1679800</v>
      </c>
      <c r="F2762">
        <v>16776037</v>
      </c>
      <c r="G2762">
        <v>537100</v>
      </c>
      <c r="H2762">
        <v>21108150</v>
      </c>
      <c r="I2762">
        <v>189200</v>
      </c>
      <c r="J2762">
        <v>21080057</v>
      </c>
      <c r="K2762">
        <v>210400</v>
      </c>
    </row>
    <row r="2763" spans="1:11" x14ac:dyDescent="0.3">
      <c r="A2763" t="s">
        <v>2772</v>
      </c>
      <c r="B2763">
        <v>979300</v>
      </c>
      <c r="C2763">
        <v>8712600</v>
      </c>
      <c r="D2763">
        <v>491347</v>
      </c>
      <c r="E2763">
        <v>1926400</v>
      </c>
      <c r="F2763">
        <v>16788899</v>
      </c>
      <c r="G2763">
        <v>568000</v>
      </c>
      <c r="H2763">
        <v>21125025</v>
      </c>
      <c r="I2763">
        <v>187300</v>
      </c>
      <c r="J2763">
        <v>21096318</v>
      </c>
      <c r="K2763">
        <v>207200</v>
      </c>
    </row>
    <row r="2764" spans="1:11" x14ac:dyDescent="0.3">
      <c r="A2764" t="s">
        <v>2773</v>
      </c>
      <c r="B2764">
        <v>979300</v>
      </c>
      <c r="C2764">
        <v>9245700</v>
      </c>
      <c r="D2764">
        <v>497218</v>
      </c>
      <c r="E2764">
        <v>1708900</v>
      </c>
      <c r="F2764">
        <v>16801809</v>
      </c>
      <c r="G2764">
        <v>535500</v>
      </c>
      <c r="H2764">
        <v>21141814</v>
      </c>
      <c r="I2764">
        <v>187700</v>
      </c>
      <c r="J2764">
        <v>21112880</v>
      </c>
      <c r="K2764">
        <v>202400</v>
      </c>
    </row>
    <row r="2765" spans="1:11" x14ac:dyDescent="0.3">
      <c r="A2765" t="s">
        <v>2774</v>
      </c>
      <c r="B2765">
        <v>979300</v>
      </c>
      <c r="C2765">
        <v>9158900</v>
      </c>
      <c r="D2765">
        <v>496474</v>
      </c>
      <c r="E2765">
        <v>1744800</v>
      </c>
      <c r="F2765">
        <v>16814708</v>
      </c>
      <c r="G2765">
        <v>546500</v>
      </c>
      <c r="H2765">
        <v>21158591</v>
      </c>
      <c r="I2765">
        <v>182300</v>
      </c>
      <c r="J2765">
        <v>21129286</v>
      </c>
      <c r="K2765">
        <v>201700</v>
      </c>
    </row>
    <row r="2766" spans="1:11" x14ac:dyDescent="0.3">
      <c r="A2766" t="s">
        <v>2775</v>
      </c>
      <c r="B2766">
        <v>979300</v>
      </c>
      <c r="C2766">
        <v>8668500</v>
      </c>
      <c r="D2766">
        <v>488028</v>
      </c>
      <c r="E2766">
        <v>1682500</v>
      </c>
      <c r="F2766">
        <v>16827575</v>
      </c>
      <c r="G2766">
        <v>542600</v>
      </c>
      <c r="H2766">
        <v>21174453</v>
      </c>
      <c r="I2766">
        <v>186100</v>
      </c>
      <c r="J2766">
        <v>21146583</v>
      </c>
      <c r="K2766">
        <v>206500</v>
      </c>
    </row>
    <row r="2767" spans="1:11" x14ac:dyDescent="0.3">
      <c r="A2767" t="s">
        <v>2776</v>
      </c>
      <c r="B2767">
        <v>979300</v>
      </c>
      <c r="C2767">
        <v>10059500</v>
      </c>
      <c r="D2767">
        <v>504292</v>
      </c>
      <c r="E2767">
        <v>1734700</v>
      </c>
      <c r="F2767">
        <v>16840500</v>
      </c>
      <c r="G2767">
        <v>542400</v>
      </c>
      <c r="H2767">
        <v>21189925</v>
      </c>
      <c r="I2767">
        <v>190000</v>
      </c>
      <c r="J2767">
        <v>21161558</v>
      </c>
      <c r="K2767">
        <v>208200</v>
      </c>
    </row>
    <row r="2768" spans="1:11" x14ac:dyDescent="0.3">
      <c r="A2768" t="s">
        <v>2777</v>
      </c>
      <c r="B2768">
        <v>979300</v>
      </c>
      <c r="C2768">
        <v>9415600</v>
      </c>
      <c r="D2768">
        <v>497154</v>
      </c>
      <c r="E2768">
        <v>1757900</v>
      </c>
      <c r="F2768">
        <v>16853395</v>
      </c>
      <c r="G2768">
        <v>540400</v>
      </c>
      <c r="H2768">
        <v>21206328</v>
      </c>
      <c r="I2768">
        <v>183400</v>
      </c>
      <c r="J2768">
        <v>21179130</v>
      </c>
      <c r="K2768">
        <v>207100</v>
      </c>
    </row>
    <row r="2769" spans="1:11" x14ac:dyDescent="0.3">
      <c r="A2769" t="s">
        <v>2778</v>
      </c>
      <c r="B2769">
        <v>979300</v>
      </c>
      <c r="C2769">
        <v>10825300</v>
      </c>
      <c r="D2769">
        <v>500831</v>
      </c>
      <c r="E2769">
        <v>2670500</v>
      </c>
      <c r="F2769">
        <v>16866269</v>
      </c>
      <c r="G2769">
        <v>869400</v>
      </c>
      <c r="H2769">
        <v>21222207</v>
      </c>
      <c r="I2769">
        <v>247900</v>
      </c>
      <c r="J2769">
        <v>21195734</v>
      </c>
      <c r="K2769">
        <v>219400</v>
      </c>
    </row>
    <row r="2770" spans="1:11" x14ac:dyDescent="0.3">
      <c r="A2770" t="s">
        <v>2779</v>
      </c>
      <c r="B2770">
        <v>979300</v>
      </c>
      <c r="C2770">
        <v>9177900</v>
      </c>
      <c r="D2770">
        <v>483130</v>
      </c>
      <c r="E2770">
        <v>2001500</v>
      </c>
      <c r="F2770">
        <v>16879135</v>
      </c>
      <c r="G2770">
        <v>543000</v>
      </c>
      <c r="H2770">
        <v>21238643</v>
      </c>
      <c r="I2770">
        <v>186500</v>
      </c>
      <c r="J2770">
        <v>21210984</v>
      </c>
      <c r="K2770">
        <v>211200</v>
      </c>
    </row>
    <row r="2771" spans="1:11" x14ac:dyDescent="0.3">
      <c r="A2771" t="s">
        <v>2780</v>
      </c>
      <c r="B2771">
        <v>979300</v>
      </c>
      <c r="C2771">
        <v>8807100</v>
      </c>
      <c r="D2771">
        <v>505579</v>
      </c>
      <c r="E2771">
        <v>1802200</v>
      </c>
      <c r="F2771">
        <v>16892020</v>
      </c>
      <c r="G2771">
        <v>543000</v>
      </c>
      <c r="H2771">
        <v>21255899</v>
      </c>
      <c r="I2771">
        <v>186800</v>
      </c>
      <c r="J2771">
        <v>21226930</v>
      </c>
      <c r="K2771">
        <v>207900</v>
      </c>
    </row>
    <row r="2772" spans="1:11" x14ac:dyDescent="0.3">
      <c r="A2772" t="s">
        <v>2781</v>
      </c>
      <c r="B2772">
        <v>979300</v>
      </c>
      <c r="C2772">
        <v>8969600</v>
      </c>
      <c r="D2772">
        <v>491474</v>
      </c>
      <c r="E2772">
        <v>1749500</v>
      </c>
      <c r="F2772">
        <v>16904913</v>
      </c>
      <c r="G2772">
        <v>680900</v>
      </c>
      <c r="H2772">
        <v>21271164</v>
      </c>
      <c r="I2772">
        <v>226400</v>
      </c>
      <c r="J2772">
        <v>21243084</v>
      </c>
      <c r="K2772">
        <v>244900</v>
      </c>
    </row>
    <row r="2773" spans="1:11" x14ac:dyDescent="0.3">
      <c r="A2773" t="s">
        <v>2782</v>
      </c>
      <c r="B2773">
        <v>979300</v>
      </c>
      <c r="C2773">
        <v>9017400</v>
      </c>
      <c r="D2773">
        <v>497691</v>
      </c>
      <c r="E2773">
        <v>1757100</v>
      </c>
      <c r="F2773">
        <v>16917812</v>
      </c>
      <c r="G2773">
        <v>691200</v>
      </c>
      <c r="H2773">
        <v>21288064</v>
      </c>
      <c r="I2773">
        <v>188100</v>
      </c>
      <c r="J2773">
        <v>21259305</v>
      </c>
      <c r="K2773">
        <v>203300</v>
      </c>
    </row>
    <row r="2774" spans="1:11" x14ac:dyDescent="0.3">
      <c r="A2774" t="s">
        <v>2783</v>
      </c>
      <c r="B2774">
        <v>979300</v>
      </c>
      <c r="C2774">
        <v>9439000</v>
      </c>
      <c r="D2774">
        <v>495254</v>
      </c>
      <c r="E2774">
        <v>1707300</v>
      </c>
      <c r="F2774">
        <v>16930711</v>
      </c>
      <c r="G2774">
        <v>1833300</v>
      </c>
      <c r="H2774">
        <v>21303563</v>
      </c>
      <c r="I2774">
        <v>185900</v>
      </c>
      <c r="J2774">
        <v>21275068</v>
      </c>
      <c r="K2774">
        <v>204700</v>
      </c>
    </row>
    <row r="2775" spans="1:11" x14ac:dyDescent="0.3">
      <c r="A2775" t="s">
        <v>2784</v>
      </c>
      <c r="B2775">
        <v>979300</v>
      </c>
      <c r="C2775">
        <v>8973600</v>
      </c>
      <c r="D2775">
        <v>500101</v>
      </c>
      <c r="E2775">
        <v>1728600</v>
      </c>
      <c r="F2775">
        <v>16943611</v>
      </c>
      <c r="G2775">
        <v>544000</v>
      </c>
      <c r="H2775">
        <v>21320323</v>
      </c>
      <c r="I2775">
        <v>188500</v>
      </c>
      <c r="J2775">
        <v>21291725</v>
      </c>
      <c r="K2775">
        <v>204300</v>
      </c>
    </row>
    <row r="2776" spans="1:11" x14ac:dyDescent="0.3">
      <c r="A2776" t="s">
        <v>2785</v>
      </c>
      <c r="B2776">
        <v>979300</v>
      </c>
      <c r="C2776">
        <v>8767600</v>
      </c>
      <c r="D2776">
        <v>484697</v>
      </c>
      <c r="E2776">
        <v>1666700</v>
      </c>
      <c r="F2776">
        <v>16956555</v>
      </c>
      <c r="G2776">
        <v>546900</v>
      </c>
      <c r="H2776">
        <v>21335427</v>
      </c>
      <c r="I2776">
        <v>185300</v>
      </c>
      <c r="J2776">
        <v>21309831</v>
      </c>
      <c r="K2776">
        <v>218100</v>
      </c>
    </row>
    <row r="2777" spans="1:11" x14ac:dyDescent="0.3">
      <c r="A2777" t="s">
        <v>2786</v>
      </c>
      <c r="B2777">
        <v>979300</v>
      </c>
      <c r="C2777">
        <v>8990500</v>
      </c>
      <c r="D2777">
        <v>497226</v>
      </c>
      <c r="E2777">
        <v>1712600</v>
      </c>
      <c r="F2777">
        <v>16969480</v>
      </c>
      <c r="G2777">
        <v>542100</v>
      </c>
      <c r="H2777">
        <v>21350883</v>
      </c>
      <c r="I2777">
        <v>186400</v>
      </c>
      <c r="J2777">
        <v>21325351</v>
      </c>
      <c r="K2777">
        <v>204800</v>
      </c>
    </row>
    <row r="2778" spans="1:11" x14ac:dyDescent="0.3">
      <c r="A2778" t="s">
        <v>2787</v>
      </c>
      <c r="B2778">
        <v>979300</v>
      </c>
      <c r="C2778">
        <v>8845400</v>
      </c>
      <c r="D2778">
        <v>489810</v>
      </c>
      <c r="E2778">
        <v>1816400</v>
      </c>
      <c r="F2778">
        <v>16982335</v>
      </c>
      <c r="G2778">
        <v>679200</v>
      </c>
      <c r="H2778">
        <v>21366384</v>
      </c>
      <c r="I2778">
        <v>188300</v>
      </c>
      <c r="J2778">
        <v>21341355</v>
      </c>
      <c r="K2778">
        <v>207400</v>
      </c>
    </row>
    <row r="2779" spans="1:11" x14ac:dyDescent="0.3">
      <c r="A2779" t="s">
        <v>2788</v>
      </c>
      <c r="B2779">
        <v>979300</v>
      </c>
      <c r="C2779">
        <v>8782700</v>
      </c>
      <c r="D2779">
        <v>480827</v>
      </c>
      <c r="E2779">
        <v>1677900</v>
      </c>
      <c r="F2779">
        <v>16995222</v>
      </c>
      <c r="G2779">
        <v>537800</v>
      </c>
      <c r="H2779">
        <v>21382404</v>
      </c>
      <c r="I2779">
        <v>188200</v>
      </c>
      <c r="J2779">
        <v>21357938</v>
      </c>
      <c r="K2779">
        <v>214200</v>
      </c>
    </row>
    <row r="2780" spans="1:11" x14ac:dyDescent="0.3">
      <c r="A2780" t="s">
        <v>2789</v>
      </c>
      <c r="B2780">
        <v>979300</v>
      </c>
      <c r="C2780">
        <v>9194300</v>
      </c>
      <c r="D2780">
        <v>472727</v>
      </c>
      <c r="E2780">
        <v>1676800</v>
      </c>
      <c r="F2780">
        <v>17008104</v>
      </c>
      <c r="G2780">
        <v>571600</v>
      </c>
      <c r="H2780">
        <v>21398823</v>
      </c>
      <c r="I2780">
        <v>185900</v>
      </c>
      <c r="J2780">
        <v>21374893</v>
      </c>
      <c r="K2780">
        <v>210600</v>
      </c>
    </row>
    <row r="2781" spans="1:11" x14ac:dyDescent="0.3">
      <c r="A2781" t="s">
        <v>2790</v>
      </c>
      <c r="B2781">
        <v>979300</v>
      </c>
      <c r="C2781">
        <v>9198800</v>
      </c>
      <c r="D2781">
        <v>488924</v>
      </c>
      <c r="E2781">
        <v>1679900</v>
      </c>
      <c r="F2781">
        <v>17021010</v>
      </c>
      <c r="G2781">
        <v>544500</v>
      </c>
      <c r="H2781">
        <v>21415404</v>
      </c>
      <c r="I2781">
        <v>189800</v>
      </c>
      <c r="J2781">
        <v>21391157</v>
      </c>
      <c r="K2781">
        <v>207900</v>
      </c>
    </row>
    <row r="2782" spans="1:11" x14ac:dyDescent="0.3">
      <c r="A2782" t="s">
        <v>2791</v>
      </c>
      <c r="B2782">
        <v>979300</v>
      </c>
      <c r="C2782">
        <v>9052500</v>
      </c>
      <c r="D2782">
        <v>475270</v>
      </c>
      <c r="E2782">
        <v>1683500</v>
      </c>
      <c r="F2782">
        <v>17033914</v>
      </c>
      <c r="G2782">
        <v>545800</v>
      </c>
      <c r="H2782">
        <v>21430812</v>
      </c>
      <c r="I2782">
        <v>185000</v>
      </c>
      <c r="J2782">
        <v>21406844</v>
      </c>
      <c r="K2782">
        <v>201100</v>
      </c>
    </row>
    <row r="2783" spans="1:11" x14ac:dyDescent="0.3">
      <c r="A2783" t="s">
        <v>2792</v>
      </c>
      <c r="B2783">
        <v>979300</v>
      </c>
      <c r="C2783">
        <v>8944800</v>
      </c>
      <c r="D2783">
        <v>479182</v>
      </c>
      <c r="E2783">
        <v>1788300</v>
      </c>
      <c r="F2783">
        <v>17046809</v>
      </c>
      <c r="G2783">
        <v>555900</v>
      </c>
      <c r="H2783">
        <v>21448515</v>
      </c>
      <c r="I2783">
        <v>188800</v>
      </c>
      <c r="J2783">
        <v>21422643</v>
      </c>
      <c r="K2783">
        <v>205100</v>
      </c>
    </row>
    <row r="2784" spans="1:11" x14ac:dyDescent="0.3">
      <c r="A2784" t="s">
        <v>2793</v>
      </c>
      <c r="B2784">
        <v>979300</v>
      </c>
      <c r="C2784">
        <v>8795100</v>
      </c>
      <c r="D2784">
        <v>487068</v>
      </c>
      <c r="E2784">
        <v>1716300</v>
      </c>
      <c r="F2784">
        <v>17059697</v>
      </c>
      <c r="G2784">
        <v>543700</v>
      </c>
      <c r="H2784">
        <v>21466423</v>
      </c>
      <c r="I2784">
        <v>198200</v>
      </c>
      <c r="J2784">
        <v>21438483</v>
      </c>
      <c r="K2784">
        <v>206100</v>
      </c>
    </row>
    <row r="2785" spans="1:11" x14ac:dyDescent="0.3">
      <c r="A2785" t="s">
        <v>2794</v>
      </c>
      <c r="B2785">
        <v>979300</v>
      </c>
      <c r="C2785">
        <v>9831300</v>
      </c>
      <c r="D2785">
        <v>498756</v>
      </c>
      <c r="E2785">
        <v>1713600</v>
      </c>
      <c r="F2785">
        <v>17072614</v>
      </c>
      <c r="G2785">
        <v>541100</v>
      </c>
      <c r="H2785">
        <v>21484150</v>
      </c>
      <c r="I2785">
        <v>193600</v>
      </c>
      <c r="J2785">
        <v>21453703</v>
      </c>
      <c r="K2785">
        <v>207500</v>
      </c>
    </row>
    <row r="2786" spans="1:11" x14ac:dyDescent="0.3">
      <c r="A2786" t="s">
        <v>2795</v>
      </c>
      <c r="B2786">
        <v>979300</v>
      </c>
      <c r="C2786">
        <v>8902400</v>
      </c>
      <c r="D2786">
        <v>476900</v>
      </c>
      <c r="E2786">
        <v>1644000</v>
      </c>
      <c r="F2786">
        <v>17085507</v>
      </c>
      <c r="G2786">
        <v>633800</v>
      </c>
      <c r="H2786">
        <v>21499942</v>
      </c>
      <c r="I2786">
        <v>189800</v>
      </c>
      <c r="J2786">
        <v>21472168</v>
      </c>
      <c r="K2786">
        <v>219300</v>
      </c>
    </row>
    <row r="2787" spans="1:11" x14ac:dyDescent="0.3">
      <c r="A2787" t="s">
        <v>2796</v>
      </c>
      <c r="B2787">
        <v>979300</v>
      </c>
      <c r="C2787">
        <v>8918000</v>
      </c>
      <c r="D2787">
        <v>493368</v>
      </c>
      <c r="E2787">
        <v>1706100</v>
      </c>
      <c r="F2787">
        <v>17098413</v>
      </c>
      <c r="G2787">
        <v>544900</v>
      </c>
      <c r="H2787">
        <v>21515828</v>
      </c>
      <c r="I2787">
        <v>185500</v>
      </c>
      <c r="J2787">
        <v>21487384</v>
      </c>
      <c r="K2787">
        <v>201700</v>
      </c>
    </row>
    <row r="2788" spans="1:11" x14ac:dyDescent="0.3">
      <c r="A2788" t="s">
        <v>2797</v>
      </c>
      <c r="B2788">
        <v>979300</v>
      </c>
      <c r="C2788">
        <v>9777200</v>
      </c>
      <c r="D2788">
        <v>478953</v>
      </c>
      <c r="E2788">
        <v>1707800</v>
      </c>
      <c r="F2788">
        <v>17111331</v>
      </c>
      <c r="G2788">
        <v>545800</v>
      </c>
      <c r="H2788">
        <v>21531937</v>
      </c>
      <c r="I2788">
        <v>184400</v>
      </c>
      <c r="J2788">
        <v>21504652</v>
      </c>
      <c r="K2788">
        <v>214900</v>
      </c>
    </row>
    <row r="2789" spans="1:11" x14ac:dyDescent="0.3">
      <c r="A2789" t="s">
        <v>2798</v>
      </c>
      <c r="B2789">
        <v>979300</v>
      </c>
      <c r="C2789">
        <v>9248000</v>
      </c>
      <c r="D2789">
        <v>486837</v>
      </c>
      <c r="E2789">
        <v>1983100</v>
      </c>
      <c r="F2789">
        <v>17124199</v>
      </c>
      <c r="G2789">
        <v>701600</v>
      </c>
      <c r="H2789">
        <v>21548298</v>
      </c>
      <c r="I2789">
        <v>232500</v>
      </c>
      <c r="J2789">
        <v>21519728</v>
      </c>
      <c r="K2789">
        <v>281200</v>
      </c>
    </row>
    <row r="2790" spans="1:11" x14ac:dyDescent="0.3">
      <c r="A2790" t="s">
        <v>2799</v>
      </c>
      <c r="B2790">
        <v>979300</v>
      </c>
      <c r="C2790">
        <v>9381800</v>
      </c>
      <c r="D2790">
        <v>478729</v>
      </c>
      <c r="E2790">
        <v>1649700</v>
      </c>
      <c r="F2790">
        <v>17137104</v>
      </c>
      <c r="G2790">
        <v>550300</v>
      </c>
      <c r="H2790">
        <v>21564556</v>
      </c>
      <c r="I2790">
        <v>188200</v>
      </c>
      <c r="J2790">
        <v>21534786</v>
      </c>
      <c r="K2790">
        <v>204500</v>
      </c>
    </row>
    <row r="2791" spans="1:11" x14ac:dyDescent="0.3">
      <c r="A2791" t="s">
        <v>2800</v>
      </c>
      <c r="B2791">
        <v>979300</v>
      </c>
      <c r="C2791">
        <v>9075700</v>
      </c>
      <c r="D2791">
        <v>488127</v>
      </c>
      <c r="E2791">
        <v>1755700</v>
      </c>
      <c r="F2791">
        <v>17149991</v>
      </c>
      <c r="G2791">
        <v>536200</v>
      </c>
      <c r="H2791">
        <v>21581132</v>
      </c>
      <c r="I2791">
        <v>185700</v>
      </c>
      <c r="J2791">
        <v>21551211</v>
      </c>
      <c r="K2791">
        <v>214700</v>
      </c>
    </row>
    <row r="2792" spans="1:11" x14ac:dyDescent="0.3">
      <c r="A2792" t="s">
        <v>2801</v>
      </c>
      <c r="B2792">
        <v>979300</v>
      </c>
      <c r="C2792">
        <v>8808600</v>
      </c>
      <c r="D2792">
        <v>484398</v>
      </c>
      <c r="E2792">
        <v>1668900</v>
      </c>
      <c r="F2792">
        <v>17162883</v>
      </c>
      <c r="G2792">
        <v>536200</v>
      </c>
      <c r="H2792">
        <v>21598185</v>
      </c>
      <c r="I2792">
        <v>183500</v>
      </c>
      <c r="J2792">
        <v>21566963</v>
      </c>
      <c r="K2792">
        <v>206500</v>
      </c>
    </row>
    <row r="2793" spans="1:11" x14ac:dyDescent="0.3">
      <c r="A2793" t="s">
        <v>2802</v>
      </c>
      <c r="B2793">
        <v>979300</v>
      </c>
      <c r="C2793">
        <v>8994800</v>
      </c>
      <c r="D2793">
        <v>485231</v>
      </c>
      <c r="E2793">
        <v>1694900</v>
      </c>
      <c r="F2793">
        <v>17175773</v>
      </c>
      <c r="G2793">
        <v>545700</v>
      </c>
      <c r="H2793">
        <v>21613535</v>
      </c>
      <c r="I2793">
        <v>182800</v>
      </c>
      <c r="J2793">
        <v>21582959</v>
      </c>
      <c r="K2793">
        <v>211100</v>
      </c>
    </row>
    <row r="2794" spans="1:11" x14ac:dyDescent="0.3">
      <c r="A2794" t="s">
        <v>2803</v>
      </c>
      <c r="B2794">
        <v>979300</v>
      </c>
      <c r="C2794">
        <v>9029600</v>
      </c>
      <c r="D2794">
        <v>495268</v>
      </c>
      <c r="E2794">
        <v>2070800</v>
      </c>
      <c r="F2794">
        <v>17188701</v>
      </c>
      <c r="G2794">
        <v>713400</v>
      </c>
      <c r="H2794">
        <v>21630067</v>
      </c>
      <c r="I2794">
        <v>228000</v>
      </c>
      <c r="J2794">
        <v>21599712</v>
      </c>
      <c r="K2794">
        <v>258300</v>
      </c>
    </row>
    <row r="2795" spans="1:11" x14ac:dyDescent="0.3">
      <c r="A2795" t="s">
        <v>2804</v>
      </c>
      <c r="B2795">
        <v>979300</v>
      </c>
      <c r="C2795">
        <v>9424800</v>
      </c>
      <c r="D2795">
        <v>487079</v>
      </c>
      <c r="E2795">
        <v>1678300</v>
      </c>
      <c r="F2795">
        <v>17201593</v>
      </c>
      <c r="G2795">
        <v>553000</v>
      </c>
      <c r="H2795">
        <v>21646300</v>
      </c>
      <c r="I2795">
        <v>192500</v>
      </c>
      <c r="J2795">
        <v>21615717</v>
      </c>
      <c r="K2795">
        <v>209200</v>
      </c>
    </row>
    <row r="2796" spans="1:11" x14ac:dyDescent="0.3">
      <c r="A2796" t="s">
        <v>2805</v>
      </c>
      <c r="B2796">
        <v>979300</v>
      </c>
      <c r="C2796">
        <v>9502200</v>
      </c>
      <c r="D2796">
        <v>491455</v>
      </c>
      <c r="E2796">
        <v>1929600</v>
      </c>
      <c r="F2796">
        <v>17214484</v>
      </c>
      <c r="G2796">
        <v>540000</v>
      </c>
      <c r="H2796">
        <v>21662010</v>
      </c>
      <c r="I2796">
        <v>187100</v>
      </c>
      <c r="J2796">
        <v>21632021</v>
      </c>
      <c r="K2796">
        <v>207500</v>
      </c>
    </row>
    <row r="2797" spans="1:11" x14ac:dyDescent="0.3">
      <c r="A2797" t="s">
        <v>2806</v>
      </c>
      <c r="B2797">
        <v>979300</v>
      </c>
      <c r="C2797">
        <v>9124700</v>
      </c>
      <c r="D2797">
        <v>492421</v>
      </c>
      <c r="E2797">
        <v>1822700</v>
      </c>
      <c r="F2797">
        <v>17227412</v>
      </c>
      <c r="G2797">
        <v>554900</v>
      </c>
      <c r="H2797">
        <v>21678092</v>
      </c>
      <c r="I2797">
        <v>189400</v>
      </c>
      <c r="J2797">
        <v>21647888</v>
      </c>
      <c r="K2797">
        <v>205800</v>
      </c>
    </row>
    <row r="2798" spans="1:11" x14ac:dyDescent="0.3">
      <c r="A2798" t="s">
        <v>2807</v>
      </c>
      <c r="B2798">
        <v>979300</v>
      </c>
      <c r="C2798">
        <v>8840600</v>
      </c>
      <c r="D2798">
        <v>495586</v>
      </c>
      <c r="E2798">
        <v>1805100</v>
      </c>
      <c r="F2798">
        <v>17240327</v>
      </c>
      <c r="G2798">
        <v>535400</v>
      </c>
      <c r="H2798">
        <v>21694921</v>
      </c>
      <c r="I2798">
        <v>193200</v>
      </c>
      <c r="J2798">
        <v>21664968</v>
      </c>
      <c r="K2798">
        <v>205400</v>
      </c>
    </row>
    <row r="2799" spans="1:11" x14ac:dyDescent="0.3">
      <c r="A2799" t="s">
        <v>2808</v>
      </c>
      <c r="B2799">
        <v>979300</v>
      </c>
      <c r="C2799">
        <v>8930600</v>
      </c>
      <c r="D2799">
        <v>486346</v>
      </c>
      <c r="E2799">
        <v>1675400</v>
      </c>
      <c r="F2799">
        <v>17253230</v>
      </c>
      <c r="G2799">
        <v>542500</v>
      </c>
      <c r="H2799">
        <v>21710106</v>
      </c>
      <c r="I2799">
        <v>185300</v>
      </c>
      <c r="J2799">
        <v>21682466</v>
      </c>
      <c r="K2799">
        <v>216700</v>
      </c>
    </row>
    <row r="2800" spans="1:11" x14ac:dyDescent="0.3">
      <c r="A2800" t="s">
        <v>2809</v>
      </c>
      <c r="B2800">
        <v>979300</v>
      </c>
      <c r="C2800">
        <v>9170300</v>
      </c>
      <c r="D2800">
        <v>494976</v>
      </c>
      <c r="E2800">
        <v>1921400</v>
      </c>
      <c r="F2800">
        <v>17266127</v>
      </c>
      <c r="G2800">
        <v>543700</v>
      </c>
      <c r="H2800">
        <v>21725246</v>
      </c>
      <c r="I2800">
        <v>181300</v>
      </c>
      <c r="J2800">
        <v>21698283</v>
      </c>
      <c r="K2800">
        <v>206100</v>
      </c>
    </row>
    <row r="2801" spans="1:11" x14ac:dyDescent="0.3">
      <c r="A2801" t="s">
        <v>2810</v>
      </c>
      <c r="B2801">
        <v>979300</v>
      </c>
      <c r="C2801">
        <v>9027100</v>
      </c>
      <c r="D2801">
        <v>496540</v>
      </c>
      <c r="E2801">
        <v>1711400</v>
      </c>
      <c r="F2801">
        <v>17278977</v>
      </c>
      <c r="G2801">
        <v>536000</v>
      </c>
      <c r="H2801">
        <v>21743122</v>
      </c>
      <c r="I2801">
        <v>179600</v>
      </c>
      <c r="J2801">
        <v>21714149</v>
      </c>
      <c r="K2801">
        <v>197800</v>
      </c>
    </row>
    <row r="2802" spans="1:11" x14ac:dyDescent="0.3">
      <c r="A2802" t="s">
        <v>2811</v>
      </c>
      <c r="B2802">
        <v>1050525</v>
      </c>
      <c r="C2802">
        <v>10292100</v>
      </c>
      <c r="D2802">
        <v>525688</v>
      </c>
      <c r="E2802">
        <v>1811200</v>
      </c>
      <c r="F2802">
        <v>17292420</v>
      </c>
      <c r="G2802">
        <v>565400</v>
      </c>
      <c r="H2802">
        <v>21759591</v>
      </c>
      <c r="I2802">
        <v>192800</v>
      </c>
      <c r="J2802">
        <v>21731791</v>
      </c>
      <c r="K2802">
        <v>221500</v>
      </c>
    </row>
    <row r="2803" spans="1:11" x14ac:dyDescent="0.3">
      <c r="A2803" t="s">
        <v>2812</v>
      </c>
      <c r="B2803">
        <v>1050525</v>
      </c>
      <c r="C2803">
        <v>10117300</v>
      </c>
      <c r="D2803">
        <v>521304</v>
      </c>
      <c r="E2803">
        <v>2087000</v>
      </c>
      <c r="F2803">
        <v>17305845</v>
      </c>
      <c r="G2803">
        <v>718400</v>
      </c>
      <c r="H2803">
        <v>21775974</v>
      </c>
      <c r="I2803">
        <v>232500</v>
      </c>
      <c r="J2803">
        <v>21748159</v>
      </c>
      <c r="K2803">
        <v>252500</v>
      </c>
    </row>
    <row r="2804" spans="1:11" x14ac:dyDescent="0.3">
      <c r="A2804" t="s">
        <v>2813</v>
      </c>
      <c r="B2804">
        <v>1050525</v>
      </c>
      <c r="C2804">
        <v>9506200</v>
      </c>
      <c r="D2804">
        <v>524694</v>
      </c>
      <c r="E2804">
        <v>1805300</v>
      </c>
      <c r="F2804">
        <v>17319238</v>
      </c>
      <c r="G2804">
        <v>566600</v>
      </c>
      <c r="H2804">
        <v>21794399</v>
      </c>
      <c r="I2804">
        <v>189900</v>
      </c>
      <c r="J2804">
        <v>21765389</v>
      </c>
      <c r="K2804">
        <v>215800</v>
      </c>
    </row>
    <row r="2805" spans="1:11" x14ac:dyDescent="0.3">
      <c r="A2805" t="s">
        <v>2814</v>
      </c>
      <c r="B2805">
        <v>1050525</v>
      </c>
      <c r="C2805">
        <v>10433100</v>
      </c>
      <c r="D2805">
        <v>534821</v>
      </c>
      <c r="E2805">
        <v>1854100</v>
      </c>
      <c r="F2805">
        <v>17332620</v>
      </c>
      <c r="G2805">
        <v>562100</v>
      </c>
      <c r="H2805">
        <v>21813460</v>
      </c>
      <c r="I2805">
        <v>194700</v>
      </c>
      <c r="J2805">
        <v>21782926</v>
      </c>
      <c r="K2805">
        <v>207100</v>
      </c>
    </row>
    <row r="2806" spans="1:11" x14ac:dyDescent="0.3">
      <c r="A2806" t="s">
        <v>2815</v>
      </c>
      <c r="B2806">
        <v>1050525</v>
      </c>
      <c r="C2806">
        <v>9590700</v>
      </c>
      <c r="D2806">
        <v>516228</v>
      </c>
      <c r="E2806">
        <v>2445100</v>
      </c>
      <c r="F2806">
        <v>17346026</v>
      </c>
      <c r="G2806">
        <v>720400</v>
      </c>
      <c r="H2806">
        <v>21829749</v>
      </c>
      <c r="I2806">
        <v>238600</v>
      </c>
      <c r="J2806">
        <v>21800476</v>
      </c>
      <c r="K2806">
        <v>271000</v>
      </c>
    </row>
    <row r="2807" spans="1:11" x14ac:dyDescent="0.3">
      <c r="A2807" t="s">
        <v>2816</v>
      </c>
      <c r="B2807">
        <v>1050525</v>
      </c>
      <c r="C2807">
        <v>9812200</v>
      </c>
      <c r="D2807">
        <v>523805</v>
      </c>
      <c r="E2807">
        <v>1803500</v>
      </c>
      <c r="F2807">
        <v>17359423</v>
      </c>
      <c r="G2807">
        <v>568700</v>
      </c>
      <c r="H2807">
        <v>21846166</v>
      </c>
      <c r="I2807">
        <v>199100</v>
      </c>
      <c r="J2807">
        <v>21818377</v>
      </c>
      <c r="K2807">
        <v>208300</v>
      </c>
    </row>
    <row r="2808" spans="1:11" x14ac:dyDescent="0.3">
      <c r="A2808" t="s">
        <v>2817</v>
      </c>
      <c r="B2808">
        <v>1050525</v>
      </c>
      <c r="C2808">
        <v>9932900</v>
      </c>
      <c r="D2808">
        <v>548653</v>
      </c>
      <c r="E2808">
        <v>1883700</v>
      </c>
      <c r="F2808">
        <v>17372839</v>
      </c>
      <c r="G2808">
        <v>563100</v>
      </c>
      <c r="H2808">
        <v>21863549</v>
      </c>
      <c r="I2808">
        <v>197800</v>
      </c>
      <c r="J2808">
        <v>21835480</v>
      </c>
      <c r="K2808">
        <v>211300</v>
      </c>
    </row>
    <row r="2809" spans="1:11" x14ac:dyDescent="0.3">
      <c r="A2809" t="s">
        <v>2818</v>
      </c>
      <c r="B2809">
        <v>1050525</v>
      </c>
      <c r="C2809">
        <v>10177700</v>
      </c>
      <c r="D2809">
        <v>506227</v>
      </c>
      <c r="E2809">
        <v>1801400</v>
      </c>
      <c r="F2809">
        <v>17386295</v>
      </c>
      <c r="G2809">
        <v>664800</v>
      </c>
      <c r="H2809">
        <v>21881318</v>
      </c>
      <c r="I2809">
        <v>236200</v>
      </c>
      <c r="J2809">
        <v>21851542</v>
      </c>
      <c r="K2809">
        <v>228500</v>
      </c>
    </row>
    <row r="2810" spans="1:11" x14ac:dyDescent="0.3">
      <c r="A2810" t="s">
        <v>2819</v>
      </c>
      <c r="B2810">
        <v>1050525</v>
      </c>
      <c r="C2810">
        <v>9505300</v>
      </c>
      <c r="D2810">
        <v>518631</v>
      </c>
      <c r="E2810">
        <v>1785100</v>
      </c>
      <c r="F2810">
        <v>17399755</v>
      </c>
      <c r="G2810">
        <v>558200</v>
      </c>
      <c r="H2810">
        <v>21898628</v>
      </c>
      <c r="I2810">
        <v>200700</v>
      </c>
      <c r="J2810">
        <v>21868386</v>
      </c>
      <c r="K2810">
        <v>217300</v>
      </c>
    </row>
    <row r="2811" spans="1:11" x14ac:dyDescent="0.3">
      <c r="A2811" t="s">
        <v>2820</v>
      </c>
      <c r="B2811">
        <v>1050525</v>
      </c>
      <c r="C2811">
        <v>9929300</v>
      </c>
      <c r="D2811">
        <v>521234</v>
      </c>
      <c r="E2811">
        <v>1800200</v>
      </c>
      <c r="F2811">
        <v>17413188</v>
      </c>
      <c r="G2811">
        <v>560400</v>
      </c>
      <c r="H2811">
        <v>21916300</v>
      </c>
      <c r="I2811">
        <v>192500</v>
      </c>
      <c r="J2811">
        <v>21884507</v>
      </c>
      <c r="K2811">
        <v>212700</v>
      </c>
    </row>
    <row r="2812" spans="1:11" x14ac:dyDescent="0.3">
      <c r="A2812" t="s">
        <v>2821</v>
      </c>
      <c r="B2812">
        <v>1050525</v>
      </c>
      <c r="C2812">
        <v>9765000</v>
      </c>
      <c r="D2812">
        <v>522931</v>
      </c>
      <c r="E2812">
        <v>1820400</v>
      </c>
      <c r="F2812">
        <v>17426627</v>
      </c>
      <c r="G2812">
        <v>564600</v>
      </c>
      <c r="H2812">
        <v>21936536</v>
      </c>
      <c r="I2812">
        <v>204500</v>
      </c>
      <c r="J2812">
        <v>21902971</v>
      </c>
      <c r="K2812">
        <v>218000</v>
      </c>
    </row>
    <row r="2813" spans="1:11" x14ac:dyDescent="0.3">
      <c r="A2813" t="s">
        <v>2822</v>
      </c>
      <c r="B2813">
        <v>1050525</v>
      </c>
      <c r="C2813">
        <v>10084500</v>
      </c>
      <c r="D2813">
        <v>520991</v>
      </c>
      <c r="E2813">
        <v>1799300</v>
      </c>
      <c r="F2813">
        <v>17440093</v>
      </c>
      <c r="G2813">
        <v>557700</v>
      </c>
      <c r="H2813">
        <v>21953681</v>
      </c>
      <c r="I2813">
        <v>200100</v>
      </c>
      <c r="J2813">
        <v>21922333</v>
      </c>
      <c r="K2813">
        <v>221800</v>
      </c>
    </row>
    <row r="2814" spans="1:11" x14ac:dyDescent="0.3">
      <c r="A2814" t="s">
        <v>2823</v>
      </c>
      <c r="B2814">
        <v>1050525</v>
      </c>
      <c r="C2814">
        <v>10187200</v>
      </c>
      <c r="D2814">
        <v>510844</v>
      </c>
      <c r="E2814">
        <v>1908600</v>
      </c>
      <c r="F2814">
        <v>17453497</v>
      </c>
      <c r="G2814">
        <v>571700</v>
      </c>
      <c r="H2814">
        <v>21970555</v>
      </c>
      <c r="I2814">
        <v>189900</v>
      </c>
      <c r="J2814">
        <v>21939434</v>
      </c>
      <c r="K2814">
        <v>217600</v>
      </c>
    </row>
    <row r="2815" spans="1:11" x14ac:dyDescent="0.3">
      <c r="A2815" t="s">
        <v>2824</v>
      </c>
      <c r="B2815">
        <v>1050525</v>
      </c>
      <c r="C2815">
        <v>9521200</v>
      </c>
      <c r="D2815">
        <v>516165</v>
      </c>
      <c r="E2815">
        <v>1779400</v>
      </c>
      <c r="F2815">
        <v>17466941</v>
      </c>
      <c r="G2815">
        <v>560700</v>
      </c>
      <c r="H2815">
        <v>21986809</v>
      </c>
      <c r="I2815">
        <v>195800</v>
      </c>
      <c r="J2815">
        <v>21957650</v>
      </c>
      <c r="K2815">
        <v>220000</v>
      </c>
    </row>
    <row r="2816" spans="1:11" x14ac:dyDescent="0.3">
      <c r="A2816" t="s">
        <v>2825</v>
      </c>
      <c r="B2816">
        <v>1050525</v>
      </c>
      <c r="C2816">
        <v>9630000</v>
      </c>
      <c r="D2816">
        <v>528249</v>
      </c>
      <c r="E2816">
        <v>1838900</v>
      </c>
      <c r="F2816">
        <v>17480345</v>
      </c>
      <c r="G2816">
        <v>563400</v>
      </c>
      <c r="H2816">
        <v>22004016</v>
      </c>
      <c r="I2816">
        <v>196300</v>
      </c>
      <c r="J2816">
        <v>21973987</v>
      </c>
      <c r="K2816">
        <v>211200</v>
      </c>
    </row>
    <row r="2817" spans="1:11" x14ac:dyDescent="0.3">
      <c r="A2817" t="s">
        <v>2826</v>
      </c>
      <c r="B2817">
        <v>1050525</v>
      </c>
      <c r="C2817">
        <v>9444300</v>
      </c>
      <c r="D2817">
        <v>528732</v>
      </c>
      <c r="E2817">
        <v>1940400</v>
      </c>
      <c r="F2817">
        <v>17493809</v>
      </c>
      <c r="G2817">
        <v>580500</v>
      </c>
      <c r="H2817">
        <v>22020552</v>
      </c>
      <c r="I2817">
        <v>197100</v>
      </c>
      <c r="J2817">
        <v>21991809</v>
      </c>
      <c r="K2817">
        <v>210600</v>
      </c>
    </row>
    <row r="2818" spans="1:11" x14ac:dyDescent="0.3">
      <c r="A2818" t="s">
        <v>2827</v>
      </c>
      <c r="B2818">
        <v>1050525</v>
      </c>
      <c r="C2818">
        <v>9463000</v>
      </c>
      <c r="D2818">
        <v>534952</v>
      </c>
      <c r="E2818">
        <v>1840400</v>
      </c>
      <c r="F2818">
        <v>17507273</v>
      </c>
      <c r="G2818">
        <v>569300</v>
      </c>
      <c r="H2818">
        <v>22038252</v>
      </c>
      <c r="I2818">
        <v>193000</v>
      </c>
      <c r="J2818">
        <v>22008460</v>
      </c>
      <c r="K2818">
        <v>216300</v>
      </c>
    </row>
    <row r="2819" spans="1:11" x14ac:dyDescent="0.3">
      <c r="A2819" t="s">
        <v>2828</v>
      </c>
      <c r="B2819">
        <v>1050525</v>
      </c>
      <c r="C2819">
        <v>9761400</v>
      </c>
      <c r="D2819">
        <v>546805</v>
      </c>
      <c r="E2819">
        <v>1878900</v>
      </c>
      <c r="F2819">
        <v>17520703</v>
      </c>
      <c r="G2819">
        <v>568800</v>
      </c>
      <c r="H2819">
        <v>22055875</v>
      </c>
      <c r="I2819">
        <v>191900</v>
      </c>
      <c r="J2819">
        <v>22026216</v>
      </c>
      <c r="K2819">
        <v>220600</v>
      </c>
    </row>
    <row r="2820" spans="1:11" x14ac:dyDescent="0.3">
      <c r="A2820" t="s">
        <v>2829</v>
      </c>
      <c r="B2820">
        <v>1050525</v>
      </c>
      <c r="C2820">
        <v>9713800</v>
      </c>
      <c r="D2820">
        <v>519217</v>
      </c>
      <c r="E2820">
        <v>1787900</v>
      </c>
      <c r="F2820">
        <v>17534090</v>
      </c>
      <c r="G2820">
        <v>565400</v>
      </c>
      <c r="H2820">
        <v>22071877</v>
      </c>
      <c r="I2820">
        <v>191900</v>
      </c>
      <c r="J2820">
        <v>22042927</v>
      </c>
      <c r="K2820">
        <v>211500</v>
      </c>
    </row>
    <row r="2821" spans="1:11" x14ac:dyDescent="0.3">
      <c r="A2821" t="s">
        <v>2830</v>
      </c>
      <c r="B2821">
        <v>1050525</v>
      </c>
      <c r="C2821">
        <v>9687400</v>
      </c>
      <c r="D2821">
        <v>520349</v>
      </c>
      <c r="E2821">
        <v>1836100</v>
      </c>
      <c r="F2821">
        <v>17547498</v>
      </c>
      <c r="G2821">
        <v>563400</v>
      </c>
      <c r="H2821">
        <v>22090639</v>
      </c>
      <c r="I2821">
        <v>195000</v>
      </c>
      <c r="J2821">
        <v>22059722</v>
      </c>
      <c r="K2821">
        <v>215500</v>
      </c>
    </row>
    <row r="2822" spans="1:11" x14ac:dyDescent="0.3">
      <c r="A2822" t="s">
        <v>2831</v>
      </c>
      <c r="B2822">
        <v>1050525</v>
      </c>
      <c r="C2822">
        <v>9657700</v>
      </c>
      <c r="D2822">
        <v>534937</v>
      </c>
      <c r="E2822">
        <v>1959100</v>
      </c>
      <c r="F2822">
        <v>17560945</v>
      </c>
      <c r="G2822">
        <v>568100</v>
      </c>
      <c r="H2822">
        <v>22107549</v>
      </c>
      <c r="I2822">
        <v>193400</v>
      </c>
      <c r="J2822">
        <v>22078413</v>
      </c>
      <c r="K2822">
        <v>217000</v>
      </c>
    </row>
    <row r="2823" spans="1:11" x14ac:dyDescent="0.3">
      <c r="A2823" t="s">
        <v>2832</v>
      </c>
      <c r="B2823">
        <v>1050525</v>
      </c>
      <c r="C2823">
        <v>10437000</v>
      </c>
      <c r="D2823">
        <v>514684</v>
      </c>
      <c r="E2823">
        <v>1774100</v>
      </c>
      <c r="F2823">
        <v>17574395</v>
      </c>
      <c r="G2823">
        <v>574800</v>
      </c>
      <c r="H2823">
        <v>22124196</v>
      </c>
      <c r="I2823">
        <v>193500</v>
      </c>
      <c r="J2823">
        <v>22094850</v>
      </c>
      <c r="K2823">
        <v>212500</v>
      </c>
    </row>
    <row r="2824" spans="1:11" x14ac:dyDescent="0.3">
      <c r="A2824" t="s">
        <v>2833</v>
      </c>
      <c r="B2824">
        <v>1050525</v>
      </c>
      <c r="C2824">
        <v>9681100</v>
      </c>
      <c r="D2824">
        <v>518945</v>
      </c>
      <c r="E2824">
        <v>1780600</v>
      </c>
      <c r="F2824">
        <v>17587834</v>
      </c>
      <c r="G2824">
        <v>576400</v>
      </c>
      <c r="H2824">
        <v>22142843</v>
      </c>
      <c r="I2824">
        <v>205800</v>
      </c>
      <c r="J2824">
        <v>22112137</v>
      </c>
      <c r="K2824">
        <v>215300</v>
      </c>
    </row>
    <row r="2825" spans="1:11" x14ac:dyDescent="0.3">
      <c r="A2825" t="s">
        <v>2834</v>
      </c>
      <c r="B2825">
        <v>1050525</v>
      </c>
      <c r="C2825">
        <v>9619200</v>
      </c>
      <c r="D2825">
        <v>519587</v>
      </c>
      <c r="E2825">
        <v>2028700</v>
      </c>
      <c r="F2825">
        <v>17601238</v>
      </c>
      <c r="G2825">
        <v>586800</v>
      </c>
      <c r="H2825">
        <v>22159160</v>
      </c>
      <c r="I2825">
        <v>191000</v>
      </c>
      <c r="J2825">
        <v>22129781</v>
      </c>
      <c r="K2825">
        <v>216600</v>
      </c>
    </row>
    <row r="2826" spans="1:11" x14ac:dyDescent="0.3">
      <c r="A2826" t="s">
        <v>2835</v>
      </c>
      <c r="B2826">
        <v>1050525</v>
      </c>
      <c r="C2826">
        <v>10054500</v>
      </c>
      <c r="D2826">
        <v>544096</v>
      </c>
      <c r="E2826">
        <v>1872400</v>
      </c>
      <c r="F2826">
        <v>17614676</v>
      </c>
      <c r="G2826">
        <v>559100</v>
      </c>
      <c r="H2826">
        <v>22176045</v>
      </c>
      <c r="I2826">
        <v>194100</v>
      </c>
      <c r="J2826">
        <v>22146547</v>
      </c>
      <c r="K2826">
        <v>214800</v>
      </c>
    </row>
    <row r="2827" spans="1:11" x14ac:dyDescent="0.3">
      <c r="A2827" t="s">
        <v>2836</v>
      </c>
      <c r="B2827">
        <v>1050525</v>
      </c>
      <c r="C2827">
        <v>10217700</v>
      </c>
      <c r="D2827">
        <v>531143</v>
      </c>
      <c r="E2827">
        <v>1830200</v>
      </c>
      <c r="F2827">
        <v>17628084</v>
      </c>
      <c r="G2827">
        <v>562600</v>
      </c>
      <c r="H2827">
        <v>22192689</v>
      </c>
      <c r="I2827">
        <v>189600</v>
      </c>
      <c r="J2827">
        <v>22163517</v>
      </c>
      <c r="K2827">
        <v>221500</v>
      </c>
    </row>
    <row r="2828" spans="1:11" x14ac:dyDescent="0.3">
      <c r="A2828" t="s">
        <v>2837</v>
      </c>
      <c r="B2828">
        <v>1050525</v>
      </c>
      <c r="C2828">
        <v>10180400</v>
      </c>
      <c r="D2828">
        <v>515082</v>
      </c>
      <c r="E2828">
        <v>1929100</v>
      </c>
      <c r="F2828">
        <v>17641527</v>
      </c>
      <c r="G2828">
        <v>673200</v>
      </c>
      <c r="H2828">
        <v>22208118</v>
      </c>
      <c r="I2828">
        <v>194000</v>
      </c>
      <c r="J2828">
        <v>22181773</v>
      </c>
      <c r="K2828">
        <v>215300</v>
      </c>
    </row>
    <row r="2829" spans="1:11" x14ac:dyDescent="0.3">
      <c r="A2829" t="s">
        <v>2838</v>
      </c>
      <c r="B2829">
        <v>1050525</v>
      </c>
      <c r="C2829">
        <v>9684700</v>
      </c>
      <c r="D2829">
        <v>515428</v>
      </c>
      <c r="E2829">
        <v>1775400</v>
      </c>
      <c r="F2829">
        <v>17654947</v>
      </c>
      <c r="G2829">
        <v>563000</v>
      </c>
      <c r="H2829">
        <v>22224754</v>
      </c>
      <c r="I2829">
        <v>199800</v>
      </c>
      <c r="J2829">
        <v>22198428</v>
      </c>
      <c r="K2829">
        <v>221900</v>
      </c>
    </row>
    <row r="2830" spans="1:11" x14ac:dyDescent="0.3">
      <c r="A2830" t="s">
        <v>2839</v>
      </c>
      <c r="B2830">
        <v>1050525</v>
      </c>
      <c r="C2830">
        <v>10123500</v>
      </c>
      <c r="D2830">
        <v>520413</v>
      </c>
      <c r="E2830">
        <v>1796300</v>
      </c>
      <c r="F2830">
        <v>17668395</v>
      </c>
      <c r="G2830">
        <v>565300</v>
      </c>
      <c r="H2830">
        <v>22244680</v>
      </c>
      <c r="I2830">
        <v>203200</v>
      </c>
      <c r="J2830">
        <v>22215019</v>
      </c>
      <c r="K2830">
        <v>215000</v>
      </c>
    </row>
    <row r="2831" spans="1:11" x14ac:dyDescent="0.3">
      <c r="A2831" t="s">
        <v>2840</v>
      </c>
      <c r="B2831">
        <v>1050525</v>
      </c>
      <c r="C2831">
        <v>10118800</v>
      </c>
      <c r="D2831">
        <v>525067</v>
      </c>
      <c r="E2831">
        <v>1816500</v>
      </c>
      <c r="F2831">
        <v>17681818</v>
      </c>
      <c r="G2831">
        <v>613300</v>
      </c>
      <c r="H2831">
        <v>22261187</v>
      </c>
      <c r="I2831">
        <v>266300</v>
      </c>
      <c r="J2831">
        <v>22233323</v>
      </c>
      <c r="K2831">
        <v>265100</v>
      </c>
    </row>
    <row r="2832" spans="1:11" x14ac:dyDescent="0.3">
      <c r="A2832" t="s">
        <v>2841</v>
      </c>
      <c r="B2832">
        <v>1050525</v>
      </c>
      <c r="C2832">
        <v>9667800</v>
      </c>
      <c r="D2832">
        <v>516228</v>
      </c>
      <c r="E2832">
        <v>2003700</v>
      </c>
      <c r="F2832">
        <v>17695264</v>
      </c>
      <c r="G2832">
        <v>566100</v>
      </c>
      <c r="H2832">
        <v>22278645</v>
      </c>
      <c r="I2832">
        <v>201200</v>
      </c>
      <c r="J2832">
        <v>22249550</v>
      </c>
      <c r="K2832">
        <v>210400</v>
      </c>
    </row>
    <row r="2833" spans="1:11" x14ac:dyDescent="0.3">
      <c r="A2833" t="s">
        <v>2842</v>
      </c>
      <c r="B2833">
        <v>1050525</v>
      </c>
      <c r="C2833">
        <v>9710100</v>
      </c>
      <c r="D2833">
        <v>541188</v>
      </c>
      <c r="E2833">
        <v>1905700</v>
      </c>
      <c r="F2833">
        <v>17708722</v>
      </c>
      <c r="G2833">
        <v>564700</v>
      </c>
      <c r="H2833">
        <v>22296630</v>
      </c>
      <c r="I2833">
        <v>195100</v>
      </c>
      <c r="J2833">
        <v>22266042</v>
      </c>
      <c r="K2833">
        <v>216900</v>
      </c>
    </row>
    <row r="2834" spans="1:11" x14ac:dyDescent="0.3">
      <c r="A2834" t="s">
        <v>2843</v>
      </c>
      <c r="B2834">
        <v>1050525</v>
      </c>
      <c r="C2834">
        <v>10043000</v>
      </c>
      <c r="D2834">
        <v>524165</v>
      </c>
      <c r="E2834">
        <v>1867800</v>
      </c>
      <c r="F2834">
        <v>17722169</v>
      </c>
      <c r="G2834">
        <v>568700</v>
      </c>
      <c r="H2834">
        <v>22312679</v>
      </c>
      <c r="I2834">
        <v>201500</v>
      </c>
      <c r="J2834">
        <v>22283109</v>
      </c>
      <c r="K2834">
        <v>211200</v>
      </c>
    </row>
    <row r="2835" spans="1:11" x14ac:dyDescent="0.3">
      <c r="A2835" t="s">
        <v>2844</v>
      </c>
      <c r="B2835">
        <v>1050525</v>
      </c>
      <c r="C2835">
        <v>10403300</v>
      </c>
      <c r="D2835">
        <v>527604</v>
      </c>
      <c r="E2835">
        <v>1857900</v>
      </c>
      <c r="F2835">
        <v>17735613</v>
      </c>
      <c r="G2835">
        <v>559700</v>
      </c>
      <c r="H2835">
        <v>22332039</v>
      </c>
      <c r="I2835">
        <v>197300</v>
      </c>
      <c r="J2835">
        <v>22300300</v>
      </c>
      <c r="K2835">
        <v>219400</v>
      </c>
    </row>
    <row r="2836" spans="1:11" x14ac:dyDescent="0.3">
      <c r="A2836" t="s">
        <v>2845</v>
      </c>
      <c r="B2836">
        <v>1050525</v>
      </c>
      <c r="C2836">
        <v>10320600</v>
      </c>
      <c r="D2836">
        <v>511828</v>
      </c>
      <c r="E2836">
        <v>1824000</v>
      </c>
      <c r="F2836">
        <v>17749057</v>
      </c>
      <c r="G2836">
        <v>648900</v>
      </c>
      <c r="H2836">
        <v>22350685</v>
      </c>
      <c r="I2836">
        <v>194100</v>
      </c>
      <c r="J2836">
        <v>22316561</v>
      </c>
      <c r="K2836">
        <v>218700</v>
      </c>
    </row>
    <row r="2837" spans="1:11" x14ac:dyDescent="0.3">
      <c r="A2837" t="s">
        <v>2846</v>
      </c>
      <c r="B2837">
        <v>1050525</v>
      </c>
      <c r="C2837">
        <v>9826500</v>
      </c>
      <c r="D2837">
        <v>524299</v>
      </c>
      <c r="E2837">
        <v>1806300</v>
      </c>
      <c r="F2837">
        <v>17762493</v>
      </c>
      <c r="G2837">
        <v>561200</v>
      </c>
      <c r="H2837">
        <v>22367205</v>
      </c>
      <c r="I2837">
        <v>196800</v>
      </c>
      <c r="J2837">
        <v>22333404</v>
      </c>
      <c r="K2837">
        <v>216900</v>
      </c>
    </row>
    <row r="2838" spans="1:11" x14ac:dyDescent="0.3">
      <c r="A2838" t="s">
        <v>2847</v>
      </c>
      <c r="B2838">
        <v>1050525</v>
      </c>
      <c r="C2838">
        <v>9530400</v>
      </c>
      <c r="D2838">
        <v>537337</v>
      </c>
      <c r="E2838">
        <v>1875300</v>
      </c>
      <c r="F2838">
        <v>17775946</v>
      </c>
      <c r="G2838">
        <v>562300</v>
      </c>
      <c r="H2838">
        <v>22385923</v>
      </c>
      <c r="I2838">
        <v>198500</v>
      </c>
      <c r="J2838">
        <v>22349403</v>
      </c>
      <c r="K2838">
        <v>225900</v>
      </c>
    </row>
    <row r="2839" spans="1:11" x14ac:dyDescent="0.3">
      <c r="A2839" t="s">
        <v>2848</v>
      </c>
      <c r="B2839">
        <v>1050525</v>
      </c>
      <c r="C2839">
        <v>9699600</v>
      </c>
      <c r="D2839">
        <v>505538</v>
      </c>
      <c r="E2839">
        <v>2062800</v>
      </c>
      <c r="F2839">
        <v>17789347</v>
      </c>
      <c r="G2839">
        <v>560300</v>
      </c>
      <c r="H2839">
        <v>22402019</v>
      </c>
      <c r="I2839">
        <v>199600</v>
      </c>
      <c r="J2839">
        <v>22365202</v>
      </c>
      <c r="K2839">
        <v>214400</v>
      </c>
    </row>
    <row r="2840" spans="1:11" x14ac:dyDescent="0.3">
      <c r="A2840" t="s">
        <v>2849</v>
      </c>
      <c r="B2840">
        <v>1050525</v>
      </c>
      <c r="C2840">
        <v>9606400</v>
      </c>
      <c r="D2840">
        <v>530528</v>
      </c>
      <c r="E2840">
        <v>1823500</v>
      </c>
      <c r="F2840">
        <v>17802786</v>
      </c>
      <c r="G2840">
        <v>562900</v>
      </c>
      <c r="H2840">
        <v>22419324</v>
      </c>
      <c r="I2840">
        <v>189400</v>
      </c>
      <c r="J2840">
        <v>22381559</v>
      </c>
      <c r="K2840">
        <v>217200</v>
      </c>
    </row>
    <row r="2841" spans="1:11" x14ac:dyDescent="0.3">
      <c r="A2841" t="s">
        <v>2850</v>
      </c>
      <c r="B2841">
        <v>1050525</v>
      </c>
      <c r="C2841">
        <v>10489300</v>
      </c>
      <c r="D2841">
        <v>523425</v>
      </c>
      <c r="E2841">
        <v>1817000</v>
      </c>
      <c r="F2841">
        <v>17816234</v>
      </c>
      <c r="G2841">
        <v>569700</v>
      </c>
      <c r="H2841">
        <v>22436665</v>
      </c>
      <c r="I2841">
        <v>199800</v>
      </c>
      <c r="J2841">
        <v>22397607</v>
      </c>
      <c r="K2841">
        <v>216700</v>
      </c>
    </row>
    <row r="2842" spans="1:11" x14ac:dyDescent="0.3">
      <c r="A2842" t="s">
        <v>2851</v>
      </c>
      <c r="B2842">
        <v>1050525</v>
      </c>
      <c r="C2842">
        <v>9391000</v>
      </c>
      <c r="D2842">
        <v>507492</v>
      </c>
      <c r="E2842">
        <v>1826200</v>
      </c>
      <c r="F2842">
        <v>17829658</v>
      </c>
      <c r="G2842">
        <v>578200</v>
      </c>
      <c r="H2842">
        <v>22453468</v>
      </c>
      <c r="I2842">
        <v>192400</v>
      </c>
      <c r="J2842">
        <v>22414440</v>
      </c>
      <c r="K2842">
        <v>219600</v>
      </c>
    </row>
    <row r="2843" spans="1:11" x14ac:dyDescent="0.3">
      <c r="A2843" t="s">
        <v>2852</v>
      </c>
      <c r="B2843">
        <v>1050525</v>
      </c>
      <c r="C2843">
        <v>9679700</v>
      </c>
      <c r="D2843">
        <v>510412</v>
      </c>
      <c r="E2843">
        <v>1790100</v>
      </c>
      <c r="F2843">
        <v>17843099</v>
      </c>
      <c r="G2843">
        <v>601900</v>
      </c>
      <c r="H2843">
        <v>22469694</v>
      </c>
      <c r="I2843">
        <v>207800</v>
      </c>
      <c r="J2843">
        <v>22432225</v>
      </c>
      <c r="K2843">
        <v>223400</v>
      </c>
    </row>
    <row r="2844" spans="1:11" x14ac:dyDescent="0.3">
      <c r="A2844" t="s">
        <v>2853</v>
      </c>
      <c r="B2844">
        <v>1050525</v>
      </c>
      <c r="C2844">
        <v>10804000</v>
      </c>
      <c r="D2844">
        <v>526397</v>
      </c>
      <c r="E2844">
        <v>2168300</v>
      </c>
      <c r="F2844">
        <v>17856539</v>
      </c>
      <c r="G2844">
        <v>560900</v>
      </c>
      <c r="H2844">
        <v>22485731</v>
      </c>
      <c r="I2844">
        <v>194900</v>
      </c>
      <c r="J2844">
        <v>22448419</v>
      </c>
      <c r="K2844">
        <v>217700</v>
      </c>
    </row>
    <row r="2845" spans="1:11" x14ac:dyDescent="0.3">
      <c r="A2845" t="s">
        <v>2854</v>
      </c>
      <c r="B2845">
        <v>1050525</v>
      </c>
      <c r="C2845">
        <v>9572300</v>
      </c>
      <c r="D2845">
        <v>520509</v>
      </c>
      <c r="E2845">
        <v>1792900</v>
      </c>
      <c r="F2845">
        <v>17869960</v>
      </c>
      <c r="G2845">
        <v>665900</v>
      </c>
      <c r="H2845">
        <v>22503062</v>
      </c>
      <c r="I2845">
        <v>190900</v>
      </c>
      <c r="J2845">
        <v>22466253</v>
      </c>
      <c r="K2845">
        <v>213800</v>
      </c>
    </row>
    <row r="2846" spans="1:11" x14ac:dyDescent="0.3">
      <c r="A2846" t="s">
        <v>2855</v>
      </c>
      <c r="B2846">
        <v>1050525</v>
      </c>
      <c r="C2846">
        <v>9552300</v>
      </c>
      <c r="D2846">
        <v>523844</v>
      </c>
      <c r="E2846">
        <v>1804600</v>
      </c>
      <c r="F2846">
        <v>17883355</v>
      </c>
      <c r="G2846">
        <v>564300</v>
      </c>
      <c r="H2846">
        <v>22520243</v>
      </c>
      <c r="I2846">
        <v>195800</v>
      </c>
      <c r="J2846">
        <v>22483831</v>
      </c>
      <c r="K2846">
        <v>211600</v>
      </c>
    </row>
    <row r="2847" spans="1:11" x14ac:dyDescent="0.3">
      <c r="A2847" t="s">
        <v>2856</v>
      </c>
      <c r="B2847">
        <v>1050525</v>
      </c>
      <c r="C2847">
        <v>9324700</v>
      </c>
      <c r="D2847">
        <v>524711</v>
      </c>
      <c r="E2847">
        <v>1813500</v>
      </c>
      <c r="F2847">
        <v>17896776</v>
      </c>
      <c r="G2847">
        <v>563700</v>
      </c>
      <c r="H2847">
        <v>22536891</v>
      </c>
      <c r="I2847">
        <v>195400</v>
      </c>
      <c r="J2847">
        <v>22502042</v>
      </c>
      <c r="K2847">
        <v>211100</v>
      </c>
    </row>
    <row r="2848" spans="1:11" x14ac:dyDescent="0.3">
      <c r="A2848" t="s">
        <v>2857</v>
      </c>
      <c r="B2848">
        <v>1050525</v>
      </c>
      <c r="C2848">
        <v>10388400</v>
      </c>
      <c r="D2848">
        <v>522802</v>
      </c>
      <c r="E2848">
        <v>1887100</v>
      </c>
      <c r="F2848">
        <v>17910224</v>
      </c>
      <c r="G2848">
        <v>567400</v>
      </c>
      <c r="H2848">
        <v>22553001</v>
      </c>
      <c r="I2848">
        <v>197300</v>
      </c>
      <c r="J2848">
        <v>22518413</v>
      </c>
      <c r="K2848">
        <v>216800</v>
      </c>
    </row>
    <row r="2849" spans="1:11" x14ac:dyDescent="0.3">
      <c r="A2849" t="s">
        <v>2858</v>
      </c>
      <c r="B2849">
        <v>1050525</v>
      </c>
      <c r="C2849">
        <v>10591500</v>
      </c>
      <c r="D2849">
        <v>524503</v>
      </c>
      <c r="E2849">
        <v>1866000</v>
      </c>
      <c r="F2849">
        <v>17923658</v>
      </c>
      <c r="G2849">
        <v>562700</v>
      </c>
      <c r="H2849">
        <v>22569865</v>
      </c>
      <c r="I2849">
        <v>193200</v>
      </c>
      <c r="J2849">
        <v>22535971</v>
      </c>
      <c r="K2849">
        <v>219700</v>
      </c>
    </row>
    <row r="2850" spans="1:11" x14ac:dyDescent="0.3">
      <c r="A2850" t="s">
        <v>2859</v>
      </c>
      <c r="B2850">
        <v>1050525</v>
      </c>
      <c r="C2850">
        <v>9683000</v>
      </c>
      <c r="D2850">
        <v>519447</v>
      </c>
      <c r="E2850">
        <v>1964500</v>
      </c>
      <c r="F2850">
        <v>17937078</v>
      </c>
      <c r="G2850">
        <v>559600</v>
      </c>
      <c r="H2850">
        <v>22587537</v>
      </c>
      <c r="I2850">
        <v>200000</v>
      </c>
      <c r="J2850">
        <v>22552304</v>
      </c>
      <c r="K2850">
        <v>211000</v>
      </c>
    </row>
    <row r="2851" spans="1:11" x14ac:dyDescent="0.3">
      <c r="A2851" t="s">
        <v>2860</v>
      </c>
      <c r="B2851">
        <v>1050525</v>
      </c>
      <c r="C2851">
        <v>9601200</v>
      </c>
      <c r="D2851">
        <v>538480</v>
      </c>
      <c r="E2851">
        <v>1854500</v>
      </c>
      <c r="F2851">
        <v>17950476</v>
      </c>
      <c r="G2851">
        <v>561600</v>
      </c>
      <c r="H2851">
        <v>22605549</v>
      </c>
      <c r="I2851">
        <v>192800</v>
      </c>
      <c r="J2851">
        <v>22569806</v>
      </c>
      <c r="K2851">
        <v>213200</v>
      </c>
    </row>
    <row r="2852" spans="1:11" x14ac:dyDescent="0.3">
      <c r="A2852" t="s">
        <v>2861</v>
      </c>
      <c r="B2852">
        <v>1050525</v>
      </c>
      <c r="C2852">
        <v>9624200</v>
      </c>
      <c r="D2852">
        <v>533698</v>
      </c>
      <c r="E2852">
        <v>1836000</v>
      </c>
      <c r="F2852">
        <v>17963917</v>
      </c>
      <c r="G2852">
        <v>560700</v>
      </c>
      <c r="H2852">
        <v>22622214</v>
      </c>
      <c r="I2852">
        <v>193100</v>
      </c>
      <c r="J2852">
        <v>22586249</v>
      </c>
      <c r="K2852">
        <v>212300</v>
      </c>
    </row>
    <row r="2853" spans="1:11" x14ac:dyDescent="0.3">
      <c r="A2853" t="s">
        <v>2862</v>
      </c>
      <c r="B2853">
        <v>1050525</v>
      </c>
      <c r="C2853">
        <v>10279400</v>
      </c>
      <c r="D2853">
        <v>509496</v>
      </c>
      <c r="E2853">
        <v>1911000</v>
      </c>
      <c r="F2853">
        <v>17977328</v>
      </c>
      <c r="G2853">
        <v>672400</v>
      </c>
      <c r="H2853">
        <v>22640365</v>
      </c>
      <c r="I2853">
        <v>195500</v>
      </c>
      <c r="J2853">
        <v>22602757</v>
      </c>
      <c r="K2853">
        <v>217900</v>
      </c>
    </row>
    <row r="2854" spans="1:11" x14ac:dyDescent="0.3">
      <c r="A2854" t="s">
        <v>2863</v>
      </c>
      <c r="B2854">
        <v>1050525</v>
      </c>
      <c r="C2854">
        <v>9781800</v>
      </c>
      <c r="D2854">
        <v>529992</v>
      </c>
      <c r="E2854">
        <v>1887800</v>
      </c>
      <c r="F2854">
        <v>17990767</v>
      </c>
      <c r="G2854">
        <v>563300</v>
      </c>
      <c r="H2854">
        <v>22656616</v>
      </c>
      <c r="I2854">
        <v>261600</v>
      </c>
      <c r="J2854">
        <v>22620273</v>
      </c>
      <c r="K2854">
        <v>271500</v>
      </c>
    </row>
    <row r="2855" spans="1:11" x14ac:dyDescent="0.3">
      <c r="A2855" t="s">
        <v>2864</v>
      </c>
      <c r="B2855">
        <v>1050525</v>
      </c>
      <c r="C2855">
        <v>10456600</v>
      </c>
      <c r="D2855">
        <v>521596</v>
      </c>
      <c r="E2855">
        <v>1791700</v>
      </c>
      <c r="F2855">
        <v>18004183</v>
      </c>
      <c r="G2855">
        <v>566000</v>
      </c>
      <c r="H2855">
        <v>22674404</v>
      </c>
      <c r="I2855">
        <v>198600</v>
      </c>
      <c r="J2855">
        <v>22636911</v>
      </c>
      <c r="K2855">
        <v>213500</v>
      </c>
    </row>
    <row r="2856" spans="1:11" x14ac:dyDescent="0.3">
      <c r="A2856" t="s">
        <v>2865</v>
      </c>
      <c r="B2856">
        <v>1050525</v>
      </c>
      <c r="C2856">
        <v>9941000</v>
      </c>
      <c r="D2856">
        <v>527624</v>
      </c>
      <c r="E2856">
        <v>1877800</v>
      </c>
      <c r="F2856">
        <v>18017588</v>
      </c>
      <c r="G2856">
        <v>728400</v>
      </c>
      <c r="H2856">
        <v>22692006</v>
      </c>
      <c r="I2856">
        <v>237900</v>
      </c>
      <c r="J2856">
        <v>22654596</v>
      </c>
      <c r="K2856">
        <v>266700</v>
      </c>
    </row>
    <row r="2857" spans="1:11" x14ac:dyDescent="0.3">
      <c r="A2857" t="s">
        <v>2866</v>
      </c>
      <c r="B2857">
        <v>1050525</v>
      </c>
      <c r="C2857">
        <v>10072800</v>
      </c>
      <c r="D2857">
        <v>520386</v>
      </c>
      <c r="E2857">
        <v>1909600</v>
      </c>
      <c r="F2857">
        <v>18030995</v>
      </c>
      <c r="G2857">
        <v>561400</v>
      </c>
      <c r="H2857">
        <v>22708101</v>
      </c>
      <c r="I2857">
        <v>198200</v>
      </c>
      <c r="J2857">
        <v>22671810</v>
      </c>
      <c r="K2857">
        <v>219900</v>
      </c>
    </row>
    <row r="2858" spans="1:11" x14ac:dyDescent="0.3">
      <c r="A2858" t="s">
        <v>2867</v>
      </c>
      <c r="B2858">
        <v>1050525</v>
      </c>
      <c r="C2858">
        <v>9638300</v>
      </c>
      <c r="D2858">
        <v>529383</v>
      </c>
      <c r="E2858">
        <v>1855400</v>
      </c>
      <c r="F2858">
        <v>18044431</v>
      </c>
      <c r="G2858">
        <v>563500</v>
      </c>
      <c r="H2858">
        <v>22725311</v>
      </c>
      <c r="I2858">
        <v>197700</v>
      </c>
      <c r="J2858">
        <v>22688515</v>
      </c>
      <c r="K2858">
        <v>209200</v>
      </c>
    </row>
    <row r="2859" spans="1:11" x14ac:dyDescent="0.3">
      <c r="A2859" t="s">
        <v>2868</v>
      </c>
      <c r="B2859">
        <v>1050525</v>
      </c>
      <c r="C2859">
        <v>10075400</v>
      </c>
      <c r="D2859">
        <v>529283</v>
      </c>
      <c r="E2859">
        <v>1886900</v>
      </c>
      <c r="F2859">
        <v>18057882</v>
      </c>
      <c r="G2859">
        <v>566400</v>
      </c>
      <c r="H2859">
        <v>22742007</v>
      </c>
      <c r="I2859">
        <v>196500</v>
      </c>
      <c r="J2859">
        <v>22704678</v>
      </c>
      <c r="K2859">
        <v>213900</v>
      </c>
    </row>
    <row r="2860" spans="1:11" x14ac:dyDescent="0.3">
      <c r="A2860" t="s">
        <v>2869</v>
      </c>
      <c r="B2860">
        <v>1050525</v>
      </c>
      <c r="C2860">
        <v>9516000</v>
      </c>
      <c r="D2860">
        <v>537089</v>
      </c>
      <c r="E2860">
        <v>1912000</v>
      </c>
      <c r="F2860">
        <v>18071275</v>
      </c>
      <c r="G2860">
        <v>562700</v>
      </c>
      <c r="H2860">
        <v>22759803</v>
      </c>
      <c r="I2860">
        <v>189800</v>
      </c>
      <c r="J2860">
        <v>22722390</v>
      </c>
      <c r="K2860">
        <v>214600</v>
      </c>
    </row>
    <row r="2861" spans="1:11" x14ac:dyDescent="0.3">
      <c r="A2861" t="s">
        <v>2870</v>
      </c>
      <c r="B2861">
        <v>1050525</v>
      </c>
      <c r="C2861">
        <v>9553600</v>
      </c>
      <c r="D2861">
        <v>520567</v>
      </c>
      <c r="E2861">
        <v>1814800</v>
      </c>
      <c r="F2861">
        <v>18084718</v>
      </c>
      <c r="G2861">
        <v>568000</v>
      </c>
      <c r="H2861">
        <v>22778042</v>
      </c>
      <c r="I2861">
        <v>197300</v>
      </c>
      <c r="J2861">
        <v>22739661</v>
      </c>
      <c r="K2861">
        <v>217600</v>
      </c>
    </row>
    <row r="2862" spans="1:11" x14ac:dyDescent="0.3">
      <c r="A2862" t="s">
        <v>2871</v>
      </c>
      <c r="B2862">
        <v>1050525</v>
      </c>
      <c r="C2862">
        <v>10011900</v>
      </c>
      <c r="D2862">
        <v>543598</v>
      </c>
      <c r="E2862">
        <v>1873200</v>
      </c>
      <c r="F2862">
        <v>18098136</v>
      </c>
      <c r="G2862">
        <v>567100</v>
      </c>
      <c r="H2862">
        <v>22794801</v>
      </c>
      <c r="I2862">
        <v>194100</v>
      </c>
      <c r="J2862">
        <v>22755733</v>
      </c>
      <c r="K2862">
        <v>211900</v>
      </c>
    </row>
    <row r="2863" spans="1:11" x14ac:dyDescent="0.3">
      <c r="A2863" t="s">
        <v>2872</v>
      </c>
      <c r="B2863">
        <v>1050525</v>
      </c>
      <c r="C2863">
        <v>10284700</v>
      </c>
      <c r="D2863">
        <v>522506</v>
      </c>
      <c r="E2863">
        <v>1939700</v>
      </c>
      <c r="F2863">
        <v>18111575</v>
      </c>
      <c r="G2863">
        <v>582500</v>
      </c>
      <c r="H2863">
        <v>22811830</v>
      </c>
      <c r="I2863">
        <v>197600</v>
      </c>
      <c r="J2863">
        <v>22772081</v>
      </c>
      <c r="K2863">
        <v>213700</v>
      </c>
    </row>
    <row r="2864" spans="1:11" x14ac:dyDescent="0.3">
      <c r="A2864" t="s">
        <v>2873</v>
      </c>
      <c r="B2864">
        <v>1050525</v>
      </c>
      <c r="C2864">
        <v>9460500</v>
      </c>
      <c r="D2864">
        <v>540255</v>
      </c>
      <c r="E2864">
        <v>1916400</v>
      </c>
      <c r="F2864">
        <v>18124997</v>
      </c>
      <c r="G2864">
        <v>718300</v>
      </c>
      <c r="H2864">
        <v>22828901</v>
      </c>
      <c r="I2864">
        <v>198700</v>
      </c>
      <c r="J2864">
        <v>22789405</v>
      </c>
      <c r="K2864">
        <v>230400</v>
      </c>
    </row>
    <row r="2865" spans="1:11" x14ac:dyDescent="0.3">
      <c r="A2865" t="s">
        <v>2874</v>
      </c>
      <c r="B2865">
        <v>1050525</v>
      </c>
      <c r="C2865">
        <v>9718300</v>
      </c>
      <c r="D2865">
        <v>522777</v>
      </c>
      <c r="E2865">
        <v>1794200</v>
      </c>
      <c r="F2865">
        <v>18138412</v>
      </c>
      <c r="G2865">
        <v>569600</v>
      </c>
      <c r="H2865">
        <v>22846706</v>
      </c>
      <c r="I2865">
        <v>189300</v>
      </c>
      <c r="J2865">
        <v>22807637</v>
      </c>
      <c r="K2865">
        <v>210000</v>
      </c>
    </row>
    <row r="2866" spans="1:11" x14ac:dyDescent="0.3">
      <c r="A2866" t="s">
        <v>2875</v>
      </c>
      <c r="B2866">
        <v>1050525</v>
      </c>
      <c r="C2866">
        <v>9608500</v>
      </c>
      <c r="D2866">
        <v>533751</v>
      </c>
      <c r="E2866">
        <v>1882500</v>
      </c>
      <c r="F2866">
        <v>18151851</v>
      </c>
      <c r="G2866">
        <v>567400</v>
      </c>
      <c r="H2866">
        <v>22862881</v>
      </c>
      <c r="I2866">
        <v>262700</v>
      </c>
      <c r="J2866">
        <v>22827398</v>
      </c>
      <c r="K2866">
        <v>284100</v>
      </c>
    </row>
    <row r="2867" spans="1:11" x14ac:dyDescent="0.3">
      <c r="A2867" t="s">
        <v>2876</v>
      </c>
      <c r="B2867">
        <v>1050525</v>
      </c>
      <c r="C2867">
        <v>9705400</v>
      </c>
      <c r="D2867">
        <v>529788</v>
      </c>
      <c r="E2867">
        <v>2038300</v>
      </c>
      <c r="F2867">
        <v>18165279</v>
      </c>
      <c r="G2867">
        <v>567300</v>
      </c>
      <c r="H2867">
        <v>22880294</v>
      </c>
      <c r="I2867">
        <v>197200</v>
      </c>
      <c r="J2867">
        <v>22844763</v>
      </c>
      <c r="K2867">
        <v>217300</v>
      </c>
    </row>
    <row r="2868" spans="1:11" x14ac:dyDescent="0.3">
      <c r="A2868" t="s">
        <v>2877</v>
      </c>
      <c r="B2868">
        <v>1050525</v>
      </c>
      <c r="C2868">
        <v>10382200</v>
      </c>
      <c r="D2868">
        <v>522394</v>
      </c>
      <c r="E2868">
        <v>1803800</v>
      </c>
      <c r="F2868">
        <v>18178722</v>
      </c>
      <c r="G2868">
        <v>669800</v>
      </c>
      <c r="H2868">
        <v>22896713</v>
      </c>
      <c r="I2868">
        <v>263500</v>
      </c>
      <c r="J2868">
        <v>22861941</v>
      </c>
      <c r="K2868">
        <v>280900</v>
      </c>
    </row>
    <row r="2869" spans="1:11" x14ac:dyDescent="0.3">
      <c r="A2869" t="s">
        <v>2878</v>
      </c>
      <c r="B2869">
        <v>1050525</v>
      </c>
      <c r="C2869">
        <v>9849300</v>
      </c>
      <c r="D2869">
        <v>516659</v>
      </c>
      <c r="E2869">
        <v>1780700</v>
      </c>
      <c r="F2869">
        <v>18192185</v>
      </c>
      <c r="G2869">
        <v>569800</v>
      </c>
      <c r="H2869">
        <v>22914225</v>
      </c>
      <c r="I2869">
        <v>195200</v>
      </c>
      <c r="J2869">
        <v>22877941</v>
      </c>
      <c r="K2869">
        <v>238200</v>
      </c>
    </row>
    <row r="2870" spans="1:11" x14ac:dyDescent="0.3">
      <c r="A2870" t="s">
        <v>2879</v>
      </c>
      <c r="B2870">
        <v>1050525</v>
      </c>
      <c r="C2870">
        <v>9682800</v>
      </c>
      <c r="D2870">
        <v>538400</v>
      </c>
      <c r="E2870">
        <v>1914700</v>
      </c>
      <c r="F2870">
        <v>18205613</v>
      </c>
      <c r="G2870">
        <v>564100</v>
      </c>
      <c r="H2870">
        <v>22932120</v>
      </c>
      <c r="I2870">
        <v>196500</v>
      </c>
      <c r="J2870">
        <v>22893986</v>
      </c>
      <c r="K2870">
        <v>215500</v>
      </c>
    </row>
    <row r="2871" spans="1:11" x14ac:dyDescent="0.3">
      <c r="A2871" t="s">
        <v>2880</v>
      </c>
      <c r="B2871">
        <v>1050525</v>
      </c>
      <c r="C2871">
        <v>10580400</v>
      </c>
      <c r="D2871">
        <v>523308</v>
      </c>
      <c r="E2871">
        <v>1809500</v>
      </c>
      <c r="F2871">
        <v>18219046</v>
      </c>
      <c r="G2871">
        <v>575400</v>
      </c>
      <c r="H2871">
        <v>22950893</v>
      </c>
      <c r="I2871">
        <v>201400</v>
      </c>
      <c r="J2871">
        <v>22911161</v>
      </c>
      <c r="K2871">
        <v>220500</v>
      </c>
    </row>
    <row r="2872" spans="1:11" x14ac:dyDescent="0.3">
      <c r="A2872" t="s">
        <v>2881</v>
      </c>
      <c r="B2872">
        <v>1050525</v>
      </c>
      <c r="C2872">
        <v>9376900</v>
      </c>
      <c r="D2872">
        <v>528265</v>
      </c>
      <c r="E2872">
        <v>1844500</v>
      </c>
      <c r="F2872">
        <v>18232497</v>
      </c>
      <c r="G2872">
        <v>706400</v>
      </c>
      <c r="H2872">
        <v>22966820</v>
      </c>
      <c r="I2872">
        <v>236000</v>
      </c>
      <c r="J2872">
        <v>22927584</v>
      </c>
      <c r="K2872">
        <v>274100</v>
      </c>
    </row>
    <row r="2873" spans="1:11" x14ac:dyDescent="0.3">
      <c r="A2873" t="s">
        <v>2882</v>
      </c>
      <c r="B2873">
        <v>1050525</v>
      </c>
      <c r="C2873">
        <v>10399700</v>
      </c>
      <c r="D2873">
        <v>530416</v>
      </c>
      <c r="E2873">
        <v>1907800</v>
      </c>
      <c r="F2873">
        <v>18245928</v>
      </c>
      <c r="G2873">
        <v>571400</v>
      </c>
      <c r="H2873">
        <v>22987066</v>
      </c>
      <c r="I2873">
        <v>204300</v>
      </c>
      <c r="J2873">
        <v>22943928</v>
      </c>
      <c r="K2873">
        <v>214300</v>
      </c>
    </row>
    <row r="2874" spans="1:11" x14ac:dyDescent="0.3">
      <c r="A2874" t="s">
        <v>2883</v>
      </c>
      <c r="B2874">
        <v>1050525</v>
      </c>
      <c r="C2874">
        <v>9852900</v>
      </c>
      <c r="D2874">
        <v>536256</v>
      </c>
      <c r="E2874">
        <v>1855000</v>
      </c>
      <c r="F2874">
        <v>18259364</v>
      </c>
      <c r="G2874">
        <v>565300</v>
      </c>
      <c r="H2874">
        <v>23003264</v>
      </c>
      <c r="I2874">
        <v>191600</v>
      </c>
      <c r="J2874">
        <v>22960000</v>
      </c>
      <c r="K2874">
        <v>212500</v>
      </c>
    </row>
    <row r="2875" spans="1:11" x14ac:dyDescent="0.3">
      <c r="A2875" t="s">
        <v>2884</v>
      </c>
      <c r="B2875">
        <v>1050525</v>
      </c>
      <c r="C2875">
        <v>9639600</v>
      </c>
      <c r="D2875">
        <v>535414</v>
      </c>
      <c r="E2875">
        <v>1846500</v>
      </c>
      <c r="F2875">
        <v>18272791</v>
      </c>
      <c r="G2875">
        <v>562600</v>
      </c>
      <c r="H2875">
        <v>23019263</v>
      </c>
      <c r="I2875">
        <v>194200</v>
      </c>
      <c r="J2875">
        <v>22977100</v>
      </c>
      <c r="K2875">
        <v>217300</v>
      </c>
    </row>
    <row r="2876" spans="1:11" x14ac:dyDescent="0.3">
      <c r="A2876" t="s">
        <v>2885</v>
      </c>
      <c r="B2876">
        <v>1050525</v>
      </c>
      <c r="C2876">
        <v>9385100</v>
      </c>
      <c r="D2876">
        <v>506494</v>
      </c>
      <c r="E2876">
        <v>1744700</v>
      </c>
      <c r="F2876">
        <v>18286203</v>
      </c>
      <c r="G2876">
        <v>727700</v>
      </c>
      <c r="H2876">
        <v>23037095</v>
      </c>
      <c r="I2876">
        <v>198100</v>
      </c>
      <c r="J2876">
        <v>22994610</v>
      </c>
      <c r="K2876">
        <v>218200</v>
      </c>
    </row>
    <row r="2877" spans="1:11" x14ac:dyDescent="0.3">
      <c r="A2877" t="s">
        <v>2886</v>
      </c>
      <c r="B2877">
        <v>1050525</v>
      </c>
      <c r="C2877">
        <v>9564800</v>
      </c>
      <c r="D2877">
        <v>529462</v>
      </c>
      <c r="E2877">
        <v>2071900</v>
      </c>
      <c r="F2877">
        <v>18299639</v>
      </c>
      <c r="G2877">
        <v>562400</v>
      </c>
      <c r="H2877">
        <v>23055822</v>
      </c>
      <c r="I2877">
        <v>210000</v>
      </c>
      <c r="J2877">
        <v>23011641</v>
      </c>
      <c r="K2877">
        <v>212900</v>
      </c>
    </row>
    <row r="2878" spans="1:11" x14ac:dyDescent="0.3">
      <c r="A2878" t="s">
        <v>2887</v>
      </c>
      <c r="B2878">
        <v>1050525</v>
      </c>
      <c r="C2878">
        <v>9463400</v>
      </c>
      <c r="D2878">
        <v>531326</v>
      </c>
      <c r="E2878">
        <v>1827900</v>
      </c>
      <c r="F2878">
        <v>18313044</v>
      </c>
      <c r="G2878">
        <v>565500</v>
      </c>
      <c r="H2878">
        <v>23071727</v>
      </c>
      <c r="I2878">
        <v>193500</v>
      </c>
      <c r="J2878">
        <v>23029772</v>
      </c>
      <c r="K2878">
        <v>212400</v>
      </c>
    </row>
    <row r="2879" spans="1:11" x14ac:dyDescent="0.3">
      <c r="A2879" t="s">
        <v>2888</v>
      </c>
      <c r="B2879">
        <v>1050525</v>
      </c>
      <c r="C2879">
        <v>10211100</v>
      </c>
      <c r="D2879">
        <v>514557</v>
      </c>
      <c r="E2879">
        <v>1858200</v>
      </c>
      <c r="F2879">
        <v>18326448</v>
      </c>
      <c r="G2879">
        <v>567300</v>
      </c>
      <c r="H2879">
        <v>23089187</v>
      </c>
      <c r="I2879">
        <v>198100</v>
      </c>
      <c r="J2879">
        <v>23050119</v>
      </c>
      <c r="K2879">
        <v>224400</v>
      </c>
    </row>
    <row r="2880" spans="1:11" x14ac:dyDescent="0.3">
      <c r="A2880" t="s">
        <v>2889</v>
      </c>
      <c r="B2880">
        <v>1050525</v>
      </c>
      <c r="C2880">
        <v>9502200</v>
      </c>
      <c r="D2880">
        <v>526526</v>
      </c>
      <c r="E2880">
        <v>2046400</v>
      </c>
      <c r="F2880">
        <v>18339897</v>
      </c>
      <c r="G2880">
        <v>580400</v>
      </c>
      <c r="H2880">
        <v>23105990</v>
      </c>
      <c r="I2880">
        <v>269400</v>
      </c>
      <c r="J2880">
        <v>23066505</v>
      </c>
      <c r="K2880">
        <v>215500</v>
      </c>
    </row>
    <row r="2881" spans="1:11" x14ac:dyDescent="0.3">
      <c r="A2881" t="s">
        <v>2890</v>
      </c>
      <c r="B2881">
        <v>1050525</v>
      </c>
      <c r="C2881">
        <v>9816400</v>
      </c>
      <c r="D2881">
        <v>524499</v>
      </c>
      <c r="E2881">
        <v>1803900</v>
      </c>
      <c r="F2881">
        <v>18353342</v>
      </c>
      <c r="G2881">
        <v>566600</v>
      </c>
      <c r="H2881">
        <v>23122244</v>
      </c>
      <c r="I2881">
        <v>197200</v>
      </c>
      <c r="J2881">
        <v>23083521</v>
      </c>
      <c r="K2881">
        <v>208400</v>
      </c>
    </row>
    <row r="2882" spans="1:11" x14ac:dyDescent="0.3">
      <c r="A2882" t="s">
        <v>2891</v>
      </c>
      <c r="B2882">
        <v>1050525</v>
      </c>
      <c r="C2882">
        <v>9875100</v>
      </c>
      <c r="D2882">
        <v>537335</v>
      </c>
      <c r="E2882">
        <v>1912700</v>
      </c>
      <c r="F2882">
        <v>18366790</v>
      </c>
      <c r="G2882">
        <v>569900</v>
      </c>
      <c r="H2882">
        <v>23139707</v>
      </c>
      <c r="I2882">
        <v>195800</v>
      </c>
      <c r="J2882">
        <v>23100135</v>
      </c>
      <c r="K2882">
        <v>217200</v>
      </c>
    </row>
    <row r="2883" spans="1:11" x14ac:dyDescent="0.3">
      <c r="A2883" t="s">
        <v>2892</v>
      </c>
      <c r="B2883">
        <v>1050525</v>
      </c>
      <c r="C2883">
        <v>9594400</v>
      </c>
      <c r="D2883">
        <v>517693</v>
      </c>
      <c r="E2883">
        <v>1792300</v>
      </c>
      <c r="F2883">
        <v>18380229</v>
      </c>
      <c r="G2883">
        <v>568200</v>
      </c>
      <c r="H2883">
        <v>23155572</v>
      </c>
      <c r="I2883">
        <v>195400</v>
      </c>
      <c r="J2883">
        <v>23116501</v>
      </c>
      <c r="K2883">
        <v>286200</v>
      </c>
    </row>
    <row r="2884" spans="1:11" x14ac:dyDescent="0.3">
      <c r="A2884" t="s">
        <v>2893</v>
      </c>
      <c r="B2884">
        <v>1050525</v>
      </c>
      <c r="C2884">
        <v>9527000</v>
      </c>
      <c r="D2884">
        <v>523308</v>
      </c>
      <c r="E2884">
        <v>1836800</v>
      </c>
      <c r="F2884">
        <v>18393632</v>
      </c>
      <c r="G2884">
        <v>560900</v>
      </c>
      <c r="H2884">
        <v>23174288</v>
      </c>
      <c r="I2884">
        <v>199200</v>
      </c>
      <c r="J2884">
        <v>23132681</v>
      </c>
      <c r="K2884">
        <v>212700</v>
      </c>
    </row>
    <row r="2885" spans="1:11" x14ac:dyDescent="0.3">
      <c r="A2885" t="s">
        <v>2894</v>
      </c>
      <c r="B2885">
        <v>1050525</v>
      </c>
      <c r="C2885">
        <v>9719500</v>
      </c>
      <c r="D2885">
        <v>510166</v>
      </c>
      <c r="E2885">
        <v>1983800</v>
      </c>
      <c r="F2885">
        <v>18407092</v>
      </c>
      <c r="G2885">
        <v>605200</v>
      </c>
      <c r="H2885">
        <v>23190493</v>
      </c>
      <c r="I2885">
        <v>191200</v>
      </c>
      <c r="J2885">
        <v>23149020</v>
      </c>
      <c r="K2885">
        <v>223700</v>
      </c>
    </row>
    <row r="2886" spans="1:11" x14ac:dyDescent="0.3">
      <c r="A2886" t="s">
        <v>2895</v>
      </c>
      <c r="B2886">
        <v>1050525</v>
      </c>
      <c r="C2886">
        <v>9285200</v>
      </c>
      <c r="D2886">
        <v>531027</v>
      </c>
      <c r="E2886">
        <v>2048300</v>
      </c>
      <c r="F2886">
        <v>18420513</v>
      </c>
      <c r="G2886">
        <v>691000</v>
      </c>
      <c r="H2886">
        <v>23208210</v>
      </c>
      <c r="I2886">
        <v>263300</v>
      </c>
      <c r="J2886">
        <v>23166624</v>
      </c>
      <c r="K2886">
        <v>217200</v>
      </c>
    </row>
    <row r="2887" spans="1:11" x14ac:dyDescent="0.3">
      <c r="A2887" t="s">
        <v>2896</v>
      </c>
      <c r="B2887">
        <v>1050525</v>
      </c>
      <c r="C2887">
        <v>9517200</v>
      </c>
      <c r="D2887">
        <v>536464</v>
      </c>
      <c r="E2887">
        <v>1909100</v>
      </c>
      <c r="F2887">
        <v>18433961</v>
      </c>
      <c r="G2887">
        <v>571100</v>
      </c>
      <c r="H2887">
        <v>23225706</v>
      </c>
      <c r="I2887">
        <v>196900</v>
      </c>
      <c r="J2887">
        <v>23183936</v>
      </c>
      <c r="K2887">
        <v>221100</v>
      </c>
    </row>
    <row r="2888" spans="1:11" x14ac:dyDescent="0.3">
      <c r="A2888" t="s">
        <v>2897</v>
      </c>
      <c r="B2888">
        <v>1050525</v>
      </c>
      <c r="C2888">
        <v>9793700</v>
      </c>
      <c r="D2888">
        <v>514687</v>
      </c>
      <c r="E2888">
        <v>1774300</v>
      </c>
      <c r="F2888">
        <v>18447408</v>
      </c>
      <c r="G2888">
        <v>565200</v>
      </c>
      <c r="H2888">
        <v>23243589</v>
      </c>
      <c r="I2888">
        <v>202500</v>
      </c>
      <c r="J2888">
        <v>23198892</v>
      </c>
      <c r="K2888">
        <v>212300</v>
      </c>
    </row>
    <row r="2889" spans="1:11" x14ac:dyDescent="0.3">
      <c r="A2889" t="s">
        <v>2898</v>
      </c>
      <c r="B2889">
        <v>1050525</v>
      </c>
      <c r="C2889">
        <v>9808900</v>
      </c>
      <c r="D2889">
        <v>518523</v>
      </c>
      <c r="E2889">
        <v>1816900</v>
      </c>
      <c r="F2889">
        <v>18460840</v>
      </c>
      <c r="G2889">
        <v>568800</v>
      </c>
      <c r="H2889">
        <v>23263343</v>
      </c>
      <c r="I2889">
        <v>200500</v>
      </c>
      <c r="J2889">
        <v>23216054</v>
      </c>
      <c r="K2889">
        <v>217800</v>
      </c>
    </row>
    <row r="2890" spans="1:11" x14ac:dyDescent="0.3">
      <c r="A2890" t="s">
        <v>2899</v>
      </c>
      <c r="B2890">
        <v>1050525</v>
      </c>
      <c r="C2890">
        <v>9603500</v>
      </c>
      <c r="D2890">
        <v>518793</v>
      </c>
      <c r="E2890">
        <v>1787200</v>
      </c>
      <c r="F2890">
        <v>18474260</v>
      </c>
      <c r="G2890">
        <v>564800</v>
      </c>
      <c r="H2890">
        <v>23281377</v>
      </c>
      <c r="I2890">
        <v>200100</v>
      </c>
      <c r="J2890">
        <v>23232222</v>
      </c>
      <c r="K2890">
        <v>211400</v>
      </c>
    </row>
    <row r="2891" spans="1:11" x14ac:dyDescent="0.3">
      <c r="A2891" t="s">
        <v>2900</v>
      </c>
      <c r="B2891">
        <v>1050525</v>
      </c>
      <c r="C2891">
        <v>9734500</v>
      </c>
      <c r="D2891">
        <v>533324</v>
      </c>
      <c r="E2891">
        <v>1841700</v>
      </c>
      <c r="F2891">
        <v>18487695</v>
      </c>
      <c r="G2891">
        <v>568900</v>
      </c>
      <c r="H2891">
        <v>23298123</v>
      </c>
      <c r="I2891">
        <v>196200</v>
      </c>
      <c r="J2891">
        <v>23250803</v>
      </c>
      <c r="K2891">
        <v>222300</v>
      </c>
    </row>
    <row r="2892" spans="1:11" x14ac:dyDescent="0.3">
      <c r="A2892" t="s">
        <v>2901</v>
      </c>
      <c r="B2892">
        <v>1050525</v>
      </c>
      <c r="C2892">
        <v>9653300</v>
      </c>
      <c r="D2892">
        <v>514574</v>
      </c>
      <c r="E2892">
        <v>1976900</v>
      </c>
      <c r="F2892">
        <v>18501068</v>
      </c>
      <c r="G2892">
        <v>665200</v>
      </c>
      <c r="H2892">
        <v>23314780</v>
      </c>
      <c r="I2892">
        <v>272400</v>
      </c>
      <c r="J2892">
        <v>23266988</v>
      </c>
      <c r="K2892">
        <v>254000</v>
      </c>
    </row>
    <row r="2893" spans="1:11" x14ac:dyDescent="0.3">
      <c r="A2893" t="s">
        <v>2902</v>
      </c>
      <c r="B2893">
        <v>1050525</v>
      </c>
      <c r="C2893">
        <v>10267200</v>
      </c>
      <c r="D2893">
        <v>527083</v>
      </c>
      <c r="E2893">
        <v>1881100</v>
      </c>
      <c r="F2893">
        <v>18514529</v>
      </c>
      <c r="G2893">
        <v>570400</v>
      </c>
      <c r="H2893">
        <v>23331489</v>
      </c>
      <c r="I2893">
        <v>199000</v>
      </c>
      <c r="J2893">
        <v>23282855</v>
      </c>
      <c r="K2893">
        <v>212600</v>
      </c>
    </row>
    <row r="2894" spans="1:11" x14ac:dyDescent="0.3">
      <c r="A2894" t="s">
        <v>2903</v>
      </c>
      <c r="B2894">
        <v>1050525</v>
      </c>
      <c r="C2894">
        <v>10018900</v>
      </c>
      <c r="D2894">
        <v>519316</v>
      </c>
      <c r="E2894">
        <v>1829600</v>
      </c>
      <c r="F2894">
        <v>18527962</v>
      </c>
      <c r="G2894">
        <v>574600</v>
      </c>
      <c r="H2894">
        <v>23349944</v>
      </c>
      <c r="I2894">
        <v>195900</v>
      </c>
      <c r="J2894">
        <v>23299438</v>
      </c>
      <c r="K2894">
        <v>214000</v>
      </c>
    </row>
    <row r="2895" spans="1:11" x14ac:dyDescent="0.3">
      <c r="A2895" t="s">
        <v>2904</v>
      </c>
      <c r="B2895">
        <v>1050525</v>
      </c>
      <c r="C2895">
        <v>9228600</v>
      </c>
      <c r="D2895">
        <v>535979</v>
      </c>
      <c r="E2895">
        <v>1872200</v>
      </c>
      <c r="F2895">
        <v>18541447</v>
      </c>
      <c r="G2895">
        <v>556800</v>
      </c>
      <c r="H2895">
        <v>23367700</v>
      </c>
      <c r="I2895">
        <v>193800</v>
      </c>
      <c r="J2895">
        <v>23316869</v>
      </c>
      <c r="K2895">
        <v>222600</v>
      </c>
    </row>
    <row r="2896" spans="1:11" x14ac:dyDescent="0.3">
      <c r="A2896" t="s">
        <v>2905</v>
      </c>
      <c r="B2896">
        <v>1050525</v>
      </c>
      <c r="C2896">
        <v>9524900</v>
      </c>
      <c r="D2896">
        <v>530901</v>
      </c>
      <c r="E2896">
        <v>1872900</v>
      </c>
      <c r="F2896">
        <v>18554906</v>
      </c>
      <c r="G2896">
        <v>568100</v>
      </c>
      <c r="H2896">
        <v>23383993</v>
      </c>
      <c r="I2896">
        <v>193100</v>
      </c>
      <c r="J2896">
        <v>23333316</v>
      </c>
      <c r="K2896">
        <v>215500</v>
      </c>
    </row>
    <row r="2897" spans="1:11" x14ac:dyDescent="0.3">
      <c r="A2897" t="s">
        <v>2906</v>
      </c>
      <c r="B2897">
        <v>1050525</v>
      </c>
      <c r="C2897">
        <v>10502900</v>
      </c>
      <c r="D2897">
        <v>514022</v>
      </c>
      <c r="E2897">
        <v>1767800</v>
      </c>
      <c r="F2897">
        <v>18568327</v>
      </c>
      <c r="G2897">
        <v>564800</v>
      </c>
      <c r="H2897">
        <v>23400640</v>
      </c>
      <c r="I2897">
        <v>198500</v>
      </c>
      <c r="J2897">
        <v>23350209</v>
      </c>
      <c r="K2897">
        <v>218500</v>
      </c>
    </row>
    <row r="2898" spans="1:11" x14ac:dyDescent="0.3">
      <c r="A2898" t="s">
        <v>2907</v>
      </c>
      <c r="B2898">
        <v>1050525</v>
      </c>
      <c r="C2898">
        <v>9455200</v>
      </c>
      <c r="D2898">
        <v>520496</v>
      </c>
      <c r="E2898">
        <v>2162000</v>
      </c>
      <c r="F2898">
        <v>18581796</v>
      </c>
      <c r="G2898">
        <v>569900</v>
      </c>
      <c r="H2898">
        <v>23417003</v>
      </c>
      <c r="I2898">
        <v>195300</v>
      </c>
      <c r="J2898">
        <v>23368188</v>
      </c>
      <c r="K2898">
        <v>219200</v>
      </c>
    </row>
    <row r="2899" spans="1:11" x14ac:dyDescent="0.3">
      <c r="A2899" t="s">
        <v>2908</v>
      </c>
      <c r="B2899">
        <v>1050525</v>
      </c>
      <c r="C2899">
        <v>9406500</v>
      </c>
      <c r="D2899">
        <v>530910</v>
      </c>
      <c r="E2899">
        <v>1830100</v>
      </c>
      <c r="F2899">
        <v>18595230</v>
      </c>
      <c r="G2899">
        <v>566500</v>
      </c>
      <c r="H2899">
        <v>23434991</v>
      </c>
      <c r="I2899">
        <v>207300</v>
      </c>
      <c r="J2899">
        <v>23384764</v>
      </c>
      <c r="K2899">
        <v>220900</v>
      </c>
    </row>
    <row r="2900" spans="1:11" x14ac:dyDescent="0.3">
      <c r="A2900" t="s">
        <v>2909</v>
      </c>
      <c r="B2900">
        <v>1050525</v>
      </c>
      <c r="C2900">
        <v>9523500</v>
      </c>
      <c r="D2900">
        <v>531647</v>
      </c>
      <c r="E2900">
        <v>1828300</v>
      </c>
      <c r="F2900">
        <v>18608669</v>
      </c>
      <c r="G2900">
        <v>560800</v>
      </c>
      <c r="H2900">
        <v>23451216</v>
      </c>
      <c r="I2900">
        <v>192000</v>
      </c>
      <c r="J2900">
        <v>23400702</v>
      </c>
      <c r="K2900">
        <v>214100</v>
      </c>
    </row>
    <row r="2901" spans="1:11" x14ac:dyDescent="0.3">
      <c r="A2901" t="s">
        <v>2910</v>
      </c>
      <c r="B2901">
        <v>1050525</v>
      </c>
      <c r="C2901">
        <v>9742800</v>
      </c>
      <c r="D2901">
        <v>521875</v>
      </c>
      <c r="E2901">
        <v>1902800</v>
      </c>
      <c r="F2901">
        <v>18622140</v>
      </c>
      <c r="G2901">
        <v>730900</v>
      </c>
      <c r="H2901">
        <v>23468891</v>
      </c>
      <c r="I2901">
        <v>202700</v>
      </c>
      <c r="J2901">
        <v>23418311</v>
      </c>
      <c r="K2901">
        <v>217900</v>
      </c>
    </row>
    <row r="2902" spans="1:11" x14ac:dyDescent="0.3">
      <c r="A2902" t="s">
        <v>2911</v>
      </c>
      <c r="B2902">
        <v>1124250</v>
      </c>
      <c r="C2902">
        <v>10604300</v>
      </c>
      <c r="D2902">
        <v>567959</v>
      </c>
      <c r="E2902">
        <v>1967300</v>
      </c>
      <c r="F2902">
        <v>18636078</v>
      </c>
      <c r="G2902">
        <v>587900</v>
      </c>
      <c r="H2902">
        <v>23486253</v>
      </c>
      <c r="I2902">
        <v>199300</v>
      </c>
      <c r="J2902">
        <v>23436244</v>
      </c>
      <c r="K2902">
        <v>228400</v>
      </c>
    </row>
    <row r="2903" spans="1:11" x14ac:dyDescent="0.3">
      <c r="A2903" t="s">
        <v>2912</v>
      </c>
      <c r="B2903">
        <v>1124250</v>
      </c>
      <c r="C2903">
        <v>10178500</v>
      </c>
      <c r="D2903">
        <v>566457</v>
      </c>
      <c r="E2903">
        <v>2005200</v>
      </c>
      <c r="F2903">
        <v>18650032</v>
      </c>
      <c r="G2903">
        <v>580200</v>
      </c>
      <c r="H2903">
        <v>23505374</v>
      </c>
      <c r="I2903">
        <v>203300</v>
      </c>
      <c r="J2903">
        <v>23453973</v>
      </c>
      <c r="K2903">
        <v>229900</v>
      </c>
    </row>
    <row r="2904" spans="1:11" x14ac:dyDescent="0.3">
      <c r="A2904" t="s">
        <v>2913</v>
      </c>
      <c r="B2904">
        <v>1124250</v>
      </c>
      <c r="C2904">
        <v>10331000</v>
      </c>
      <c r="D2904">
        <v>561416</v>
      </c>
      <c r="E2904">
        <v>1977800</v>
      </c>
      <c r="F2904">
        <v>18663957</v>
      </c>
      <c r="G2904">
        <v>596500</v>
      </c>
      <c r="H2904">
        <v>23522026</v>
      </c>
      <c r="I2904">
        <v>201500</v>
      </c>
      <c r="J2904">
        <v>23470382</v>
      </c>
      <c r="K2904">
        <v>221000</v>
      </c>
    </row>
    <row r="2905" spans="1:11" x14ac:dyDescent="0.3">
      <c r="A2905" t="s">
        <v>2914</v>
      </c>
      <c r="B2905">
        <v>1124250</v>
      </c>
      <c r="C2905">
        <v>10350800</v>
      </c>
      <c r="D2905">
        <v>582575</v>
      </c>
      <c r="E2905">
        <v>2071500</v>
      </c>
      <c r="F2905">
        <v>18677908</v>
      </c>
      <c r="G2905">
        <v>590400</v>
      </c>
      <c r="H2905">
        <v>23539642</v>
      </c>
      <c r="I2905">
        <v>203400</v>
      </c>
      <c r="J2905">
        <v>23487083</v>
      </c>
      <c r="K2905">
        <v>218700</v>
      </c>
    </row>
    <row r="2906" spans="1:11" x14ac:dyDescent="0.3">
      <c r="A2906" t="s">
        <v>2915</v>
      </c>
      <c r="B2906">
        <v>1124250</v>
      </c>
      <c r="C2906">
        <v>10506700</v>
      </c>
      <c r="D2906">
        <v>566125</v>
      </c>
      <c r="E2906">
        <v>1981600</v>
      </c>
      <c r="F2906">
        <v>18691878</v>
      </c>
      <c r="G2906">
        <v>583800</v>
      </c>
      <c r="H2906">
        <v>23557502</v>
      </c>
      <c r="I2906">
        <v>202300</v>
      </c>
      <c r="J2906">
        <v>23505210</v>
      </c>
      <c r="K2906">
        <v>221600</v>
      </c>
    </row>
    <row r="2907" spans="1:11" x14ac:dyDescent="0.3">
      <c r="A2907" t="s">
        <v>2916</v>
      </c>
      <c r="B2907">
        <v>1124250</v>
      </c>
      <c r="C2907">
        <v>10483100</v>
      </c>
      <c r="D2907">
        <v>577865</v>
      </c>
      <c r="E2907">
        <v>1997700</v>
      </c>
      <c r="F2907">
        <v>18705861</v>
      </c>
      <c r="G2907">
        <v>583900</v>
      </c>
      <c r="H2907">
        <v>23574964</v>
      </c>
      <c r="I2907">
        <v>204100</v>
      </c>
      <c r="J2907">
        <v>23522473</v>
      </c>
      <c r="K2907">
        <v>225600</v>
      </c>
    </row>
    <row r="2908" spans="1:11" x14ac:dyDescent="0.3">
      <c r="A2908" t="s">
        <v>2917</v>
      </c>
      <c r="B2908">
        <v>1124250</v>
      </c>
      <c r="C2908">
        <v>10576900</v>
      </c>
      <c r="D2908">
        <v>542145</v>
      </c>
      <c r="E2908">
        <v>1866700</v>
      </c>
      <c r="F2908">
        <v>18719857</v>
      </c>
      <c r="G2908">
        <v>578700</v>
      </c>
      <c r="H2908">
        <v>23592231</v>
      </c>
      <c r="I2908">
        <v>203600</v>
      </c>
      <c r="J2908">
        <v>23539878</v>
      </c>
      <c r="K2908">
        <v>221300</v>
      </c>
    </row>
    <row r="2909" spans="1:11" x14ac:dyDescent="0.3">
      <c r="A2909" t="s">
        <v>2918</v>
      </c>
      <c r="B2909">
        <v>1124250</v>
      </c>
      <c r="C2909">
        <v>10182700</v>
      </c>
      <c r="D2909">
        <v>565481</v>
      </c>
      <c r="E2909">
        <v>2190800</v>
      </c>
      <c r="F2909">
        <v>18733800</v>
      </c>
      <c r="G2909">
        <v>599300</v>
      </c>
      <c r="H2909">
        <v>23609033</v>
      </c>
      <c r="I2909">
        <v>204200</v>
      </c>
      <c r="J2909">
        <v>23558762</v>
      </c>
      <c r="K2909">
        <v>256600</v>
      </c>
    </row>
    <row r="2910" spans="1:11" x14ac:dyDescent="0.3">
      <c r="A2910" t="s">
        <v>2919</v>
      </c>
      <c r="B2910">
        <v>1124250</v>
      </c>
      <c r="C2910">
        <v>11037600</v>
      </c>
      <c r="D2910">
        <v>555822</v>
      </c>
      <c r="E2910">
        <v>1935500</v>
      </c>
      <c r="F2910">
        <v>18747768</v>
      </c>
      <c r="G2910">
        <v>591200</v>
      </c>
      <c r="H2910">
        <v>23626047</v>
      </c>
      <c r="I2910">
        <v>208500</v>
      </c>
      <c r="J2910">
        <v>23576410</v>
      </c>
      <c r="K2910">
        <v>223500</v>
      </c>
    </row>
    <row r="2911" spans="1:11" x14ac:dyDescent="0.3">
      <c r="A2911" t="s">
        <v>2920</v>
      </c>
      <c r="B2911">
        <v>1124250</v>
      </c>
      <c r="C2911">
        <v>10363200</v>
      </c>
      <c r="D2911">
        <v>563795</v>
      </c>
      <c r="E2911">
        <v>1941700</v>
      </c>
      <c r="F2911">
        <v>18761742</v>
      </c>
      <c r="G2911">
        <v>587800</v>
      </c>
      <c r="H2911">
        <v>23643301</v>
      </c>
      <c r="I2911">
        <v>196800</v>
      </c>
      <c r="J2911">
        <v>23594983</v>
      </c>
      <c r="K2911">
        <v>226800</v>
      </c>
    </row>
    <row r="2912" spans="1:11" x14ac:dyDescent="0.3">
      <c r="A2912" t="s">
        <v>2921</v>
      </c>
      <c r="B2912">
        <v>1124250</v>
      </c>
      <c r="C2912">
        <v>10499400</v>
      </c>
      <c r="D2912">
        <v>575230</v>
      </c>
      <c r="E2912">
        <v>2229400</v>
      </c>
      <c r="F2912">
        <v>18775731</v>
      </c>
      <c r="G2912">
        <v>586200</v>
      </c>
      <c r="H2912">
        <v>23662191</v>
      </c>
      <c r="I2912">
        <v>216600</v>
      </c>
      <c r="J2912">
        <v>23612047</v>
      </c>
      <c r="K2912">
        <v>218200</v>
      </c>
    </row>
    <row r="2913" spans="1:11" x14ac:dyDescent="0.3">
      <c r="A2913" t="s">
        <v>2922</v>
      </c>
      <c r="B2913">
        <v>1124250</v>
      </c>
      <c r="C2913">
        <v>10534200</v>
      </c>
      <c r="D2913">
        <v>559233</v>
      </c>
      <c r="E2913">
        <v>1974200</v>
      </c>
      <c r="F2913">
        <v>18789701</v>
      </c>
      <c r="G2913">
        <v>582100</v>
      </c>
      <c r="H2913">
        <v>23681019</v>
      </c>
      <c r="I2913">
        <v>244300</v>
      </c>
      <c r="J2913">
        <v>23630145</v>
      </c>
      <c r="K2913">
        <v>261100</v>
      </c>
    </row>
    <row r="2914" spans="1:11" x14ac:dyDescent="0.3">
      <c r="A2914" t="s">
        <v>2923</v>
      </c>
      <c r="B2914">
        <v>1124250</v>
      </c>
      <c r="C2914">
        <v>11331700</v>
      </c>
      <c r="D2914">
        <v>577130</v>
      </c>
      <c r="E2914">
        <v>1985000</v>
      </c>
      <c r="F2914">
        <v>18803638</v>
      </c>
      <c r="G2914">
        <v>582600</v>
      </c>
      <c r="H2914">
        <v>23699286</v>
      </c>
      <c r="I2914">
        <v>200000</v>
      </c>
      <c r="J2914">
        <v>23648106</v>
      </c>
      <c r="K2914">
        <v>227000</v>
      </c>
    </row>
    <row r="2915" spans="1:11" x14ac:dyDescent="0.3">
      <c r="A2915" t="s">
        <v>2924</v>
      </c>
      <c r="B2915">
        <v>1124250</v>
      </c>
      <c r="C2915">
        <v>11121400</v>
      </c>
      <c r="D2915">
        <v>553912</v>
      </c>
      <c r="E2915">
        <v>2117100</v>
      </c>
      <c r="F2915">
        <v>18817595</v>
      </c>
      <c r="G2915">
        <v>602900</v>
      </c>
      <c r="H2915">
        <v>23718152</v>
      </c>
      <c r="I2915">
        <v>221800</v>
      </c>
      <c r="J2915">
        <v>23665430</v>
      </c>
      <c r="K2915">
        <v>220500</v>
      </c>
    </row>
    <row r="2916" spans="1:11" x14ac:dyDescent="0.3">
      <c r="A2916" t="s">
        <v>2925</v>
      </c>
      <c r="B2916">
        <v>1124250</v>
      </c>
      <c r="C2916">
        <v>10185400</v>
      </c>
      <c r="D2916">
        <v>572191</v>
      </c>
      <c r="E2916">
        <v>1973400</v>
      </c>
      <c r="F2916">
        <v>18831572</v>
      </c>
      <c r="G2916">
        <v>576600</v>
      </c>
      <c r="H2916">
        <v>23735944</v>
      </c>
      <c r="I2916">
        <v>199300</v>
      </c>
      <c r="J2916">
        <v>23682919</v>
      </c>
      <c r="K2916">
        <v>224600</v>
      </c>
    </row>
    <row r="2917" spans="1:11" x14ac:dyDescent="0.3">
      <c r="A2917" t="s">
        <v>2926</v>
      </c>
      <c r="B2917">
        <v>1124250</v>
      </c>
      <c r="C2917">
        <v>11369400</v>
      </c>
      <c r="D2917">
        <v>559283</v>
      </c>
      <c r="E2917">
        <v>1930200</v>
      </c>
      <c r="F2917">
        <v>18845538</v>
      </c>
      <c r="G2917">
        <v>782600</v>
      </c>
      <c r="H2917">
        <v>23753061</v>
      </c>
      <c r="I2917">
        <v>210100</v>
      </c>
      <c r="J2917">
        <v>23701344</v>
      </c>
      <c r="K2917">
        <v>223600</v>
      </c>
    </row>
    <row r="2918" spans="1:11" x14ac:dyDescent="0.3">
      <c r="A2918" t="s">
        <v>2927</v>
      </c>
      <c r="B2918">
        <v>1124250</v>
      </c>
      <c r="C2918">
        <v>10555700</v>
      </c>
      <c r="D2918">
        <v>568845</v>
      </c>
      <c r="E2918">
        <v>2023300</v>
      </c>
      <c r="F2918">
        <v>18859504</v>
      </c>
      <c r="G2918">
        <v>654100</v>
      </c>
      <c r="H2918">
        <v>23770879</v>
      </c>
      <c r="I2918">
        <v>277900</v>
      </c>
      <c r="J2918">
        <v>23719853</v>
      </c>
      <c r="K2918">
        <v>315700</v>
      </c>
    </row>
    <row r="2919" spans="1:11" x14ac:dyDescent="0.3">
      <c r="A2919" t="s">
        <v>2928</v>
      </c>
      <c r="B2919">
        <v>1124250</v>
      </c>
      <c r="C2919">
        <v>10112900</v>
      </c>
      <c r="D2919">
        <v>580997</v>
      </c>
      <c r="E2919">
        <v>2039300</v>
      </c>
      <c r="F2919">
        <v>18873451</v>
      </c>
      <c r="G2919">
        <v>578600</v>
      </c>
      <c r="H2919">
        <v>23788178</v>
      </c>
      <c r="I2919">
        <v>198600</v>
      </c>
      <c r="J2919">
        <v>23737430</v>
      </c>
      <c r="K2919">
        <v>226700</v>
      </c>
    </row>
    <row r="2920" spans="1:11" x14ac:dyDescent="0.3">
      <c r="A2920" t="s">
        <v>2929</v>
      </c>
      <c r="B2920">
        <v>1124250</v>
      </c>
      <c r="C2920">
        <v>11112600</v>
      </c>
      <c r="D2920">
        <v>562687</v>
      </c>
      <c r="E2920">
        <v>1945000</v>
      </c>
      <c r="F2920">
        <v>18887462</v>
      </c>
      <c r="G2920">
        <v>574500</v>
      </c>
      <c r="H2920">
        <v>23805493</v>
      </c>
      <c r="I2920">
        <v>200400</v>
      </c>
      <c r="J2920">
        <v>23754656</v>
      </c>
      <c r="K2920">
        <v>224400</v>
      </c>
    </row>
    <row r="2921" spans="1:11" x14ac:dyDescent="0.3">
      <c r="A2921" t="s">
        <v>2930</v>
      </c>
      <c r="B2921">
        <v>1124250</v>
      </c>
      <c r="C2921">
        <v>10065300</v>
      </c>
      <c r="D2921">
        <v>570752</v>
      </c>
      <c r="E2921">
        <v>1973900</v>
      </c>
      <c r="F2921">
        <v>18901411</v>
      </c>
      <c r="G2921">
        <v>613200</v>
      </c>
      <c r="H2921">
        <v>23823895</v>
      </c>
      <c r="I2921">
        <v>200800</v>
      </c>
      <c r="J2921">
        <v>23771878</v>
      </c>
      <c r="K2921">
        <v>225600</v>
      </c>
    </row>
    <row r="2922" spans="1:11" x14ac:dyDescent="0.3">
      <c r="A2922" t="s">
        <v>2931</v>
      </c>
      <c r="B2922">
        <v>1124250</v>
      </c>
      <c r="C2922">
        <v>10547100</v>
      </c>
      <c r="D2922">
        <v>581442</v>
      </c>
      <c r="E2922">
        <v>1999400</v>
      </c>
      <c r="F2922">
        <v>18915379</v>
      </c>
      <c r="G2922">
        <v>584200</v>
      </c>
      <c r="H2922">
        <v>23840598</v>
      </c>
      <c r="I2922">
        <v>198800</v>
      </c>
      <c r="J2922">
        <v>23789540</v>
      </c>
      <c r="K2922">
        <v>228600</v>
      </c>
    </row>
    <row r="2923" spans="1:11" x14ac:dyDescent="0.3">
      <c r="A2923" t="s">
        <v>2932</v>
      </c>
      <c r="B2923">
        <v>1124250</v>
      </c>
      <c r="C2923">
        <v>10507700</v>
      </c>
      <c r="D2923">
        <v>596481</v>
      </c>
      <c r="E2923">
        <v>2137100</v>
      </c>
      <c r="F2923">
        <v>18929291</v>
      </c>
      <c r="G2923">
        <v>593700</v>
      </c>
      <c r="H2923">
        <v>23858875</v>
      </c>
      <c r="I2923">
        <v>206100</v>
      </c>
      <c r="J2923">
        <v>23809045</v>
      </c>
      <c r="K2923">
        <v>224900</v>
      </c>
    </row>
    <row r="2924" spans="1:11" x14ac:dyDescent="0.3">
      <c r="A2924" t="s">
        <v>2933</v>
      </c>
      <c r="B2924">
        <v>1124250</v>
      </c>
      <c r="C2924">
        <v>10169200</v>
      </c>
      <c r="D2924">
        <v>577928</v>
      </c>
      <c r="E2924">
        <v>2484700</v>
      </c>
      <c r="F2924">
        <v>18943221</v>
      </c>
      <c r="G2924">
        <v>580600</v>
      </c>
      <c r="H2924">
        <v>23876179</v>
      </c>
      <c r="I2924">
        <v>205700</v>
      </c>
      <c r="J2924">
        <v>23826513</v>
      </c>
      <c r="K2924">
        <v>221400</v>
      </c>
    </row>
    <row r="2925" spans="1:11" x14ac:dyDescent="0.3">
      <c r="A2925" t="s">
        <v>2934</v>
      </c>
      <c r="B2925">
        <v>1124250</v>
      </c>
      <c r="C2925">
        <v>10181600</v>
      </c>
      <c r="D2925">
        <v>585257</v>
      </c>
      <c r="E2925">
        <v>2010200</v>
      </c>
      <c r="F2925">
        <v>18957210</v>
      </c>
      <c r="G2925">
        <v>585500</v>
      </c>
      <c r="H2925">
        <v>23895140</v>
      </c>
      <c r="I2925">
        <v>209000</v>
      </c>
      <c r="J2925">
        <v>23844216</v>
      </c>
      <c r="K2925">
        <v>340900</v>
      </c>
    </row>
    <row r="2926" spans="1:11" x14ac:dyDescent="0.3">
      <c r="A2926" t="s">
        <v>2935</v>
      </c>
      <c r="B2926">
        <v>1124250</v>
      </c>
      <c r="C2926">
        <v>10142900</v>
      </c>
      <c r="D2926">
        <v>573897</v>
      </c>
      <c r="E2926">
        <v>2212600</v>
      </c>
      <c r="F2926">
        <v>18971195</v>
      </c>
      <c r="G2926">
        <v>589700</v>
      </c>
      <c r="H2926">
        <v>23912873</v>
      </c>
      <c r="I2926">
        <v>203100</v>
      </c>
      <c r="J2926">
        <v>23860691</v>
      </c>
      <c r="K2926">
        <v>224500</v>
      </c>
    </row>
    <row r="2927" spans="1:11" x14ac:dyDescent="0.3">
      <c r="A2927" t="s">
        <v>2936</v>
      </c>
      <c r="B2927">
        <v>1124250</v>
      </c>
      <c r="C2927">
        <v>10545000</v>
      </c>
      <c r="D2927">
        <v>574934</v>
      </c>
      <c r="E2927">
        <v>2015800</v>
      </c>
      <c r="F2927">
        <v>18985174</v>
      </c>
      <c r="G2927">
        <v>588000</v>
      </c>
      <c r="H2927">
        <v>23930602</v>
      </c>
      <c r="I2927">
        <v>195900</v>
      </c>
      <c r="J2927">
        <v>23877167</v>
      </c>
      <c r="K2927">
        <v>220800</v>
      </c>
    </row>
    <row r="2928" spans="1:11" x14ac:dyDescent="0.3">
      <c r="A2928" t="s">
        <v>2937</v>
      </c>
      <c r="B2928">
        <v>1124250</v>
      </c>
      <c r="C2928">
        <v>10779000</v>
      </c>
      <c r="D2928">
        <v>573999</v>
      </c>
      <c r="E2928">
        <v>2033600</v>
      </c>
      <c r="F2928">
        <v>18999104</v>
      </c>
      <c r="G2928">
        <v>577700</v>
      </c>
      <c r="H2928">
        <v>23948385</v>
      </c>
      <c r="I2928">
        <v>204000</v>
      </c>
      <c r="J2928">
        <v>23894772</v>
      </c>
      <c r="K2928">
        <v>220200</v>
      </c>
    </row>
    <row r="2929" spans="1:11" x14ac:dyDescent="0.3">
      <c r="A2929" t="s">
        <v>2938</v>
      </c>
      <c r="B2929">
        <v>1124250</v>
      </c>
      <c r="C2929">
        <v>10149900</v>
      </c>
      <c r="D2929">
        <v>575039</v>
      </c>
      <c r="E2929">
        <v>2025000</v>
      </c>
      <c r="F2929">
        <v>19013034</v>
      </c>
      <c r="G2929">
        <v>578700</v>
      </c>
      <c r="H2929">
        <v>23966765</v>
      </c>
      <c r="I2929">
        <v>212800</v>
      </c>
      <c r="J2929">
        <v>23912955</v>
      </c>
      <c r="K2929">
        <v>228500</v>
      </c>
    </row>
    <row r="2930" spans="1:11" x14ac:dyDescent="0.3">
      <c r="A2930" t="s">
        <v>2939</v>
      </c>
      <c r="B2930">
        <v>1124250</v>
      </c>
      <c r="C2930">
        <v>10434800</v>
      </c>
      <c r="D2930">
        <v>558175</v>
      </c>
      <c r="E2930">
        <v>1922100</v>
      </c>
      <c r="F2930">
        <v>19026991</v>
      </c>
      <c r="G2930">
        <v>580300</v>
      </c>
      <c r="H2930">
        <v>23983350</v>
      </c>
      <c r="I2930">
        <v>204100</v>
      </c>
      <c r="J2930">
        <v>23930124</v>
      </c>
      <c r="K2930">
        <v>220300</v>
      </c>
    </row>
    <row r="2931" spans="1:11" x14ac:dyDescent="0.3">
      <c r="A2931" t="s">
        <v>2940</v>
      </c>
      <c r="B2931">
        <v>1124250</v>
      </c>
      <c r="C2931">
        <v>10875800</v>
      </c>
      <c r="D2931">
        <v>566112</v>
      </c>
      <c r="E2931">
        <v>1981800</v>
      </c>
      <c r="F2931">
        <v>19041002</v>
      </c>
      <c r="G2931">
        <v>581600</v>
      </c>
      <c r="H2931">
        <v>24002308</v>
      </c>
      <c r="I2931">
        <v>207900</v>
      </c>
      <c r="J2931">
        <v>23949138</v>
      </c>
      <c r="K2931">
        <v>224300</v>
      </c>
    </row>
    <row r="2932" spans="1:11" x14ac:dyDescent="0.3">
      <c r="A2932" t="s">
        <v>2941</v>
      </c>
      <c r="B2932">
        <v>1124250</v>
      </c>
      <c r="C2932">
        <v>10369000</v>
      </c>
      <c r="D2932">
        <v>547905</v>
      </c>
      <c r="E2932">
        <v>1954500</v>
      </c>
      <c r="F2932">
        <v>19054941</v>
      </c>
      <c r="G2932">
        <v>591700</v>
      </c>
      <c r="H2932">
        <v>24020519</v>
      </c>
      <c r="I2932">
        <v>204200</v>
      </c>
      <c r="J2932">
        <v>23967490</v>
      </c>
      <c r="K2932">
        <v>223300</v>
      </c>
    </row>
    <row r="2933" spans="1:11" x14ac:dyDescent="0.3">
      <c r="A2933" t="s">
        <v>2942</v>
      </c>
      <c r="B2933">
        <v>1124250</v>
      </c>
      <c r="C2933">
        <v>11282200</v>
      </c>
      <c r="D2933">
        <v>559238</v>
      </c>
      <c r="E2933">
        <v>1929600</v>
      </c>
      <c r="F2933">
        <v>19068931</v>
      </c>
      <c r="G2933">
        <v>578400</v>
      </c>
      <c r="H2933">
        <v>24037408</v>
      </c>
      <c r="I2933">
        <v>201000</v>
      </c>
      <c r="J2933">
        <v>23985715</v>
      </c>
      <c r="K2933">
        <v>224800</v>
      </c>
    </row>
    <row r="2934" spans="1:11" x14ac:dyDescent="0.3">
      <c r="A2934" t="s">
        <v>2943</v>
      </c>
      <c r="B2934">
        <v>1124250</v>
      </c>
      <c r="C2934">
        <v>10825800</v>
      </c>
      <c r="D2934">
        <v>560544</v>
      </c>
      <c r="E2934">
        <v>2199200</v>
      </c>
      <c r="F2934">
        <v>19082906</v>
      </c>
      <c r="G2934">
        <v>645000</v>
      </c>
      <c r="H2934">
        <v>24054271</v>
      </c>
      <c r="I2934">
        <v>248800</v>
      </c>
      <c r="J2934">
        <v>24005896</v>
      </c>
      <c r="K2934">
        <v>276000</v>
      </c>
    </row>
    <row r="2935" spans="1:11" x14ac:dyDescent="0.3">
      <c r="A2935" t="s">
        <v>2944</v>
      </c>
      <c r="B2935">
        <v>1124250</v>
      </c>
      <c r="C2935">
        <v>10515900</v>
      </c>
      <c r="D2935">
        <v>574927</v>
      </c>
      <c r="E2935">
        <v>1978000</v>
      </c>
      <c r="F2935">
        <v>19096862</v>
      </c>
      <c r="G2935">
        <v>586000</v>
      </c>
      <c r="H2935">
        <v>24072408</v>
      </c>
      <c r="I2935">
        <v>201200</v>
      </c>
      <c r="J2935">
        <v>24024923</v>
      </c>
      <c r="K2935">
        <v>228900</v>
      </c>
    </row>
    <row r="2936" spans="1:11" x14ac:dyDescent="0.3">
      <c r="A2936" t="s">
        <v>2945</v>
      </c>
      <c r="B2936">
        <v>1124250</v>
      </c>
      <c r="C2936">
        <v>10887700</v>
      </c>
      <c r="D2936">
        <v>553298</v>
      </c>
      <c r="E2936">
        <v>1902800</v>
      </c>
      <c r="F2936">
        <v>19110800</v>
      </c>
      <c r="G2936">
        <v>576600</v>
      </c>
      <c r="H2936">
        <v>24091242</v>
      </c>
      <c r="I2936">
        <v>199100</v>
      </c>
      <c r="J2936">
        <v>24041490</v>
      </c>
      <c r="K2936">
        <v>232200</v>
      </c>
    </row>
    <row r="2937" spans="1:11" x14ac:dyDescent="0.3">
      <c r="A2937" t="s">
        <v>2946</v>
      </c>
      <c r="B2937">
        <v>1124250</v>
      </c>
      <c r="C2937">
        <v>10276400</v>
      </c>
      <c r="D2937">
        <v>554223</v>
      </c>
      <c r="E2937">
        <v>2072300</v>
      </c>
      <c r="F2937">
        <v>19124779</v>
      </c>
      <c r="G2937">
        <v>586700</v>
      </c>
      <c r="H2937">
        <v>24107781</v>
      </c>
      <c r="I2937">
        <v>201800</v>
      </c>
      <c r="J2937">
        <v>24058314</v>
      </c>
      <c r="K2937">
        <v>216500</v>
      </c>
    </row>
    <row r="2938" spans="1:11" x14ac:dyDescent="0.3">
      <c r="A2938" t="s">
        <v>2947</v>
      </c>
      <c r="B2938">
        <v>1124250</v>
      </c>
      <c r="C2938">
        <v>10366800</v>
      </c>
      <c r="D2938">
        <v>564275</v>
      </c>
      <c r="E2938">
        <v>1942500</v>
      </c>
      <c r="F2938">
        <v>19138748</v>
      </c>
      <c r="G2938">
        <v>591900</v>
      </c>
      <c r="H2938">
        <v>24125422</v>
      </c>
      <c r="I2938">
        <v>203100</v>
      </c>
      <c r="J2938">
        <v>24076822</v>
      </c>
      <c r="K2938">
        <v>238800</v>
      </c>
    </row>
    <row r="2939" spans="1:11" x14ac:dyDescent="0.3">
      <c r="A2939" t="s">
        <v>2948</v>
      </c>
      <c r="B2939">
        <v>1124250</v>
      </c>
      <c r="C2939">
        <v>10673600</v>
      </c>
      <c r="D2939">
        <v>550955</v>
      </c>
      <c r="E2939">
        <v>1960100</v>
      </c>
      <c r="F2939">
        <v>19152685</v>
      </c>
      <c r="G2939">
        <v>576100</v>
      </c>
      <c r="H2939">
        <v>24142275</v>
      </c>
      <c r="I2939">
        <v>202200</v>
      </c>
      <c r="J2939">
        <v>24094698</v>
      </c>
      <c r="K2939">
        <v>223200</v>
      </c>
    </row>
    <row r="2940" spans="1:11" x14ac:dyDescent="0.3">
      <c r="A2940" t="s">
        <v>2949</v>
      </c>
      <c r="B2940">
        <v>1124250</v>
      </c>
      <c r="C2940">
        <v>10551200</v>
      </c>
      <c r="D2940">
        <v>542640</v>
      </c>
      <c r="E2940">
        <v>1868600</v>
      </c>
      <c r="F2940">
        <v>19166621</v>
      </c>
      <c r="G2940">
        <v>576900</v>
      </c>
      <c r="H2940">
        <v>24160727</v>
      </c>
      <c r="I2940">
        <v>200100</v>
      </c>
      <c r="J2940">
        <v>24111535</v>
      </c>
      <c r="K2940">
        <v>219700</v>
      </c>
    </row>
    <row r="2941" spans="1:11" x14ac:dyDescent="0.3">
      <c r="A2941" t="s">
        <v>2950</v>
      </c>
      <c r="B2941">
        <v>1124250</v>
      </c>
      <c r="C2941">
        <v>10474400</v>
      </c>
      <c r="D2941">
        <v>566773</v>
      </c>
      <c r="E2941">
        <v>1949400</v>
      </c>
      <c r="F2941">
        <v>19180566</v>
      </c>
      <c r="G2941">
        <v>611200</v>
      </c>
      <c r="H2941">
        <v>24178134</v>
      </c>
      <c r="I2941">
        <v>210900</v>
      </c>
      <c r="J2941">
        <v>24128015</v>
      </c>
      <c r="K2941">
        <v>224400</v>
      </c>
    </row>
    <row r="2942" spans="1:11" x14ac:dyDescent="0.3">
      <c r="A2942" t="s">
        <v>2951</v>
      </c>
      <c r="B2942">
        <v>1124250</v>
      </c>
      <c r="C2942">
        <v>10559200</v>
      </c>
      <c r="D2942">
        <v>565937</v>
      </c>
      <c r="E2942">
        <v>2011800</v>
      </c>
      <c r="F2942">
        <v>19194520</v>
      </c>
      <c r="G2942">
        <v>585300</v>
      </c>
      <c r="H2942">
        <v>24195294</v>
      </c>
      <c r="I2942">
        <v>195600</v>
      </c>
      <c r="J2942">
        <v>24147107</v>
      </c>
      <c r="K2942">
        <v>222200</v>
      </c>
    </row>
    <row r="2943" spans="1:11" x14ac:dyDescent="0.3">
      <c r="A2943" t="s">
        <v>2952</v>
      </c>
      <c r="B2943">
        <v>1124250</v>
      </c>
      <c r="C2943">
        <v>10352200</v>
      </c>
      <c r="D2943">
        <v>566191</v>
      </c>
      <c r="E2943">
        <v>1947200</v>
      </c>
      <c r="F2943">
        <v>19208506</v>
      </c>
      <c r="G2943">
        <v>588400</v>
      </c>
      <c r="H2943">
        <v>24212746</v>
      </c>
      <c r="I2943">
        <v>198400</v>
      </c>
      <c r="J2943">
        <v>24163858</v>
      </c>
      <c r="K2943">
        <v>220500</v>
      </c>
    </row>
    <row r="2944" spans="1:11" x14ac:dyDescent="0.3">
      <c r="A2944" t="s">
        <v>2953</v>
      </c>
      <c r="B2944">
        <v>1124250</v>
      </c>
      <c r="C2944">
        <v>10872300</v>
      </c>
      <c r="D2944">
        <v>555106</v>
      </c>
      <c r="E2944">
        <v>2360700</v>
      </c>
      <c r="F2944">
        <v>19222447</v>
      </c>
      <c r="G2944">
        <v>770300</v>
      </c>
      <c r="H2944">
        <v>24230572</v>
      </c>
      <c r="I2944">
        <v>208500</v>
      </c>
      <c r="J2944">
        <v>24181596</v>
      </c>
      <c r="K2944">
        <v>225100</v>
      </c>
    </row>
    <row r="2945" spans="1:11" x14ac:dyDescent="0.3">
      <c r="A2945" t="s">
        <v>2954</v>
      </c>
      <c r="B2945">
        <v>1124250</v>
      </c>
      <c r="C2945">
        <v>10473300</v>
      </c>
      <c r="D2945">
        <v>554821</v>
      </c>
      <c r="E2945">
        <v>1914400</v>
      </c>
      <c r="F2945">
        <v>19236394</v>
      </c>
      <c r="G2945">
        <v>584300</v>
      </c>
      <c r="H2945">
        <v>24248220</v>
      </c>
      <c r="I2945">
        <v>204800</v>
      </c>
      <c r="J2945">
        <v>24199772</v>
      </c>
      <c r="K2945">
        <v>223400</v>
      </c>
    </row>
    <row r="2946" spans="1:11" x14ac:dyDescent="0.3">
      <c r="A2946" t="s">
        <v>2955</v>
      </c>
      <c r="B2946">
        <v>1124250</v>
      </c>
      <c r="C2946">
        <v>10649300</v>
      </c>
      <c r="D2946">
        <v>558232</v>
      </c>
      <c r="E2946">
        <v>1922700</v>
      </c>
      <c r="F2946">
        <v>19250377</v>
      </c>
      <c r="G2946">
        <v>582100</v>
      </c>
      <c r="H2946">
        <v>24266679</v>
      </c>
      <c r="I2946">
        <v>200900</v>
      </c>
      <c r="J2946">
        <v>24216099</v>
      </c>
      <c r="K2946">
        <v>224500</v>
      </c>
    </row>
    <row r="2947" spans="1:11" x14ac:dyDescent="0.3">
      <c r="A2947" t="s">
        <v>2956</v>
      </c>
      <c r="B2947">
        <v>1124250</v>
      </c>
      <c r="C2947">
        <v>10567000</v>
      </c>
      <c r="D2947">
        <v>571381</v>
      </c>
      <c r="E2947">
        <v>1973300</v>
      </c>
      <c r="F2947">
        <v>19264369</v>
      </c>
      <c r="G2947">
        <v>579700</v>
      </c>
      <c r="H2947">
        <v>24284516</v>
      </c>
      <c r="I2947">
        <v>199200</v>
      </c>
      <c r="J2947">
        <v>24233448</v>
      </c>
      <c r="K2947">
        <v>222800</v>
      </c>
    </row>
    <row r="2948" spans="1:11" x14ac:dyDescent="0.3">
      <c r="A2948" t="s">
        <v>2957</v>
      </c>
      <c r="B2948">
        <v>1124250</v>
      </c>
      <c r="C2948">
        <v>10341100</v>
      </c>
      <c r="D2948">
        <v>571258</v>
      </c>
      <c r="E2948">
        <v>1966900</v>
      </c>
      <c r="F2948">
        <v>19278298</v>
      </c>
      <c r="G2948">
        <v>797700</v>
      </c>
      <c r="H2948">
        <v>24302572</v>
      </c>
      <c r="I2948">
        <v>210000</v>
      </c>
      <c r="J2948">
        <v>24251193</v>
      </c>
      <c r="K2948">
        <v>221500</v>
      </c>
    </row>
    <row r="2949" spans="1:11" x14ac:dyDescent="0.3">
      <c r="A2949" t="s">
        <v>2958</v>
      </c>
      <c r="B2949">
        <v>1124250</v>
      </c>
      <c r="C2949">
        <v>10465400</v>
      </c>
      <c r="D2949">
        <v>573854</v>
      </c>
      <c r="E2949">
        <v>2041500</v>
      </c>
      <c r="F2949">
        <v>19292258</v>
      </c>
      <c r="G2949">
        <v>577800</v>
      </c>
      <c r="H2949">
        <v>24320376</v>
      </c>
      <c r="I2949">
        <v>197800</v>
      </c>
      <c r="J2949">
        <v>24270468</v>
      </c>
      <c r="K2949">
        <v>234000</v>
      </c>
    </row>
    <row r="2950" spans="1:11" x14ac:dyDescent="0.3">
      <c r="A2950" t="s">
        <v>2959</v>
      </c>
      <c r="B2950">
        <v>1124250</v>
      </c>
      <c r="C2950">
        <v>10316800</v>
      </c>
      <c r="D2950">
        <v>570757</v>
      </c>
      <c r="E2950">
        <v>1986900</v>
      </c>
      <c r="F2950">
        <v>19306206</v>
      </c>
      <c r="G2950">
        <v>1773300</v>
      </c>
      <c r="H2950">
        <v>24338650</v>
      </c>
      <c r="I2950">
        <v>198100</v>
      </c>
      <c r="J2950">
        <v>24288604</v>
      </c>
      <c r="K2950">
        <v>227300</v>
      </c>
    </row>
    <row r="2951" spans="1:11" x14ac:dyDescent="0.3">
      <c r="A2951" t="s">
        <v>2960</v>
      </c>
      <c r="B2951">
        <v>1124250</v>
      </c>
      <c r="C2951">
        <v>10355100</v>
      </c>
      <c r="D2951">
        <v>540543</v>
      </c>
      <c r="E2951">
        <v>1874500</v>
      </c>
      <c r="F2951">
        <v>19320181</v>
      </c>
      <c r="G2951">
        <v>585100</v>
      </c>
      <c r="H2951">
        <v>24356105</v>
      </c>
      <c r="I2951">
        <v>204500</v>
      </c>
      <c r="J2951">
        <v>24305729</v>
      </c>
      <c r="K2951">
        <v>217800</v>
      </c>
    </row>
    <row r="2952" spans="1:11" x14ac:dyDescent="0.3">
      <c r="A2952" t="s">
        <v>2961</v>
      </c>
      <c r="B2952">
        <v>1124250</v>
      </c>
      <c r="C2952">
        <v>10392200</v>
      </c>
      <c r="D2952">
        <v>577757</v>
      </c>
      <c r="E2952">
        <v>2003400</v>
      </c>
      <c r="F2952">
        <v>19334129</v>
      </c>
      <c r="G2952">
        <v>591900</v>
      </c>
      <c r="H2952">
        <v>24373194</v>
      </c>
      <c r="I2952">
        <v>202700</v>
      </c>
      <c r="J2952">
        <v>24322594</v>
      </c>
      <c r="K2952">
        <v>225800</v>
      </c>
    </row>
    <row r="2953" spans="1:11" x14ac:dyDescent="0.3">
      <c r="A2953" t="s">
        <v>2962</v>
      </c>
      <c r="B2953">
        <v>1124250</v>
      </c>
      <c r="C2953">
        <v>10844900</v>
      </c>
      <c r="D2953">
        <v>559307</v>
      </c>
      <c r="E2953">
        <v>2077900</v>
      </c>
      <c r="F2953">
        <v>19348058</v>
      </c>
      <c r="G2953">
        <v>586100</v>
      </c>
      <c r="H2953">
        <v>24389561</v>
      </c>
      <c r="I2953">
        <v>201500</v>
      </c>
      <c r="J2953">
        <v>24340367</v>
      </c>
      <c r="K2953">
        <v>221300</v>
      </c>
    </row>
    <row r="2954" spans="1:11" x14ac:dyDescent="0.3">
      <c r="A2954" t="s">
        <v>2963</v>
      </c>
      <c r="B2954">
        <v>1124250</v>
      </c>
      <c r="C2954">
        <v>11588300</v>
      </c>
      <c r="D2954">
        <v>561474</v>
      </c>
      <c r="E2954">
        <v>1932400</v>
      </c>
      <c r="F2954">
        <v>19362035</v>
      </c>
      <c r="G2954">
        <v>583200</v>
      </c>
      <c r="H2954">
        <v>24408431</v>
      </c>
      <c r="I2954">
        <v>206400</v>
      </c>
      <c r="J2954">
        <v>24358296</v>
      </c>
      <c r="K2954">
        <v>263000</v>
      </c>
    </row>
    <row r="2955" spans="1:11" x14ac:dyDescent="0.3">
      <c r="A2955" t="s">
        <v>2964</v>
      </c>
      <c r="B2955">
        <v>1124250</v>
      </c>
      <c r="C2955">
        <v>10628200</v>
      </c>
      <c r="D2955">
        <v>560489</v>
      </c>
      <c r="E2955">
        <v>2146300</v>
      </c>
      <c r="F2955">
        <v>19376004</v>
      </c>
      <c r="G2955">
        <v>593100</v>
      </c>
      <c r="H2955">
        <v>24428643</v>
      </c>
      <c r="I2955">
        <v>215800</v>
      </c>
      <c r="J2955">
        <v>24375665</v>
      </c>
      <c r="K2955">
        <v>220400</v>
      </c>
    </row>
    <row r="2956" spans="1:11" x14ac:dyDescent="0.3">
      <c r="A2956" t="s">
        <v>2965</v>
      </c>
      <c r="B2956">
        <v>1124250</v>
      </c>
      <c r="C2956">
        <v>10207600</v>
      </c>
      <c r="D2956">
        <v>582387</v>
      </c>
      <c r="E2956">
        <v>2000300</v>
      </c>
      <c r="F2956">
        <v>19389961</v>
      </c>
      <c r="G2956">
        <v>580300</v>
      </c>
      <c r="H2956">
        <v>24446380</v>
      </c>
      <c r="I2956">
        <v>205400</v>
      </c>
      <c r="J2956">
        <v>24394251</v>
      </c>
      <c r="K2956">
        <v>225800</v>
      </c>
    </row>
    <row r="2957" spans="1:11" x14ac:dyDescent="0.3">
      <c r="A2957" t="s">
        <v>2966</v>
      </c>
      <c r="B2957">
        <v>1124250</v>
      </c>
      <c r="C2957">
        <v>10466000</v>
      </c>
      <c r="D2957">
        <v>548608</v>
      </c>
      <c r="E2957">
        <v>1949600</v>
      </c>
      <c r="F2957">
        <v>19403933</v>
      </c>
      <c r="G2957">
        <v>580800</v>
      </c>
      <c r="H2957">
        <v>24465747</v>
      </c>
      <c r="I2957">
        <v>206400</v>
      </c>
      <c r="J2957">
        <v>24412510</v>
      </c>
      <c r="K2957">
        <v>223500</v>
      </c>
    </row>
    <row r="2958" spans="1:11" x14ac:dyDescent="0.3">
      <c r="A2958" t="s">
        <v>2967</v>
      </c>
      <c r="B2958">
        <v>1124250</v>
      </c>
      <c r="C2958">
        <v>11488300</v>
      </c>
      <c r="D2958">
        <v>575097</v>
      </c>
      <c r="E2958">
        <v>2863300</v>
      </c>
      <c r="F2958">
        <v>19417878</v>
      </c>
      <c r="G2958">
        <v>595500</v>
      </c>
      <c r="H2958">
        <v>24483887</v>
      </c>
      <c r="I2958">
        <v>205300</v>
      </c>
      <c r="J2958">
        <v>24429650</v>
      </c>
      <c r="K2958">
        <v>224700</v>
      </c>
    </row>
    <row r="2959" spans="1:11" x14ac:dyDescent="0.3">
      <c r="A2959" t="s">
        <v>2968</v>
      </c>
      <c r="B2959">
        <v>1124250</v>
      </c>
      <c r="C2959">
        <v>10795700</v>
      </c>
      <c r="D2959">
        <v>566761</v>
      </c>
      <c r="E2959">
        <v>2379300</v>
      </c>
      <c r="F2959">
        <v>19431866</v>
      </c>
      <c r="G2959">
        <v>608900</v>
      </c>
      <c r="H2959">
        <v>24502438</v>
      </c>
      <c r="I2959">
        <v>359800</v>
      </c>
      <c r="J2959">
        <v>24447165</v>
      </c>
      <c r="K2959">
        <v>229900</v>
      </c>
    </row>
    <row r="2960" spans="1:11" x14ac:dyDescent="0.3">
      <c r="A2960" t="s">
        <v>2969</v>
      </c>
      <c r="B2960">
        <v>1124250</v>
      </c>
      <c r="C2960">
        <v>10168200</v>
      </c>
      <c r="D2960">
        <v>573018</v>
      </c>
      <c r="E2960">
        <v>1970200</v>
      </c>
      <c r="F2960">
        <v>19445816</v>
      </c>
      <c r="G2960">
        <v>585800</v>
      </c>
      <c r="H2960">
        <v>24520542</v>
      </c>
      <c r="I2960">
        <v>203100</v>
      </c>
      <c r="J2960">
        <v>24464450</v>
      </c>
      <c r="K2960">
        <v>229800</v>
      </c>
    </row>
    <row r="2961" spans="1:11" x14ac:dyDescent="0.3">
      <c r="A2961" t="s">
        <v>2970</v>
      </c>
      <c r="B2961">
        <v>1124250</v>
      </c>
      <c r="C2961">
        <v>10411200</v>
      </c>
      <c r="D2961">
        <v>571147</v>
      </c>
      <c r="E2961">
        <v>1990300</v>
      </c>
      <c r="F2961">
        <v>19459744</v>
      </c>
      <c r="G2961">
        <v>587200</v>
      </c>
      <c r="H2961">
        <v>24537561</v>
      </c>
      <c r="I2961">
        <v>198600</v>
      </c>
      <c r="J2961">
        <v>24481915</v>
      </c>
      <c r="K2961">
        <v>215700</v>
      </c>
    </row>
    <row r="2962" spans="1:11" x14ac:dyDescent="0.3">
      <c r="A2962" t="s">
        <v>2971</v>
      </c>
      <c r="B2962">
        <v>1124250</v>
      </c>
      <c r="C2962">
        <v>11173500</v>
      </c>
      <c r="D2962">
        <v>580214</v>
      </c>
      <c r="E2962">
        <v>2067400</v>
      </c>
      <c r="F2962">
        <v>19473695</v>
      </c>
      <c r="G2962">
        <v>586100</v>
      </c>
      <c r="H2962">
        <v>24553985</v>
      </c>
      <c r="I2962">
        <v>199100</v>
      </c>
      <c r="J2962">
        <v>24499458</v>
      </c>
      <c r="K2962">
        <v>222000</v>
      </c>
    </row>
    <row r="2963" spans="1:11" x14ac:dyDescent="0.3">
      <c r="A2963" t="s">
        <v>2972</v>
      </c>
      <c r="B2963">
        <v>1124250</v>
      </c>
      <c r="C2963">
        <v>10325200</v>
      </c>
      <c r="D2963">
        <v>570292</v>
      </c>
      <c r="E2963">
        <v>2026700</v>
      </c>
      <c r="F2963">
        <v>19487637</v>
      </c>
      <c r="G2963">
        <v>582400</v>
      </c>
      <c r="H2963">
        <v>24571501</v>
      </c>
      <c r="I2963">
        <v>201600</v>
      </c>
      <c r="J2963">
        <v>24517533</v>
      </c>
      <c r="K2963">
        <v>227400</v>
      </c>
    </row>
    <row r="2964" spans="1:11" x14ac:dyDescent="0.3">
      <c r="A2964" t="s">
        <v>2973</v>
      </c>
      <c r="B2964">
        <v>1124250</v>
      </c>
      <c r="C2964">
        <v>10203600</v>
      </c>
      <c r="D2964">
        <v>572308</v>
      </c>
      <c r="E2964">
        <v>2070700</v>
      </c>
      <c r="F2964">
        <v>19501645</v>
      </c>
      <c r="G2964">
        <v>583300</v>
      </c>
      <c r="H2964">
        <v>24589326</v>
      </c>
      <c r="I2964">
        <v>211400</v>
      </c>
      <c r="J2964">
        <v>24534483</v>
      </c>
      <c r="K2964">
        <v>224800</v>
      </c>
    </row>
    <row r="2965" spans="1:11" x14ac:dyDescent="0.3">
      <c r="A2965" t="s">
        <v>2974</v>
      </c>
      <c r="B2965">
        <v>1124250</v>
      </c>
      <c r="C2965">
        <v>10125200</v>
      </c>
      <c r="D2965">
        <v>578466</v>
      </c>
      <c r="E2965">
        <v>1992400</v>
      </c>
      <c r="F2965">
        <v>19515641</v>
      </c>
      <c r="G2965">
        <v>578500</v>
      </c>
      <c r="H2965">
        <v>24606468</v>
      </c>
      <c r="I2965">
        <v>207000</v>
      </c>
      <c r="J2965">
        <v>24551517</v>
      </c>
      <c r="K2965">
        <v>226000</v>
      </c>
    </row>
    <row r="2966" spans="1:11" x14ac:dyDescent="0.3">
      <c r="A2966" t="s">
        <v>2975</v>
      </c>
      <c r="B2966">
        <v>1124250</v>
      </c>
      <c r="C2966">
        <v>10017000</v>
      </c>
      <c r="D2966">
        <v>592721</v>
      </c>
      <c r="E2966">
        <v>2110200</v>
      </c>
      <c r="F2966">
        <v>19529562</v>
      </c>
      <c r="G2966">
        <v>695100</v>
      </c>
      <c r="H2966">
        <v>24624599</v>
      </c>
      <c r="I2966">
        <v>206200</v>
      </c>
      <c r="J2966">
        <v>24568584</v>
      </c>
      <c r="K2966">
        <v>213700</v>
      </c>
    </row>
    <row r="2967" spans="1:11" x14ac:dyDescent="0.3">
      <c r="A2967" t="s">
        <v>2976</v>
      </c>
      <c r="B2967">
        <v>1124250</v>
      </c>
      <c r="C2967">
        <v>10158800</v>
      </c>
      <c r="D2967">
        <v>566281</v>
      </c>
      <c r="E2967">
        <v>2000400</v>
      </c>
      <c r="F2967">
        <v>19543532</v>
      </c>
      <c r="G2967">
        <v>580800</v>
      </c>
      <c r="H2967">
        <v>24642950</v>
      </c>
      <c r="I2967">
        <v>198800</v>
      </c>
      <c r="J2967">
        <v>24585521</v>
      </c>
      <c r="K2967">
        <v>223200</v>
      </c>
    </row>
    <row r="2968" spans="1:11" x14ac:dyDescent="0.3">
      <c r="A2968" t="s">
        <v>2977</v>
      </c>
      <c r="B2968">
        <v>1124250</v>
      </c>
      <c r="C2968">
        <v>11328500</v>
      </c>
      <c r="D2968">
        <v>573629</v>
      </c>
      <c r="E2968">
        <v>1975500</v>
      </c>
      <c r="F2968">
        <v>19557446</v>
      </c>
      <c r="G2968">
        <v>586600</v>
      </c>
      <c r="H2968">
        <v>24660367</v>
      </c>
      <c r="I2968">
        <v>203200</v>
      </c>
      <c r="J2968">
        <v>24602867</v>
      </c>
      <c r="K2968">
        <v>225700</v>
      </c>
    </row>
    <row r="2969" spans="1:11" x14ac:dyDescent="0.3">
      <c r="A2969" t="s">
        <v>2978</v>
      </c>
      <c r="B2969">
        <v>1124250</v>
      </c>
      <c r="C2969">
        <v>11181700</v>
      </c>
      <c r="D2969">
        <v>559052</v>
      </c>
      <c r="E2969">
        <v>2344400</v>
      </c>
      <c r="F2969">
        <v>19571399</v>
      </c>
      <c r="G2969">
        <v>578900</v>
      </c>
      <c r="H2969">
        <v>24678064</v>
      </c>
      <c r="I2969">
        <v>201100</v>
      </c>
      <c r="J2969">
        <v>24619990</v>
      </c>
      <c r="K2969">
        <v>222200</v>
      </c>
    </row>
    <row r="2970" spans="1:11" x14ac:dyDescent="0.3">
      <c r="A2970" t="s">
        <v>2979</v>
      </c>
      <c r="B2970">
        <v>1124250</v>
      </c>
      <c r="C2970">
        <v>9857900</v>
      </c>
      <c r="D2970">
        <v>550131</v>
      </c>
      <c r="E2970">
        <v>1932000</v>
      </c>
      <c r="F2970">
        <v>19585339</v>
      </c>
      <c r="G2970">
        <v>594100</v>
      </c>
      <c r="H2970">
        <v>24695519</v>
      </c>
      <c r="I2970">
        <v>211600</v>
      </c>
      <c r="J2970">
        <v>24638164</v>
      </c>
      <c r="K2970">
        <v>229500</v>
      </c>
    </row>
    <row r="2971" spans="1:11" x14ac:dyDescent="0.3">
      <c r="A2971" t="s">
        <v>2980</v>
      </c>
      <c r="B2971">
        <v>1124250</v>
      </c>
      <c r="C2971">
        <v>10586700</v>
      </c>
      <c r="D2971">
        <v>562203</v>
      </c>
      <c r="E2971">
        <v>1933300</v>
      </c>
      <c r="F2971">
        <v>19599322</v>
      </c>
      <c r="G2971">
        <v>577500</v>
      </c>
      <c r="H2971">
        <v>24715133</v>
      </c>
      <c r="I2971">
        <v>204900</v>
      </c>
      <c r="J2971">
        <v>24656915</v>
      </c>
      <c r="K2971">
        <v>228700</v>
      </c>
    </row>
    <row r="2972" spans="1:11" x14ac:dyDescent="0.3">
      <c r="A2972" t="s">
        <v>2981</v>
      </c>
      <c r="B2972">
        <v>1124250</v>
      </c>
      <c r="C2972">
        <v>10842200</v>
      </c>
      <c r="D2972">
        <v>559092</v>
      </c>
      <c r="E2972">
        <v>1921400</v>
      </c>
      <c r="F2972">
        <v>19613277</v>
      </c>
      <c r="G2972">
        <v>586400</v>
      </c>
      <c r="H2972">
        <v>24731880</v>
      </c>
      <c r="I2972">
        <v>193700</v>
      </c>
      <c r="J2972">
        <v>24673050</v>
      </c>
      <c r="K2972">
        <v>221100</v>
      </c>
    </row>
    <row r="2973" spans="1:11" x14ac:dyDescent="0.3">
      <c r="A2973" t="s">
        <v>2982</v>
      </c>
      <c r="B2973">
        <v>1124250</v>
      </c>
      <c r="C2973">
        <v>11121100</v>
      </c>
      <c r="D2973">
        <v>574450</v>
      </c>
      <c r="E2973">
        <v>2072100</v>
      </c>
      <c r="F2973">
        <v>19627238</v>
      </c>
      <c r="G2973">
        <v>594000</v>
      </c>
      <c r="H2973">
        <v>24751280</v>
      </c>
      <c r="I2973">
        <v>208000</v>
      </c>
      <c r="J2973">
        <v>24690259</v>
      </c>
      <c r="K2973">
        <v>219900</v>
      </c>
    </row>
    <row r="2974" spans="1:11" x14ac:dyDescent="0.3">
      <c r="A2974" t="s">
        <v>2983</v>
      </c>
      <c r="B2974">
        <v>1124250</v>
      </c>
      <c r="C2974">
        <v>10450600</v>
      </c>
      <c r="D2974">
        <v>556760</v>
      </c>
      <c r="E2974">
        <v>1918400</v>
      </c>
      <c r="F2974">
        <v>19641192</v>
      </c>
      <c r="G2974">
        <v>586500</v>
      </c>
      <c r="H2974">
        <v>24767102</v>
      </c>
      <c r="I2974">
        <v>202000</v>
      </c>
      <c r="J2974">
        <v>24710708</v>
      </c>
      <c r="K2974">
        <v>232600</v>
      </c>
    </row>
    <row r="2975" spans="1:11" x14ac:dyDescent="0.3">
      <c r="A2975" t="s">
        <v>2984</v>
      </c>
      <c r="B2975">
        <v>1124250</v>
      </c>
      <c r="C2975">
        <v>10337800</v>
      </c>
      <c r="D2975">
        <v>548927</v>
      </c>
      <c r="E2975">
        <v>1892400</v>
      </c>
      <c r="F2975">
        <v>19655147</v>
      </c>
      <c r="G2975">
        <v>577300</v>
      </c>
      <c r="H2975">
        <v>24783480</v>
      </c>
      <c r="I2975">
        <v>195500</v>
      </c>
      <c r="J2975">
        <v>24728458</v>
      </c>
      <c r="K2975">
        <v>313900</v>
      </c>
    </row>
    <row r="2976" spans="1:11" x14ac:dyDescent="0.3">
      <c r="A2976" t="s">
        <v>2985</v>
      </c>
      <c r="B2976">
        <v>1124250</v>
      </c>
      <c r="C2976">
        <v>10457800</v>
      </c>
      <c r="D2976">
        <v>554934</v>
      </c>
      <c r="E2976">
        <v>1933700</v>
      </c>
      <c r="F2976">
        <v>19669144</v>
      </c>
      <c r="G2976">
        <v>589900</v>
      </c>
      <c r="H2976">
        <v>24800629</v>
      </c>
      <c r="I2976">
        <v>198500</v>
      </c>
      <c r="J2976">
        <v>24746427</v>
      </c>
      <c r="K2976">
        <v>223900</v>
      </c>
    </row>
    <row r="2977" spans="1:11" x14ac:dyDescent="0.3">
      <c r="A2977" t="s">
        <v>2986</v>
      </c>
      <c r="B2977">
        <v>1124250</v>
      </c>
      <c r="C2977">
        <v>10644000</v>
      </c>
      <c r="D2977">
        <v>554098</v>
      </c>
      <c r="E2977">
        <v>1909300</v>
      </c>
      <c r="F2977">
        <v>19683125</v>
      </c>
      <c r="G2977">
        <v>579000</v>
      </c>
      <c r="H2977">
        <v>24816504</v>
      </c>
      <c r="I2977">
        <v>203200</v>
      </c>
      <c r="J2977">
        <v>24765346</v>
      </c>
      <c r="K2977">
        <v>230300</v>
      </c>
    </row>
    <row r="2978" spans="1:11" x14ac:dyDescent="0.3">
      <c r="A2978" t="s">
        <v>2987</v>
      </c>
      <c r="B2978">
        <v>1124250</v>
      </c>
      <c r="C2978">
        <v>11040100</v>
      </c>
      <c r="D2978">
        <v>560645</v>
      </c>
      <c r="E2978">
        <v>1991400</v>
      </c>
      <c r="F2978">
        <v>19697079</v>
      </c>
      <c r="G2978">
        <v>584200</v>
      </c>
      <c r="H2978">
        <v>24833964</v>
      </c>
      <c r="I2978">
        <v>213600</v>
      </c>
      <c r="J2978">
        <v>24782485</v>
      </c>
      <c r="K2978">
        <v>227200</v>
      </c>
    </row>
    <row r="2979" spans="1:11" x14ac:dyDescent="0.3">
      <c r="A2979" t="s">
        <v>2988</v>
      </c>
      <c r="B2979">
        <v>1124250</v>
      </c>
      <c r="C2979">
        <v>10413500</v>
      </c>
      <c r="D2979">
        <v>566827</v>
      </c>
      <c r="E2979">
        <v>1966500</v>
      </c>
      <c r="F2979">
        <v>19711018</v>
      </c>
      <c r="G2979">
        <v>581700</v>
      </c>
      <c r="H2979">
        <v>24852106</v>
      </c>
      <c r="I2979">
        <v>206800</v>
      </c>
      <c r="J2979">
        <v>24800912</v>
      </c>
      <c r="K2979">
        <v>225300</v>
      </c>
    </row>
    <row r="2980" spans="1:11" x14ac:dyDescent="0.3">
      <c r="A2980" t="s">
        <v>2989</v>
      </c>
      <c r="B2980">
        <v>1124250</v>
      </c>
      <c r="C2980">
        <v>10690700</v>
      </c>
      <c r="D2980">
        <v>580556</v>
      </c>
      <c r="E2980">
        <v>2571200</v>
      </c>
      <c r="F2980">
        <v>19724968</v>
      </c>
      <c r="G2980">
        <v>746700</v>
      </c>
      <c r="H2980">
        <v>24868781</v>
      </c>
      <c r="I2980">
        <v>204100</v>
      </c>
      <c r="J2980">
        <v>24818109</v>
      </c>
      <c r="K2980">
        <v>227700</v>
      </c>
    </row>
    <row r="2981" spans="1:11" x14ac:dyDescent="0.3">
      <c r="A2981" t="s">
        <v>2990</v>
      </c>
      <c r="B2981">
        <v>1124250</v>
      </c>
      <c r="C2981">
        <v>10227600</v>
      </c>
      <c r="D2981">
        <v>579885</v>
      </c>
      <c r="E2981">
        <v>1996100</v>
      </c>
      <c r="F2981">
        <v>19738865</v>
      </c>
      <c r="G2981">
        <v>577000</v>
      </c>
      <c r="H2981">
        <v>24886454</v>
      </c>
      <c r="I2981">
        <v>237500</v>
      </c>
      <c r="J2981">
        <v>24834730</v>
      </c>
      <c r="K2981">
        <v>223900</v>
      </c>
    </row>
    <row r="2982" spans="1:11" x14ac:dyDescent="0.3">
      <c r="A2982" t="s">
        <v>2991</v>
      </c>
      <c r="B2982">
        <v>1124250</v>
      </c>
      <c r="C2982">
        <v>10580000</v>
      </c>
      <c r="D2982">
        <v>572180</v>
      </c>
      <c r="E2982">
        <v>1968400</v>
      </c>
      <c r="F2982">
        <v>19752817</v>
      </c>
      <c r="G2982">
        <v>579800</v>
      </c>
      <c r="H2982">
        <v>24904708</v>
      </c>
      <c r="I2982">
        <v>198600</v>
      </c>
      <c r="J2982">
        <v>24852530</v>
      </c>
      <c r="K2982">
        <v>229500</v>
      </c>
    </row>
    <row r="2983" spans="1:11" x14ac:dyDescent="0.3">
      <c r="A2983" t="s">
        <v>2992</v>
      </c>
      <c r="B2983">
        <v>1124250</v>
      </c>
      <c r="C2983">
        <v>10367100</v>
      </c>
      <c r="D2983">
        <v>572936</v>
      </c>
      <c r="E2983">
        <v>1974200</v>
      </c>
      <c r="F2983">
        <v>19766737</v>
      </c>
      <c r="G2983">
        <v>579900</v>
      </c>
      <c r="H2983">
        <v>24924911</v>
      </c>
      <c r="I2983">
        <v>210300</v>
      </c>
      <c r="J2983">
        <v>24869318</v>
      </c>
      <c r="K2983">
        <v>218900</v>
      </c>
    </row>
    <row r="2984" spans="1:11" x14ac:dyDescent="0.3">
      <c r="A2984" t="s">
        <v>2993</v>
      </c>
      <c r="B2984">
        <v>1124250</v>
      </c>
      <c r="C2984">
        <v>10394300</v>
      </c>
      <c r="D2984">
        <v>568742</v>
      </c>
      <c r="E2984">
        <v>1957300</v>
      </c>
      <c r="F2984">
        <v>19780676</v>
      </c>
      <c r="G2984">
        <v>605500</v>
      </c>
      <c r="H2984">
        <v>24943748</v>
      </c>
      <c r="I2984">
        <v>234400</v>
      </c>
      <c r="J2984">
        <v>24889026</v>
      </c>
      <c r="K2984">
        <v>227900</v>
      </c>
    </row>
    <row r="2985" spans="1:11" x14ac:dyDescent="0.3">
      <c r="A2985" t="s">
        <v>2994</v>
      </c>
      <c r="B2985">
        <v>1124250</v>
      </c>
      <c r="C2985">
        <v>10276200</v>
      </c>
      <c r="D2985">
        <v>562771</v>
      </c>
      <c r="E2985">
        <v>2061000</v>
      </c>
      <c r="F2985">
        <v>19794606</v>
      </c>
      <c r="G2985">
        <v>588100</v>
      </c>
      <c r="H2985">
        <v>24962361</v>
      </c>
      <c r="I2985">
        <v>203200</v>
      </c>
      <c r="J2985">
        <v>24906556</v>
      </c>
      <c r="K2985">
        <v>224000</v>
      </c>
    </row>
    <row r="2986" spans="1:11" x14ac:dyDescent="0.3">
      <c r="A2986" t="s">
        <v>2995</v>
      </c>
      <c r="B2986">
        <v>1124250</v>
      </c>
      <c r="C2986">
        <v>10901500</v>
      </c>
      <c r="D2986">
        <v>565816</v>
      </c>
      <c r="E2986">
        <v>1994900</v>
      </c>
      <c r="F2986">
        <v>19808601</v>
      </c>
      <c r="G2986">
        <v>579800</v>
      </c>
      <c r="H2986">
        <v>24979436</v>
      </c>
      <c r="I2986">
        <v>193000</v>
      </c>
      <c r="J2986">
        <v>24922913</v>
      </c>
      <c r="K2986">
        <v>218500</v>
      </c>
    </row>
    <row r="2987" spans="1:11" x14ac:dyDescent="0.3">
      <c r="A2987" t="s">
        <v>2996</v>
      </c>
      <c r="B2987">
        <v>1124250</v>
      </c>
      <c r="C2987">
        <v>10559900</v>
      </c>
      <c r="D2987">
        <v>558128</v>
      </c>
      <c r="E2987">
        <v>2354900</v>
      </c>
      <c r="F2987">
        <v>19822577</v>
      </c>
      <c r="G2987">
        <v>703200</v>
      </c>
      <c r="H2987">
        <v>24996930</v>
      </c>
      <c r="I2987">
        <v>201300</v>
      </c>
      <c r="J2987">
        <v>24940616</v>
      </c>
      <c r="K2987">
        <v>217500</v>
      </c>
    </row>
    <row r="2988" spans="1:11" x14ac:dyDescent="0.3">
      <c r="A2988" t="s">
        <v>2997</v>
      </c>
      <c r="B2988">
        <v>1124250</v>
      </c>
      <c r="C2988">
        <v>10602800</v>
      </c>
      <c r="D2988">
        <v>556841</v>
      </c>
      <c r="E2988">
        <v>1983100</v>
      </c>
      <c r="F2988">
        <v>19836563</v>
      </c>
      <c r="G2988">
        <v>589100</v>
      </c>
      <c r="H2988">
        <v>25015231</v>
      </c>
      <c r="I2988">
        <v>205500</v>
      </c>
      <c r="J2988">
        <v>24957796</v>
      </c>
      <c r="K2988">
        <v>225200</v>
      </c>
    </row>
    <row r="2989" spans="1:11" x14ac:dyDescent="0.3">
      <c r="A2989" t="s">
        <v>2998</v>
      </c>
      <c r="B2989">
        <v>1124250</v>
      </c>
      <c r="C2989">
        <v>10242400</v>
      </c>
      <c r="D2989">
        <v>565587</v>
      </c>
      <c r="E2989">
        <v>1941500</v>
      </c>
      <c r="F2989">
        <v>19850523</v>
      </c>
      <c r="G2989">
        <v>577800</v>
      </c>
      <c r="H2989">
        <v>25031782</v>
      </c>
      <c r="I2989">
        <v>202000</v>
      </c>
      <c r="J2989">
        <v>24975834</v>
      </c>
      <c r="K2989">
        <v>222300</v>
      </c>
    </row>
    <row r="2990" spans="1:11" x14ac:dyDescent="0.3">
      <c r="A2990" t="s">
        <v>2999</v>
      </c>
      <c r="B2990">
        <v>1124250</v>
      </c>
      <c r="C2990">
        <v>11164000</v>
      </c>
      <c r="D2990">
        <v>568458</v>
      </c>
      <c r="E2990">
        <v>2228300</v>
      </c>
      <c r="F2990">
        <v>19864522</v>
      </c>
      <c r="G2990">
        <v>578400</v>
      </c>
      <c r="H2990">
        <v>25050208</v>
      </c>
      <c r="I2990">
        <v>208200</v>
      </c>
      <c r="J2990">
        <v>24994040</v>
      </c>
      <c r="K2990">
        <v>222300</v>
      </c>
    </row>
    <row r="2991" spans="1:11" x14ac:dyDescent="0.3">
      <c r="A2991" t="s">
        <v>3000</v>
      </c>
      <c r="B2991">
        <v>1124250</v>
      </c>
      <c r="C2991">
        <v>10612600</v>
      </c>
      <c r="D2991">
        <v>547832</v>
      </c>
      <c r="E2991">
        <v>1887100</v>
      </c>
      <c r="F2991">
        <v>19878498</v>
      </c>
      <c r="G2991">
        <v>578700</v>
      </c>
      <c r="H2991">
        <v>25067545</v>
      </c>
      <c r="I2991">
        <v>227900</v>
      </c>
      <c r="J2991">
        <v>25012425</v>
      </c>
      <c r="K2991">
        <v>301600</v>
      </c>
    </row>
    <row r="2992" spans="1:11" x14ac:dyDescent="0.3">
      <c r="A2992" t="s">
        <v>3001</v>
      </c>
      <c r="B2992">
        <v>1124250</v>
      </c>
      <c r="C2992">
        <v>10554200</v>
      </c>
      <c r="D2992">
        <v>554714</v>
      </c>
      <c r="E2992">
        <v>1927500</v>
      </c>
      <c r="F2992">
        <v>19892423</v>
      </c>
      <c r="G2992">
        <v>574300</v>
      </c>
      <c r="H2992">
        <v>25084355</v>
      </c>
      <c r="I2992">
        <v>202900</v>
      </c>
      <c r="J2992">
        <v>25029375</v>
      </c>
      <c r="K2992">
        <v>226700</v>
      </c>
    </row>
    <row r="2993" spans="1:11" x14ac:dyDescent="0.3">
      <c r="A2993" t="s">
        <v>3002</v>
      </c>
      <c r="B2993">
        <v>1124250</v>
      </c>
      <c r="C2993">
        <v>10380900</v>
      </c>
      <c r="D2993">
        <v>557207</v>
      </c>
      <c r="E2993">
        <v>1925500</v>
      </c>
      <c r="F2993">
        <v>19906385</v>
      </c>
      <c r="G2993">
        <v>580500</v>
      </c>
      <c r="H2993">
        <v>25102071</v>
      </c>
      <c r="I2993">
        <v>202900</v>
      </c>
      <c r="J2993">
        <v>25045824</v>
      </c>
      <c r="K2993">
        <v>222300</v>
      </c>
    </row>
    <row r="2994" spans="1:11" x14ac:dyDescent="0.3">
      <c r="A2994" t="s">
        <v>3003</v>
      </c>
      <c r="B2994">
        <v>1124250</v>
      </c>
      <c r="C2994">
        <v>10874200</v>
      </c>
      <c r="D2994">
        <v>562030</v>
      </c>
      <c r="E2994">
        <v>1985100</v>
      </c>
      <c r="F2994">
        <v>19920360</v>
      </c>
      <c r="G2994">
        <v>584700</v>
      </c>
      <c r="H2994">
        <v>25120829</v>
      </c>
      <c r="I2994">
        <v>208000</v>
      </c>
      <c r="J2994">
        <v>25062666</v>
      </c>
      <c r="K2994">
        <v>231200</v>
      </c>
    </row>
    <row r="2995" spans="1:11" x14ac:dyDescent="0.3">
      <c r="A2995" t="s">
        <v>3004</v>
      </c>
      <c r="B2995">
        <v>1124250</v>
      </c>
      <c r="C2995">
        <v>10578800</v>
      </c>
      <c r="D2995">
        <v>564072</v>
      </c>
      <c r="E2995">
        <v>2555700</v>
      </c>
      <c r="F2995">
        <v>19934293</v>
      </c>
      <c r="G2995">
        <v>609500</v>
      </c>
      <c r="H2995">
        <v>25137942</v>
      </c>
      <c r="I2995">
        <v>197800</v>
      </c>
      <c r="J2995">
        <v>25079670</v>
      </c>
      <c r="K2995">
        <v>225200</v>
      </c>
    </row>
    <row r="2996" spans="1:11" x14ac:dyDescent="0.3">
      <c r="A2996" t="s">
        <v>3005</v>
      </c>
      <c r="B2996">
        <v>1124250</v>
      </c>
      <c r="C2996">
        <v>10775200</v>
      </c>
      <c r="D2996">
        <v>560455</v>
      </c>
      <c r="E2996">
        <v>2111300</v>
      </c>
      <c r="F2996">
        <v>19948242</v>
      </c>
      <c r="G2996">
        <v>576200</v>
      </c>
      <c r="H2996">
        <v>25155095</v>
      </c>
      <c r="I2996">
        <v>209300</v>
      </c>
      <c r="J2996">
        <v>25097189</v>
      </c>
      <c r="K2996">
        <v>225800</v>
      </c>
    </row>
    <row r="2997" spans="1:11" x14ac:dyDescent="0.3">
      <c r="A2997" t="s">
        <v>3006</v>
      </c>
      <c r="B2997">
        <v>1124250</v>
      </c>
      <c r="C2997">
        <v>10295400</v>
      </c>
      <c r="D2997">
        <v>566850</v>
      </c>
      <c r="E2997">
        <v>2015700</v>
      </c>
      <c r="F2997">
        <v>19962189</v>
      </c>
      <c r="G2997">
        <v>582300</v>
      </c>
      <c r="H2997">
        <v>25173447</v>
      </c>
      <c r="I2997">
        <v>201500</v>
      </c>
      <c r="J2997">
        <v>25114376</v>
      </c>
      <c r="K2997">
        <v>226600</v>
      </c>
    </row>
    <row r="2998" spans="1:11" x14ac:dyDescent="0.3">
      <c r="A2998" t="s">
        <v>3007</v>
      </c>
      <c r="B2998">
        <v>1124250</v>
      </c>
      <c r="C2998">
        <v>10961900</v>
      </c>
      <c r="D2998">
        <v>576363</v>
      </c>
      <c r="E2998">
        <v>2239800</v>
      </c>
      <c r="F2998">
        <v>19976106</v>
      </c>
      <c r="G2998">
        <v>583400</v>
      </c>
      <c r="H2998">
        <v>25190096</v>
      </c>
      <c r="I2998">
        <v>202300</v>
      </c>
      <c r="J2998">
        <v>25132113</v>
      </c>
      <c r="K2998">
        <v>223900</v>
      </c>
    </row>
    <row r="2999" spans="1:11" x14ac:dyDescent="0.3">
      <c r="A2999" t="s">
        <v>3008</v>
      </c>
      <c r="B2999">
        <v>1124250</v>
      </c>
      <c r="C2999">
        <v>10071700</v>
      </c>
      <c r="D2999">
        <v>583864</v>
      </c>
      <c r="E2999">
        <v>2007700</v>
      </c>
      <c r="F2999">
        <v>19990097</v>
      </c>
      <c r="G2999">
        <v>576000</v>
      </c>
      <c r="H2999">
        <v>25208109</v>
      </c>
      <c r="I2999">
        <v>201400</v>
      </c>
      <c r="J2999">
        <v>25149401</v>
      </c>
      <c r="K2999">
        <v>219800</v>
      </c>
    </row>
    <row r="3000" spans="1:11" x14ac:dyDescent="0.3">
      <c r="A3000" t="s">
        <v>3009</v>
      </c>
      <c r="B3000">
        <v>1124250</v>
      </c>
      <c r="C3000">
        <v>10610900</v>
      </c>
      <c r="D3000">
        <v>558322</v>
      </c>
      <c r="E3000">
        <v>1920700</v>
      </c>
      <c r="F3000">
        <v>20004074</v>
      </c>
      <c r="G3000">
        <v>579000</v>
      </c>
      <c r="H3000">
        <v>25224245</v>
      </c>
      <c r="I3000">
        <v>201900</v>
      </c>
      <c r="J3000">
        <v>25166651</v>
      </c>
      <c r="K3000">
        <v>222600</v>
      </c>
    </row>
    <row r="3001" spans="1:11" x14ac:dyDescent="0.3">
      <c r="A3001" t="s">
        <v>3010</v>
      </c>
      <c r="B3001">
        <v>1124250</v>
      </c>
      <c r="C3001">
        <v>10753100</v>
      </c>
      <c r="D3001">
        <v>567226</v>
      </c>
      <c r="E3001">
        <v>2314600</v>
      </c>
      <c r="F3001">
        <v>20017984</v>
      </c>
      <c r="G3001">
        <v>693800</v>
      </c>
      <c r="H3001">
        <v>25242795</v>
      </c>
      <c r="I3001">
        <v>225100</v>
      </c>
      <c r="J3001">
        <v>25184344</v>
      </c>
      <c r="K3001">
        <v>230400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5B5B-B347-40D0-8C86-39240681D883}">
  <dimension ref="A1:F1048576"/>
  <sheetViews>
    <sheetView workbookViewId="0">
      <selection sqref="A1:A1048576"/>
    </sheetView>
  </sheetViews>
  <sheetFormatPr defaultRowHeight="14.4" x14ac:dyDescent="0.3"/>
  <cols>
    <col min="2" max="2" width="13.6640625" customWidth="1"/>
    <col min="3" max="3" width="15.109375" customWidth="1"/>
    <col min="4" max="4" width="12.5546875" customWidth="1"/>
    <col min="5" max="5" width="13" customWidth="1"/>
    <col min="6" max="6" width="19.21875" customWidth="1"/>
  </cols>
  <sheetData>
    <row r="1" spans="1:6" x14ac:dyDescent="0.3">
      <c r="A1" s="2" t="s">
        <v>3011</v>
      </c>
      <c r="B1" s="2" t="s">
        <v>2</v>
      </c>
      <c r="C1" s="2" t="s">
        <v>4</v>
      </c>
      <c r="D1" s="2" t="s">
        <v>6</v>
      </c>
      <c r="E1" s="3" t="s">
        <v>8</v>
      </c>
      <c r="F1" s="3" t="s">
        <v>10</v>
      </c>
    </row>
    <row r="2" spans="1:6" x14ac:dyDescent="0.3">
      <c r="A2" s="1">
        <v>50</v>
      </c>
      <c r="B2" s="4">
        <f>QUARTILE(DatiOriginali!C2:C101,1)</f>
        <v>50625</v>
      </c>
      <c r="C2" s="4">
        <f>QUARTILE(DatiOriginali!E2:E101,1)</f>
        <v>122950</v>
      </c>
      <c r="D2" s="4">
        <f>QUARTILE(DatiOriginali!G2:G101,1)</f>
        <v>36500</v>
      </c>
      <c r="E2" s="4">
        <f>QUARTILE(DatiOriginali!I2:I101,1)</f>
        <v>13275</v>
      </c>
      <c r="F2" s="4">
        <f>QUARTILE(DatiOriginali!K2:K101,1)</f>
        <v>14900</v>
      </c>
    </row>
    <row r="3" spans="1:6" x14ac:dyDescent="0.3">
      <c r="A3" s="1">
        <v>100</v>
      </c>
      <c r="B3" s="4">
        <f>QUARTILE(DatiOriginali!C102:C201,1)</f>
        <v>42100</v>
      </c>
      <c r="C3" s="4">
        <f>QUARTILE(DatiOriginali!E102:E201,1)</f>
        <v>17400</v>
      </c>
      <c r="D3" s="4">
        <f>QUARTILE(DatiOriginali!G102:G201,1)</f>
        <v>45100</v>
      </c>
      <c r="E3" s="4">
        <f>QUARTILE(DatiOriginali!I102:I201,1)</f>
        <v>12375</v>
      </c>
      <c r="F3" s="4">
        <f>QUARTILE(DatiOriginali!K102:K201,1)</f>
        <v>14375</v>
      </c>
    </row>
    <row r="4" spans="1:6" x14ac:dyDescent="0.3">
      <c r="A4" s="1">
        <v>150</v>
      </c>
      <c r="B4" s="4">
        <f>QUARTILE(DatiOriginali!C202:C301,1)</f>
        <v>74550</v>
      </c>
      <c r="C4" s="4">
        <f>QUARTILE(DatiOriginali!E202:E301,1)</f>
        <v>23175</v>
      </c>
      <c r="D4" s="4">
        <f>QUARTILE(DatiOriginali!G202:G301,1)</f>
        <v>56650</v>
      </c>
      <c r="E4" s="4">
        <f>QUARTILE(DatiOriginali!I202:I301,1)</f>
        <v>15200</v>
      </c>
      <c r="F4" s="4">
        <f>QUARTILE(DatiOriginali!K202:K301,1)</f>
        <v>18775</v>
      </c>
    </row>
    <row r="5" spans="1:6" x14ac:dyDescent="0.3">
      <c r="A5" s="1">
        <v>200</v>
      </c>
      <c r="B5" s="4">
        <f>QUARTILE(DatiOriginali!C302:C401,1)</f>
        <v>132350</v>
      </c>
      <c r="C5" s="4">
        <f>QUARTILE(DatiOriginali!E302:E401,1)</f>
        <v>38600</v>
      </c>
      <c r="D5" s="4">
        <f>QUARTILE(DatiOriginali!G302:G401,1)</f>
        <v>71375</v>
      </c>
      <c r="E5" s="4">
        <f>QUARTILE(DatiOriginali!I302:I401,1)</f>
        <v>20200</v>
      </c>
      <c r="F5" s="4">
        <f>QUARTILE(DatiOriginali!K302:K401,1)</f>
        <v>25100</v>
      </c>
    </row>
    <row r="6" spans="1:6" x14ac:dyDescent="0.3">
      <c r="A6" s="1">
        <v>250</v>
      </c>
      <c r="B6" s="4">
        <f>QUARTILE(DatiOriginali!C402:C501,1)</f>
        <v>211125</v>
      </c>
      <c r="C6" s="4">
        <f>QUARTILE(DatiOriginali!E402:E501,1)</f>
        <v>60500</v>
      </c>
      <c r="D6" s="4">
        <f>QUARTILE(DatiOriginali!G402:G501,1)</f>
        <v>91025</v>
      </c>
      <c r="E6" s="4">
        <f>QUARTILE(DatiOriginali!I402:I501,1)</f>
        <v>26100</v>
      </c>
      <c r="F6" s="4">
        <f>QUARTILE(DatiOriginali!K402:K501,1)</f>
        <v>30200</v>
      </c>
    </row>
    <row r="7" spans="1:6" x14ac:dyDescent="0.3">
      <c r="A7" s="1">
        <v>300</v>
      </c>
      <c r="B7" s="4">
        <f>QUARTILE(DatiOriginali!C502:C601,1)</f>
        <v>284950</v>
      </c>
      <c r="C7" s="4">
        <f>QUARTILE(DatiOriginali!E502:E601,1)</f>
        <v>81650</v>
      </c>
      <c r="D7" s="4">
        <f>QUARTILE(DatiOriginali!G502:G601,1)</f>
        <v>109325</v>
      </c>
      <c r="E7" s="4">
        <f>QUARTILE(DatiOriginali!I502:I601,1)</f>
        <v>31800</v>
      </c>
      <c r="F7" s="4">
        <f>QUARTILE(DatiOriginali!K502:K601,1)</f>
        <v>36400</v>
      </c>
    </row>
    <row r="8" spans="1:6" x14ac:dyDescent="0.3">
      <c r="A8" s="1">
        <v>350</v>
      </c>
      <c r="B8" s="4">
        <f>QUARTILE(DatiOriginali!C602:C701,1)</f>
        <v>401975</v>
      </c>
      <c r="C8" s="4">
        <f>QUARTILE(DatiOriginali!E602:E701,1)</f>
        <v>110600</v>
      </c>
      <c r="D8" s="4">
        <f>QUARTILE(DatiOriginali!G602:G701,1)</f>
        <v>123700</v>
      </c>
      <c r="E8" s="4">
        <f>QUARTILE(DatiOriginali!I602:I701,1)</f>
        <v>37000</v>
      </c>
      <c r="F8" s="4">
        <f>QUARTILE(DatiOriginali!K602:K701,1)</f>
        <v>42600</v>
      </c>
    </row>
    <row r="9" spans="1:6" x14ac:dyDescent="0.3">
      <c r="A9" s="1">
        <v>400</v>
      </c>
      <c r="B9" s="4">
        <f>QUARTILE(DatiOriginali!C702:C801,1)</f>
        <v>528625</v>
      </c>
      <c r="C9" s="4">
        <f>QUARTILE(DatiOriginali!E702:E801,1)</f>
        <v>141900</v>
      </c>
      <c r="D9" s="4">
        <f>QUARTILE(DatiOriginali!G702:G801,1)</f>
        <v>136025</v>
      </c>
      <c r="E9" s="4">
        <f>QUARTILE(DatiOriginali!I702:I801,1)</f>
        <v>44575</v>
      </c>
      <c r="F9" s="4">
        <f>QUARTILE(DatiOriginali!K702:K801,1)</f>
        <v>50175</v>
      </c>
    </row>
    <row r="10" spans="1:6" x14ac:dyDescent="0.3">
      <c r="A10" s="1">
        <v>450</v>
      </c>
      <c r="B10" s="4">
        <f>QUARTILE(DatiOriginali!C802:C901,1)</f>
        <v>676300</v>
      </c>
      <c r="C10" s="4">
        <f>QUARTILE(DatiOriginali!E802:E901,1)</f>
        <v>180650</v>
      </c>
      <c r="D10" s="4">
        <f>QUARTILE(DatiOriginali!G802:G901,1)</f>
        <v>156675</v>
      </c>
      <c r="E10" s="4">
        <f>QUARTILE(DatiOriginali!I802:I901,1)</f>
        <v>49675</v>
      </c>
      <c r="F10" s="4">
        <f>QUARTILE(DatiOriginali!K802:K901,1)</f>
        <v>56175</v>
      </c>
    </row>
    <row r="11" spans="1:6" x14ac:dyDescent="0.3">
      <c r="A11" s="1">
        <v>500</v>
      </c>
      <c r="B11" s="4">
        <f>QUARTILE(DatiOriginali!C902:C1001,1)</f>
        <v>858125</v>
      </c>
      <c r="C11" s="4">
        <f>QUARTILE(DatiOriginali!E902:E1001,1)</f>
        <v>225800</v>
      </c>
      <c r="D11" s="4">
        <f>QUARTILE(DatiOriginali!G902:G1001,1)</f>
        <v>171500</v>
      </c>
      <c r="E11" s="4">
        <f>QUARTILE(DatiOriginali!I902:I1001,1)</f>
        <v>56500</v>
      </c>
      <c r="F11" s="4">
        <f>QUARTILE(DatiOriginali!K902:K1001,1)</f>
        <v>64400</v>
      </c>
    </row>
    <row r="12" spans="1:6" x14ac:dyDescent="0.3">
      <c r="A12" s="1">
        <v>550</v>
      </c>
      <c r="B12" s="4">
        <f>QUARTILE(DatiOriginali!C1002:C1101,1)</f>
        <v>1060900</v>
      </c>
      <c r="C12" s="4">
        <f>QUARTILE(DatiOriginali!E1002:E1101,1)</f>
        <v>265850</v>
      </c>
      <c r="D12" s="4">
        <f>QUARTILE(DatiOriginali!G1002:G1101,1)</f>
        <v>191050</v>
      </c>
      <c r="E12" s="4">
        <f>QUARTILE(DatiOriginali!I1002:I1101,1)</f>
        <v>62475</v>
      </c>
      <c r="F12" s="4">
        <f>QUARTILE(DatiOriginali!K1002:K1101,1)</f>
        <v>71100</v>
      </c>
    </row>
    <row r="13" spans="1:6" x14ac:dyDescent="0.3">
      <c r="A13" s="1">
        <v>600</v>
      </c>
      <c r="B13" s="4">
        <f>QUARTILE(DatiOriginali!C1102:C1201,1)</f>
        <v>1289475</v>
      </c>
      <c r="C13" s="4">
        <f>QUARTILE(DatiOriginali!E1102:E1201,1)</f>
        <v>315600</v>
      </c>
      <c r="D13" s="4">
        <f>QUARTILE(DatiOriginali!G1102:G1201,1)</f>
        <v>210725</v>
      </c>
      <c r="E13" s="4">
        <f>QUARTILE(DatiOriginali!I1102:I1201,1)</f>
        <v>69275</v>
      </c>
      <c r="F13" s="4">
        <f>QUARTILE(DatiOriginali!K1102:K1201,1)</f>
        <v>77800</v>
      </c>
    </row>
    <row r="14" spans="1:6" x14ac:dyDescent="0.3">
      <c r="A14" s="1">
        <v>650</v>
      </c>
      <c r="B14" s="4">
        <f>QUARTILE(DatiOriginali!C1202:C1301,1)</f>
        <v>1547425</v>
      </c>
      <c r="C14" s="4">
        <f>QUARTILE(DatiOriginali!E1202:E1301,1)</f>
        <v>367975</v>
      </c>
      <c r="D14" s="4">
        <f>QUARTILE(DatiOriginali!G1202:G1301,1)</f>
        <v>227400</v>
      </c>
      <c r="E14" s="4">
        <f>QUARTILE(DatiOriginali!I1202:I1301,1)</f>
        <v>76875</v>
      </c>
      <c r="F14" s="4">
        <f>QUARTILE(DatiOriginali!K1202:K1301,1)</f>
        <v>85375</v>
      </c>
    </row>
    <row r="15" spans="1:6" x14ac:dyDescent="0.3">
      <c r="A15" s="1">
        <v>700</v>
      </c>
      <c r="B15" s="4">
        <f>QUARTILE(DatiOriginali!C1302:C1401,1)</f>
        <v>1832950</v>
      </c>
      <c r="C15" s="4">
        <f>QUARTILE(DatiOriginali!E1302:E1401,1)</f>
        <v>422250</v>
      </c>
      <c r="D15" s="4">
        <f>QUARTILE(DatiOriginali!G1302:G1401,1)</f>
        <v>247700</v>
      </c>
      <c r="E15" s="4">
        <f>QUARTILE(DatiOriginali!I1302:I1401,1)</f>
        <v>83100</v>
      </c>
      <c r="F15" s="4">
        <f>QUARTILE(DatiOriginali!K1302:K1401,1)</f>
        <v>93000</v>
      </c>
    </row>
    <row r="16" spans="1:6" x14ac:dyDescent="0.3">
      <c r="A16" s="1">
        <v>750</v>
      </c>
      <c r="B16" s="4">
        <f>QUARTILE(DatiOriginali!C1402:C1501,1)</f>
        <v>2149175</v>
      </c>
      <c r="C16" s="4">
        <f>QUARTILE(DatiOriginali!E1402:E1501,1)</f>
        <v>484600</v>
      </c>
      <c r="D16" s="4">
        <f>QUARTILE(DatiOriginali!G1402:G1501,1)</f>
        <v>269600</v>
      </c>
      <c r="E16" s="4">
        <f>QUARTILE(DatiOriginali!I1402:I1501,1)</f>
        <v>90400</v>
      </c>
      <c r="F16" s="4">
        <f>QUARTILE(DatiOriginali!K1402:K1501,1)</f>
        <v>100375</v>
      </c>
    </row>
    <row r="17" spans="1:6" x14ac:dyDescent="0.3">
      <c r="A17" s="1">
        <v>800</v>
      </c>
      <c r="B17" s="4">
        <f>QUARTILE(DatiOriginali!C1502:C1601,1)</f>
        <v>2491175</v>
      </c>
      <c r="C17" s="4">
        <f>QUARTILE(DatiOriginali!E1502:E1601,1)</f>
        <v>553375</v>
      </c>
      <c r="D17" s="4">
        <f>QUARTILE(DatiOriginali!G1502:G1601,1)</f>
        <v>290225</v>
      </c>
      <c r="E17" s="4">
        <f>QUARTILE(DatiOriginali!I1502:I1601,1)</f>
        <v>97000</v>
      </c>
      <c r="F17" s="4">
        <f>QUARTILE(DatiOriginali!K1502:K1601,1)</f>
        <v>108475</v>
      </c>
    </row>
    <row r="18" spans="1:6" x14ac:dyDescent="0.3">
      <c r="A18" s="1">
        <v>850</v>
      </c>
      <c r="B18" s="4">
        <f>QUARTILE(DatiOriginali!C1602:C1701,1)</f>
        <v>2863150</v>
      </c>
      <c r="C18" s="4">
        <f>QUARTILE(DatiOriginali!E1602:E1701,1)</f>
        <v>626275</v>
      </c>
      <c r="D18" s="4">
        <f>QUARTILE(DatiOriginali!G1602:G1701,1)</f>
        <v>309900</v>
      </c>
      <c r="E18" s="4">
        <f>QUARTILE(DatiOriginali!I1602:I1701,1)</f>
        <v>104350</v>
      </c>
      <c r="F18" s="4">
        <f>QUARTILE(DatiOriginali!K1602:K1701,1)</f>
        <v>116000</v>
      </c>
    </row>
    <row r="19" spans="1:6" x14ac:dyDescent="0.3">
      <c r="A19" s="1">
        <v>900</v>
      </c>
      <c r="B19" s="4">
        <f>QUARTILE(DatiOriginali!C1702:C1801,1)</f>
        <v>3252425</v>
      </c>
      <c r="C19" s="4">
        <f>QUARTILE(DatiOriginali!E1702:E1801,1)</f>
        <v>698750</v>
      </c>
      <c r="D19" s="4">
        <f>QUARTILE(DatiOriginali!G1702:G1801,1)</f>
        <v>326675</v>
      </c>
      <c r="E19" s="4">
        <f>QUARTILE(DatiOriginali!I1702:I1801,1)</f>
        <v>111275</v>
      </c>
      <c r="F19" s="4">
        <f>QUARTILE(DatiOriginali!K1702:K1801,1)</f>
        <v>123175</v>
      </c>
    </row>
    <row r="20" spans="1:6" x14ac:dyDescent="0.3">
      <c r="A20" s="1">
        <v>950</v>
      </c>
      <c r="B20" s="4">
        <f>QUARTILE(DatiOriginali!C1802:C1901,1)</f>
        <v>3664250</v>
      </c>
      <c r="C20" s="4">
        <f>QUARTILE(DatiOriginali!E1802:E1901,1)</f>
        <v>780150</v>
      </c>
      <c r="D20" s="4">
        <f>QUARTILE(DatiOriginali!G1802:G1901,1)</f>
        <v>349650</v>
      </c>
      <c r="E20" s="4">
        <f>QUARTILE(DatiOriginali!I1802:I1901,1)</f>
        <v>118500</v>
      </c>
      <c r="F20" s="4">
        <f>QUARTILE(DatiOriginali!K1802:K1901,1)</f>
        <v>131000</v>
      </c>
    </row>
    <row r="21" spans="1:6" x14ac:dyDescent="0.3">
      <c r="A21" s="1">
        <v>1000</v>
      </c>
      <c r="B21" s="4">
        <f>QUARTILE(DatiOriginali!C1902:C2001,1)</f>
        <v>4118650</v>
      </c>
      <c r="C21" s="4">
        <f>QUARTILE(DatiOriginali!E1902:E2001,1)</f>
        <v>865375</v>
      </c>
      <c r="D21" s="4">
        <f>QUARTILE(DatiOriginali!G1902:G2001,1)</f>
        <v>370400</v>
      </c>
      <c r="E21" s="4">
        <f>QUARTILE(DatiOriginali!I1902:I2001,1)</f>
        <v>126600</v>
      </c>
      <c r="F21" s="4">
        <f>QUARTILE(DatiOriginali!K1902:K2001,1)</f>
        <v>139500</v>
      </c>
    </row>
    <row r="22" spans="1:6" x14ac:dyDescent="0.3">
      <c r="A22" s="1">
        <v>1050</v>
      </c>
      <c r="B22" s="4">
        <f>QUARTILE(DatiOriginali!C2002:C2101,1)</f>
        <v>4613275</v>
      </c>
      <c r="C22" s="4">
        <f>QUARTILE(DatiOriginali!E2002:E2101,1)</f>
        <v>952650</v>
      </c>
      <c r="D22" s="4">
        <f>QUARTILE(DatiOriginali!G2002:G2101,1)</f>
        <v>391600</v>
      </c>
      <c r="E22" s="4">
        <f>QUARTILE(DatiOriginali!I2002:I2101,1)</f>
        <v>133500</v>
      </c>
      <c r="F22" s="4">
        <f>QUARTILE(DatiOriginali!K2002:K2101,1)</f>
        <v>147500</v>
      </c>
    </row>
    <row r="23" spans="1:6" x14ac:dyDescent="0.3">
      <c r="A23" s="1">
        <v>1100</v>
      </c>
      <c r="B23" s="4">
        <f>QUARTILE(DatiOriginali!C2102:C2201,1)</f>
        <v>5143300</v>
      </c>
      <c r="C23" s="4">
        <f>QUARTILE(DatiOriginali!E2102:E2201,1)</f>
        <v>1047725</v>
      </c>
      <c r="D23" s="4">
        <f>QUARTILE(DatiOriginali!G2102:G2201,1)</f>
        <v>415175</v>
      </c>
      <c r="E23" s="4">
        <f>QUARTILE(DatiOriginali!I2102:I2201,1)</f>
        <v>140700</v>
      </c>
      <c r="F23" s="4">
        <f>QUARTILE(DatiOriginali!K2102:K2201,1)</f>
        <v>155900</v>
      </c>
    </row>
    <row r="24" spans="1:6" x14ac:dyDescent="0.3">
      <c r="A24" s="1">
        <v>1150</v>
      </c>
      <c r="B24" s="4">
        <f>QUARTILE(DatiOriginali!C2202:C2301,1)</f>
        <v>5660850</v>
      </c>
      <c r="C24" s="4">
        <f>QUARTILE(DatiOriginali!E2202:E2301,1)</f>
        <v>1143675</v>
      </c>
      <c r="D24" s="4">
        <f>QUARTILE(DatiOriginali!G2202:G2301,1)</f>
        <v>434275</v>
      </c>
      <c r="E24" s="4">
        <f>QUARTILE(DatiOriginali!I2202:I2301,1)</f>
        <v>147975</v>
      </c>
      <c r="F24" s="4">
        <f>QUARTILE(DatiOriginali!K2202:K2301,1)</f>
        <v>163475</v>
      </c>
    </row>
    <row r="25" spans="1:6" x14ac:dyDescent="0.3">
      <c r="A25" s="1">
        <v>1200</v>
      </c>
      <c r="B25" s="4">
        <f>QUARTILE(DatiOriginali!C2302:C2401,1)</f>
        <v>6220350</v>
      </c>
      <c r="C25" s="4">
        <f>QUARTILE(DatiOriginali!E2302:E2401,1)</f>
        <v>1242700</v>
      </c>
      <c r="D25" s="4">
        <f>QUARTILE(DatiOriginali!G2302:G2401,1)</f>
        <v>456450</v>
      </c>
      <c r="E25" s="4">
        <f>QUARTILE(DatiOriginali!I2302:I2401,1)</f>
        <v>155400</v>
      </c>
      <c r="F25" s="4">
        <f>QUARTILE(DatiOriginali!K2302:K2401,1)</f>
        <v>171375</v>
      </c>
    </row>
    <row r="26" spans="1:6" x14ac:dyDescent="0.3">
      <c r="A26" s="1">
        <v>1250</v>
      </c>
      <c r="B26" s="4">
        <f>QUARTILE(DatiOriginali!C2402:C2501,1)</f>
        <v>6828875</v>
      </c>
      <c r="C26" s="4">
        <f>QUARTILE(DatiOriginali!E2402:E2501,1)</f>
        <v>1347250</v>
      </c>
      <c r="D26" s="4">
        <f>QUARTILE(DatiOriginali!G2402:G2501,1)</f>
        <v>474475</v>
      </c>
      <c r="E26" s="4">
        <f>QUARTILE(DatiOriginali!I2402:I2501,1)</f>
        <v>164650</v>
      </c>
      <c r="F26" s="4">
        <f>QUARTILE(DatiOriginali!K2402:K2501,1)</f>
        <v>180650</v>
      </c>
    </row>
    <row r="27" spans="1:6" x14ac:dyDescent="0.3">
      <c r="A27" s="1">
        <v>1300</v>
      </c>
      <c r="B27" s="4">
        <f>QUARTILE(DatiOriginali!C2502:C2601,1)</f>
        <v>7492875</v>
      </c>
      <c r="C27" s="4">
        <f>QUARTILE(DatiOriginali!E2502:E2601,1)</f>
        <v>1461750</v>
      </c>
      <c r="D27" s="4">
        <f>QUARTILE(DatiOriginali!G2502:G2601,1)</f>
        <v>493850</v>
      </c>
      <c r="E27" s="4">
        <f>QUARTILE(DatiOriginali!I2502:I2601,1)</f>
        <v>173400</v>
      </c>
      <c r="F27" s="4">
        <f>QUARTILE(DatiOriginali!K2502:K2601,1)</f>
        <v>188175</v>
      </c>
    </row>
    <row r="28" spans="1:6" x14ac:dyDescent="0.3">
      <c r="A28" s="1">
        <v>1350</v>
      </c>
      <c r="B28" s="4">
        <f>QUARTILE(DatiOriginali!C2602:C2701,1)</f>
        <v>8154875</v>
      </c>
      <c r="C28" s="4">
        <f>QUARTILE(DatiOriginali!E2602:E2701,1)</f>
        <v>1576650</v>
      </c>
      <c r="D28" s="4">
        <f>QUARTILE(DatiOriginali!G2602:G2701,1)</f>
        <v>517875</v>
      </c>
      <c r="E28" s="4">
        <f>QUARTILE(DatiOriginali!I2602:I2701,1)</f>
        <v>177975</v>
      </c>
      <c r="F28" s="4">
        <f>QUARTILE(DatiOriginali!K2602:K2701,1)</f>
        <v>196200</v>
      </c>
    </row>
    <row r="29" spans="1:6" x14ac:dyDescent="0.3">
      <c r="A29" s="1">
        <v>1400</v>
      </c>
      <c r="B29" s="4">
        <f>QUARTILE(DatiOriginali!C2702:C2801,1)</f>
        <v>8828550</v>
      </c>
      <c r="C29" s="4">
        <f>QUARTILE(DatiOriginali!E2702:E2801,1)</f>
        <v>1690100</v>
      </c>
      <c r="D29" s="4">
        <f>QUARTILE(DatiOriginali!G2702:G2801,1)</f>
        <v>541750</v>
      </c>
      <c r="E29" s="4">
        <f>QUARTILE(DatiOriginali!I2702:I2801,1)</f>
        <v>185900</v>
      </c>
      <c r="F29" s="4">
        <f>QUARTILE(DatiOriginali!K2702:K2801,1)</f>
        <v>205475</v>
      </c>
    </row>
    <row r="30" spans="1:6" x14ac:dyDescent="0.3">
      <c r="A30" s="1">
        <v>1450</v>
      </c>
      <c r="B30" s="4">
        <f>QUARTILE(DatiOriginali!C2802:C2901,1)</f>
        <v>9570425</v>
      </c>
      <c r="C30" s="4">
        <f>QUARTILE(DatiOriginali!E2802:E2901,1)</f>
        <v>1806050</v>
      </c>
      <c r="D30" s="4">
        <f>QUARTILE(DatiOriginali!G2802:G2901,1)</f>
        <v>563075</v>
      </c>
      <c r="E30" s="4">
        <f>QUARTILE(DatiOriginali!I2802:I2901,1)</f>
        <v>193950</v>
      </c>
      <c r="F30" s="4">
        <f>QUARTILE(DatiOriginali!K2802:K2901,1)</f>
        <v>213125</v>
      </c>
    </row>
    <row r="31" spans="1:6" x14ac:dyDescent="0.3">
      <c r="A31" s="1">
        <v>1500</v>
      </c>
      <c r="B31" s="4">
        <f>QUARTILE(DatiOriginali!C2902:C3001,1)</f>
        <v>10336100</v>
      </c>
      <c r="C31" s="4">
        <f>QUARTILE(DatiOriginali!E2902:E3001,1)</f>
        <v>1944375</v>
      </c>
      <c r="D31" s="4">
        <f>QUARTILE(DatiOriginali!G2902:G3001,1)</f>
        <v>579775</v>
      </c>
      <c r="E31" s="4">
        <f>QUARTILE(DatiOriginali!I2902:I3001,1)</f>
        <v>200875</v>
      </c>
      <c r="F31" s="4">
        <f>QUARTILE(DatiOriginali!K2902:K3001,1)</f>
        <v>221900</v>
      </c>
    </row>
    <row r="1048576" spans="1:1" x14ac:dyDescent="0.3">
      <c r="A1048576">
        <f>SUM(A2:A1048575)</f>
        <v>23250</v>
      </c>
    </row>
  </sheetData>
  <pageMargins left="0.7" right="0.7" top="0.75" bottom="0.75" header="0.3" footer="0.3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82E4C-BE66-4014-91EE-25FD81B651BD}">
  <dimension ref="A1:F31"/>
  <sheetViews>
    <sheetView workbookViewId="0">
      <selection activeCell="B1" sqref="B1:F1"/>
    </sheetView>
  </sheetViews>
  <sheetFormatPr defaultRowHeight="14.4" x14ac:dyDescent="0.3"/>
  <cols>
    <col min="2" max="2" width="12.77734375" customWidth="1"/>
    <col min="3" max="3" width="14.21875" customWidth="1"/>
    <col min="4" max="4" width="12.44140625" customWidth="1"/>
    <col min="5" max="5" width="12.33203125" customWidth="1"/>
    <col min="6" max="6" width="19" customWidth="1"/>
  </cols>
  <sheetData>
    <row r="1" spans="1:6" x14ac:dyDescent="0.3">
      <c r="A1" t="s">
        <v>3011</v>
      </c>
      <c r="B1" s="2" t="s">
        <v>2</v>
      </c>
      <c r="C1" s="2" t="s">
        <v>4</v>
      </c>
      <c r="D1" s="2" t="s">
        <v>6</v>
      </c>
      <c r="E1" s="3" t="s">
        <v>8</v>
      </c>
      <c r="F1" s="3" t="s">
        <v>10</v>
      </c>
    </row>
    <row r="2" spans="1:6" x14ac:dyDescent="0.3">
      <c r="A2" s="1">
        <v>50</v>
      </c>
      <c r="B2" s="4">
        <f>QUARTILE(DatiOriginali!C2:C101,3)</f>
        <v>321500</v>
      </c>
      <c r="C2" s="4">
        <f>QUARTILE(DatiOriginali!E2:E101,3)</f>
        <v>176850</v>
      </c>
      <c r="D2" s="4">
        <f>QUARTILE(DatiOriginali!G2:G101,3)</f>
        <v>144000</v>
      </c>
      <c r="E2" s="4">
        <f>QUARTILE(DatiOriginali!I2:I101,3)</f>
        <v>75950</v>
      </c>
      <c r="F2" s="4">
        <f>QUARTILE(DatiOriginali!K2:K101,3)</f>
        <v>29850</v>
      </c>
    </row>
    <row r="3" spans="1:6" x14ac:dyDescent="0.3">
      <c r="A3" s="1">
        <v>100</v>
      </c>
      <c r="B3" s="4">
        <f>QUARTILE(DatiOriginali!C102:C201,3)</f>
        <v>50275</v>
      </c>
      <c r="C3" s="4">
        <f>QUARTILE(DatiOriginali!E102:E201,3)</f>
        <v>135125</v>
      </c>
      <c r="D3" s="4">
        <f>QUARTILE(DatiOriginali!G102:G201,3)</f>
        <v>63300</v>
      </c>
      <c r="E3" s="4">
        <f>QUARTILE(DatiOriginali!I102:I201,3)</f>
        <v>14000</v>
      </c>
      <c r="F3" s="4">
        <f>QUARTILE(DatiOriginali!K102:K201,3)</f>
        <v>19000</v>
      </c>
    </row>
    <row r="4" spans="1:6" x14ac:dyDescent="0.3">
      <c r="A4" s="1">
        <v>150</v>
      </c>
      <c r="B4" s="4">
        <f>QUARTILE(DatiOriginali!C202:C301,3)</f>
        <v>90725</v>
      </c>
      <c r="C4" s="4">
        <f>QUARTILE(DatiOriginali!E202:E301,3)</f>
        <v>28925</v>
      </c>
      <c r="D4" s="4">
        <f>QUARTILE(DatiOriginali!G202:G301,3)</f>
        <v>74650</v>
      </c>
      <c r="E4" s="4">
        <f>QUARTILE(DatiOriginali!I202:I301,3)</f>
        <v>19000</v>
      </c>
      <c r="F4" s="4">
        <f>QUARTILE(DatiOriginali!K202:K301,3)</f>
        <v>23325</v>
      </c>
    </row>
    <row r="5" spans="1:6" x14ac:dyDescent="0.3">
      <c r="A5" s="1">
        <v>200</v>
      </c>
      <c r="B5" s="4">
        <f>QUARTILE(DatiOriginali!C302:C401,3)</f>
        <v>166700</v>
      </c>
      <c r="C5" s="4">
        <f>QUARTILE(DatiOriginali!E302:E401,3)</f>
        <v>57625</v>
      </c>
      <c r="D5" s="4">
        <f>QUARTILE(DatiOriginali!G302:G401,3)</f>
        <v>94075</v>
      </c>
      <c r="E5" s="4">
        <f>QUARTILE(DatiOriginali!I302:I401,3)</f>
        <v>25725</v>
      </c>
      <c r="F5" s="4">
        <f>QUARTILE(DatiOriginali!K302:K401,3)</f>
        <v>32325</v>
      </c>
    </row>
    <row r="6" spans="1:6" x14ac:dyDescent="0.3">
      <c r="A6" s="1">
        <v>250</v>
      </c>
      <c r="B6" s="4">
        <f>QUARTILE(DatiOriginali!C402:C501,3)</f>
        <v>265775</v>
      </c>
      <c r="C6" s="4">
        <f>QUARTILE(DatiOriginali!E402:E501,3)</f>
        <v>86725</v>
      </c>
      <c r="D6" s="4">
        <f>QUARTILE(DatiOriginali!G402:G501,3)</f>
        <v>124150</v>
      </c>
      <c r="E6" s="4">
        <f>QUARTILE(DatiOriginali!I402:I501,3)</f>
        <v>32600</v>
      </c>
      <c r="F6" s="4">
        <f>QUARTILE(DatiOriginali!K402:K501,3)</f>
        <v>37200</v>
      </c>
    </row>
    <row r="7" spans="1:6" x14ac:dyDescent="0.3">
      <c r="A7" s="1">
        <v>300</v>
      </c>
      <c r="B7" s="4">
        <f>QUARTILE(DatiOriginali!C502:C601,3)</f>
        <v>325600</v>
      </c>
      <c r="C7" s="4">
        <f>QUARTILE(DatiOriginali!E502:E601,3)</f>
        <v>92475</v>
      </c>
      <c r="D7" s="4">
        <f>QUARTILE(DatiOriginali!G502:G601,3)</f>
        <v>122025</v>
      </c>
      <c r="E7" s="4">
        <f>QUARTILE(DatiOriginali!I502:I601,3)</f>
        <v>33425</v>
      </c>
      <c r="F7" s="4">
        <f>QUARTILE(DatiOriginali!K502:K601,3)</f>
        <v>38875</v>
      </c>
    </row>
    <row r="8" spans="1:6" x14ac:dyDescent="0.3">
      <c r="A8" s="1">
        <v>350</v>
      </c>
      <c r="B8" s="4">
        <f>QUARTILE(DatiOriginali!C602:C701,3)</f>
        <v>462000</v>
      </c>
      <c r="C8" s="4">
        <f>QUARTILE(DatiOriginali!E602:E701,3)</f>
        <v>131750</v>
      </c>
      <c r="D8" s="4">
        <f>QUARTILE(DatiOriginali!G602:G701,3)</f>
        <v>153325</v>
      </c>
      <c r="E8" s="4">
        <f>QUARTILE(DatiOriginali!I602:I701,3)</f>
        <v>44400</v>
      </c>
      <c r="F8" s="4">
        <f>QUARTILE(DatiOriginali!K602:K701,3)</f>
        <v>50900</v>
      </c>
    </row>
    <row r="9" spans="1:6" x14ac:dyDescent="0.3">
      <c r="A9" s="1">
        <v>400</v>
      </c>
      <c r="B9" s="4">
        <f>QUARTILE(DatiOriginali!C702:C801,3)</f>
        <v>615425</v>
      </c>
      <c r="C9" s="4">
        <f>QUARTILE(DatiOriginali!E702:E801,3)</f>
        <v>158675</v>
      </c>
      <c r="D9" s="4">
        <f>QUARTILE(DatiOriginali!G702:G801,3)</f>
        <v>164400</v>
      </c>
      <c r="E9" s="4">
        <f>QUARTILE(DatiOriginali!I702:I801,3)</f>
        <v>52125</v>
      </c>
      <c r="F9" s="4">
        <f>QUARTILE(DatiOriginali!K702:K801,3)</f>
        <v>57900</v>
      </c>
    </row>
    <row r="10" spans="1:6" x14ac:dyDescent="0.3">
      <c r="A10" s="1">
        <v>450</v>
      </c>
      <c r="B10" s="4">
        <f>QUARTILE(DatiOriginali!C802:C901,3)</f>
        <v>789200</v>
      </c>
      <c r="C10" s="4">
        <f>QUARTILE(DatiOriginali!E802:E901,3)</f>
        <v>217350</v>
      </c>
      <c r="D10" s="4">
        <f>QUARTILE(DatiOriginali!G802:G901,3)</f>
        <v>182850</v>
      </c>
      <c r="E10" s="4">
        <f>QUARTILE(DatiOriginali!I802:I901,3)</f>
        <v>56000</v>
      </c>
      <c r="F10" s="4">
        <f>QUARTILE(DatiOriginali!K802:K901,3)</f>
        <v>59550</v>
      </c>
    </row>
    <row r="11" spans="1:6" x14ac:dyDescent="0.3">
      <c r="A11" s="1">
        <v>500</v>
      </c>
      <c r="B11" s="4">
        <f>QUARTILE(DatiOriginali!C902:C1001,3)</f>
        <v>1038725</v>
      </c>
      <c r="C11" s="4">
        <f>QUARTILE(DatiOriginali!E902:E1001,3)</f>
        <v>268600</v>
      </c>
      <c r="D11" s="4">
        <f>QUARTILE(DatiOriginali!G902:G1001,3)</f>
        <v>203750</v>
      </c>
      <c r="E11" s="4">
        <f>QUARTILE(DatiOriginali!I902:I1001,3)</f>
        <v>66075</v>
      </c>
      <c r="F11" s="4">
        <f>QUARTILE(DatiOriginali!K902:K1001,3)</f>
        <v>72250</v>
      </c>
    </row>
    <row r="12" spans="1:6" x14ac:dyDescent="0.3">
      <c r="A12" s="1">
        <v>550</v>
      </c>
      <c r="B12" s="4">
        <f>QUARTILE(DatiOriginali!C1002:C1101,3)</f>
        <v>1253525</v>
      </c>
      <c r="C12" s="4">
        <f>QUARTILE(DatiOriginali!E1002:E1101,3)</f>
        <v>317100</v>
      </c>
      <c r="D12" s="4">
        <f>QUARTILE(DatiOriginali!G1002:G1101,3)</f>
        <v>204200</v>
      </c>
      <c r="E12" s="4">
        <f>QUARTILE(DatiOriginali!I1002:I1101,3)</f>
        <v>65925</v>
      </c>
      <c r="F12" s="4">
        <f>QUARTILE(DatiOriginali!K1002:K1101,3)</f>
        <v>75000</v>
      </c>
    </row>
    <row r="13" spans="1:6" x14ac:dyDescent="0.3">
      <c r="A13" s="1">
        <v>600</v>
      </c>
      <c r="B13" s="4">
        <f>QUARTILE(DatiOriginali!C1102:C1201,3)</f>
        <v>1519350</v>
      </c>
      <c r="C13" s="4">
        <f>QUARTILE(DatiOriginali!E1102:E1201,3)</f>
        <v>338225</v>
      </c>
      <c r="D13" s="4">
        <f>QUARTILE(DatiOriginali!G1102:G1201,3)</f>
        <v>218300</v>
      </c>
      <c r="E13" s="4">
        <f>QUARTILE(DatiOriginali!I1102:I1201,3)</f>
        <v>71775</v>
      </c>
      <c r="F13" s="4">
        <f>QUARTILE(DatiOriginali!K1102:K1201,3)</f>
        <v>81100</v>
      </c>
    </row>
    <row r="14" spans="1:6" x14ac:dyDescent="0.3">
      <c r="A14" s="1">
        <v>650</v>
      </c>
      <c r="B14" s="4">
        <f>QUARTILE(DatiOriginali!C1202:C1301,3)</f>
        <v>1767125</v>
      </c>
      <c r="C14" s="4">
        <f>QUARTILE(DatiOriginali!E1202:E1301,3)</f>
        <v>395875</v>
      </c>
      <c r="D14" s="4">
        <f>QUARTILE(DatiOriginali!G1202:G1301,3)</f>
        <v>232325</v>
      </c>
      <c r="E14" s="4">
        <f>QUARTILE(DatiOriginali!I1202:I1301,3)</f>
        <v>79200</v>
      </c>
      <c r="F14" s="4">
        <f>QUARTILE(DatiOriginali!K1202:K1301,3)</f>
        <v>88200</v>
      </c>
    </row>
    <row r="15" spans="1:6" x14ac:dyDescent="0.3">
      <c r="A15" s="1">
        <v>700</v>
      </c>
      <c r="B15" s="4">
        <f>QUARTILE(DatiOriginali!C1302:C1401,3)</f>
        <v>2066300</v>
      </c>
      <c r="C15" s="4">
        <f>QUARTILE(DatiOriginali!E1302:E1401,3)</f>
        <v>453300</v>
      </c>
      <c r="D15" s="4">
        <f>QUARTILE(DatiOriginali!G1302:G1401,3)</f>
        <v>253025</v>
      </c>
      <c r="E15" s="4">
        <f>QUARTILE(DatiOriginali!I1302:I1401,3)</f>
        <v>85625</v>
      </c>
      <c r="F15" s="4">
        <f>QUARTILE(DatiOriginali!K1302:K1401,3)</f>
        <v>96775</v>
      </c>
    </row>
    <row r="16" spans="1:6" x14ac:dyDescent="0.3">
      <c r="A16" s="1">
        <v>750</v>
      </c>
      <c r="B16" s="4">
        <f>QUARTILE(DatiOriginali!C1402:C1501,3)</f>
        <v>2404725</v>
      </c>
      <c r="C16" s="4">
        <f>QUARTILE(DatiOriginali!E1402:E1501,3)</f>
        <v>509475</v>
      </c>
      <c r="D16" s="4">
        <f>QUARTILE(DatiOriginali!G1402:G1501,3)</f>
        <v>274925</v>
      </c>
      <c r="E16" s="4">
        <f>QUARTILE(DatiOriginali!I1402:I1501,3)</f>
        <v>94625</v>
      </c>
      <c r="F16" s="4">
        <f>QUARTILE(DatiOriginali!K1402:K1501,3)</f>
        <v>104150</v>
      </c>
    </row>
    <row r="17" spans="1:6" x14ac:dyDescent="0.3">
      <c r="A17" s="1">
        <v>800</v>
      </c>
      <c r="B17" s="4">
        <f>QUARTILE(DatiOriginali!C1502:C1601,3)</f>
        <v>2643050</v>
      </c>
      <c r="C17" s="4">
        <f>QUARTILE(DatiOriginali!E1502:E1601,3)</f>
        <v>580550</v>
      </c>
      <c r="D17" s="4">
        <f>QUARTILE(DatiOriginali!G1502:G1601,3)</f>
        <v>296150</v>
      </c>
      <c r="E17" s="4">
        <f>QUARTILE(DatiOriginali!I1502:I1601,3)</f>
        <v>100950</v>
      </c>
      <c r="F17" s="4">
        <f>QUARTILE(DatiOriginali!K1502:K1601,3)</f>
        <v>112125</v>
      </c>
    </row>
    <row r="18" spans="1:6" x14ac:dyDescent="0.3">
      <c r="A18" s="1">
        <v>850</v>
      </c>
      <c r="B18" s="4">
        <f>QUARTILE(DatiOriginali!C1602:C1701,3)</f>
        <v>3097325</v>
      </c>
      <c r="C18" s="4">
        <f>QUARTILE(DatiOriginali!E1602:E1701,3)</f>
        <v>656875</v>
      </c>
      <c r="D18" s="4">
        <f>QUARTILE(DatiOriginali!G1602:G1701,3)</f>
        <v>316425</v>
      </c>
      <c r="E18" s="4">
        <f>QUARTILE(DatiOriginali!I1602:I1701,3)</f>
        <v>106900</v>
      </c>
      <c r="F18" s="4">
        <f>QUARTILE(DatiOriginali!K1602:K1701,3)</f>
        <v>119375</v>
      </c>
    </row>
    <row r="19" spans="1:6" x14ac:dyDescent="0.3">
      <c r="A19" s="1">
        <v>900</v>
      </c>
      <c r="B19" s="4">
        <f>QUARTILE(DatiOriginali!C1702:C1801,3)</f>
        <v>3431050</v>
      </c>
      <c r="C19" s="4">
        <f>QUARTILE(DatiOriginali!E1702:E1801,3)</f>
        <v>725350</v>
      </c>
      <c r="D19" s="4">
        <f>QUARTILE(DatiOriginali!G1702:G1801,3)</f>
        <v>332750</v>
      </c>
      <c r="E19" s="4">
        <f>QUARTILE(DatiOriginali!I1702:I1801,3)</f>
        <v>114950</v>
      </c>
      <c r="F19" s="4">
        <f>QUARTILE(DatiOriginali!K1702:K1801,3)</f>
        <v>127900</v>
      </c>
    </row>
    <row r="20" spans="1:6" x14ac:dyDescent="0.3">
      <c r="A20" s="1">
        <v>950</v>
      </c>
      <c r="B20" s="4">
        <f>QUARTILE(DatiOriginali!C1802:C1901,3)</f>
        <v>3965225</v>
      </c>
      <c r="C20" s="4">
        <f>QUARTILE(DatiOriginali!E1802:E1901,3)</f>
        <v>810400</v>
      </c>
      <c r="D20" s="4">
        <f>QUARTILE(DatiOriginali!G1802:G1901,3)</f>
        <v>355625</v>
      </c>
      <c r="E20" s="4">
        <f>QUARTILE(DatiOriginali!I1802:I1901,3)</f>
        <v>122725</v>
      </c>
      <c r="F20" s="4">
        <f>QUARTILE(DatiOriginali!K1802:K1901,3)</f>
        <v>136400</v>
      </c>
    </row>
    <row r="21" spans="1:6" x14ac:dyDescent="0.3">
      <c r="A21" s="1">
        <v>1000</v>
      </c>
      <c r="B21" s="4">
        <f>QUARTILE(DatiOriginali!C1902:C2001,3)</f>
        <v>4375275</v>
      </c>
      <c r="C21" s="4">
        <f>QUARTILE(DatiOriginali!E1902:E2001,3)</f>
        <v>915600</v>
      </c>
      <c r="D21" s="4">
        <f>QUARTILE(DatiOriginali!G1902:G2001,3)</f>
        <v>379775</v>
      </c>
      <c r="E21" s="4">
        <f>QUARTILE(DatiOriginali!I1902:I2001,3)</f>
        <v>131600</v>
      </c>
      <c r="F21" s="4">
        <f>QUARTILE(DatiOriginali!K1902:K2001,3)</f>
        <v>144800</v>
      </c>
    </row>
    <row r="22" spans="1:6" x14ac:dyDescent="0.3">
      <c r="A22" s="1">
        <v>1050</v>
      </c>
      <c r="B22" s="4">
        <f>QUARTILE(DatiOriginali!C2002:C2101,3)</f>
        <v>4928475</v>
      </c>
      <c r="C22" s="4">
        <f>QUARTILE(DatiOriginali!E2002:E2101,3)</f>
        <v>1005625</v>
      </c>
      <c r="D22" s="4">
        <f>QUARTILE(DatiOriginali!G2002:G2101,3)</f>
        <v>402750</v>
      </c>
      <c r="E22" s="4">
        <f>QUARTILE(DatiOriginali!I2002:I2101,3)</f>
        <v>138425</v>
      </c>
      <c r="F22" s="4">
        <f>QUARTILE(DatiOriginali!K2002:K2101,3)</f>
        <v>151700</v>
      </c>
    </row>
    <row r="23" spans="1:6" x14ac:dyDescent="0.3">
      <c r="A23" s="1">
        <v>1100</v>
      </c>
      <c r="B23" s="4">
        <f>QUARTILE(DatiOriginali!C2102:C2201,3)</f>
        <v>5416100</v>
      </c>
      <c r="C23" s="4">
        <f>QUARTILE(DatiOriginali!E2102:E2201,3)</f>
        <v>1092250</v>
      </c>
      <c r="D23" s="4">
        <f>QUARTILE(DatiOriginali!G2102:G2201,3)</f>
        <v>424400</v>
      </c>
      <c r="E23" s="4">
        <f>QUARTILE(DatiOriginali!I2102:I2201,3)</f>
        <v>145700</v>
      </c>
      <c r="F23" s="4">
        <f>QUARTILE(DatiOriginali!K2102:K2201,3)</f>
        <v>160775</v>
      </c>
    </row>
    <row r="24" spans="1:6" x14ac:dyDescent="0.3">
      <c r="A24" s="1">
        <v>1150</v>
      </c>
      <c r="B24" s="4">
        <f>QUARTILE(DatiOriginali!C2202:C2301,3)</f>
        <v>5980025</v>
      </c>
      <c r="C24" s="4">
        <f>QUARTILE(DatiOriginali!E2202:E2301,3)</f>
        <v>1193975</v>
      </c>
      <c r="D24" s="4">
        <f>QUARTILE(DatiOriginali!G2202:G2301,3)</f>
        <v>442100</v>
      </c>
      <c r="E24" s="4">
        <f>QUARTILE(DatiOriginali!I2202:I2301,3)</f>
        <v>152150</v>
      </c>
      <c r="F24" s="4">
        <f>QUARTILE(DatiOriginali!K2202:K2301,3)</f>
        <v>170425</v>
      </c>
    </row>
    <row r="25" spans="1:6" x14ac:dyDescent="0.3">
      <c r="A25" s="1">
        <v>1200</v>
      </c>
      <c r="B25" s="4">
        <f>QUARTILE(DatiOriginali!C2302:C2401,3)</f>
        <v>6506775</v>
      </c>
      <c r="C25" s="4">
        <f>QUARTILE(DatiOriginali!E2302:E2401,3)</f>
        <v>1301225</v>
      </c>
      <c r="D25" s="4">
        <f>QUARTILE(DatiOriginali!G2302:G2401,3)</f>
        <v>462800</v>
      </c>
      <c r="E25" s="4">
        <f>QUARTILE(DatiOriginali!I2302:I2401,3)</f>
        <v>160250</v>
      </c>
      <c r="F25" s="4">
        <f>QUARTILE(DatiOriginali!K2302:K2401,3)</f>
        <v>176400</v>
      </c>
    </row>
    <row r="26" spans="1:6" x14ac:dyDescent="0.3">
      <c r="A26" s="1">
        <v>1250</v>
      </c>
      <c r="B26" s="4">
        <f>QUARTILE(DatiOriginali!C2402:C2501,3)</f>
        <v>7205975</v>
      </c>
      <c r="C26" s="4">
        <f>QUARTILE(DatiOriginali!E2402:E2501,3)</f>
        <v>1440250</v>
      </c>
      <c r="D26" s="4">
        <f>QUARTILE(DatiOriginali!G2402:G2501,3)</f>
        <v>486325</v>
      </c>
      <c r="E26" s="4">
        <f>QUARTILE(DatiOriginali!I2402:I2501,3)</f>
        <v>170425</v>
      </c>
      <c r="F26" s="4">
        <f>QUARTILE(DatiOriginali!K2402:K2501,3)</f>
        <v>186050</v>
      </c>
    </row>
    <row r="27" spans="1:6" x14ac:dyDescent="0.3">
      <c r="A27" s="1">
        <v>1300</v>
      </c>
      <c r="B27" s="4">
        <f>QUARTILE(DatiOriginali!C2502:C2601,3)</f>
        <v>7844075</v>
      </c>
      <c r="C27" s="4">
        <f>QUARTILE(DatiOriginali!E2502:E2601,3)</f>
        <v>1530500</v>
      </c>
      <c r="D27" s="4">
        <f>QUARTILE(DatiOriginali!G2502:G2601,3)</f>
        <v>505025</v>
      </c>
      <c r="E27" s="4">
        <f>QUARTILE(DatiOriginali!I2502:I2601,3)</f>
        <v>179225</v>
      </c>
      <c r="F27" s="4">
        <f>QUARTILE(DatiOriginali!K2502:K2601,3)</f>
        <v>193725</v>
      </c>
    </row>
    <row r="28" spans="1:6" x14ac:dyDescent="0.3">
      <c r="A28" s="1">
        <v>1350</v>
      </c>
      <c r="B28" s="4">
        <f>QUARTILE(DatiOriginali!C2602:C2701,3)</f>
        <v>8459475</v>
      </c>
      <c r="C28" s="4">
        <f>QUARTILE(DatiOriginali!E2602:E2701,3)</f>
        <v>1634075</v>
      </c>
      <c r="D28" s="4">
        <f>QUARTILE(DatiOriginali!G2602:G2701,3)</f>
        <v>528375</v>
      </c>
      <c r="E28" s="4">
        <f>QUARTILE(DatiOriginali!I2602:I2701,3)</f>
        <v>183700</v>
      </c>
      <c r="F28" s="4">
        <f>QUARTILE(DatiOriginali!K2602:K2701,3)</f>
        <v>201975</v>
      </c>
    </row>
    <row r="29" spans="1:6" x14ac:dyDescent="0.3">
      <c r="A29" s="1">
        <v>1400</v>
      </c>
      <c r="B29" s="4">
        <f>QUARTILE(DatiOriginali!C2702:C2801,3)</f>
        <v>9161750</v>
      </c>
      <c r="C29" s="4">
        <f>QUARTILE(DatiOriginali!E2702:E2801,3)</f>
        <v>1806575</v>
      </c>
      <c r="D29" s="4">
        <f>QUARTILE(DatiOriginali!G2702:G2801,3)</f>
        <v>555600</v>
      </c>
      <c r="E29" s="4">
        <f>QUARTILE(DatiOriginali!I2702:I2801,3)</f>
        <v>191100</v>
      </c>
      <c r="F29" s="4">
        <f>QUARTILE(DatiOriginali!K2702:K2801,3)</f>
        <v>212600</v>
      </c>
    </row>
    <row r="30" spans="1:6" x14ac:dyDescent="0.3">
      <c r="A30" s="1">
        <v>1450</v>
      </c>
      <c r="B30" s="4">
        <f>QUARTILE(DatiOriginali!C2802:C2901,3)</f>
        <v>10092700</v>
      </c>
      <c r="C30" s="4">
        <f>QUARTILE(DatiOriginali!E2802:E2901,3)</f>
        <v>1908725</v>
      </c>
      <c r="D30" s="4">
        <f>QUARTILE(DatiOriginali!G2802:G2901,3)</f>
        <v>574950</v>
      </c>
      <c r="E30" s="4">
        <f>QUARTILE(DatiOriginali!I2802:I2901,3)</f>
        <v>200550</v>
      </c>
      <c r="F30" s="4">
        <f>QUARTILE(DatiOriginali!K2802:K2901,3)</f>
        <v>220675</v>
      </c>
    </row>
    <row r="31" spans="1:6" x14ac:dyDescent="0.3">
      <c r="A31" s="1">
        <v>1500</v>
      </c>
      <c r="B31" s="4">
        <f>QUARTILE(DatiOriginali!C2902:C3001,3)</f>
        <v>10776150</v>
      </c>
      <c r="C31" s="4">
        <f>QUARTILE(DatiOriginali!E2902:E3001,3)</f>
        <v>2068225</v>
      </c>
      <c r="D31" s="4">
        <f>QUARTILE(DatiOriginali!G2902:G3001,3)</f>
        <v>591750</v>
      </c>
      <c r="E31" s="4">
        <f>QUARTILE(DatiOriginali!I2902:I3001,3)</f>
        <v>208000</v>
      </c>
      <c r="F31" s="4">
        <f>QUARTILE(DatiOriginali!K2902:K3001,3)</f>
        <v>228025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DE306-A68C-4787-830D-6B4375367109}">
  <dimension ref="A1:G31"/>
  <sheetViews>
    <sheetView workbookViewId="0">
      <selection activeCell="F5" sqref="F5"/>
    </sheetView>
  </sheetViews>
  <sheetFormatPr defaultRowHeight="14.4" x14ac:dyDescent="0.3"/>
  <cols>
    <col min="2" max="2" width="13.77734375" customWidth="1"/>
    <col min="3" max="3" width="16.33203125" customWidth="1"/>
    <col min="4" max="4" width="13.88671875" customWidth="1"/>
    <col min="5" max="5" width="14.109375" customWidth="1"/>
    <col min="6" max="6" width="21" customWidth="1"/>
    <col min="7" max="7" width="9.6640625" customWidth="1"/>
  </cols>
  <sheetData>
    <row r="1" spans="1:7" x14ac:dyDescent="0.3">
      <c r="A1" s="2" t="s">
        <v>3011</v>
      </c>
      <c r="B1" s="3" t="s">
        <v>2</v>
      </c>
      <c r="C1" s="3" t="s">
        <v>4</v>
      </c>
      <c r="D1" s="3" t="s">
        <v>6</v>
      </c>
      <c r="E1" s="3" t="s">
        <v>8</v>
      </c>
      <c r="F1" s="3" t="s">
        <v>10</v>
      </c>
      <c r="G1" s="3" t="s">
        <v>3012</v>
      </c>
    </row>
    <row r="2" spans="1:7" x14ac:dyDescent="0.3">
      <c r="A2" s="1">
        <v>50</v>
      </c>
      <c r="B2">
        <f xml:space="preserve"> Quartile3!B2 + G2 * (Quartile3!B2 - Quartile1!B2)</f>
        <v>1134125</v>
      </c>
      <c r="C2">
        <f xml:space="preserve"> Quartile3!C2 + G2 * (Quartile3!C2 - Quartile1!C2)</f>
        <v>338550</v>
      </c>
      <c r="D2">
        <f xml:space="preserve"> Quartile3!D2 + G2 * (Quartile3!D2 - Quartile1!D2)</f>
        <v>466500</v>
      </c>
      <c r="E2">
        <f xml:space="preserve"> Quartile3!E2 + G2 * (Quartile3!E2 - Quartile1!E2)</f>
        <v>263975</v>
      </c>
      <c r="F2">
        <f xml:space="preserve"> Quartile3!F2 + G2 * (Quartile3!F2 - Quartile1!F2)</f>
        <v>74700</v>
      </c>
      <c r="G2">
        <v>3</v>
      </c>
    </row>
    <row r="3" spans="1:7" x14ac:dyDescent="0.3">
      <c r="A3" s="1">
        <v>100</v>
      </c>
      <c r="B3">
        <f xml:space="preserve"> Quartile3!B3 + G3 * (Quartile3!B3 - Quartile1!B3)</f>
        <v>74800</v>
      </c>
      <c r="C3">
        <f xml:space="preserve"> Quartile3!C3 + G3 * (Quartile3!C3 - Quartile1!C3)</f>
        <v>488300</v>
      </c>
      <c r="D3">
        <f xml:space="preserve"> Quartile3!D3 + G3 * (Quartile3!D3 - Quartile1!D3)</f>
        <v>117900</v>
      </c>
      <c r="E3">
        <f xml:space="preserve"> Quartile3!E3 + G3 * (Quartile3!E3 - Quartile1!E3)</f>
        <v>18875</v>
      </c>
      <c r="F3">
        <f xml:space="preserve"> Quartile3!F3 + G3 * (Quartile3!F3 - Quartile1!F3)</f>
        <v>32875</v>
      </c>
      <c r="G3">
        <v>3</v>
      </c>
    </row>
    <row r="4" spans="1:7" x14ac:dyDescent="0.3">
      <c r="A4" s="1">
        <v>150</v>
      </c>
      <c r="B4">
        <f xml:space="preserve"> Quartile3!B4 + G4 * (Quartile3!B4 - Quartile1!B4)</f>
        <v>139250</v>
      </c>
      <c r="C4">
        <f xml:space="preserve"> Quartile3!C4 + G4 * (Quartile3!C4 - Quartile1!C4)</f>
        <v>46175</v>
      </c>
      <c r="D4">
        <f xml:space="preserve"> Quartile3!D4 + G4 * (Quartile3!D4 - Quartile1!D4)</f>
        <v>128650</v>
      </c>
      <c r="E4">
        <f xml:space="preserve"> Quartile3!E4 + G4 * (Quartile3!E4 - Quartile1!E4)</f>
        <v>30400</v>
      </c>
      <c r="F4">
        <f xml:space="preserve"> Quartile3!F4 + G4 * (Quartile3!F4 - Quartile1!F4)</f>
        <v>36975</v>
      </c>
      <c r="G4">
        <v>3</v>
      </c>
    </row>
    <row r="5" spans="1:7" x14ac:dyDescent="0.3">
      <c r="A5" s="1">
        <v>200</v>
      </c>
      <c r="B5">
        <f xml:space="preserve"> Quartile3!B5 + G5 * (Quartile3!B5 - Quartile1!B5)</f>
        <v>269750</v>
      </c>
      <c r="C5">
        <f xml:space="preserve"> Quartile3!C5 + G5 * (Quartile3!C5 - Quartile1!C5)</f>
        <v>114700</v>
      </c>
      <c r="D5">
        <f xml:space="preserve"> Quartile3!D5 + G5 * (Quartile3!D5 - Quartile1!D5)</f>
        <v>162175</v>
      </c>
      <c r="E5">
        <f xml:space="preserve"> Quartile3!E5 + G5 * (Quartile3!E5 - Quartile1!E5)</f>
        <v>42300</v>
      </c>
      <c r="F5">
        <f xml:space="preserve"> Quartile3!F5 + G5 * (Quartile3!F5 - Quartile1!F5)</f>
        <v>54000</v>
      </c>
      <c r="G5">
        <v>3</v>
      </c>
    </row>
    <row r="6" spans="1:7" x14ac:dyDescent="0.3">
      <c r="A6" s="1">
        <v>250</v>
      </c>
      <c r="B6">
        <f xml:space="preserve"> Quartile3!B6 + G6 * (Quartile3!B6 - Quartile1!B6)</f>
        <v>429725</v>
      </c>
      <c r="C6">
        <f xml:space="preserve"> Quartile3!C6 + G6 * (Quartile3!C6 - Quartile1!C6)</f>
        <v>165400</v>
      </c>
      <c r="D6">
        <f xml:space="preserve"> Quartile3!D6 + G6 * (Quartile3!D6 - Quartile1!D6)</f>
        <v>223525</v>
      </c>
      <c r="E6">
        <f xml:space="preserve"> Quartile3!E6 + G6 * (Quartile3!E6 - Quartile1!E6)</f>
        <v>52100</v>
      </c>
      <c r="F6">
        <f xml:space="preserve"> Quartile3!F6 + G6 * (Quartile3!F6 - Quartile1!F6)</f>
        <v>58200</v>
      </c>
      <c r="G6">
        <v>3</v>
      </c>
    </row>
    <row r="7" spans="1:7" x14ac:dyDescent="0.3">
      <c r="A7" s="1">
        <v>300</v>
      </c>
      <c r="B7">
        <f xml:space="preserve"> Quartile3!B7 + G7 * (Quartile3!B7 - Quartile1!B7)</f>
        <v>447550</v>
      </c>
      <c r="C7">
        <f xml:space="preserve"> Quartile3!C7 + G7 * (Quartile3!C7 - Quartile1!C7)</f>
        <v>124950</v>
      </c>
      <c r="D7">
        <f xml:space="preserve"> Quartile3!D7 + G7 * (Quartile3!D7 - Quartile1!D7)</f>
        <v>160125</v>
      </c>
      <c r="E7">
        <f xml:space="preserve"> Quartile3!E7 + G7 * (Quartile3!E7 - Quartile1!E7)</f>
        <v>38300</v>
      </c>
      <c r="F7">
        <f xml:space="preserve"> Quartile3!F7 + G7 * (Quartile3!F7 - Quartile1!F7)</f>
        <v>46300</v>
      </c>
      <c r="G7">
        <v>3</v>
      </c>
    </row>
    <row r="8" spans="1:7" x14ac:dyDescent="0.3">
      <c r="A8" s="1">
        <v>350</v>
      </c>
      <c r="B8">
        <f xml:space="preserve"> Quartile3!B8 + G8 * (Quartile3!B8 - Quartile1!B8)</f>
        <v>642075</v>
      </c>
      <c r="C8">
        <f xml:space="preserve"> Quartile3!C8 + G8 * (Quartile3!C8 - Quartile1!C8)</f>
        <v>195200</v>
      </c>
      <c r="D8">
        <f xml:space="preserve"> Quartile3!D8 + G8 * (Quartile3!D8 - Quartile1!D8)</f>
        <v>242200</v>
      </c>
      <c r="E8">
        <f xml:space="preserve"> Quartile3!E8 + G8 * (Quartile3!E8 - Quartile1!E8)</f>
        <v>66600</v>
      </c>
      <c r="F8">
        <f xml:space="preserve"> Quartile3!F8 + G8 * (Quartile3!F8 - Quartile1!F8)</f>
        <v>75800</v>
      </c>
      <c r="G8">
        <v>3</v>
      </c>
    </row>
    <row r="9" spans="1:7" x14ac:dyDescent="0.3">
      <c r="A9" s="1">
        <v>400</v>
      </c>
      <c r="B9">
        <f xml:space="preserve"> Quartile3!B9 + G9 * (Quartile3!B9 - Quartile1!B9)</f>
        <v>875825</v>
      </c>
      <c r="C9">
        <f xml:space="preserve"> Quartile3!C9 + G9 * (Quartile3!C9 - Quartile1!C9)</f>
        <v>209000</v>
      </c>
      <c r="D9">
        <f xml:space="preserve"> Quartile3!D9 + G9 * (Quartile3!D9 - Quartile1!D9)</f>
        <v>249525</v>
      </c>
      <c r="E9">
        <f xml:space="preserve"> Quartile3!E9 + G9 * (Quartile3!E9 - Quartile1!E9)</f>
        <v>74775</v>
      </c>
      <c r="F9">
        <f xml:space="preserve"> Quartile3!F9 + G9 * (Quartile3!F9 - Quartile1!F9)</f>
        <v>81075</v>
      </c>
      <c r="G9">
        <v>3</v>
      </c>
    </row>
    <row r="10" spans="1:7" x14ac:dyDescent="0.3">
      <c r="A10" s="1">
        <v>450</v>
      </c>
      <c r="B10">
        <f xml:space="preserve"> Quartile3!B10 + G10 * (Quartile3!B10 - Quartile1!B10)</f>
        <v>1127900</v>
      </c>
      <c r="C10">
        <f xml:space="preserve"> Quartile3!C10 + G10 * (Quartile3!C10 - Quartile1!C10)</f>
        <v>327450</v>
      </c>
      <c r="D10">
        <f xml:space="preserve"> Quartile3!D10 + G10 * (Quartile3!D10 - Quartile1!D10)</f>
        <v>261375</v>
      </c>
      <c r="E10">
        <f xml:space="preserve"> Quartile3!E10 + G10 * (Quartile3!E10 - Quartile1!E10)</f>
        <v>74975</v>
      </c>
      <c r="F10">
        <f xml:space="preserve"> Quartile3!F10 + G10 * (Quartile3!F10 - Quartile1!F10)</f>
        <v>69675</v>
      </c>
      <c r="G10">
        <v>3</v>
      </c>
    </row>
    <row r="11" spans="1:7" x14ac:dyDescent="0.3">
      <c r="A11" s="1">
        <v>500</v>
      </c>
      <c r="B11">
        <f xml:space="preserve"> Quartile3!B11 + G11 * (Quartile3!B11 - Quartile1!B11)</f>
        <v>1580525</v>
      </c>
      <c r="C11">
        <f xml:space="preserve"> Quartile3!C11 + G11 * (Quartile3!C11 - Quartile1!C11)</f>
        <v>397000</v>
      </c>
      <c r="D11">
        <f xml:space="preserve"> Quartile3!D11 + G11 * (Quartile3!D11 - Quartile1!D11)</f>
        <v>300500</v>
      </c>
      <c r="E11">
        <f xml:space="preserve"> Quartile3!E11 + G11 * (Quartile3!E11 - Quartile1!E11)</f>
        <v>94800</v>
      </c>
      <c r="F11">
        <f xml:space="preserve"> Quartile3!F11 + G11 * (Quartile3!F11 - Quartile1!F11)</f>
        <v>95800</v>
      </c>
      <c r="G11">
        <v>3</v>
      </c>
    </row>
    <row r="12" spans="1:7" x14ac:dyDescent="0.3">
      <c r="A12" s="1">
        <v>550</v>
      </c>
      <c r="B12">
        <f xml:space="preserve"> Quartile3!B12 + G12 * (Quartile3!B12 - Quartile1!B12)</f>
        <v>1831400</v>
      </c>
      <c r="C12">
        <f xml:space="preserve"> Quartile3!C12 + G12 * (Quartile3!C12 - Quartile1!C12)</f>
        <v>470850</v>
      </c>
      <c r="D12">
        <f xml:space="preserve"> Quartile3!D12 + G12 * (Quartile3!D12 - Quartile1!D12)</f>
        <v>243650</v>
      </c>
      <c r="E12">
        <f xml:space="preserve"> Quartile3!E12 + G12 * (Quartile3!E12 - Quartile1!E12)</f>
        <v>76275</v>
      </c>
      <c r="F12">
        <f xml:space="preserve"> Quartile3!F12 + G12 * (Quartile3!F12 - Quartile1!F12)</f>
        <v>86700</v>
      </c>
      <c r="G12">
        <v>3</v>
      </c>
    </row>
    <row r="13" spans="1:7" x14ac:dyDescent="0.3">
      <c r="A13" s="1">
        <v>600</v>
      </c>
      <c r="B13">
        <f xml:space="preserve"> Quartile3!B13 + G13 * (Quartile3!B13 - Quartile1!B13)</f>
        <v>2208975</v>
      </c>
      <c r="C13">
        <f xml:space="preserve"> Quartile3!C13 + G13 * (Quartile3!C13 - Quartile1!C13)</f>
        <v>406100</v>
      </c>
      <c r="D13">
        <f xml:space="preserve"> Quartile3!D13 + G13 * (Quartile3!D13 - Quartile1!D13)</f>
        <v>241025</v>
      </c>
      <c r="E13">
        <f xml:space="preserve"> Quartile3!E13 + G13 * (Quartile3!E13 - Quartile1!E13)</f>
        <v>79275</v>
      </c>
      <c r="F13">
        <f xml:space="preserve"> Quartile3!F13 + G13 * (Quartile3!F13 - Quartile1!F13)</f>
        <v>91000</v>
      </c>
      <c r="G13">
        <v>3</v>
      </c>
    </row>
    <row r="14" spans="1:7" x14ac:dyDescent="0.3">
      <c r="A14" s="1">
        <v>650</v>
      </c>
      <c r="B14">
        <f xml:space="preserve"> Quartile3!B14 + G14 * (Quartile3!B14 - Quartile1!B14)</f>
        <v>2426225</v>
      </c>
      <c r="C14">
        <f xml:space="preserve"> Quartile3!C14 + G14 * (Quartile3!C14 - Quartile1!C14)</f>
        <v>479575</v>
      </c>
      <c r="D14">
        <f xml:space="preserve"> Quartile3!D14 + G14 * (Quartile3!D14 - Quartile1!D14)</f>
        <v>247100</v>
      </c>
      <c r="E14">
        <f xml:space="preserve"> Quartile3!E14 + G14 * (Quartile3!E14 - Quartile1!E14)</f>
        <v>86175</v>
      </c>
      <c r="F14">
        <f xml:space="preserve"> Quartile3!F14 + G14 * (Quartile3!F14 - Quartile1!F14)</f>
        <v>96675</v>
      </c>
      <c r="G14">
        <v>3</v>
      </c>
    </row>
    <row r="15" spans="1:7" x14ac:dyDescent="0.3">
      <c r="A15" s="1">
        <v>700</v>
      </c>
      <c r="B15">
        <f xml:space="preserve"> Quartile3!B15 + G15 * (Quartile3!B15 - Quartile1!B15)</f>
        <v>2766350</v>
      </c>
      <c r="C15">
        <f xml:space="preserve"> Quartile3!C15 + G15 * (Quartile3!C15 - Quartile1!C15)</f>
        <v>546450</v>
      </c>
      <c r="D15">
        <f xml:space="preserve"> Quartile3!D15 + G15 * (Quartile3!D15 - Quartile1!D15)</f>
        <v>269000</v>
      </c>
      <c r="E15">
        <f xml:space="preserve"> Quartile3!E15 + G15 * (Quartile3!E15 - Quartile1!E15)</f>
        <v>93200</v>
      </c>
      <c r="F15">
        <f xml:space="preserve"> Quartile3!F15 + G15 * (Quartile3!F15 - Quartile1!F15)</f>
        <v>108100</v>
      </c>
      <c r="G15">
        <v>3</v>
      </c>
    </row>
    <row r="16" spans="1:7" x14ac:dyDescent="0.3">
      <c r="A16" s="1">
        <v>750</v>
      </c>
      <c r="B16">
        <f xml:space="preserve"> Quartile3!B16 + G16 * (Quartile3!B16 - Quartile1!B16)</f>
        <v>3171375</v>
      </c>
      <c r="C16">
        <f xml:space="preserve"> Quartile3!C16 + G16 * (Quartile3!C16 - Quartile1!C16)</f>
        <v>584100</v>
      </c>
      <c r="D16">
        <f xml:space="preserve"> Quartile3!D16 + G16 * (Quartile3!D16 - Quartile1!D16)</f>
        <v>290900</v>
      </c>
      <c r="E16">
        <f xml:space="preserve"> Quartile3!E16 + G16 * (Quartile3!E16 - Quartile1!E16)</f>
        <v>107300</v>
      </c>
      <c r="F16">
        <f xml:space="preserve"> Quartile3!F16 + G16 * (Quartile3!F16 - Quartile1!F16)</f>
        <v>115475</v>
      </c>
      <c r="G16">
        <v>3</v>
      </c>
    </row>
    <row r="17" spans="1:7" x14ac:dyDescent="0.3">
      <c r="A17" s="1">
        <v>800</v>
      </c>
      <c r="B17">
        <f xml:space="preserve"> Quartile3!B17 + G17 * (Quartile3!B17 - Quartile1!B17)</f>
        <v>3098675</v>
      </c>
      <c r="C17">
        <f xml:space="preserve"> Quartile3!C17 + G17 * (Quartile3!C17 - Quartile1!C17)</f>
        <v>662075</v>
      </c>
      <c r="D17">
        <f xml:space="preserve"> Quartile3!D17 + G17 * (Quartile3!D17 - Quartile1!D17)</f>
        <v>313925</v>
      </c>
      <c r="E17">
        <f xml:space="preserve"> Quartile3!E17 + G17 * (Quartile3!E17 - Quartile1!E17)</f>
        <v>112800</v>
      </c>
      <c r="F17">
        <f xml:space="preserve"> Quartile3!F17 + G17 * (Quartile3!F17 - Quartile1!F17)</f>
        <v>123075</v>
      </c>
      <c r="G17">
        <v>3</v>
      </c>
    </row>
    <row r="18" spans="1:7" x14ac:dyDescent="0.3">
      <c r="A18" s="1">
        <v>850</v>
      </c>
      <c r="B18">
        <f xml:space="preserve"> Quartile3!B18 + G18 * (Quartile3!B18 - Quartile1!B18)</f>
        <v>3799850</v>
      </c>
      <c r="C18">
        <f xml:space="preserve"> Quartile3!C18 + G18 * (Quartile3!C18 - Quartile1!C18)</f>
        <v>748675</v>
      </c>
      <c r="D18">
        <f xml:space="preserve"> Quartile3!D18 + G18 * (Quartile3!D18 - Quartile1!D18)</f>
        <v>336000</v>
      </c>
      <c r="E18">
        <f xml:space="preserve"> Quartile3!E18 + G18 * (Quartile3!E18 - Quartile1!E18)</f>
        <v>114550</v>
      </c>
      <c r="F18">
        <f xml:space="preserve"> Quartile3!F18 + G18 * (Quartile3!F18 - Quartile1!F18)</f>
        <v>129500</v>
      </c>
      <c r="G18">
        <v>3</v>
      </c>
    </row>
    <row r="19" spans="1:7" x14ac:dyDescent="0.3">
      <c r="A19" s="1">
        <v>900</v>
      </c>
      <c r="B19">
        <f xml:space="preserve"> Quartile3!B19 + G19 * (Quartile3!B19 - Quartile1!B19)</f>
        <v>3966925</v>
      </c>
      <c r="C19">
        <f xml:space="preserve"> Quartile3!C19 + G19 * (Quartile3!C19 - Quartile1!C19)</f>
        <v>805150</v>
      </c>
      <c r="D19">
        <f xml:space="preserve"> Quartile3!D19 + G19 * (Quartile3!D19 - Quartile1!D19)</f>
        <v>350975</v>
      </c>
      <c r="E19">
        <f xml:space="preserve"> Quartile3!E19 + G19 * (Quartile3!E19 - Quartile1!E19)</f>
        <v>125975</v>
      </c>
      <c r="F19">
        <f xml:space="preserve"> Quartile3!F19 + G19 * (Quartile3!F19 - Quartile1!F19)</f>
        <v>142075</v>
      </c>
      <c r="G19">
        <v>3</v>
      </c>
    </row>
    <row r="20" spans="1:7" x14ac:dyDescent="0.3">
      <c r="A20" s="1">
        <v>950</v>
      </c>
      <c r="B20">
        <f xml:space="preserve"> Quartile3!B20 + G20 * (Quartile3!B20 - Quartile1!B20)</f>
        <v>4868150</v>
      </c>
      <c r="C20">
        <f xml:space="preserve"> Quartile3!C20 + G20 * (Quartile3!C20 - Quartile1!C20)</f>
        <v>901150</v>
      </c>
      <c r="D20">
        <f xml:space="preserve"> Quartile3!D20 + G20 * (Quartile3!D20 - Quartile1!D20)</f>
        <v>373550</v>
      </c>
      <c r="E20">
        <f xml:space="preserve"> Quartile3!E20 + G20 * (Quartile3!E20 - Quartile1!E20)</f>
        <v>135400</v>
      </c>
      <c r="F20">
        <f xml:space="preserve"> Quartile3!F20 + G20 * (Quartile3!F20 - Quartile1!F20)</f>
        <v>152600</v>
      </c>
      <c r="G20">
        <v>3</v>
      </c>
    </row>
    <row r="21" spans="1:7" x14ac:dyDescent="0.3">
      <c r="A21" s="1">
        <v>1000</v>
      </c>
      <c r="B21">
        <f xml:space="preserve"> Quartile3!B21 + G21 * (Quartile3!B21 - Quartile1!B21)</f>
        <v>5145150</v>
      </c>
      <c r="C21">
        <f xml:space="preserve"> Quartile3!C21 + G21 * (Quartile3!C21 - Quartile1!C21)</f>
        <v>1066275</v>
      </c>
      <c r="D21">
        <f xml:space="preserve"> Quartile3!D21 + G21 * (Quartile3!D21 - Quartile1!D21)</f>
        <v>407900</v>
      </c>
      <c r="E21">
        <f xml:space="preserve"> Quartile3!E21 + G21 * (Quartile3!E21 - Quartile1!E21)</f>
        <v>146600</v>
      </c>
      <c r="F21">
        <f xml:space="preserve"> Quartile3!F21 + G21 * (Quartile3!F21 - Quartile1!F21)</f>
        <v>160700</v>
      </c>
      <c r="G21">
        <v>3</v>
      </c>
    </row>
    <row r="22" spans="1:7" x14ac:dyDescent="0.3">
      <c r="A22" s="1">
        <v>1050</v>
      </c>
      <c r="B22">
        <f xml:space="preserve"> Quartile3!B22 + G22 * (Quartile3!B22 - Quartile1!B22)</f>
        <v>5874075</v>
      </c>
      <c r="C22">
        <f xml:space="preserve"> Quartile3!C22 + G22 * (Quartile3!C22 - Quartile1!C22)</f>
        <v>1164550</v>
      </c>
      <c r="D22">
        <f xml:space="preserve"> Quartile3!D22 + G22 * (Quartile3!D22 - Quartile1!D22)</f>
        <v>436200</v>
      </c>
      <c r="E22">
        <f xml:space="preserve"> Quartile3!E22 + G22 * (Quartile3!E22 - Quartile1!E22)</f>
        <v>153200</v>
      </c>
      <c r="F22">
        <f xml:space="preserve"> Quartile3!F22 + G22 * (Quartile3!F22 - Quartile1!F22)</f>
        <v>164300</v>
      </c>
      <c r="G22">
        <v>3</v>
      </c>
    </row>
    <row r="23" spans="1:7" x14ac:dyDescent="0.3">
      <c r="A23" s="1">
        <v>1100</v>
      </c>
      <c r="B23">
        <f xml:space="preserve"> Quartile3!B23 + G23 * (Quartile3!B23 - Quartile1!B23)</f>
        <v>6234500</v>
      </c>
      <c r="C23">
        <f xml:space="preserve"> Quartile3!C23 + G23 * (Quartile3!C23 - Quartile1!C23)</f>
        <v>1225825</v>
      </c>
      <c r="D23">
        <f xml:space="preserve"> Quartile3!D23 + G23 * (Quartile3!D23 - Quartile1!D23)</f>
        <v>452075</v>
      </c>
      <c r="E23">
        <f xml:space="preserve"> Quartile3!E23 + G23 * (Quartile3!E23 - Quartile1!E23)</f>
        <v>160700</v>
      </c>
      <c r="F23">
        <f xml:space="preserve"> Quartile3!F23 + G23 * (Quartile3!F23 - Quartile1!F23)</f>
        <v>175400</v>
      </c>
      <c r="G23">
        <v>3</v>
      </c>
    </row>
    <row r="24" spans="1:7" x14ac:dyDescent="0.3">
      <c r="A24" s="1">
        <v>1150</v>
      </c>
      <c r="B24">
        <f xml:space="preserve"> Quartile3!B24 + G24 * (Quartile3!B24 - Quartile1!B24)</f>
        <v>6937550</v>
      </c>
      <c r="C24">
        <f xml:space="preserve"> Quartile3!C24 + G24 * (Quartile3!C24 - Quartile1!C24)</f>
        <v>1344875</v>
      </c>
      <c r="D24">
        <f xml:space="preserve"> Quartile3!D24 + G24 * (Quartile3!D24 - Quartile1!D24)</f>
        <v>465575</v>
      </c>
      <c r="E24">
        <f xml:space="preserve"> Quartile3!E24 + G24 * (Quartile3!E24 - Quartile1!E24)</f>
        <v>164675</v>
      </c>
      <c r="F24">
        <f xml:space="preserve"> Quartile3!F24 + G24 * (Quartile3!F24 - Quartile1!F24)</f>
        <v>191275</v>
      </c>
      <c r="G24">
        <v>3</v>
      </c>
    </row>
    <row r="25" spans="1:7" x14ac:dyDescent="0.3">
      <c r="A25" s="1">
        <v>1200</v>
      </c>
      <c r="B25">
        <f xml:space="preserve"> Quartile3!B25 + G25 * (Quartile3!B25 - Quartile1!B25)</f>
        <v>7366050</v>
      </c>
      <c r="C25">
        <f xml:space="preserve"> Quartile3!C25 + G25 * (Quartile3!C25 - Quartile1!C25)</f>
        <v>1476800</v>
      </c>
      <c r="D25">
        <f xml:space="preserve"> Quartile3!D25 + G25 * (Quartile3!D25 - Quartile1!D25)</f>
        <v>481850</v>
      </c>
      <c r="E25">
        <f xml:space="preserve"> Quartile3!E25 + G25 * (Quartile3!E25 - Quartile1!E25)</f>
        <v>174800</v>
      </c>
      <c r="F25">
        <f xml:space="preserve"> Quartile3!F25 + G25 * (Quartile3!F25 - Quartile1!F25)</f>
        <v>191475</v>
      </c>
      <c r="G25">
        <v>3</v>
      </c>
    </row>
    <row r="26" spans="1:7" x14ac:dyDescent="0.3">
      <c r="A26" s="1">
        <v>1250</v>
      </c>
      <c r="B26">
        <f xml:space="preserve"> Quartile3!B26 + G26 * (Quartile3!B26 - Quartile1!B26)</f>
        <v>8337275</v>
      </c>
      <c r="C26">
        <f xml:space="preserve"> Quartile3!C26 + G26 * (Quartile3!C26 - Quartile1!C26)</f>
        <v>1719250</v>
      </c>
      <c r="D26">
        <f xml:space="preserve"> Quartile3!D26 + G26 * (Quartile3!D26 - Quartile1!D26)</f>
        <v>521875</v>
      </c>
      <c r="E26">
        <f xml:space="preserve"> Quartile3!E26 + G26 * (Quartile3!E26 - Quartile1!E26)</f>
        <v>187750</v>
      </c>
      <c r="F26">
        <f xml:space="preserve"> Quartile3!F26 + G26 * (Quartile3!F26 - Quartile1!F26)</f>
        <v>202250</v>
      </c>
      <c r="G26">
        <v>3</v>
      </c>
    </row>
    <row r="27" spans="1:7" x14ac:dyDescent="0.3">
      <c r="A27" s="1">
        <v>1300</v>
      </c>
      <c r="B27">
        <f xml:space="preserve"> Quartile3!B27 + G27 * (Quartile3!B27 - Quartile1!B27)</f>
        <v>8897675</v>
      </c>
      <c r="C27">
        <f xml:space="preserve"> Quartile3!C27 + G27 * (Quartile3!C27 - Quartile1!C27)</f>
        <v>1736750</v>
      </c>
      <c r="D27">
        <f xml:space="preserve"> Quartile3!D27 + G27 * (Quartile3!D27 - Quartile1!D27)</f>
        <v>538550</v>
      </c>
      <c r="E27">
        <f xml:space="preserve"> Quartile3!E27 + G27 * (Quartile3!E27 - Quartile1!E27)</f>
        <v>196700</v>
      </c>
      <c r="F27">
        <f xml:space="preserve"> Quartile3!F27 + G27 * (Quartile3!F27 - Quartile1!F27)</f>
        <v>210375</v>
      </c>
      <c r="G27">
        <v>3</v>
      </c>
    </row>
    <row r="28" spans="1:7" x14ac:dyDescent="0.3">
      <c r="A28" s="1">
        <v>1350</v>
      </c>
      <c r="B28">
        <f xml:space="preserve"> Quartile3!B28 + G28 * (Quartile3!B28 - Quartile1!B28)</f>
        <v>9373275</v>
      </c>
      <c r="C28">
        <f xml:space="preserve"> Quartile3!C28 + G28 * (Quartile3!C28 - Quartile1!C28)</f>
        <v>1806350</v>
      </c>
      <c r="D28">
        <f xml:space="preserve"> Quartile3!D28 + G28 * (Quartile3!D28 - Quartile1!D28)</f>
        <v>559875</v>
      </c>
      <c r="E28">
        <f xml:space="preserve"> Quartile3!E28 + G28 * (Quartile3!E28 - Quartile1!E28)</f>
        <v>200875</v>
      </c>
      <c r="F28">
        <f xml:space="preserve"> Quartile3!F28 + G28 * (Quartile3!F28 - Quartile1!F28)</f>
        <v>219300</v>
      </c>
      <c r="G28">
        <v>3</v>
      </c>
    </row>
    <row r="29" spans="1:7" x14ac:dyDescent="0.3">
      <c r="A29" s="1">
        <v>1400</v>
      </c>
      <c r="B29">
        <f xml:space="preserve"> Quartile3!B29 + G29 * (Quartile3!B29 - Quartile1!B29)</f>
        <v>10161350</v>
      </c>
      <c r="C29">
        <f xml:space="preserve"> Quartile3!C29 + G29 * (Quartile3!C29 - Quartile1!C29)</f>
        <v>2156000</v>
      </c>
      <c r="D29">
        <f xml:space="preserve"> Quartile3!D29 + G29 * (Quartile3!D29 - Quartile1!D29)</f>
        <v>597150</v>
      </c>
      <c r="E29">
        <f xml:space="preserve"> Quartile3!E29 + G29 * (Quartile3!E29 - Quartile1!E29)</f>
        <v>206700</v>
      </c>
      <c r="F29">
        <f xml:space="preserve"> Quartile3!F29 + G29 * (Quartile3!F29 - Quartile1!F29)</f>
        <v>233975</v>
      </c>
      <c r="G29">
        <v>3</v>
      </c>
    </row>
    <row r="30" spans="1:7" x14ac:dyDescent="0.3">
      <c r="A30" s="1">
        <v>1450</v>
      </c>
      <c r="B30">
        <f xml:space="preserve"> Quartile3!B30 + G30 * (Quartile3!B30 - Quartile1!B30)</f>
        <v>11659525</v>
      </c>
      <c r="C30">
        <f xml:space="preserve"> Quartile3!C30 + G30 * (Quartile3!C30 - Quartile1!C30)</f>
        <v>2216750</v>
      </c>
      <c r="D30">
        <f xml:space="preserve"> Quartile3!D30 + G30 * (Quartile3!D30 - Quartile1!D30)</f>
        <v>610575</v>
      </c>
      <c r="E30">
        <f xml:space="preserve"> Quartile3!E30 + G30 * (Quartile3!E30 - Quartile1!E30)</f>
        <v>220350</v>
      </c>
      <c r="F30">
        <f xml:space="preserve"> Quartile3!F30 + G30 * (Quartile3!F30 - Quartile1!F30)</f>
        <v>243325</v>
      </c>
      <c r="G30">
        <v>3</v>
      </c>
    </row>
    <row r="31" spans="1:7" x14ac:dyDescent="0.3">
      <c r="A31" s="1">
        <v>1500</v>
      </c>
      <c r="B31">
        <f xml:space="preserve"> Quartile3!B31 + G31 * (Quartile3!B31 - Quartile1!B31)</f>
        <v>12096300</v>
      </c>
      <c r="C31">
        <f xml:space="preserve"> Quartile3!C31 + G31 * (Quartile3!C31 - Quartile1!C31)</f>
        <v>2439775</v>
      </c>
      <c r="D31">
        <f xml:space="preserve"> Quartile3!D31 + G31 * (Quartile3!D31 - Quartile1!D31)</f>
        <v>627675</v>
      </c>
      <c r="E31">
        <f xml:space="preserve"> Quartile3!E31 + G31 * (Quartile3!E31 - Quartile1!E31)</f>
        <v>229375</v>
      </c>
      <c r="F31">
        <f xml:space="preserve"> Quartile3!F31 + G31 * (Quartile3!F31 - Quartile1!F31)</f>
        <v>246400</v>
      </c>
      <c r="G3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4CD5-FCAD-4822-9376-36EE1FFAB414}">
  <dimension ref="A1:K3001"/>
  <sheetViews>
    <sheetView topLeftCell="A2977" workbookViewId="0">
      <selection activeCell="E8" sqref="E8"/>
    </sheetView>
  </sheetViews>
  <sheetFormatPr defaultRowHeight="14.4" x14ac:dyDescent="0.3"/>
  <cols>
    <col min="1" max="1" width="11.44140625" bestFit="1" customWidth="1"/>
    <col min="2" max="2" width="19" style="4" bestFit="1" customWidth="1"/>
    <col min="3" max="3" width="15.44140625" style="4" bestFit="1" customWidth="1"/>
    <col min="4" max="4" width="20.5546875" style="4" bestFit="1" customWidth="1"/>
    <col min="5" max="5" width="16.88671875" style="4" bestFit="1" customWidth="1"/>
    <col min="6" max="6" width="18.109375" bestFit="1" customWidth="1"/>
    <col min="7" max="7" width="14.44140625" bestFit="1" customWidth="1"/>
    <col min="8" max="8" width="18" bestFit="1" customWidth="1"/>
    <col min="9" max="9" width="14.33203125" bestFit="1" customWidth="1"/>
    <col min="10" max="10" width="25.109375" bestFit="1" customWidth="1"/>
    <col min="11" max="11" width="21.44140625" bestFit="1" customWidth="1"/>
  </cols>
  <sheetData>
    <row r="1" spans="1:1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">
      <c r="A2" s="4" t="s">
        <v>11</v>
      </c>
      <c r="B2" s="4">
        <v>1225</v>
      </c>
      <c r="C2" s="4" t="str">
        <f>IF(DatiOriginali!C2 &gt;= SogliaPicchi!$B$2,"",DatiOriginali!C2)</f>
        <v/>
      </c>
      <c r="D2" s="4">
        <v>672</v>
      </c>
      <c r="E2" s="4">
        <f>IF(DatiOriginali!E2 &gt;= SogliaPicchi!$B$2,"",DatiOriginali!E2)</f>
        <v>187400</v>
      </c>
      <c r="F2" s="4">
        <v>226</v>
      </c>
      <c r="G2" s="4">
        <f>IF(DatiOriginali!G2 &gt;= SogliaPicchi!$B$2,"",DatiOriginali!G2)</f>
        <v>462800</v>
      </c>
      <c r="H2" s="4">
        <v>216</v>
      </c>
      <c r="I2" s="4">
        <f>IF(DatiOriginali!I2 &gt;= SogliaPicchi!$B$2,"",DatiOriginali!I2)</f>
        <v>147400</v>
      </c>
      <c r="J2" s="4">
        <v>258</v>
      </c>
      <c r="K2" s="4">
        <f>IF(DatiOriginali!K2 &gt;= SogliaPicchi!$B$2,"",DatiOriginali!K2)</f>
        <v>213700</v>
      </c>
    </row>
    <row r="3" spans="1:11" x14ac:dyDescent="0.3">
      <c r="A3" s="4" t="s">
        <v>12</v>
      </c>
      <c r="B3" s="4">
        <v>1225</v>
      </c>
      <c r="C3" s="4">
        <f>IF(DatiOriginali!C3 &gt;= SogliaPicchi!$B$2,"",DatiOriginali!C3)</f>
        <v>307000</v>
      </c>
      <c r="D3" s="4">
        <v>620</v>
      </c>
      <c r="E3" s="4">
        <f>IF(DatiOriginali!E3 &gt;= SogliaPicchi!$B$2,"",DatiOriginali!E3)</f>
        <v>138800</v>
      </c>
      <c r="F3" s="4">
        <v>452</v>
      </c>
      <c r="G3" s="4">
        <f>IF(DatiOriginali!G3 &gt;= SogliaPicchi!$B$2,"",DatiOriginali!G3)</f>
        <v>339500</v>
      </c>
      <c r="H3" s="4">
        <v>477</v>
      </c>
      <c r="I3" s="4">
        <f>IF(DatiOriginali!I3 &gt;= SogliaPicchi!$B$2,"",DatiOriginali!I3)</f>
        <v>85600</v>
      </c>
      <c r="J3" s="4">
        <v>485</v>
      </c>
      <c r="K3" s="4">
        <f>IF(DatiOriginali!K3 &gt;= SogliaPicchi!$B$2,"",DatiOriginali!K3)</f>
        <v>141400</v>
      </c>
    </row>
    <row r="4" spans="1:11" x14ac:dyDescent="0.3">
      <c r="A4" s="4" t="s">
        <v>13</v>
      </c>
      <c r="B4" s="4">
        <v>1225</v>
      </c>
      <c r="C4" s="4">
        <f>IF(DatiOriginali!C4 &gt;= SogliaPicchi!$B$2,"",DatiOriginali!C4)</f>
        <v>728600</v>
      </c>
      <c r="D4" s="4">
        <v>752</v>
      </c>
      <c r="E4" s="4">
        <f>IF(DatiOriginali!E4 &gt;= SogliaPicchi!$B$2,"",DatiOriginali!E4)</f>
        <v>273300</v>
      </c>
      <c r="F4" s="4">
        <v>677</v>
      </c>
      <c r="G4" s="4">
        <f>IF(DatiOriginali!G4 &gt;= SogliaPicchi!$B$2,"",DatiOriginali!G4)</f>
        <v>327300</v>
      </c>
      <c r="H4" s="4">
        <v>705</v>
      </c>
      <c r="I4" s="4">
        <f>IF(DatiOriginali!I4 &gt;= SogliaPicchi!$B$2,"",DatiOriginali!I4)</f>
        <v>82500</v>
      </c>
      <c r="J4" s="4">
        <v>829</v>
      </c>
      <c r="K4" s="4">
        <f>IF(DatiOriginali!K4 &gt;= SogliaPicchi!$B$2,"",DatiOriginali!K4)</f>
        <v>161100</v>
      </c>
    </row>
    <row r="5" spans="1:11" x14ac:dyDescent="0.3">
      <c r="A5" s="4" t="s">
        <v>14</v>
      </c>
      <c r="B5" s="4">
        <v>1225</v>
      </c>
      <c r="C5" s="4">
        <f>IF(DatiOriginali!C5 &gt;= SogliaPicchi!$B$2,"",DatiOriginali!C5)</f>
        <v>396200</v>
      </c>
      <c r="D5" s="4">
        <v>733</v>
      </c>
      <c r="E5" s="4">
        <f>IF(DatiOriginali!E5 &gt;= SogliaPicchi!$B$2,"",DatiOriginali!E5)</f>
        <v>186100</v>
      </c>
      <c r="F5" s="4">
        <v>899</v>
      </c>
      <c r="G5" s="4">
        <f>IF(DatiOriginali!G5 &gt;= SogliaPicchi!$B$2,"",DatiOriginali!G5)</f>
        <v>229800</v>
      </c>
      <c r="H5" s="4">
        <v>965</v>
      </c>
      <c r="I5" s="4">
        <f>IF(DatiOriginali!I5 &gt;= SogliaPicchi!$B$2,"",DatiOriginali!I5)</f>
        <v>85600</v>
      </c>
      <c r="J5" s="4">
        <v>1089</v>
      </c>
      <c r="K5" s="4">
        <f>IF(DatiOriginali!K5 &gt;= SogliaPicchi!$B$2,"",DatiOriginali!K5)</f>
        <v>108100</v>
      </c>
    </row>
    <row r="6" spans="1:11" x14ac:dyDescent="0.3">
      <c r="A6" s="4" t="s">
        <v>15</v>
      </c>
      <c r="B6" s="4">
        <v>1225</v>
      </c>
      <c r="C6" s="4">
        <f>IF(DatiOriginali!C6 &gt;= SogliaPicchi!$B$2,"",DatiOriginali!C6)</f>
        <v>457000</v>
      </c>
      <c r="D6" s="4">
        <v>718</v>
      </c>
      <c r="E6" s="4">
        <f>IF(DatiOriginali!E6 &gt;= SogliaPicchi!$B$2,"",DatiOriginali!E6)</f>
        <v>211900</v>
      </c>
      <c r="F6" s="4">
        <v>1118</v>
      </c>
      <c r="G6" s="4">
        <f>IF(DatiOriginali!G6 &gt;= SogliaPicchi!$B$2,"",DatiOriginali!G6)</f>
        <v>243900</v>
      </c>
      <c r="H6" s="4">
        <v>1235</v>
      </c>
      <c r="I6" s="4">
        <f>IF(DatiOriginali!I6 &gt;= SogliaPicchi!$B$2,"",DatiOriginali!I6)</f>
        <v>118300</v>
      </c>
      <c r="J6" s="4">
        <v>1317</v>
      </c>
      <c r="K6" s="4">
        <f>IF(DatiOriginali!K6 &gt;= SogliaPicchi!$B$2,"",DatiOriginali!K6)</f>
        <v>155900</v>
      </c>
    </row>
    <row r="7" spans="1:11" x14ac:dyDescent="0.3">
      <c r="A7" s="4" t="s">
        <v>16</v>
      </c>
      <c r="B7" s="4">
        <v>1225</v>
      </c>
      <c r="C7" s="4">
        <f>IF(DatiOriginali!C7 &gt;= SogliaPicchi!$B$2,"",DatiOriginali!C7)</f>
        <v>438300</v>
      </c>
      <c r="D7" s="4">
        <v>653</v>
      </c>
      <c r="E7" s="4">
        <f>IF(DatiOriginali!E7 &gt;= SogliaPicchi!$B$2,"",DatiOriginali!E7)</f>
        <v>186100</v>
      </c>
      <c r="F7" s="4">
        <v>1340</v>
      </c>
      <c r="G7" s="4">
        <f>IF(DatiOriginali!G7 &gt;= SogliaPicchi!$B$2,"",DatiOriginali!G7)</f>
        <v>121700</v>
      </c>
      <c r="H7" s="4">
        <v>1497</v>
      </c>
      <c r="I7" s="4">
        <f>IF(DatiOriginali!I7 &gt;= SogliaPicchi!$B$2,"",DatiOriginali!I7)</f>
        <v>141800</v>
      </c>
      <c r="J7" s="4">
        <v>1587</v>
      </c>
      <c r="K7" s="4">
        <f>IF(DatiOriginali!K7 &gt;= SogliaPicchi!$B$2,"",DatiOriginali!K7)</f>
        <v>143800</v>
      </c>
    </row>
    <row r="8" spans="1:11" x14ac:dyDescent="0.3">
      <c r="A8" s="4" t="s">
        <v>17</v>
      </c>
      <c r="B8" s="4">
        <v>1225</v>
      </c>
      <c r="C8" s="4">
        <f>IF(DatiOriginali!C8 &gt;= SogliaPicchi!$B$2,"",DatiOriginali!C8)</f>
        <v>408500</v>
      </c>
      <c r="D8" s="4">
        <v>562</v>
      </c>
      <c r="E8" s="4">
        <f>IF(DatiOriginali!E8 &gt;= SogliaPicchi!$B$2,"",DatiOriginali!E8)</f>
        <v>168900</v>
      </c>
      <c r="F8" s="4">
        <v>1560</v>
      </c>
      <c r="G8" s="4">
        <f>IF(DatiOriginali!G8 &gt;= SogliaPicchi!$B$2,"",DatiOriginali!G8)</f>
        <v>64400</v>
      </c>
      <c r="H8" s="4">
        <v>1784</v>
      </c>
      <c r="I8" s="4">
        <f>IF(DatiOriginali!I8 &gt;= SogliaPicchi!$B$2,"",DatiOriginali!I8)</f>
        <v>187900</v>
      </c>
      <c r="J8" s="4">
        <v>1843</v>
      </c>
      <c r="K8" s="4">
        <f>IF(DatiOriginali!K8 &gt;= SogliaPicchi!$B$2,"",DatiOriginali!K8)</f>
        <v>185900</v>
      </c>
    </row>
    <row r="9" spans="1:11" x14ac:dyDescent="0.3">
      <c r="A9" s="4" t="s">
        <v>18</v>
      </c>
      <c r="B9" s="4">
        <v>1225</v>
      </c>
      <c r="C9" s="4">
        <f>IF(DatiOriginali!C9 &gt;= SogliaPicchi!$B$2,"",DatiOriginali!C9)</f>
        <v>302100</v>
      </c>
      <c r="D9" s="4">
        <v>615</v>
      </c>
      <c r="E9" s="4">
        <f>IF(DatiOriginali!E9 &gt;= SogliaPicchi!$B$2,"",DatiOriginali!E9)</f>
        <v>120000</v>
      </c>
      <c r="F9" s="4">
        <v>1778</v>
      </c>
      <c r="G9" s="4">
        <f>IF(DatiOriginali!G9 &gt;= SogliaPicchi!$B$2,"",DatiOriginali!G9)</f>
        <v>99800</v>
      </c>
      <c r="H9" s="4">
        <v>2047</v>
      </c>
      <c r="I9" s="4">
        <f>IF(DatiOriginali!I9 &gt;= SogliaPicchi!$B$2,"",DatiOriginali!I9)</f>
        <v>81400</v>
      </c>
      <c r="J9" s="4">
        <v>2113</v>
      </c>
      <c r="K9" s="4">
        <f>IF(DatiOriginali!K9 &gt;= SogliaPicchi!$B$2,"",DatiOriginali!K9)</f>
        <v>92900</v>
      </c>
    </row>
    <row r="10" spans="1:11" x14ac:dyDescent="0.3">
      <c r="A10" s="4" t="s">
        <v>19</v>
      </c>
      <c r="B10" s="4">
        <v>1225</v>
      </c>
      <c r="C10" s="4">
        <f>IF(DatiOriginali!C10 &gt;= SogliaPicchi!$B$2,"",DatiOriginali!C10)</f>
        <v>290700</v>
      </c>
      <c r="D10" s="4">
        <v>629</v>
      </c>
      <c r="E10" s="4">
        <f>IF(DatiOriginali!E10 &gt;= SogliaPicchi!$B$2,"",DatiOriginali!E10)</f>
        <v>118300</v>
      </c>
      <c r="F10" s="4">
        <v>1997</v>
      </c>
      <c r="G10" s="4">
        <f>IF(DatiOriginali!G10 &gt;= SogliaPicchi!$B$2,"",DatiOriginali!G10)</f>
        <v>32400</v>
      </c>
      <c r="H10" s="4">
        <v>2301</v>
      </c>
      <c r="I10" s="4">
        <f>IF(DatiOriginali!I10 &gt;= SogliaPicchi!$B$2,"",DatiOriginali!I10)</f>
        <v>75800</v>
      </c>
      <c r="J10" s="4">
        <v>2338</v>
      </c>
      <c r="K10" s="4">
        <f>IF(DatiOriginali!K10 &gt;= SogliaPicchi!$B$2,"",DatiOriginali!K10)</f>
        <v>75800</v>
      </c>
    </row>
    <row r="11" spans="1:11" x14ac:dyDescent="0.3">
      <c r="A11" s="4" t="s">
        <v>20</v>
      </c>
      <c r="B11" s="4">
        <v>1225</v>
      </c>
      <c r="C11" s="4">
        <f>IF(DatiOriginali!C11 &gt;= SogliaPicchi!$B$2,"",DatiOriginali!C11)</f>
        <v>533700</v>
      </c>
      <c r="D11" s="4">
        <v>743</v>
      </c>
      <c r="E11" s="4">
        <f>IF(DatiOriginali!E11 &gt;= SogliaPicchi!$B$2,"",DatiOriginali!E11)</f>
        <v>213800</v>
      </c>
      <c r="F11" s="4">
        <v>2217</v>
      </c>
      <c r="G11" s="4">
        <f>IF(DatiOriginali!G11 &gt;= SogliaPicchi!$B$2,"",DatiOriginali!G11)</f>
        <v>62700</v>
      </c>
      <c r="H11" s="4">
        <v>2565</v>
      </c>
      <c r="I11" s="4">
        <f>IF(DatiOriginali!I11 &gt;= SogliaPicchi!$B$2,"",DatiOriginali!I11)</f>
        <v>98400</v>
      </c>
      <c r="J11" s="4">
        <v>2569</v>
      </c>
      <c r="K11" s="4">
        <f>IF(DatiOriginali!K11 &gt;= SogliaPicchi!$B$2,"",DatiOriginali!K11)</f>
        <v>113600</v>
      </c>
    </row>
    <row r="12" spans="1:11" x14ac:dyDescent="0.3">
      <c r="A12" s="4" t="s">
        <v>21</v>
      </c>
      <c r="B12" s="4">
        <v>1225</v>
      </c>
      <c r="C12" s="4">
        <f>IF(DatiOriginali!C12 &gt;= SogliaPicchi!$B$2,"",DatiOriginali!C12)</f>
        <v>436900</v>
      </c>
      <c r="D12" s="4">
        <v>687</v>
      </c>
      <c r="E12" s="4">
        <f>IF(DatiOriginali!E12 &gt;= SogliaPicchi!$B$2,"",DatiOriginali!E12)</f>
        <v>198700</v>
      </c>
      <c r="F12" s="4">
        <v>2437</v>
      </c>
      <c r="G12" s="4">
        <f>IF(DatiOriginali!G12 &gt;= SogliaPicchi!$B$2,"",DatiOriginali!G12)</f>
        <v>59400</v>
      </c>
      <c r="H12" s="4">
        <v>2813</v>
      </c>
      <c r="I12" s="4">
        <f>IF(DatiOriginali!I12 &gt;= SogliaPicchi!$B$2,"",DatiOriginali!I12)</f>
        <v>103200</v>
      </c>
      <c r="J12" s="4">
        <v>2828</v>
      </c>
      <c r="K12" s="4">
        <f>IF(DatiOriginali!K12 &gt;= SogliaPicchi!$B$2,"",DatiOriginali!K12)</f>
        <v>120600</v>
      </c>
    </row>
    <row r="13" spans="1:11" x14ac:dyDescent="0.3">
      <c r="A13" s="4" t="s">
        <v>22</v>
      </c>
      <c r="B13" s="4">
        <v>1225</v>
      </c>
      <c r="C13" s="4">
        <f>IF(DatiOriginali!C13 &gt;= SogliaPicchi!$B$2,"",DatiOriginali!C13)</f>
        <v>438200</v>
      </c>
      <c r="D13" s="4">
        <v>600</v>
      </c>
      <c r="E13" s="4">
        <f>IF(DatiOriginali!E13 &gt;= SogliaPicchi!$B$2,"",DatiOriginali!E13)</f>
        <v>173700</v>
      </c>
      <c r="F13" s="4">
        <v>2658</v>
      </c>
      <c r="G13" s="4">
        <f>IF(DatiOriginali!G13 &gt;= SogliaPicchi!$B$2,"",DatiOriginali!G13)</f>
        <v>76100</v>
      </c>
      <c r="H13" s="4">
        <v>3082</v>
      </c>
      <c r="I13" s="4">
        <f>IF(DatiOriginali!I13 &gt;= SogliaPicchi!$B$2,"",DatiOriginali!I13)</f>
        <v>105800</v>
      </c>
      <c r="J13" s="4">
        <v>3114</v>
      </c>
      <c r="K13" s="4">
        <f>IF(DatiOriginali!K13 &gt;= SogliaPicchi!$B$2,"",DatiOriginali!K13)</f>
        <v>110800</v>
      </c>
    </row>
    <row r="14" spans="1:11" x14ac:dyDescent="0.3">
      <c r="A14" s="4" t="s">
        <v>23</v>
      </c>
      <c r="B14" s="4">
        <v>1225</v>
      </c>
      <c r="C14" s="4">
        <f>IF(DatiOriginali!C14 &gt;= SogliaPicchi!$B$2,"",DatiOriginali!C14)</f>
        <v>309200</v>
      </c>
      <c r="D14" s="4">
        <v>639</v>
      </c>
      <c r="E14" s="4">
        <f>IF(DatiOriginali!E14 &gt;= SogliaPicchi!$B$2,"",DatiOriginali!E14)</f>
        <v>128200</v>
      </c>
      <c r="F14" s="4">
        <v>2880</v>
      </c>
      <c r="G14" s="4">
        <f>IF(DatiOriginali!G14 &gt;= SogliaPicchi!$B$2,"",DatiOriginali!G14)</f>
        <v>31300</v>
      </c>
      <c r="H14" s="4">
        <v>3377</v>
      </c>
      <c r="I14" s="4">
        <f>IF(DatiOriginali!I14 &gt;= SogliaPicchi!$B$2,"",DatiOriginali!I14)</f>
        <v>78800</v>
      </c>
      <c r="J14" s="4">
        <v>3367</v>
      </c>
      <c r="K14" s="4">
        <f>IF(DatiOriginali!K14 &gt;= SogliaPicchi!$B$2,"",DatiOriginali!K14)</f>
        <v>100200</v>
      </c>
    </row>
    <row r="15" spans="1:11" x14ac:dyDescent="0.3">
      <c r="A15" s="4" t="s">
        <v>24</v>
      </c>
      <c r="B15" s="4">
        <v>1225</v>
      </c>
      <c r="C15" s="4">
        <f>IF(DatiOriginali!C15 &gt;= SogliaPicchi!$B$2,"",DatiOriginali!C15)</f>
        <v>307900</v>
      </c>
      <c r="D15" s="4">
        <v>629</v>
      </c>
      <c r="E15" s="4">
        <f>IF(DatiOriginali!E15 &gt;= SogliaPicchi!$B$2,"",DatiOriginali!E15)</f>
        <v>124400</v>
      </c>
      <c r="F15" s="4">
        <v>3102</v>
      </c>
      <c r="G15" s="4">
        <f>IF(DatiOriginali!G15 &gt;= SogliaPicchi!$B$2,"",DatiOriginali!G15)</f>
        <v>31900</v>
      </c>
      <c r="H15" s="4">
        <v>3656</v>
      </c>
      <c r="I15" s="4">
        <f>IF(DatiOriginali!I15 &gt;= SogliaPicchi!$B$2,"",DatiOriginali!I15)</f>
        <v>89600</v>
      </c>
      <c r="J15" s="4">
        <v>3632</v>
      </c>
      <c r="K15" s="4">
        <f>IF(DatiOriginali!K15 &gt;= SogliaPicchi!$B$2,"",DatiOriginali!K15)</f>
        <v>36100</v>
      </c>
    </row>
    <row r="16" spans="1:11" x14ac:dyDescent="0.3">
      <c r="A16" s="4" t="s">
        <v>25</v>
      </c>
      <c r="B16" s="4">
        <v>1225</v>
      </c>
      <c r="C16" s="4">
        <f>IF(DatiOriginali!C16 &gt;= SogliaPicchi!$B$2,"",DatiOriginali!C16)</f>
        <v>297600</v>
      </c>
      <c r="D16" s="4">
        <v>670</v>
      </c>
      <c r="E16" s="4">
        <f>IF(DatiOriginali!E16 &gt;= SogliaPicchi!$B$2,"",DatiOriginali!E16)</f>
        <v>128500</v>
      </c>
      <c r="F16" s="4">
        <v>3324</v>
      </c>
      <c r="G16" s="4">
        <f>IF(DatiOriginali!G16 &gt;= SogliaPicchi!$B$2,"",DatiOriginali!G16)</f>
        <v>31200</v>
      </c>
      <c r="H16" s="4">
        <v>3875</v>
      </c>
      <c r="I16" s="4">
        <f>IF(DatiOriginali!I16 &gt;= SogliaPicchi!$B$2,"",DatiOriginali!I16)</f>
        <v>107000</v>
      </c>
      <c r="J16" s="4">
        <v>3958</v>
      </c>
      <c r="K16" s="4">
        <f>IF(DatiOriginali!K16 &gt;= SogliaPicchi!$B$2,"",DatiOriginali!K16)</f>
        <v>60200</v>
      </c>
    </row>
    <row r="17" spans="1:11" x14ac:dyDescent="0.3">
      <c r="A17" s="4" t="s">
        <v>26</v>
      </c>
      <c r="B17" s="4">
        <v>1225</v>
      </c>
      <c r="C17" s="4">
        <f>IF(DatiOriginali!C17 &gt;= SogliaPicchi!$B$2,"",DatiOriginali!C17)</f>
        <v>284800</v>
      </c>
      <c r="D17" s="4">
        <v>572</v>
      </c>
      <c r="E17" s="4">
        <f>IF(DatiOriginali!E17 &gt;= SogliaPicchi!$B$2,"",DatiOriginali!E17)</f>
        <v>115000</v>
      </c>
      <c r="F17" s="4">
        <v>3539</v>
      </c>
      <c r="G17" s="4">
        <f>IF(DatiOriginali!G17 &gt;= SogliaPicchi!$B$2,"",DatiOriginali!G17)</f>
        <v>32500</v>
      </c>
      <c r="H17" s="4">
        <v>4158</v>
      </c>
      <c r="I17" s="4">
        <f>IF(DatiOriginali!I17 &gt;= SogliaPicchi!$B$2,"",DatiOriginali!I17)</f>
        <v>12500</v>
      </c>
      <c r="J17" s="4">
        <v>4237</v>
      </c>
      <c r="K17" s="4">
        <f>IF(DatiOriginali!K17 &gt;= SogliaPicchi!$B$2,"",DatiOriginali!K17)</f>
        <v>20500</v>
      </c>
    </row>
    <row r="18" spans="1:11" x14ac:dyDescent="0.3">
      <c r="A18" s="4" t="s">
        <v>27</v>
      </c>
      <c r="B18" s="4">
        <v>1225</v>
      </c>
      <c r="C18" s="4">
        <f>IF(DatiOriginali!C18 &gt;= SogliaPicchi!$B$2,"",DatiOriginali!C18)</f>
        <v>287200</v>
      </c>
      <c r="D18" s="4">
        <v>595</v>
      </c>
      <c r="E18" s="4">
        <f>IF(DatiOriginali!E18 &gt;= SogliaPicchi!$B$2,"",DatiOriginali!E18)</f>
        <v>117300</v>
      </c>
      <c r="F18" s="4">
        <v>3761</v>
      </c>
      <c r="G18" s="4">
        <f>IF(DatiOriginali!G18 &gt;= SogliaPicchi!$B$2,"",DatiOriginali!G18)</f>
        <v>31400</v>
      </c>
      <c r="H18" s="4">
        <v>4404</v>
      </c>
      <c r="I18" s="4">
        <f>IF(DatiOriginali!I18 &gt;= SogliaPicchi!$B$2,"",DatiOriginali!I18)</f>
        <v>11700</v>
      </c>
      <c r="J18" s="4">
        <v>4471</v>
      </c>
      <c r="K18" s="4">
        <f>IF(DatiOriginali!K18 &gt;= SogliaPicchi!$B$2,"",DatiOriginali!K18)</f>
        <v>13900</v>
      </c>
    </row>
    <row r="19" spans="1:11" x14ac:dyDescent="0.3">
      <c r="A19" s="4" t="s">
        <v>28</v>
      </c>
      <c r="B19" s="4">
        <v>1225</v>
      </c>
      <c r="C19" s="4">
        <f>IF(DatiOriginali!C19 &gt;= SogliaPicchi!$B$2,"",DatiOriginali!C19)</f>
        <v>285800</v>
      </c>
      <c r="D19" s="4">
        <v>544</v>
      </c>
      <c r="E19" s="4">
        <f>IF(DatiOriginali!E19 &gt;= SogliaPicchi!$B$2,"",DatiOriginali!E19)</f>
        <v>109400</v>
      </c>
      <c r="F19" s="4">
        <v>3987</v>
      </c>
      <c r="G19" s="4">
        <f>IF(DatiOriginali!G19 &gt;= SogliaPicchi!$B$2,"",DatiOriginali!G19)</f>
        <v>45300</v>
      </c>
      <c r="H19" s="4">
        <v>4654</v>
      </c>
      <c r="I19" s="4">
        <f>IF(DatiOriginali!I19 &gt;= SogliaPicchi!$B$2,"",DatiOriginali!I19)</f>
        <v>13100</v>
      </c>
      <c r="J19" s="4">
        <v>4744</v>
      </c>
      <c r="K19" s="4">
        <f>IF(DatiOriginali!K19 &gt;= SogliaPicchi!$B$2,"",DatiOriginali!K19)</f>
        <v>15000</v>
      </c>
    </row>
    <row r="20" spans="1:11" x14ac:dyDescent="0.3">
      <c r="A20" s="4" t="s">
        <v>29</v>
      </c>
      <c r="B20" s="4">
        <v>1225</v>
      </c>
      <c r="C20" s="4">
        <f>IF(DatiOriginali!C20 &gt;= SogliaPicchi!$B$2,"",DatiOriginali!C20)</f>
        <v>306000</v>
      </c>
      <c r="D20" s="4">
        <v>653</v>
      </c>
      <c r="E20" s="4">
        <f>IF(DatiOriginali!E20 &gt;= SogliaPicchi!$B$2,"",DatiOriginali!E20)</f>
        <v>127400</v>
      </c>
      <c r="F20" s="4">
        <v>4207</v>
      </c>
      <c r="G20" s="4">
        <f>IF(DatiOriginali!G20 &gt;= SogliaPicchi!$B$2,"",DatiOriginali!G20)</f>
        <v>34700</v>
      </c>
      <c r="H20" s="4">
        <v>4875</v>
      </c>
      <c r="I20" s="4">
        <f>IF(DatiOriginali!I20 &gt;= SogliaPicchi!$B$2,"",DatiOriginali!I20)</f>
        <v>11400</v>
      </c>
      <c r="J20" s="4">
        <v>4961</v>
      </c>
      <c r="K20" s="4">
        <f>IF(DatiOriginali!K20 &gt;= SogliaPicchi!$B$2,"",DatiOriginali!K20)</f>
        <v>13100</v>
      </c>
    </row>
    <row r="21" spans="1:11" x14ac:dyDescent="0.3">
      <c r="A21" s="4" t="s">
        <v>30</v>
      </c>
      <c r="B21" s="4">
        <v>1225</v>
      </c>
      <c r="C21" s="4">
        <f>IF(DatiOriginali!C21 &gt;= SogliaPicchi!$B$2,"",DatiOriginali!C21)</f>
        <v>302500</v>
      </c>
      <c r="D21" s="4">
        <v>677</v>
      </c>
      <c r="E21" s="4">
        <f>IF(DatiOriginali!E21 &gt;= SogliaPicchi!$B$2,"",DatiOriginali!E21)</f>
        <v>136500</v>
      </c>
      <c r="F21" s="4">
        <v>4428</v>
      </c>
      <c r="G21" s="4">
        <f>IF(DatiOriginali!G21 &gt;= SogliaPicchi!$B$2,"",DatiOriginali!G21)</f>
        <v>32500</v>
      </c>
      <c r="H21" s="4">
        <v>5197</v>
      </c>
      <c r="I21" s="4">
        <f>IF(DatiOriginali!I21 &gt;= SogliaPicchi!$B$2,"",DatiOriginali!I21)</f>
        <v>13200</v>
      </c>
      <c r="J21" s="4">
        <v>5220</v>
      </c>
      <c r="K21" s="4">
        <f>IF(DatiOriginali!K21 &gt;= SogliaPicchi!$B$2,"",DatiOriginali!K21)</f>
        <v>15000</v>
      </c>
    </row>
    <row r="22" spans="1:11" x14ac:dyDescent="0.3">
      <c r="A22" s="4" t="s">
        <v>31</v>
      </c>
      <c r="B22" s="4">
        <v>1225</v>
      </c>
      <c r="C22" s="4">
        <f>IF(DatiOriginali!C22 &gt;= SogliaPicchi!$B$2,"",DatiOriginali!C22)</f>
        <v>356400</v>
      </c>
      <c r="D22" s="4">
        <v>656</v>
      </c>
      <c r="E22" s="4">
        <f>IF(DatiOriginali!E22 &gt;= SogliaPicchi!$B$2,"",DatiOriginali!E22)</f>
        <v>133700</v>
      </c>
      <c r="F22" s="4">
        <v>4650</v>
      </c>
      <c r="G22" s="4">
        <f>IF(DatiOriginali!G22 &gt;= SogliaPicchi!$B$2,"",DatiOriginali!G22)</f>
        <v>41600</v>
      </c>
      <c r="H22" s="4">
        <v>5467</v>
      </c>
      <c r="I22" s="4">
        <f>IF(DatiOriginali!I22 &gt;= SogliaPicchi!$B$2,"",DatiOriginali!I22)</f>
        <v>12700</v>
      </c>
      <c r="J22" s="4">
        <v>5497</v>
      </c>
      <c r="K22" s="4">
        <f>IF(DatiOriginali!K22 &gt;= SogliaPicchi!$B$2,"",DatiOriginali!K22)</f>
        <v>15600</v>
      </c>
    </row>
    <row r="23" spans="1:11" x14ac:dyDescent="0.3">
      <c r="A23" s="4" t="s">
        <v>32</v>
      </c>
      <c r="B23" s="4">
        <v>1225</v>
      </c>
      <c r="C23" s="4">
        <f>IF(DatiOriginali!C23 &gt;= SogliaPicchi!$B$2,"",DatiOriginali!C23)</f>
        <v>462700</v>
      </c>
      <c r="D23" s="4">
        <v>790</v>
      </c>
      <c r="E23" s="4">
        <f>IF(DatiOriginali!E23 &gt;= SogliaPicchi!$B$2,"",DatiOriginali!E23)</f>
        <v>275300</v>
      </c>
      <c r="F23" s="4">
        <v>4873</v>
      </c>
      <c r="G23" s="4">
        <f>IF(DatiOriginali!G23 &gt;= SogliaPicchi!$B$2,"",DatiOriginali!G23)</f>
        <v>68400</v>
      </c>
      <c r="H23" s="4">
        <v>5730</v>
      </c>
      <c r="I23" s="4">
        <f>IF(DatiOriginali!I23 &gt;= SogliaPicchi!$B$2,"",DatiOriginali!I23)</f>
        <v>16900</v>
      </c>
      <c r="J23" s="4">
        <v>5736</v>
      </c>
      <c r="K23" s="4">
        <f>IF(DatiOriginali!K23 &gt;= SogliaPicchi!$B$2,"",DatiOriginali!K23)</f>
        <v>22000</v>
      </c>
    </row>
    <row r="24" spans="1:11" x14ac:dyDescent="0.3">
      <c r="A24" s="4" t="s">
        <v>33</v>
      </c>
      <c r="B24" s="4">
        <v>1225</v>
      </c>
      <c r="C24" s="4">
        <f>IF(DatiOriginali!C24 &gt;= SogliaPicchi!$B$2,"",DatiOriginali!C24)</f>
        <v>339500</v>
      </c>
      <c r="D24" s="4">
        <v>657</v>
      </c>
      <c r="E24" s="4">
        <f>IF(DatiOriginali!E24 &gt;= SogliaPicchi!$B$2,"",DatiOriginali!E24)</f>
        <v>127200</v>
      </c>
      <c r="F24" s="4">
        <v>5095</v>
      </c>
      <c r="G24" s="4">
        <f>IF(DatiOriginali!G24 &gt;= SogliaPicchi!$B$2,"",DatiOriginali!G24)</f>
        <v>46500</v>
      </c>
      <c r="H24" s="4">
        <v>5994</v>
      </c>
      <c r="I24" s="4">
        <f>IF(DatiOriginali!I24 &gt;= SogliaPicchi!$B$2,"",DatiOriginali!I24)</f>
        <v>14000</v>
      </c>
      <c r="J24" s="4">
        <v>5992</v>
      </c>
      <c r="K24" s="4">
        <f>IF(DatiOriginali!K24 &gt;= SogliaPicchi!$B$2,"",DatiOriginali!K24)</f>
        <v>15700</v>
      </c>
    </row>
    <row r="25" spans="1:11" x14ac:dyDescent="0.3">
      <c r="A25" s="4" t="s">
        <v>34</v>
      </c>
      <c r="B25" s="4">
        <v>1225</v>
      </c>
      <c r="C25" s="4">
        <f>IF(DatiOriginali!C25 &gt;= SogliaPicchi!$B$2,"",DatiOriginali!C25)</f>
        <v>290100</v>
      </c>
      <c r="D25" s="4">
        <v>613</v>
      </c>
      <c r="E25" s="4">
        <f>IF(DatiOriginali!E25 &gt;= SogliaPicchi!$B$2,"",DatiOriginali!E25)</f>
        <v>119100</v>
      </c>
      <c r="F25" s="4">
        <v>5322</v>
      </c>
      <c r="G25" s="4">
        <f>IF(DatiOriginali!G25 &gt;= SogliaPicchi!$B$2,"",DatiOriginali!G25)</f>
        <v>32600</v>
      </c>
      <c r="H25" s="4">
        <v>6250</v>
      </c>
      <c r="I25" s="4">
        <f>IF(DatiOriginali!I25 &gt;= SogliaPicchi!$B$2,"",DatiOriginali!I25)</f>
        <v>13000</v>
      </c>
      <c r="J25" s="4">
        <v>6227</v>
      </c>
      <c r="K25" s="4">
        <f>IF(DatiOriginali!K25 &gt;= SogliaPicchi!$B$2,"",DatiOriginali!K25)</f>
        <v>14700</v>
      </c>
    </row>
    <row r="26" spans="1:11" x14ac:dyDescent="0.3">
      <c r="A26" s="4" t="s">
        <v>35</v>
      </c>
      <c r="B26" s="4">
        <v>1225</v>
      </c>
      <c r="C26" s="4">
        <f>IF(DatiOriginali!C26 &gt;= SogliaPicchi!$B$2,"",DatiOriginali!C26)</f>
        <v>294200</v>
      </c>
      <c r="D26" s="4">
        <v>595</v>
      </c>
      <c r="E26" s="4">
        <f>IF(DatiOriginali!E26 &gt;= SogliaPicchi!$B$2,"",DatiOriginali!E26)</f>
        <v>121100</v>
      </c>
      <c r="F26" s="4">
        <v>5543</v>
      </c>
      <c r="G26" s="4">
        <f>IF(DatiOriginali!G26 &gt;= SogliaPicchi!$B$2,"",DatiOriginali!G26)</f>
        <v>49000</v>
      </c>
      <c r="H26" s="4">
        <v>6506</v>
      </c>
      <c r="I26" s="4">
        <f>IF(DatiOriginali!I26 &gt;= SogliaPicchi!$B$2,"",DatiOriginali!I26)</f>
        <v>12100</v>
      </c>
      <c r="J26" s="4">
        <v>6501</v>
      </c>
      <c r="K26" s="4">
        <f>IF(DatiOriginali!K26 &gt;= SogliaPicchi!$B$2,"",DatiOriginali!K26)</f>
        <v>14900</v>
      </c>
    </row>
    <row r="27" spans="1:11" x14ac:dyDescent="0.3">
      <c r="A27" s="4" t="s">
        <v>36</v>
      </c>
      <c r="B27" s="4">
        <v>1225</v>
      </c>
      <c r="C27" s="4">
        <f>IF(DatiOriginali!C27 &gt;= SogliaPicchi!$B$2,"",DatiOriginali!C27)</f>
        <v>298200</v>
      </c>
      <c r="D27" s="4">
        <v>606</v>
      </c>
      <c r="E27" s="4">
        <f>IF(DatiOriginali!E27 &gt;= SogliaPicchi!$B$2,"",DatiOriginali!E27)</f>
        <v>126000</v>
      </c>
      <c r="F27" s="4">
        <v>5769</v>
      </c>
      <c r="G27" s="4">
        <f>IF(DatiOriginali!G27 &gt;= SogliaPicchi!$B$2,"",DatiOriginali!G27)</f>
        <v>47500</v>
      </c>
      <c r="H27" s="4">
        <v>6761</v>
      </c>
      <c r="I27" s="4">
        <f>IF(DatiOriginali!I27 &gt;= SogliaPicchi!$B$2,"",DatiOriginali!I27)</f>
        <v>21100</v>
      </c>
      <c r="J27" s="4">
        <v>6737</v>
      </c>
      <c r="K27" s="4">
        <f>IF(DatiOriginali!K27 &gt;= SogliaPicchi!$B$2,"",DatiOriginali!K27)</f>
        <v>24000</v>
      </c>
    </row>
    <row r="28" spans="1:11" x14ac:dyDescent="0.3">
      <c r="A28" s="4" t="s">
        <v>37</v>
      </c>
      <c r="B28" s="4">
        <v>1225</v>
      </c>
      <c r="C28" s="4">
        <f>IF(DatiOriginali!C28 &gt;= SogliaPicchi!$B$2,"",DatiOriginali!C28)</f>
        <v>374900</v>
      </c>
      <c r="D28" s="4">
        <v>682</v>
      </c>
      <c r="E28" s="4">
        <f>IF(DatiOriginali!E28 &gt;= SogliaPicchi!$B$2,"",DatiOriginali!E28)</f>
        <v>171100</v>
      </c>
      <c r="F28" s="4">
        <v>5994</v>
      </c>
      <c r="G28" s="4">
        <f>IF(DatiOriginali!G28 &gt;= SogliaPicchi!$B$2,"",DatiOriginali!G28)</f>
        <v>65700</v>
      </c>
      <c r="H28" s="4">
        <v>6995</v>
      </c>
      <c r="I28" s="4">
        <f>IF(DatiOriginali!I28 &gt;= SogliaPicchi!$B$2,"",DatiOriginali!I28)</f>
        <v>19800</v>
      </c>
      <c r="J28" s="4">
        <v>7038</v>
      </c>
      <c r="K28" s="4">
        <f>IF(DatiOriginali!K28 &gt;= SogliaPicchi!$B$2,"",DatiOriginali!K28)</f>
        <v>24800</v>
      </c>
    </row>
    <row r="29" spans="1:11" x14ac:dyDescent="0.3">
      <c r="A29" s="4" t="s">
        <v>38</v>
      </c>
      <c r="B29" s="4">
        <v>1225</v>
      </c>
      <c r="C29" s="4">
        <f>IF(DatiOriginali!C29 &gt;= SogliaPicchi!$B$2,"",DatiOriginali!C29)</f>
        <v>280500</v>
      </c>
      <c r="D29" s="4">
        <v>548</v>
      </c>
      <c r="E29" s="4">
        <f>IF(DatiOriginali!E29 &gt;= SogliaPicchi!$B$2,"",DatiOriginali!E29)</f>
        <v>117600</v>
      </c>
      <c r="F29" s="4">
        <v>6219</v>
      </c>
      <c r="G29" s="4">
        <f>IF(DatiOriginali!G29 &gt;= SogliaPicchi!$B$2,"",DatiOriginali!G29)</f>
        <v>32400</v>
      </c>
      <c r="H29" s="4">
        <v>7205</v>
      </c>
      <c r="I29" s="4">
        <f>IF(DatiOriginali!I29 &gt;= SogliaPicchi!$B$2,"",DatiOriginali!I29)</f>
        <v>11700</v>
      </c>
      <c r="J29" s="4">
        <v>7273</v>
      </c>
      <c r="K29" s="4">
        <f>IF(DatiOriginali!K29 &gt;= SogliaPicchi!$B$2,"",DatiOriginali!K29)</f>
        <v>13700</v>
      </c>
    </row>
    <row r="30" spans="1:11" x14ac:dyDescent="0.3">
      <c r="A30" s="4" t="s">
        <v>39</v>
      </c>
      <c r="B30" s="4">
        <v>1225</v>
      </c>
      <c r="C30" s="4">
        <f>IF(DatiOriginali!C30 &gt;= SogliaPicchi!$B$2,"",DatiOriginali!C30)</f>
        <v>316200</v>
      </c>
      <c r="D30" s="4">
        <v>694</v>
      </c>
      <c r="E30" s="4">
        <f>IF(DatiOriginali!E30 &gt;= SogliaPicchi!$B$2,"",DatiOriginali!E30)</f>
        <v>137700</v>
      </c>
      <c r="F30" s="4">
        <v>6439</v>
      </c>
      <c r="G30" s="4">
        <f>IF(DatiOriginali!G30 &gt;= SogliaPicchi!$B$2,"",DatiOriginali!G30)</f>
        <v>47000</v>
      </c>
      <c r="H30" s="4">
        <v>7445</v>
      </c>
      <c r="I30" s="4">
        <f>IF(DatiOriginali!I30 &gt;= SogliaPicchi!$B$2,"",DatiOriginali!I30)</f>
        <v>11800</v>
      </c>
      <c r="J30" s="4">
        <v>7504</v>
      </c>
      <c r="K30" s="4">
        <f>IF(DatiOriginali!K30 &gt;= SogliaPicchi!$B$2,"",DatiOriginali!K30)</f>
        <v>13900</v>
      </c>
    </row>
    <row r="31" spans="1:11" x14ac:dyDescent="0.3">
      <c r="A31" s="4" t="s">
        <v>40</v>
      </c>
      <c r="B31" s="4">
        <v>1225</v>
      </c>
      <c r="C31" s="4">
        <f>IF(DatiOriginali!C31 &gt;= SogliaPicchi!$B$2,"",DatiOriginali!C31)</f>
        <v>369900</v>
      </c>
      <c r="D31" s="4">
        <v>666</v>
      </c>
      <c r="E31" s="4">
        <f>IF(DatiOriginali!E31 &gt;= SogliaPicchi!$B$2,"",DatiOriginali!E31)</f>
        <v>163100</v>
      </c>
      <c r="F31" s="4">
        <v>6656</v>
      </c>
      <c r="G31" s="4">
        <f>IF(DatiOriginali!G31 &gt;= SogliaPicchi!$B$2,"",DatiOriginali!G31)</f>
        <v>73100</v>
      </c>
      <c r="H31" s="4">
        <v>7733</v>
      </c>
      <c r="I31" s="4">
        <f>IF(DatiOriginali!I31 &gt;= SogliaPicchi!$B$2,"",DatiOriginali!I31)</f>
        <v>23400</v>
      </c>
      <c r="J31" s="4">
        <v>7819</v>
      </c>
      <c r="K31" s="4">
        <f>IF(DatiOriginali!K31 &gt;= SogliaPicchi!$B$2,"",DatiOriginali!K31)</f>
        <v>29700</v>
      </c>
    </row>
    <row r="32" spans="1:11" x14ac:dyDescent="0.3">
      <c r="A32" s="4" t="s">
        <v>41</v>
      </c>
      <c r="B32" s="4">
        <v>1225</v>
      </c>
      <c r="C32" s="4">
        <f>IF(DatiOriginali!C32 &gt;= SogliaPicchi!$B$2,"",DatiOriginali!C32)</f>
        <v>369900</v>
      </c>
      <c r="D32" s="4">
        <v>577</v>
      </c>
      <c r="E32" s="4">
        <f>IF(DatiOriginali!E32 &gt;= SogliaPicchi!$B$2,"",DatiOriginali!E32)</f>
        <v>150700</v>
      </c>
      <c r="F32" s="4">
        <v>6885</v>
      </c>
      <c r="G32" s="4">
        <f>IF(DatiOriginali!G32 &gt;= SogliaPicchi!$B$2,"",DatiOriginali!G32)</f>
        <v>71300</v>
      </c>
      <c r="H32" s="4">
        <v>7953</v>
      </c>
      <c r="I32" s="4">
        <f>IF(DatiOriginali!I32 &gt;= SogliaPicchi!$B$2,"",DatiOriginali!I32)</f>
        <v>13200</v>
      </c>
      <c r="J32" s="4">
        <v>8050</v>
      </c>
      <c r="K32" s="4">
        <f>IF(DatiOriginali!K32 &gt;= SogliaPicchi!$B$2,"",DatiOriginali!K32)</f>
        <v>15100</v>
      </c>
    </row>
    <row r="33" spans="1:11" x14ac:dyDescent="0.3">
      <c r="A33" s="4" t="s">
        <v>42</v>
      </c>
      <c r="B33" s="4">
        <v>1225</v>
      </c>
      <c r="C33" s="4">
        <f>IF(DatiOriginali!C33 &gt;= SogliaPicchi!$B$2,"",DatiOriginali!C33)</f>
        <v>369300</v>
      </c>
      <c r="D33" s="4">
        <v>724</v>
      </c>
      <c r="E33" s="4">
        <f>IF(DatiOriginali!E33 &gt;= SogliaPicchi!$B$2,"",DatiOriginali!E33)</f>
        <v>183700</v>
      </c>
      <c r="F33" s="4">
        <v>7108</v>
      </c>
      <c r="G33" s="4">
        <f>IF(DatiOriginali!G33 &gt;= SogliaPicchi!$B$2,"",DatiOriginali!G33)</f>
        <v>47300</v>
      </c>
      <c r="H33" s="4">
        <v>8191</v>
      </c>
      <c r="I33" s="4">
        <f>IF(DatiOriginali!I33 &gt;= SogliaPicchi!$B$2,"",DatiOriginali!I33)</f>
        <v>14700</v>
      </c>
      <c r="J33" s="4">
        <v>8293</v>
      </c>
      <c r="K33" s="4">
        <f>IF(DatiOriginali!K33 &gt;= SogliaPicchi!$B$2,"",DatiOriginali!K33)</f>
        <v>18500</v>
      </c>
    </row>
    <row r="34" spans="1:11" x14ac:dyDescent="0.3">
      <c r="A34" s="4" t="s">
        <v>43</v>
      </c>
      <c r="B34" s="4">
        <v>1225</v>
      </c>
      <c r="C34" s="4">
        <f>IF(DatiOriginali!C34 &gt;= SogliaPicchi!$B$2,"",DatiOriginali!C34)</f>
        <v>323900</v>
      </c>
      <c r="D34" s="4">
        <v>785</v>
      </c>
      <c r="E34" s="4">
        <f>IF(DatiOriginali!E34 &gt;= SogliaPicchi!$B$2,"",DatiOriginali!E34)</f>
        <v>149900</v>
      </c>
      <c r="F34" s="4">
        <v>7335</v>
      </c>
      <c r="G34" s="4">
        <f>IF(DatiOriginali!G34 &gt;= SogliaPicchi!$B$2,"",DatiOriginali!G34)</f>
        <v>55500</v>
      </c>
      <c r="H34" s="4">
        <v>8447</v>
      </c>
      <c r="I34" s="4">
        <f>IF(DatiOriginali!I34 &gt;= SogliaPicchi!$B$2,"",DatiOriginali!I34)</f>
        <v>22900</v>
      </c>
      <c r="J34" s="4">
        <v>8558</v>
      </c>
      <c r="K34" s="4">
        <f>IF(DatiOriginali!K34 &gt;= SogliaPicchi!$B$2,"",DatiOriginali!K34)</f>
        <v>27600</v>
      </c>
    </row>
    <row r="35" spans="1:11" x14ac:dyDescent="0.3">
      <c r="A35" s="4" t="s">
        <v>44</v>
      </c>
      <c r="B35" s="4">
        <v>1225</v>
      </c>
      <c r="C35" s="4">
        <f>IF(DatiOriginali!C35 &gt;= SogliaPicchi!$B$2,"",DatiOriginali!C35)</f>
        <v>419900</v>
      </c>
      <c r="D35" s="4">
        <v>578</v>
      </c>
      <c r="E35" s="4">
        <f>IF(DatiOriginali!E35 &gt;= SogliaPicchi!$B$2,"",DatiOriginali!E35)</f>
        <v>170400</v>
      </c>
      <c r="F35" s="4">
        <v>7553</v>
      </c>
      <c r="G35" s="4">
        <f>IF(DatiOriginali!G35 &gt;= SogliaPicchi!$B$2,"",DatiOriginali!G35)</f>
        <v>73100</v>
      </c>
      <c r="H35" s="4">
        <v>8681</v>
      </c>
      <c r="I35" s="4">
        <f>IF(DatiOriginali!I35 &gt;= SogliaPicchi!$B$2,"",DatiOriginali!I35)</f>
        <v>22400</v>
      </c>
      <c r="J35" s="4">
        <v>8808</v>
      </c>
      <c r="K35" s="4">
        <f>IF(DatiOriginali!K35 &gt;= SogliaPicchi!$B$2,"",DatiOriginali!K35)</f>
        <v>26900</v>
      </c>
    </row>
    <row r="36" spans="1:11" x14ac:dyDescent="0.3">
      <c r="A36" s="4" t="s">
        <v>45</v>
      </c>
      <c r="B36" s="4">
        <v>1225</v>
      </c>
      <c r="C36" s="4">
        <f>IF(DatiOriginali!C36 &gt;= SogliaPicchi!$B$2,"",DatiOriginali!C36)</f>
        <v>638000</v>
      </c>
      <c r="D36" s="4">
        <v>681</v>
      </c>
      <c r="E36" s="4">
        <f>IF(DatiOriginali!E36 &gt;= SogliaPicchi!$B$2,"",DatiOriginali!E36)</f>
        <v>250300</v>
      </c>
      <c r="F36" s="4">
        <v>7774</v>
      </c>
      <c r="G36" s="4">
        <f>IF(DatiOriginali!G36 &gt;= SogliaPicchi!$B$2,"",DatiOriginali!G36)</f>
        <v>58900</v>
      </c>
      <c r="H36" s="4">
        <v>8915</v>
      </c>
      <c r="I36" s="4">
        <f>IF(DatiOriginali!I36 &gt;= SogliaPicchi!$B$2,"",DatiOriginali!I36)</f>
        <v>20500</v>
      </c>
      <c r="J36" s="4">
        <v>9042</v>
      </c>
      <c r="K36" s="4">
        <f>IF(DatiOriginali!K36 &gt;= SogliaPicchi!$B$2,"",DatiOriginali!K36)</f>
        <v>25000</v>
      </c>
    </row>
    <row r="37" spans="1:11" x14ac:dyDescent="0.3">
      <c r="A37" s="4" t="s">
        <v>46</v>
      </c>
      <c r="B37" s="4">
        <v>1225</v>
      </c>
      <c r="C37" s="4">
        <f>IF(DatiOriginali!C37 &gt;= SogliaPicchi!$B$2,"",DatiOriginali!C37)</f>
        <v>310800</v>
      </c>
      <c r="D37" s="4">
        <v>668</v>
      </c>
      <c r="E37" s="4">
        <f>IF(DatiOriginali!E37 &gt;= SogliaPicchi!$B$2,"",DatiOriginali!E37)</f>
        <v>132100</v>
      </c>
      <c r="F37" s="4">
        <v>7990</v>
      </c>
      <c r="G37" s="4">
        <f>IF(DatiOriginali!G37 &gt;= SogliaPicchi!$B$2,"",DatiOriginali!G37)</f>
        <v>32300</v>
      </c>
      <c r="H37" s="4">
        <v>9208</v>
      </c>
      <c r="I37" s="4">
        <f>IF(DatiOriginali!I37 &gt;= SogliaPicchi!$B$2,"",DatiOriginali!I37)</f>
        <v>13300</v>
      </c>
      <c r="J37" s="4">
        <v>9295</v>
      </c>
      <c r="K37" s="4">
        <f>IF(DatiOriginali!K37 &gt;= SogliaPicchi!$B$2,"",DatiOriginali!K37)</f>
        <v>15300</v>
      </c>
    </row>
    <row r="38" spans="1:11" x14ac:dyDescent="0.3">
      <c r="A38" s="4" t="s">
        <v>47</v>
      </c>
      <c r="B38" s="4">
        <v>1225</v>
      </c>
      <c r="C38" s="4">
        <f>IF(DatiOriginali!C38 &gt;= SogliaPicchi!$B$2,"",DatiOriginali!C38)</f>
        <v>437100</v>
      </c>
      <c r="D38" s="4">
        <v>693</v>
      </c>
      <c r="E38" s="4">
        <f>IF(DatiOriginali!E38 &gt;= SogliaPicchi!$B$2,"",DatiOriginali!E38)</f>
        <v>196000</v>
      </c>
      <c r="F38" s="4">
        <v>8213</v>
      </c>
      <c r="G38" s="4">
        <f>IF(DatiOriginali!G38 &gt;= SogliaPicchi!$B$2,"",DatiOriginali!G38)</f>
        <v>61100</v>
      </c>
      <c r="H38" s="4">
        <v>9462</v>
      </c>
      <c r="I38" s="4">
        <f>IF(DatiOriginali!I38 &gt;= SogliaPicchi!$B$2,"",DatiOriginali!I38)</f>
        <v>26200</v>
      </c>
      <c r="J38" s="4">
        <v>9531</v>
      </c>
      <c r="K38" s="4">
        <f>IF(DatiOriginali!K38 &gt;= SogliaPicchi!$B$2,"",DatiOriginali!K38)</f>
        <v>24400</v>
      </c>
    </row>
    <row r="39" spans="1:11" x14ac:dyDescent="0.3">
      <c r="A39" s="4" t="s">
        <v>48</v>
      </c>
      <c r="B39" s="4">
        <v>1225</v>
      </c>
      <c r="C39" s="4">
        <f>IF(DatiOriginali!C39 &gt;= SogliaPicchi!$B$2,"",DatiOriginali!C39)</f>
        <v>517700</v>
      </c>
      <c r="D39" s="4">
        <v>736</v>
      </c>
      <c r="E39" s="4">
        <f>IF(DatiOriginali!E39 &gt;= SogliaPicchi!$B$2,"",DatiOriginali!E39)</f>
        <v>193200</v>
      </c>
      <c r="F39" s="4">
        <v>8434</v>
      </c>
      <c r="G39" s="4">
        <f>IF(DatiOriginali!G39 &gt;= SogliaPicchi!$B$2,"",DatiOriginali!G39)</f>
        <v>56300</v>
      </c>
      <c r="H39" s="4">
        <v>9766</v>
      </c>
      <c r="I39" s="4">
        <f>IF(DatiOriginali!I39 &gt;= SogliaPicchi!$B$2,"",DatiOriginali!I39)</f>
        <v>26200</v>
      </c>
      <c r="J39" s="4">
        <v>9794</v>
      </c>
      <c r="K39" s="4">
        <f>IF(DatiOriginali!K39 &gt;= SogliaPicchi!$B$2,"",DatiOriginali!K39)</f>
        <v>26800</v>
      </c>
    </row>
    <row r="40" spans="1:11" x14ac:dyDescent="0.3">
      <c r="A40" s="4" t="s">
        <v>49</v>
      </c>
      <c r="B40" s="4">
        <v>1225</v>
      </c>
      <c r="C40" s="4">
        <f>IF(DatiOriginali!C40 &gt;= SogliaPicchi!$B$2,"",DatiOriginali!C40)</f>
        <v>405600</v>
      </c>
      <c r="D40" s="4">
        <v>699</v>
      </c>
      <c r="E40" s="4">
        <f>IF(DatiOriginali!E40 &gt;= SogliaPicchi!$B$2,"",DatiOriginali!E40)</f>
        <v>187900</v>
      </c>
      <c r="F40" s="4">
        <v>8655</v>
      </c>
      <c r="G40" s="4">
        <f>IF(DatiOriginali!G40 &gt;= SogliaPicchi!$B$2,"",DatiOriginali!G40)</f>
        <v>69100</v>
      </c>
      <c r="H40" s="4">
        <v>10052</v>
      </c>
      <c r="I40" s="4">
        <f>IF(DatiOriginali!I40 &gt;= SogliaPicchi!$B$2,"",DatiOriginali!I40)</f>
        <v>31100</v>
      </c>
      <c r="J40" s="4">
        <v>10095</v>
      </c>
      <c r="K40" s="4">
        <f>IF(DatiOriginali!K40 &gt;= SogliaPicchi!$B$2,"",DatiOriginali!K40)</f>
        <v>28500</v>
      </c>
    </row>
    <row r="41" spans="1:11" x14ac:dyDescent="0.3">
      <c r="A41" s="4" t="s">
        <v>50</v>
      </c>
      <c r="B41" s="4">
        <v>1225</v>
      </c>
      <c r="C41" s="4">
        <f>IF(DatiOriginali!C41 &gt;= SogliaPicchi!$B$2,"",DatiOriginali!C41)</f>
        <v>315200</v>
      </c>
      <c r="D41" s="4">
        <v>715</v>
      </c>
      <c r="E41" s="4">
        <f>IF(DatiOriginali!E41 &gt;= SogliaPicchi!$B$2,"",DatiOriginali!E41)</f>
        <v>142000</v>
      </c>
      <c r="F41" s="4">
        <v>8877</v>
      </c>
      <c r="G41" s="4">
        <f>IF(DatiOriginali!G41 &gt;= SogliaPicchi!$B$2,"",DatiOriginali!G41)</f>
        <v>43600</v>
      </c>
      <c r="H41" s="4">
        <v>10350</v>
      </c>
      <c r="I41" s="4">
        <f>IF(DatiOriginali!I41 &gt;= SogliaPicchi!$B$2,"",DatiOriginali!I41)</f>
        <v>14200</v>
      </c>
      <c r="J41" s="4">
        <v>10413</v>
      </c>
      <c r="K41" s="4">
        <f>IF(DatiOriginali!K41 &gt;= SogliaPicchi!$B$2,"",DatiOriginali!K41)</f>
        <v>16500</v>
      </c>
    </row>
    <row r="42" spans="1:11" x14ac:dyDescent="0.3">
      <c r="A42" s="4" t="s">
        <v>51</v>
      </c>
      <c r="B42" s="4">
        <v>1225</v>
      </c>
      <c r="C42" s="4">
        <f>IF(DatiOriginali!C42 &gt;= SogliaPicchi!$B$2,"",DatiOriginali!C42)</f>
        <v>318300</v>
      </c>
      <c r="D42" s="4">
        <v>694</v>
      </c>
      <c r="E42" s="4">
        <f>IF(DatiOriginali!E42 &gt;= SogliaPicchi!$B$2,"",DatiOriginali!E42)</f>
        <v>134700</v>
      </c>
      <c r="F42" s="4">
        <v>9100</v>
      </c>
      <c r="G42" s="4">
        <f>IF(DatiOriginali!G42 &gt;= SogliaPicchi!$B$2,"",DatiOriginali!G42)</f>
        <v>29600</v>
      </c>
      <c r="H42" s="4">
        <v>10685</v>
      </c>
      <c r="I42" s="4">
        <f>IF(DatiOriginali!I42 &gt;= SogliaPicchi!$B$2,"",DatiOriginali!I42)</f>
        <v>15300</v>
      </c>
      <c r="J42" s="4">
        <v>10625</v>
      </c>
      <c r="K42" s="4">
        <f>IF(DatiOriginali!K42 &gt;= SogliaPicchi!$B$2,"",DatiOriginali!K42)</f>
        <v>12900</v>
      </c>
    </row>
    <row r="43" spans="1:11" x14ac:dyDescent="0.3">
      <c r="A43" s="4" t="s">
        <v>52</v>
      </c>
      <c r="B43" s="4">
        <v>1225</v>
      </c>
      <c r="C43" s="4">
        <f>IF(DatiOriginali!C43 &gt;= SogliaPicchi!$B$2,"",DatiOriginali!C43)</f>
        <v>303600</v>
      </c>
      <c r="D43" s="4">
        <v>628</v>
      </c>
      <c r="E43" s="4">
        <f>IF(DatiOriginali!E43 &gt;= SogliaPicchi!$B$2,"",DatiOriginali!E43)</f>
        <v>121800</v>
      </c>
      <c r="F43" s="4">
        <v>9319</v>
      </c>
      <c r="G43" s="4">
        <f>IF(DatiOriginali!G43 &gt;= SogliaPicchi!$B$2,"",DatiOriginali!G43)</f>
        <v>29300</v>
      </c>
      <c r="H43" s="4">
        <v>10958</v>
      </c>
      <c r="I43" s="4">
        <f>IF(DatiOriginali!I43 &gt;= SogliaPicchi!$B$2,"",DatiOriginali!I43)</f>
        <v>11700</v>
      </c>
      <c r="J43" s="4">
        <v>10845</v>
      </c>
      <c r="K43" s="4">
        <f>IF(DatiOriginali!K43 &gt;= SogliaPicchi!$B$2,"",DatiOriginali!K43)</f>
        <v>12600</v>
      </c>
    </row>
    <row r="44" spans="1:11" x14ac:dyDescent="0.3">
      <c r="A44" s="4" t="s">
        <v>53</v>
      </c>
      <c r="B44" s="4">
        <v>1225</v>
      </c>
      <c r="C44" s="4">
        <f>IF(DatiOriginali!C44 &gt;= SogliaPicchi!$B$2,"",DatiOriginali!C44)</f>
        <v>310900</v>
      </c>
      <c r="D44" s="4">
        <v>706</v>
      </c>
      <c r="E44" s="4">
        <f>IF(DatiOriginali!E44 &gt;= SogliaPicchi!$B$2,"",DatiOriginali!E44)</f>
        <v>142700</v>
      </c>
      <c r="F44" s="4">
        <v>9548</v>
      </c>
      <c r="G44" s="4">
        <f>IF(DatiOriginali!G44 &gt;= SogliaPicchi!$B$2,"",DatiOriginali!G44)</f>
        <v>33800</v>
      </c>
      <c r="H44" s="4">
        <v>11191</v>
      </c>
      <c r="I44" s="4">
        <f>IF(DatiOriginali!I44 &gt;= SogliaPicchi!$B$2,"",DatiOriginali!I44)</f>
        <v>16800</v>
      </c>
      <c r="J44" s="4">
        <v>11077</v>
      </c>
      <c r="K44" s="4">
        <f>IF(DatiOriginali!K44 &gt;= SogliaPicchi!$B$2,"",DatiOriginali!K44)</f>
        <v>14500</v>
      </c>
    </row>
    <row r="45" spans="1:11" x14ac:dyDescent="0.3">
      <c r="A45" s="4" t="s">
        <v>54</v>
      </c>
      <c r="B45" s="4">
        <v>1225</v>
      </c>
      <c r="C45" s="4">
        <f>IF(DatiOriginali!C45 &gt;= SogliaPicchi!$B$2,"",DatiOriginali!C45)</f>
        <v>310200</v>
      </c>
      <c r="D45" s="4">
        <v>699</v>
      </c>
      <c r="E45" s="4">
        <f>IF(DatiOriginali!E45 &gt;= SogliaPicchi!$B$2,"",DatiOriginali!E45)</f>
        <v>136000</v>
      </c>
      <c r="F45" s="4">
        <v>9765</v>
      </c>
      <c r="G45" s="4">
        <f>IF(DatiOriginali!G45 &gt;= SogliaPicchi!$B$2,"",DatiOriginali!G45)</f>
        <v>30000</v>
      </c>
      <c r="H45" s="4">
        <v>11458</v>
      </c>
      <c r="I45" s="4">
        <f>IF(DatiOriginali!I45 &gt;= SogliaPicchi!$B$2,"",DatiOriginali!I45)</f>
        <v>12300</v>
      </c>
      <c r="J45" s="4">
        <v>11325</v>
      </c>
      <c r="K45" s="4">
        <f>IF(DatiOriginali!K45 &gt;= SogliaPicchi!$B$2,"",DatiOriginali!K45)</f>
        <v>17200</v>
      </c>
    </row>
    <row r="46" spans="1:11" x14ac:dyDescent="0.3">
      <c r="A46" s="4" t="s">
        <v>55</v>
      </c>
      <c r="B46" s="4">
        <v>1225</v>
      </c>
      <c r="C46" s="4">
        <f>IF(DatiOriginali!C46 &gt;= SogliaPicchi!$B$2,"",DatiOriginali!C46)</f>
        <v>320700</v>
      </c>
      <c r="D46" s="4">
        <v>720</v>
      </c>
      <c r="E46" s="4">
        <f>IF(DatiOriginali!E46 &gt;= SogliaPicchi!$B$2,"",DatiOriginali!E46)</f>
        <v>141500</v>
      </c>
      <c r="F46" s="4">
        <v>9982</v>
      </c>
      <c r="G46" s="4">
        <f>IF(DatiOriginali!G46 &gt;= SogliaPicchi!$B$2,"",DatiOriginali!G46)</f>
        <v>30300</v>
      </c>
      <c r="H46" s="4">
        <v>11692</v>
      </c>
      <c r="I46" s="4">
        <f>IF(DatiOriginali!I46 &gt;= SogliaPicchi!$B$2,"",DatiOriginali!I46)</f>
        <v>11900</v>
      </c>
      <c r="J46" s="4">
        <v>11689</v>
      </c>
      <c r="K46" s="4">
        <f>IF(DatiOriginali!K46 &gt;= SogliaPicchi!$B$2,"",DatiOriginali!K46)</f>
        <v>17300</v>
      </c>
    </row>
    <row r="47" spans="1:11" x14ac:dyDescent="0.3">
      <c r="A47" s="4" t="s">
        <v>56</v>
      </c>
      <c r="B47" s="4">
        <v>1225</v>
      </c>
      <c r="C47" s="4">
        <f>IF(DatiOriginali!C47 &gt;= SogliaPicchi!$B$2,"",DatiOriginali!C47)</f>
        <v>441300</v>
      </c>
      <c r="D47" s="4">
        <v>636</v>
      </c>
      <c r="E47" s="4">
        <f>IF(DatiOriginali!E47 &gt;= SogliaPicchi!$B$2,"",DatiOriginali!E47)</f>
        <v>181100</v>
      </c>
      <c r="F47" s="4">
        <v>10203</v>
      </c>
      <c r="G47" s="4">
        <f>IF(DatiOriginali!G47 &gt;= SogliaPicchi!$B$2,"",DatiOriginali!G47)</f>
        <v>61800</v>
      </c>
      <c r="H47" s="4">
        <v>11984</v>
      </c>
      <c r="I47" s="4">
        <f>IF(DatiOriginali!I47 &gt;= SogliaPicchi!$B$2,"",DatiOriginali!I47)</f>
        <v>25400</v>
      </c>
      <c r="J47" s="4">
        <v>11929</v>
      </c>
      <c r="K47" s="4">
        <f>IF(DatiOriginali!K47 &gt;= SogliaPicchi!$B$2,"",DatiOriginali!K47)</f>
        <v>27400</v>
      </c>
    </row>
    <row r="48" spans="1:11" x14ac:dyDescent="0.3">
      <c r="A48" s="4" t="s">
        <v>57</v>
      </c>
      <c r="B48" s="4">
        <v>1225</v>
      </c>
      <c r="C48" s="4">
        <f>IF(DatiOriginali!C48 &gt;= SogliaPicchi!$B$2,"",DatiOriginali!C48)</f>
        <v>575200</v>
      </c>
      <c r="D48" s="4">
        <v>721</v>
      </c>
      <c r="E48" s="4">
        <f>IF(DatiOriginali!E48 &gt;= SogliaPicchi!$B$2,"",DatiOriginali!E48)</f>
        <v>206900</v>
      </c>
      <c r="F48" s="4">
        <v>10426</v>
      </c>
      <c r="G48" s="4">
        <f>IF(DatiOriginali!G48 &gt;= SogliaPicchi!$B$2,"",DatiOriginali!G48)</f>
        <v>62600</v>
      </c>
      <c r="H48" s="4">
        <v>12238</v>
      </c>
      <c r="I48" s="4">
        <f>IF(DatiOriginali!I48 &gt;= SogliaPicchi!$B$2,"",DatiOriginali!I48)</f>
        <v>45400</v>
      </c>
      <c r="J48" s="4">
        <v>12203</v>
      </c>
      <c r="K48" s="4">
        <f>IF(DatiOriginali!K48 &gt;= SogliaPicchi!$B$2,"",DatiOriginali!K48)</f>
        <v>18500</v>
      </c>
    </row>
    <row r="49" spans="1:11" x14ac:dyDescent="0.3">
      <c r="A49" s="4" t="s">
        <v>58</v>
      </c>
      <c r="B49" s="4">
        <v>1225</v>
      </c>
      <c r="C49" s="4">
        <f>IF(DatiOriginali!C49 &gt;= SogliaPicchi!$B$2,"",DatiOriginali!C49)</f>
        <v>352700</v>
      </c>
      <c r="D49" s="4">
        <v>734</v>
      </c>
      <c r="E49" s="4">
        <f>IF(DatiOriginali!E49 &gt;= SogliaPicchi!$B$2,"",DatiOriginali!E49)</f>
        <v>145300</v>
      </c>
      <c r="F49" s="4">
        <v>10646</v>
      </c>
      <c r="G49" s="4">
        <f>IF(DatiOriginali!G49 &gt;= SogliaPicchi!$B$2,"",DatiOriginali!G49)</f>
        <v>91500</v>
      </c>
      <c r="H49" s="4">
        <v>12483</v>
      </c>
      <c r="I49" s="4">
        <f>IF(DatiOriginali!I49 &gt;= SogliaPicchi!$B$2,"",DatiOriginali!I49)</f>
        <v>18900</v>
      </c>
      <c r="J49" s="4">
        <v>12431</v>
      </c>
      <c r="K49" s="4">
        <f>IF(DatiOriginali!K49 &gt;= SogliaPicchi!$B$2,"",DatiOriginali!K49)</f>
        <v>21700</v>
      </c>
    </row>
    <row r="50" spans="1:11" x14ac:dyDescent="0.3">
      <c r="A50" s="4" t="s">
        <v>59</v>
      </c>
      <c r="B50" s="4">
        <v>1225</v>
      </c>
      <c r="C50" s="4">
        <f>IF(DatiOriginali!C50 &gt;= SogliaPicchi!$B$2,"",DatiOriginali!C50)</f>
        <v>294900</v>
      </c>
      <c r="D50" s="4">
        <v>649</v>
      </c>
      <c r="E50" s="4">
        <f>IF(DatiOriginali!E50 &gt;= SogliaPicchi!$B$2,"",DatiOriginali!E50)</f>
        <v>130700</v>
      </c>
      <c r="F50" s="4">
        <v>10871</v>
      </c>
      <c r="G50" s="4">
        <f>IF(DatiOriginali!G50 &gt;= SogliaPicchi!$B$2,"",DatiOriginali!G50)</f>
        <v>31000</v>
      </c>
      <c r="H50" s="4">
        <v>12788</v>
      </c>
      <c r="I50" s="4">
        <f>IF(DatiOriginali!I50 &gt;= SogliaPicchi!$B$2,"",DatiOriginali!I50)</f>
        <v>13300</v>
      </c>
      <c r="J50" s="4">
        <v>12653</v>
      </c>
      <c r="K50" s="4">
        <f>IF(DatiOriginali!K50 &gt;= SogliaPicchi!$B$2,"",DatiOriginali!K50)</f>
        <v>13800</v>
      </c>
    </row>
    <row r="51" spans="1:11" x14ac:dyDescent="0.3">
      <c r="A51" s="4" t="s">
        <v>60</v>
      </c>
      <c r="B51" s="4">
        <v>1225</v>
      </c>
      <c r="C51" s="4">
        <f>IF(DatiOriginali!C51 &gt;= SogliaPicchi!$B$2,"",DatiOriginali!C51)</f>
        <v>122800</v>
      </c>
      <c r="D51" s="4">
        <v>633</v>
      </c>
      <c r="E51" s="4">
        <f>IF(DatiOriginali!E51 &gt;= SogliaPicchi!$B$2,"",DatiOriginali!E51)</f>
        <v>123100</v>
      </c>
      <c r="F51" s="4">
        <v>11090</v>
      </c>
      <c r="G51" s="4">
        <f>IF(DatiOriginali!G51 &gt;= SogliaPicchi!$B$2,"",DatiOriginali!G51)</f>
        <v>39900</v>
      </c>
      <c r="H51" s="4">
        <v>13035</v>
      </c>
      <c r="I51" s="4">
        <f>IF(DatiOriginali!I51 &gt;= SogliaPicchi!$B$2,"",DatiOriginali!I51)</f>
        <v>14300</v>
      </c>
      <c r="J51" s="4">
        <v>12931</v>
      </c>
      <c r="K51" s="4">
        <f>IF(DatiOriginali!K51 &gt;= SogliaPicchi!$B$2,"",DatiOriginali!K51)</f>
        <v>16900</v>
      </c>
    </row>
    <row r="52" spans="1:11" x14ac:dyDescent="0.3">
      <c r="A52" s="4" t="s">
        <v>61</v>
      </c>
      <c r="B52" s="4">
        <v>1225</v>
      </c>
      <c r="C52" s="4">
        <f>IF(DatiOriginali!C52 &gt;= SogliaPicchi!$B$2,"",DatiOriginali!C52)</f>
        <v>83300</v>
      </c>
      <c r="D52" s="4">
        <v>646</v>
      </c>
      <c r="E52" s="4">
        <f>IF(DatiOriginali!E52 &gt;= SogliaPicchi!$B$2,"",DatiOriginali!E52)</f>
        <v>223600</v>
      </c>
      <c r="F52" s="4">
        <v>11315</v>
      </c>
      <c r="G52" s="4">
        <f>IF(DatiOriginali!G52 &gt;= SogliaPicchi!$B$2,"",DatiOriginali!G52)</f>
        <v>54600</v>
      </c>
      <c r="H52" s="4">
        <v>13335</v>
      </c>
      <c r="I52" s="4">
        <f>IF(DatiOriginali!I52 &gt;= SogliaPicchi!$B$2,"",DatiOriginali!I52)</f>
        <v>26600</v>
      </c>
      <c r="J52" s="4">
        <v>13176</v>
      </c>
      <c r="K52" s="4">
        <f>IF(DatiOriginali!K52 &gt;= SogliaPicchi!$B$2,"",DatiOriginali!K52)</f>
        <v>28000</v>
      </c>
    </row>
    <row r="53" spans="1:11" x14ac:dyDescent="0.3">
      <c r="A53" s="4" t="s">
        <v>62</v>
      </c>
      <c r="B53" s="4">
        <v>1225</v>
      </c>
      <c r="C53" s="4">
        <f>IF(DatiOriginali!C53 &gt;= SogliaPicchi!$B$2,"",DatiOriginali!C53)</f>
        <v>44200</v>
      </c>
      <c r="D53" s="4">
        <v>573</v>
      </c>
      <c r="E53" s="4">
        <f>IF(DatiOriginali!E53 &gt;= SogliaPicchi!$B$2,"",DatiOriginali!E53)</f>
        <v>107800</v>
      </c>
      <c r="F53" s="4">
        <v>11529</v>
      </c>
      <c r="G53" s="4">
        <f>IF(DatiOriginali!G53 &gt;= SogliaPicchi!$B$2,"",DatiOriginali!G53)</f>
        <v>33300</v>
      </c>
      <c r="H53" s="4">
        <v>13600</v>
      </c>
      <c r="I53" s="4">
        <f>IF(DatiOriginali!I53 &gt;= SogliaPicchi!$B$2,"",DatiOriginali!I53)</f>
        <v>15800</v>
      </c>
      <c r="J53" s="4">
        <v>13424</v>
      </c>
      <c r="K53" s="4">
        <f>IF(DatiOriginali!K53 &gt;= SogliaPicchi!$B$2,"",DatiOriginali!K53)</f>
        <v>14200</v>
      </c>
    </row>
    <row r="54" spans="1:11" x14ac:dyDescent="0.3">
      <c r="A54" s="4" t="s">
        <v>63</v>
      </c>
      <c r="B54" s="4">
        <v>1225</v>
      </c>
      <c r="C54" s="4">
        <f>IF(DatiOriginali!C54 &gt;= SogliaPicchi!$B$2,"",DatiOriginali!C54)</f>
        <v>44000</v>
      </c>
      <c r="D54" s="4">
        <v>593</v>
      </c>
      <c r="E54" s="4">
        <f>IF(DatiOriginali!E54 &gt;= SogliaPicchi!$B$2,"",DatiOriginali!E54)</f>
        <v>115800</v>
      </c>
      <c r="F54" s="4">
        <v>11751</v>
      </c>
      <c r="G54" s="4">
        <f>IF(DatiOriginali!G54 &gt;= SogliaPicchi!$B$2,"",DatiOriginali!G54)</f>
        <v>31000</v>
      </c>
      <c r="H54" s="4">
        <v>13846</v>
      </c>
      <c r="I54" s="4">
        <f>IF(DatiOriginali!I54 &gt;= SogliaPicchi!$B$2,"",DatiOriginali!I54)</f>
        <v>12400</v>
      </c>
      <c r="J54" s="4">
        <v>13652</v>
      </c>
      <c r="K54" s="4">
        <f>IF(DatiOriginali!K54 &gt;= SogliaPicchi!$B$2,"",DatiOriginali!K54)</f>
        <v>13500</v>
      </c>
    </row>
    <row r="55" spans="1:11" x14ac:dyDescent="0.3">
      <c r="A55" s="4" t="s">
        <v>64</v>
      </c>
      <c r="B55" s="4">
        <v>1225</v>
      </c>
      <c r="C55" s="4">
        <f>IF(DatiOriginali!C55 &gt;= SogliaPicchi!$B$2,"",DatiOriginali!C55)</f>
        <v>47000</v>
      </c>
      <c r="D55" s="4">
        <v>658</v>
      </c>
      <c r="E55" s="4">
        <f>IF(DatiOriginali!E55 &gt;= SogliaPicchi!$B$2,"",DatiOriginali!E55)</f>
        <v>124600</v>
      </c>
      <c r="F55" s="4">
        <v>11975</v>
      </c>
      <c r="G55" s="4">
        <f>IF(DatiOriginali!G55 &gt;= SogliaPicchi!$B$2,"",DatiOriginali!G55)</f>
        <v>37300</v>
      </c>
      <c r="H55" s="4">
        <v>14129</v>
      </c>
      <c r="I55" s="4">
        <f>IF(DatiOriginali!I55 &gt;= SogliaPicchi!$B$2,"",DatiOriginali!I55)</f>
        <v>13100</v>
      </c>
      <c r="J55" s="4">
        <v>13904</v>
      </c>
      <c r="K55" s="4">
        <f>IF(DatiOriginali!K55 &gt;= SogliaPicchi!$B$2,"",DatiOriginali!K55)</f>
        <v>15900</v>
      </c>
    </row>
    <row r="56" spans="1:11" x14ac:dyDescent="0.3">
      <c r="A56" s="4" t="s">
        <v>65</v>
      </c>
      <c r="B56" s="4">
        <v>1225</v>
      </c>
      <c r="C56" s="4">
        <f>IF(DatiOriginali!C56 &gt;= SogliaPicchi!$B$2,"",DatiOriginali!C56)</f>
        <v>49200</v>
      </c>
      <c r="D56" s="4">
        <v>662</v>
      </c>
      <c r="E56" s="4">
        <f>IF(DatiOriginali!E56 &gt;= SogliaPicchi!$B$2,"",DatiOriginali!E56)</f>
        <v>128900</v>
      </c>
      <c r="F56" s="4">
        <v>12199</v>
      </c>
      <c r="G56" s="4">
        <f>IF(DatiOriginali!G56 &gt;= SogliaPicchi!$B$2,"",DatiOriginali!G56)</f>
        <v>38700</v>
      </c>
      <c r="H56" s="4">
        <v>14347</v>
      </c>
      <c r="I56" s="4">
        <f>IF(DatiOriginali!I56 &gt;= SogliaPicchi!$B$2,"",DatiOriginali!I56)</f>
        <v>11300</v>
      </c>
      <c r="J56" s="4">
        <v>14215</v>
      </c>
      <c r="K56" s="4">
        <f>IF(DatiOriginali!K56 &gt;= SogliaPicchi!$B$2,"",DatiOriginali!K56)</f>
        <v>16500</v>
      </c>
    </row>
    <row r="57" spans="1:11" x14ac:dyDescent="0.3">
      <c r="A57" s="4" t="s">
        <v>66</v>
      </c>
      <c r="B57" s="4">
        <v>1225</v>
      </c>
      <c r="C57" s="4">
        <f>IF(DatiOriginali!C57 &gt;= SogliaPicchi!$B$2,"",DatiOriginali!C57)</f>
        <v>44900</v>
      </c>
      <c r="D57" s="4">
        <v>605</v>
      </c>
      <c r="E57" s="4">
        <f>IF(DatiOriginali!E57 &gt;= SogliaPicchi!$B$2,"",DatiOriginali!E57)</f>
        <v>116900</v>
      </c>
      <c r="F57" s="4">
        <v>12417</v>
      </c>
      <c r="G57" s="4">
        <f>IF(DatiOriginali!G57 &gt;= SogliaPicchi!$B$2,"",DatiOriginali!G57)</f>
        <v>44800</v>
      </c>
      <c r="H57" s="4">
        <v>14614</v>
      </c>
      <c r="I57" s="4">
        <f>IF(DatiOriginali!I57 &gt;= SogliaPicchi!$B$2,"",DatiOriginali!I57)</f>
        <v>12500</v>
      </c>
      <c r="J57" s="4">
        <v>14462</v>
      </c>
      <c r="K57" s="4">
        <f>IF(DatiOriginali!K57 &gt;= SogliaPicchi!$B$2,"",DatiOriginali!K57)</f>
        <v>14900</v>
      </c>
    </row>
    <row r="58" spans="1:11" x14ac:dyDescent="0.3">
      <c r="A58" s="4" t="s">
        <v>67</v>
      </c>
      <c r="B58" s="4">
        <v>1225</v>
      </c>
      <c r="C58" s="4">
        <f>IF(DatiOriginali!C58 &gt;= SogliaPicchi!$B$2,"",DatiOriginali!C58)</f>
        <v>48400</v>
      </c>
      <c r="D58" s="4">
        <v>769</v>
      </c>
      <c r="E58" s="4">
        <f>IF(DatiOriginali!E58 &gt;= SogliaPicchi!$B$2,"",DatiOriginali!E58)</f>
        <v>142800</v>
      </c>
      <c r="F58" s="4">
        <v>12641</v>
      </c>
      <c r="G58" s="4">
        <f>IF(DatiOriginali!G58 &gt;= SogliaPicchi!$B$2,"",DatiOriginali!G58)</f>
        <v>51100</v>
      </c>
      <c r="H58" s="4">
        <v>14877</v>
      </c>
      <c r="I58" s="4">
        <f>IF(DatiOriginali!I58 &gt;= SogliaPicchi!$B$2,"",DatiOriginali!I58)</f>
        <v>12400</v>
      </c>
      <c r="J58" s="4">
        <v>14723</v>
      </c>
      <c r="K58" s="4">
        <f>IF(DatiOriginali!K58 &gt;= SogliaPicchi!$B$2,"",DatiOriginali!K58)</f>
        <v>14100</v>
      </c>
    </row>
    <row r="59" spans="1:11" x14ac:dyDescent="0.3">
      <c r="A59" s="4" t="s">
        <v>68</v>
      </c>
      <c r="B59" s="4">
        <v>1225</v>
      </c>
      <c r="C59" s="4">
        <f>IF(DatiOriginali!C59 &gt;= SogliaPicchi!$B$2,"",DatiOriginali!C59)</f>
        <v>84000</v>
      </c>
      <c r="D59" s="4">
        <v>622</v>
      </c>
      <c r="E59" s="4">
        <f>IF(DatiOriginali!E59 &gt;= SogliaPicchi!$B$2,"",DatiOriginali!E59)</f>
        <v>176600</v>
      </c>
      <c r="F59" s="4">
        <v>12861</v>
      </c>
      <c r="G59" s="4">
        <f>IF(DatiOriginali!G59 &gt;= SogliaPicchi!$B$2,"",DatiOriginali!G59)</f>
        <v>60300</v>
      </c>
      <c r="H59" s="4">
        <v>15131</v>
      </c>
      <c r="I59" s="4">
        <f>IF(DatiOriginali!I59 &gt;= SogliaPicchi!$B$2,"",DatiOriginali!I59)</f>
        <v>22000</v>
      </c>
      <c r="J59" s="4">
        <v>14973</v>
      </c>
      <c r="K59" s="4">
        <f>IF(DatiOriginali!K59 &gt;= SogliaPicchi!$B$2,"",DatiOriginali!K59)</f>
        <v>25900</v>
      </c>
    </row>
    <row r="60" spans="1:11" x14ac:dyDescent="0.3">
      <c r="A60" s="4" t="s">
        <v>69</v>
      </c>
      <c r="B60" s="4">
        <v>1225</v>
      </c>
      <c r="C60" s="4">
        <f>IF(DatiOriginali!C60 &gt;= SogliaPicchi!$B$2,"",DatiOriginali!C60)</f>
        <v>87000</v>
      </c>
      <c r="D60" s="4">
        <v>615</v>
      </c>
      <c r="E60" s="4">
        <f>IF(DatiOriginali!E60 &gt;= SogliaPicchi!$B$2,"",DatiOriginali!E60)</f>
        <v>177900</v>
      </c>
      <c r="F60" s="4">
        <v>13087</v>
      </c>
      <c r="G60" s="4">
        <f>IF(DatiOriginali!G60 &gt;= SogliaPicchi!$B$2,"",DatiOriginali!G60)</f>
        <v>102200</v>
      </c>
      <c r="H60" s="4">
        <v>15409</v>
      </c>
      <c r="I60" s="4">
        <f>IF(DatiOriginali!I60 &gt;= SogliaPicchi!$B$2,"",DatiOriginali!I60)</f>
        <v>24800</v>
      </c>
      <c r="J60" s="4">
        <v>15187</v>
      </c>
      <c r="K60" s="4">
        <f>IF(DatiOriginali!K60 &gt;= SogliaPicchi!$B$2,"",DatiOriginali!K60)</f>
        <v>33400</v>
      </c>
    </row>
    <row r="61" spans="1:11" x14ac:dyDescent="0.3">
      <c r="A61" s="4" t="s">
        <v>70</v>
      </c>
      <c r="B61" s="4">
        <v>1225</v>
      </c>
      <c r="C61" s="4">
        <f>IF(DatiOriginali!C61 &gt;= SogliaPicchi!$B$2,"",DatiOriginali!C61)</f>
        <v>85300</v>
      </c>
      <c r="D61" s="4">
        <v>622</v>
      </c>
      <c r="E61" s="4">
        <f>IF(DatiOriginali!E61 &gt;= SogliaPicchi!$B$2,"",DatiOriginali!E61)</f>
        <v>183000</v>
      </c>
      <c r="F61" s="4">
        <v>13300</v>
      </c>
      <c r="G61" s="4">
        <f>IF(DatiOriginali!G61 &gt;= SogliaPicchi!$B$2,"",DatiOriginali!G61)</f>
        <v>63900</v>
      </c>
      <c r="H61" s="4">
        <v>15640</v>
      </c>
      <c r="I61" s="4">
        <f>IF(DatiOriginali!I61 &gt;= SogliaPicchi!$B$2,"",DatiOriginali!I61)</f>
        <v>22700</v>
      </c>
      <c r="J61" s="4">
        <v>15430</v>
      </c>
      <c r="K61" s="4">
        <f>IF(DatiOriginali!K61 &gt;= SogliaPicchi!$B$2,"",DatiOriginali!K61)</f>
        <v>27800</v>
      </c>
    </row>
    <row r="62" spans="1:11" x14ac:dyDescent="0.3">
      <c r="A62" s="4" t="s">
        <v>71</v>
      </c>
      <c r="B62" s="4">
        <v>1225</v>
      </c>
      <c r="C62" s="4">
        <f>IF(DatiOriginali!C62 &gt;= SogliaPicchi!$B$2,"",DatiOriginali!C62)</f>
        <v>54800</v>
      </c>
      <c r="D62" s="4">
        <v>724</v>
      </c>
      <c r="E62" s="4">
        <f>IF(DatiOriginali!E62 &gt;= SogliaPicchi!$B$2,"",DatiOriginali!E62)</f>
        <v>138400</v>
      </c>
      <c r="F62" s="4">
        <v>13519</v>
      </c>
      <c r="G62" s="4">
        <f>IF(DatiOriginali!G62 &gt;= SogliaPicchi!$B$2,"",DatiOriginali!G62)</f>
        <v>32400</v>
      </c>
      <c r="H62" s="4">
        <v>15893</v>
      </c>
      <c r="I62" s="4">
        <f>IF(DatiOriginali!I62 &gt;= SogliaPicchi!$B$2,"",DatiOriginali!I62)</f>
        <v>12200</v>
      </c>
      <c r="J62" s="4">
        <v>15693</v>
      </c>
      <c r="K62" s="4">
        <f>IF(DatiOriginali!K62 &gt;= SogliaPicchi!$B$2,"",DatiOriginali!K62)</f>
        <v>15900</v>
      </c>
    </row>
    <row r="63" spans="1:11" x14ac:dyDescent="0.3">
      <c r="A63" s="4" t="s">
        <v>72</v>
      </c>
      <c r="B63" s="4">
        <v>1225</v>
      </c>
      <c r="C63" s="4">
        <f>IF(DatiOriginali!C63 &gt;= SogliaPicchi!$B$2,"",DatiOriginali!C63)</f>
        <v>48100</v>
      </c>
      <c r="D63" s="4">
        <v>634</v>
      </c>
      <c r="E63" s="4">
        <f>IF(DatiOriginali!E63 &gt;= SogliaPicchi!$B$2,"",DatiOriginali!E63)</f>
        <v>120200</v>
      </c>
      <c r="F63" s="4">
        <v>13743</v>
      </c>
      <c r="G63" s="4">
        <f>IF(DatiOriginali!G63 &gt;= SogliaPicchi!$B$2,"",DatiOriginali!G63)</f>
        <v>49600</v>
      </c>
      <c r="H63" s="4">
        <v>16160</v>
      </c>
      <c r="I63" s="4">
        <f>IF(DatiOriginali!I63 &gt;= SogliaPicchi!$B$2,"",DatiOriginali!I63)</f>
        <v>13600</v>
      </c>
      <c r="J63" s="4">
        <v>15920</v>
      </c>
      <c r="K63" s="4">
        <f>IF(DatiOriginali!K63 &gt;= SogliaPicchi!$B$2,"",DatiOriginali!K63)</f>
        <v>13900</v>
      </c>
    </row>
    <row r="64" spans="1:11" x14ac:dyDescent="0.3">
      <c r="A64" s="4" t="s">
        <v>73</v>
      </c>
      <c r="B64" s="4">
        <v>1225</v>
      </c>
      <c r="C64" s="4">
        <f>IF(DatiOriginali!C64 &gt;= SogliaPicchi!$B$2,"",DatiOriginali!C64)</f>
        <v>48200</v>
      </c>
      <c r="D64" s="4">
        <v>707</v>
      </c>
      <c r="E64" s="4">
        <f>IF(DatiOriginali!E64 &gt;= SogliaPicchi!$B$2,"",DatiOriginali!E64)</f>
        <v>140300</v>
      </c>
      <c r="F64" s="4">
        <v>13969</v>
      </c>
      <c r="G64" s="4">
        <f>IF(DatiOriginali!G64 &gt;= SogliaPicchi!$B$2,"",DatiOriginali!G64)</f>
        <v>63900</v>
      </c>
      <c r="H64" s="4">
        <v>16418</v>
      </c>
      <c r="I64" s="4">
        <f>IF(DatiOriginali!I64 &gt;= SogliaPicchi!$B$2,"",DatiOriginali!I64)</f>
        <v>12100</v>
      </c>
      <c r="J64" s="4">
        <v>16181</v>
      </c>
      <c r="K64" s="4">
        <f>IF(DatiOriginali!K64 &gt;= SogliaPicchi!$B$2,"",DatiOriginali!K64)</f>
        <v>15200</v>
      </c>
    </row>
    <row r="65" spans="1:11" x14ac:dyDescent="0.3">
      <c r="A65" s="4" t="s">
        <v>74</v>
      </c>
      <c r="B65" s="4">
        <v>1225</v>
      </c>
      <c r="C65" s="4">
        <f>IF(DatiOriginali!C65 &gt;= SogliaPicchi!$B$2,"",DatiOriginali!C65)</f>
        <v>81600</v>
      </c>
      <c r="D65" s="4">
        <v>665</v>
      </c>
      <c r="E65" s="4">
        <f>IF(DatiOriginali!E65 &gt;= SogliaPicchi!$B$2,"",DatiOriginali!E65)</f>
        <v>187500</v>
      </c>
      <c r="F65" s="4">
        <v>14185</v>
      </c>
      <c r="G65" s="4">
        <f>IF(DatiOriginali!G65 &gt;= SogliaPicchi!$B$2,"",DatiOriginali!G65)</f>
        <v>57800</v>
      </c>
      <c r="H65" s="4">
        <v>16655</v>
      </c>
      <c r="I65" s="4">
        <f>IF(DatiOriginali!I65 &gt;= SogliaPicchi!$B$2,"",DatiOriginali!I65)</f>
        <v>19700</v>
      </c>
      <c r="J65" s="4">
        <v>16469</v>
      </c>
      <c r="K65" s="4">
        <f>IF(DatiOriginali!K65 &gt;= SogliaPicchi!$B$2,"",DatiOriginali!K65)</f>
        <v>27000</v>
      </c>
    </row>
    <row r="66" spans="1:11" x14ac:dyDescent="0.3">
      <c r="A66" s="4" t="s">
        <v>75</v>
      </c>
      <c r="B66" s="4">
        <v>1225</v>
      </c>
      <c r="C66" s="4">
        <f>IF(DatiOriginali!C66 &gt;= SogliaPicchi!$B$2,"",DatiOriginali!C66)</f>
        <v>58000</v>
      </c>
      <c r="D66" s="4">
        <v>733</v>
      </c>
      <c r="E66" s="4">
        <f>IF(DatiOriginali!E66 &gt;= SogliaPicchi!$B$2,"",DatiOriginali!E66)</f>
        <v>164100</v>
      </c>
      <c r="F66" s="4">
        <v>14416</v>
      </c>
      <c r="G66" s="4">
        <f>IF(DatiOriginali!G66 &gt;= SogliaPicchi!$B$2,"",DatiOriginali!G66)</f>
        <v>53000</v>
      </c>
      <c r="H66" s="4">
        <v>16914</v>
      </c>
      <c r="I66" s="4">
        <f>IF(DatiOriginali!I66 &gt;= SogliaPicchi!$B$2,"",DatiOriginali!I66)</f>
        <v>13300</v>
      </c>
      <c r="J66" s="4">
        <v>16742</v>
      </c>
      <c r="K66" s="4">
        <f>IF(DatiOriginali!K66 &gt;= SogliaPicchi!$B$2,"",DatiOriginali!K66)</f>
        <v>15000</v>
      </c>
    </row>
    <row r="67" spans="1:11" x14ac:dyDescent="0.3">
      <c r="A67" s="4" t="s">
        <v>76</v>
      </c>
      <c r="B67" s="4">
        <v>1225</v>
      </c>
      <c r="C67" s="4">
        <f>IF(DatiOriginali!C67 &gt;= SogliaPicchi!$B$2,"",DatiOriginali!C67)</f>
        <v>82100</v>
      </c>
      <c r="D67" s="4">
        <v>618</v>
      </c>
      <c r="E67" s="4">
        <f>IF(DatiOriginali!E67 &gt;= SogliaPicchi!$B$2,"",DatiOriginali!E67)</f>
        <v>177600</v>
      </c>
      <c r="F67" s="4">
        <v>14637</v>
      </c>
      <c r="G67" s="4">
        <f>IF(DatiOriginali!G67 &gt;= SogliaPicchi!$B$2,"",DatiOriginali!G67)</f>
        <v>57500</v>
      </c>
      <c r="H67" s="4">
        <v>17157</v>
      </c>
      <c r="I67" s="4">
        <f>IF(DatiOriginali!I67 &gt;= SogliaPicchi!$B$2,"",DatiOriginali!I67)</f>
        <v>22200</v>
      </c>
      <c r="J67" s="4">
        <v>17001</v>
      </c>
      <c r="K67" s="4">
        <f>IF(DatiOriginali!K67 &gt;= SogliaPicchi!$B$2,"",DatiOriginali!K67)</f>
        <v>26400</v>
      </c>
    </row>
    <row r="68" spans="1:11" x14ac:dyDescent="0.3">
      <c r="A68" s="4" t="s">
        <v>77</v>
      </c>
      <c r="B68" s="4">
        <v>1225</v>
      </c>
      <c r="C68" s="4">
        <f>IF(DatiOriginali!C68 &gt;= SogliaPicchi!$B$2,"",DatiOriginali!C68)</f>
        <v>46500</v>
      </c>
      <c r="D68" s="4">
        <v>665</v>
      </c>
      <c r="E68" s="4">
        <f>IF(DatiOriginali!E68 &gt;= SogliaPicchi!$B$2,"",DatiOriginali!E68)</f>
        <v>131000</v>
      </c>
      <c r="F68" s="4">
        <v>14862</v>
      </c>
      <c r="G68" s="4">
        <f>IF(DatiOriginali!G68 &gt;= SogliaPicchi!$B$2,"",DatiOriginali!G68)</f>
        <v>33700</v>
      </c>
      <c r="H68" s="4">
        <v>17502</v>
      </c>
      <c r="I68" s="4">
        <f>IF(DatiOriginali!I68 &gt;= SogliaPicchi!$B$2,"",DatiOriginali!I68)</f>
        <v>17300</v>
      </c>
      <c r="J68" s="4">
        <v>17243</v>
      </c>
      <c r="K68" s="4">
        <f>IF(DatiOriginali!K68 &gt;= SogliaPicchi!$B$2,"",DatiOriginali!K68)</f>
        <v>39000</v>
      </c>
    </row>
    <row r="69" spans="1:11" x14ac:dyDescent="0.3">
      <c r="A69" s="4" t="s">
        <v>78</v>
      </c>
      <c r="B69" s="4">
        <v>1225</v>
      </c>
      <c r="C69" s="4">
        <f>IF(DatiOriginali!C69 &gt;= SogliaPicchi!$B$2,"",DatiOriginali!C69)</f>
        <v>60000</v>
      </c>
      <c r="D69" s="4">
        <v>822</v>
      </c>
      <c r="E69" s="4">
        <f>IF(DatiOriginali!E69 &gt;= SogliaPicchi!$B$2,"",DatiOriginali!E69)</f>
        <v>189800</v>
      </c>
      <c r="F69" s="4">
        <v>15084</v>
      </c>
      <c r="G69" s="4">
        <f>IF(DatiOriginali!G69 &gt;= SogliaPicchi!$B$2,"",DatiOriginali!G69)</f>
        <v>37100</v>
      </c>
      <c r="H69" s="4">
        <v>17722</v>
      </c>
      <c r="I69" s="4">
        <f>IF(DatiOriginali!I69 &gt;= SogliaPicchi!$B$2,"",DatiOriginali!I69)</f>
        <v>34100</v>
      </c>
      <c r="J69" s="4">
        <v>17488</v>
      </c>
      <c r="K69" s="4">
        <f>IF(DatiOriginali!K69 &gt;= SogliaPicchi!$B$2,"",DatiOriginali!K69)</f>
        <v>18400</v>
      </c>
    </row>
    <row r="70" spans="1:11" x14ac:dyDescent="0.3">
      <c r="A70" s="4" t="s">
        <v>79</v>
      </c>
      <c r="B70" s="4">
        <v>1225</v>
      </c>
      <c r="C70" s="4">
        <f>IF(DatiOriginali!C70 &gt;= SogliaPicchi!$B$2,"",DatiOriginali!C70)</f>
        <v>78300</v>
      </c>
      <c r="D70" s="4">
        <v>664</v>
      </c>
      <c r="E70" s="4">
        <f>IF(DatiOriginali!E70 &gt;= SogliaPicchi!$B$2,"",DatiOriginali!E70)</f>
        <v>164200</v>
      </c>
      <c r="F70" s="4">
        <v>15303</v>
      </c>
      <c r="G70" s="4">
        <f>IF(DatiOriginali!G70 &gt;= SogliaPicchi!$B$2,"",DatiOriginali!G70)</f>
        <v>44100</v>
      </c>
      <c r="H70" s="4">
        <v>17992</v>
      </c>
      <c r="I70" s="4">
        <f>IF(DatiOriginali!I70 &gt;= SogliaPicchi!$B$2,"",DatiOriginali!I70)</f>
        <v>26300</v>
      </c>
      <c r="J70" s="4">
        <v>17774</v>
      </c>
      <c r="K70" s="4">
        <f>IF(DatiOriginali!K70 &gt;= SogliaPicchi!$B$2,"",DatiOriginali!K70)</f>
        <v>55600</v>
      </c>
    </row>
    <row r="71" spans="1:11" x14ac:dyDescent="0.3">
      <c r="A71" s="4" t="s">
        <v>80</v>
      </c>
      <c r="B71" s="4">
        <v>1225</v>
      </c>
      <c r="C71" s="4">
        <f>IF(DatiOriginali!C71 &gt;= SogliaPicchi!$B$2,"",DatiOriginali!C71)</f>
        <v>66400</v>
      </c>
      <c r="D71" s="4">
        <v>640</v>
      </c>
      <c r="E71" s="4">
        <f>IF(DatiOriginali!E71 &gt;= SogliaPicchi!$B$2,"",DatiOriginali!E71)</f>
        <v>175300</v>
      </c>
      <c r="F71" s="4">
        <v>15527</v>
      </c>
      <c r="G71" s="4">
        <f>IF(DatiOriginali!G71 &gt;= SogliaPicchi!$B$2,"",DatiOriginali!G71)</f>
        <v>55000</v>
      </c>
      <c r="H71" s="4">
        <v>18292</v>
      </c>
      <c r="I71" s="4">
        <f>IF(DatiOriginali!I71 &gt;= SogliaPicchi!$B$2,"",DatiOriginali!I71)</f>
        <v>26800</v>
      </c>
      <c r="J71" s="4">
        <v>18113</v>
      </c>
      <c r="K71" s="4">
        <f>IF(DatiOriginali!K71 &gt;= SogliaPicchi!$B$2,"",DatiOriginali!K71)</f>
        <v>29500</v>
      </c>
    </row>
    <row r="72" spans="1:11" x14ac:dyDescent="0.3">
      <c r="A72" s="4" t="s">
        <v>81</v>
      </c>
      <c r="B72" s="4">
        <v>1225</v>
      </c>
      <c r="C72" s="4">
        <f>IF(DatiOriginali!C72 &gt;= SogliaPicchi!$B$2,"",DatiOriginali!C72)</f>
        <v>44600</v>
      </c>
      <c r="D72" s="4">
        <v>619</v>
      </c>
      <c r="E72" s="4">
        <f>IF(DatiOriginali!E72 &gt;= SogliaPicchi!$B$2,"",DatiOriginali!E72)</f>
        <v>116900</v>
      </c>
      <c r="F72" s="4">
        <v>15750</v>
      </c>
      <c r="G72" s="4">
        <f>IF(DatiOriginali!G72 &gt;= SogliaPicchi!$B$2,"",DatiOriginali!G72)</f>
        <v>29800</v>
      </c>
      <c r="H72" s="4">
        <v>18592</v>
      </c>
      <c r="I72" s="4">
        <f>IF(DatiOriginali!I72 &gt;= SogliaPicchi!$B$2,"",DatiOriginali!I72)</f>
        <v>13300</v>
      </c>
      <c r="J72" s="4">
        <v>18349</v>
      </c>
      <c r="K72" s="4">
        <f>IF(DatiOriginali!K72 &gt;= SogliaPicchi!$B$2,"",DatiOriginali!K72)</f>
        <v>13200</v>
      </c>
    </row>
    <row r="73" spans="1:11" x14ac:dyDescent="0.3">
      <c r="A73" s="4" t="s">
        <v>82</v>
      </c>
      <c r="B73" s="4">
        <v>1225</v>
      </c>
      <c r="C73" s="4">
        <f>IF(DatiOriginali!C73 &gt;= SogliaPicchi!$B$2,"",DatiOriginali!C73)</f>
        <v>81100</v>
      </c>
      <c r="D73" s="4">
        <v>716</v>
      </c>
      <c r="E73" s="4">
        <f>IF(DatiOriginali!E73 &gt;= SogliaPicchi!$B$2,"",DatiOriginali!E73)</f>
        <v>198900</v>
      </c>
      <c r="F73" s="4">
        <v>15978</v>
      </c>
      <c r="G73" s="4">
        <f>IF(DatiOriginali!G73 &gt;= SogliaPicchi!$B$2,"",DatiOriginali!G73)</f>
        <v>55600</v>
      </c>
      <c r="H73" s="4">
        <v>18826</v>
      </c>
      <c r="I73" s="4">
        <f>IF(DatiOriginali!I73 &gt;= SogliaPicchi!$B$2,"",DatiOriginali!I73)</f>
        <v>26700</v>
      </c>
      <c r="J73" s="4">
        <v>18575</v>
      </c>
      <c r="K73" s="4">
        <f>IF(DatiOriginali!K73 &gt;= SogliaPicchi!$B$2,"",DatiOriginali!K73)</f>
        <v>22200</v>
      </c>
    </row>
    <row r="74" spans="1:11" x14ac:dyDescent="0.3">
      <c r="A74" s="4" t="s">
        <v>83</v>
      </c>
      <c r="B74" s="4">
        <v>1225</v>
      </c>
      <c r="C74" s="4">
        <f>IF(DatiOriginali!C74 &gt;= SogliaPicchi!$B$2,"",DatiOriginali!C74)</f>
        <v>99800</v>
      </c>
      <c r="D74" s="4">
        <v>647</v>
      </c>
      <c r="E74" s="4">
        <f>IF(DatiOriginali!E74 &gt;= SogliaPicchi!$B$2,"",DatiOriginali!E74)</f>
        <v>217700</v>
      </c>
      <c r="F74" s="4">
        <v>16209</v>
      </c>
      <c r="G74" s="4">
        <f>IF(DatiOriginali!G74 &gt;= SogliaPicchi!$B$2,"",DatiOriginali!G74)</f>
        <v>84000</v>
      </c>
      <c r="H74" s="4">
        <v>19085</v>
      </c>
      <c r="I74" s="4">
        <f>IF(DatiOriginali!I74 &gt;= SogliaPicchi!$B$2,"",DatiOriginali!I74)</f>
        <v>37000</v>
      </c>
      <c r="J74" s="4">
        <v>18809</v>
      </c>
      <c r="K74" s="4">
        <f>IF(DatiOriginali!K74 &gt;= SogliaPicchi!$B$2,"",DatiOriginali!K74)</f>
        <v>24500</v>
      </c>
    </row>
    <row r="75" spans="1:11" x14ac:dyDescent="0.3">
      <c r="A75" s="4" t="s">
        <v>84</v>
      </c>
      <c r="B75" s="4">
        <v>1225</v>
      </c>
      <c r="C75" s="4">
        <f>IF(DatiOriginali!C75 &gt;= SogliaPicchi!$B$2,"",DatiOriginali!C75)</f>
        <v>48500</v>
      </c>
      <c r="D75" s="4">
        <v>626</v>
      </c>
      <c r="E75" s="4">
        <f>IF(DatiOriginali!E75 &gt;= SogliaPicchi!$B$2,"",DatiOriginali!E75)</f>
        <v>118600</v>
      </c>
      <c r="F75" s="4">
        <v>16429</v>
      </c>
      <c r="G75" s="4">
        <f>IF(DatiOriginali!G75 &gt;= SogliaPicchi!$B$2,"",DatiOriginali!G75)</f>
        <v>30100</v>
      </c>
      <c r="H75" s="4">
        <v>19319</v>
      </c>
      <c r="I75" s="4">
        <f>IF(DatiOriginali!I75 &gt;= SogliaPicchi!$B$2,"",DatiOriginali!I75)</f>
        <v>12000</v>
      </c>
      <c r="J75" s="4">
        <v>19069</v>
      </c>
      <c r="K75" s="4">
        <f>IF(DatiOriginali!K75 &gt;= SogliaPicchi!$B$2,"",DatiOriginali!K75)</f>
        <v>13100</v>
      </c>
    </row>
    <row r="76" spans="1:11" x14ac:dyDescent="0.3">
      <c r="A76" s="4" t="s">
        <v>85</v>
      </c>
      <c r="B76" s="4">
        <v>1225</v>
      </c>
      <c r="C76" s="4">
        <f>IF(DatiOriginali!C76 &gt;= SogliaPicchi!$B$2,"",DatiOriginali!C76)</f>
        <v>47100</v>
      </c>
      <c r="D76" s="4">
        <v>697</v>
      </c>
      <c r="E76" s="4">
        <f>IF(DatiOriginali!E76 &gt;= SogliaPicchi!$B$2,"",DatiOriginali!E76)</f>
        <v>134500</v>
      </c>
      <c r="F76" s="4">
        <v>16655</v>
      </c>
      <c r="G76" s="4">
        <f>IF(DatiOriginali!G76 &gt;= SogliaPicchi!$B$2,"",DatiOriginali!G76)</f>
        <v>29800</v>
      </c>
      <c r="H76" s="4">
        <v>19570</v>
      </c>
      <c r="I76" s="4">
        <f>IF(DatiOriginali!I76 &gt;= SogliaPicchi!$B$2,"",DatiOriginali!I76)</f>
        <v>11200</v>
      </c>
      <c r="J76" s="4">
        <v>19323</v>
      </c>
      <c r="K76" s="4">
        <f>IF(DatiOriginali!K76 &gt;= SogliaPicchi!$B$2,"",DatiOriginali!K76)</f>
        <v>16900</v>
      </c>
    </row>
    <row r="77" spans="1:11" x14ac:dyDescent="0.3">
      <c r="A77" s="4" t="s">
        <v>86</v>
      </c>
      <c r="B77" s="4">
        <v>1225</v>
      </c>
      <c r="C77" s="4">
        <f>IF(DatiOriginali!C77 &gt;= SogliaPicchi!$B$2,"",DatiOriginali!C77)</f>
        <v>48900</v>
      </c>
      <c r="D77" s="4">
        <v>774</v>
      </c>
      <c r="E77" s="4">
        <f>IF(DatiOriginali!E77 &gt;= SogliaPicchi!$B$2,"",DatiOriginali!E77)</f>
        <v>145100</v>
      </c>
      <c r="F77" s="4">
        <v>16876</v>
      </c>
      <c r="G77" s="4">
        <f>IF(DatiOriginali!G77 &gt;= SogliaPicchi!$B$2,"",DatiOriginali!G77)</f>
        <v>43700</v>
      </c>
      <c r="H77" s="4">
        <v>19798</v>
      </c>
      <c r="I77" s="4">
        <f>IF(DatiOriginali!I77 &gt;= SogliaPicchi!$B$2,"",DatiOriginali!I77)</f>
        <v>10800</v>
      </c>
      <c r="J77" s="4">
        <v>19564</v>
      </c>
      <c r="K77" s="4">
        <f>IF(DatiOriginali!K77 &gt;= SogliaPicchi!$B$2,"",DatiOriginali!K77)</f>
        <v>30300</v>
      </c>
    </row>
    <row r="78" spans="1:11" x14ac:dyDescent="0.3">
      <c r="A78" s="4" t="s">
        <v>87</v>
      </c>
      <c r="B78" s="4">
        <v>1225</v>
      </c>
      <c r="C78" s="4">
        <f>IF(DatiOriginali!C78 &gt;= SogliaPicchi!$B$2,"",DatiOriginali!C78)</f>
        <v>43900</v>
      </c>
      <c r="D78" s="4">
        <v>599</v>
      </c>
      <c r="E78" s="4">
        <f>IF(DatiOriginali!E78 &gt;= SogliaPicchi!$B$2,"",DatiOriginali!E78)</f>
        <v>113400</v>
      </c>
      <c r="F78" s="4">
        <v>17098</v>
      </c>
      <c r="G78" s="4">
        <f>IF(DatiOriginali!G78 &gt;= SogliaPicchi!$B$2,"",DatiOriginali!G78)</f>
        <v>29100</v>
      </c>
      <c r="H78" s="4">
        <v>20053</v>
      </c>
      <c r="I78" s="4">
        <f>IF(DatiOriginali!I78 &gt;= SogliaPicchi!$B$2,"",DatiOriginali!I78)</f>
        <v>13100</v>
      </c>
      <c r="J78" s="4">
        <v>19800</v>
      </c>
      <c r="K78" s="4">
        <f>IF(DatiOriginali!K78 &gt;= SogliaPicchi!$B$2,"",DatiOriginali!K78)</f>
        <v>12500</v>
      </c>
    </row>
    <row r="79" spans="1:11" x14ac:dyDescent="0.3">
      <c r="A79" s="4" t="s">
        <v>88</v>
      </c>
      <c r="B79" s="4">
        <v>1225</v>
      </c>
      <c r="C79" s="4">
        <f>IF(DatiOriginali!C79 &gt;= SogliaPicchi!$B$2,"",DatiOriginali!C79)</f>
        <v>44900</v>
      </c>
      <c r="D79" s="4">
        <v>620</v>
      </c>
      <c r="E79" s="4">
        <f>IF(DatiOriginali!E79 &gt;= SogliaPicchi!$B$2,"",DatiOriginali!E79)</f>
        <v>122500</v>
      </c>
      <c r="F79" s="4">
        <v>17324</v>
      </c>
      <c r="G79" s="4" t="str">
        <f>IF(DatiOriginali!G79 &gt;= SogliaPicchi!$B$2,"",DatiOriginali!G79)</f>
        <v/>
      </c>
      <c r="H79" s="4">
        <v>20311</v>
      </c>
      <c r="I79" s="4">
        <f>IF(DatiOriginali!I79 &gt;= SogliaPicchi!$B$2,"",DatiOriginali!I79)</f>
        <v>13700</v>
      </c>
      <c r="J79" s="4">
        <v>20050</v>
      </c>
      <c r="K79" s="4">
        <f>IF(DatiOriginali!K79 &gt;= SogliaPicchi!$B$2,"",DatiOriginali!K79)</f>
        <v>15100</v>
      </c>
    </row>
    <row r="80" spans="1:11" x14ac:dyDescent="0.3">
      <c r="A80" s="4" t="s">
        <v>89</v>
      </c>
      <c r="B80" s="4">
        <v>1225</v>
      </c>
      <c r="C80" s="4">
        <f>IF(DatiOriginali!C80 &gt;= SogliaPicchi!$B$2,"",DatiOriginali!C80)</f>
        <v>74500</v>
      </c>
      <c r="D80" s="4">
        <v>703</v>
      </c>
      <c r="E80" s="4">
        <f>IF(DatiOriginali!E80 &gt;= SogliaPicchi!$B$2,"",DatiOriginali!E80)</f>
        <v>173400</v>
      </c>
      <c r="F80" s="4">
        <v>17545</v>
      </c>
      <c r="G80" s="4">
        <f>IF(DatiOriginali!G80 &gt;= SogliaPicchi!$B$2,"",DatiOriginali!G80)</f>
        <v>177300</v>
      </c>
      <c r="H80" s="4">
        <v>20530</v>
      </c>
      <c r="I80" s="4">
        <f>IF(DatiOriginali!I80 &gt;= SogliaPicchi!$B$2,"",DatiOriginali!I80)</f>
        <v>16700</v>
      </c>
      <c r="J80" s="4">
        <v>20301</v>
      </c>
      <c r="K80" s="4">
        <f>IF(DatiOriginali!K80 &gt;= SogliaPicchi!$B$2,"",DatiOriginali!K80)</f>
        <v>20400</v>
      </c>
    </row>
    <row r="81" spans="1:11" x14ac:dyDescent="0.3">
      <c r="A81" s="4" t="s">
        <v>90</v>
      </c>
      <c r="B81" s="4">
        <v>1225</v>
      </c>
      <c r="C81" s="4">
        <f>IF(DatiOriginali!C81 &gt;= SogliaPicchi!$B$2,"",DatiOriginali!C81)</f>
        <v>81800</v>
      </c>
      <c r="D81" s="4">
        <v>611</v>
      </c>
      <c r="E81" s="4">
        <f>IF(DatiOriginali!E81 &gt;= SogliaPicchi!$B$2,"",DatiOriginali!E81)</f>
        <v>198900</v>
      </c>
      <c r="F81" s="4">
        <v>17768</v>
      </c>
      <c r="G81" s="4">
        <f>IF(DatiOriginali!G81 &gt;= SogliaPicchi!$B$2,"",DatiOriginali!G81)</f>
        <v>230000</v>
      </c>
      <c r="H81" s="4">
        <v>20781</v>
      </c>
      <c r="I81" s="4">
        <f>IF(DatiOriginali!I81 &gt;= SogliaPicchi!$B$2,"",DatiOriginali!I81)</f>
        <v>19500</v>
      </c>
      <c r="J81" s="4">
        <v>20542</v>
      </c>
      <c r="K81" s="4">
        <f>IF(DatiOriginali!K81 &gt;= SogliaPicchi!$B$2,"",DatiOriginali!K81)</f>
        <v>20300</v>
      </c>
    </row>
    <row r="82" spans="1:11" x14ac:dyDescent="0.3">
      <c r="A82" s="4" t="s">
        <v>91</v>
      </c>
      <c r="B82" s="4">
        <v>1225</v>
      </c>
      <c r="C82" s="4">
        <f>IF(DatiOriginali!C82 &gt;= SogliaPicchi!$B$2,"",DatiOriginali!C82)</f>
        <v>80400</v>
      </c>
      <c r="D82" s="4">
        <v>796</v>
      </c>
      <c r="E82" s="4">
        <f>IF(DatiOriginali!E82 &gt;= SogliaPicchi!$B$2,"",DatiOriginali!E82)</f>
        <v>197400</v>
      </c>
      <c r="F82" s="4">
        <v>17991</v>
      </c>
      <c r="G82" s="4">
        <f>IF(DatiOriginali!G82 &gt;= SogliaPicchi!$B$2,"",DatiOriginali!G82)</f>
        <v>187900</v>
      </c>
      <c r="H82" s="4">
        <v>21029</v>
      </c>
      <c r="I82" s="4">
        <f>IF(DatiOriginali!I82 &gt;= SogliaPicchi!$B$2,"",DatiOriginali!I82)</f>
        <v>18500</v>
      </c>
      <c r="J82" s="4">
        <v>20856</v>
      </c>
      <c r="K82" s="4">
        <f>IF(DatiOriginali!K82 &gt;= SogliaPicchi!$B$2,"",DatiOriginali!K82)</f>
        <v>24200</v>
      </c>
    </row>
    <row r="83" spans="1:11" x14ac:dyDescent="0.3">
      <c r="A83" s="4" t="s">
        <v>92</v>
      </c>
      <c r="B83" s="4">
        <v>1225</v>
      </c>
      <c r="C83" s="4">
        <f>IF(DatiOriginali!C83 &gt;= SogliaPicchi!$B$2,"",DatiOriginali!C83)</f>
        <v>70800</v>
      </c>
      <c r="D83" s="4">
        <v>637</v>
      </c>
      <c r="E83" s="4">
        <f>IF(DatiOriginali!E83 &gt;= SogliaPicchi!$B$2,"",DatiOriginali!E83)</f>
        <v>157600</v>
      </c>
      <c r="F83" s="4">
        <v>18211</v>
      </c>
      <c r="G83" s="4">
        <f>IF(DatiOriginali!G83 &gt;= SogliaPicchi!$B$2,"",DatiOriginali!G83)</f>
        <v>188400</v>
      </c>
      <c r="H83" s="4">
        <v>21270</v>
      </c>
      <c r="I83" s="4">
        <f>IF(DatiOriginali!I83 &gt;= SogliaPicchi!$B$2,"",DatiOriginali!I83)</f>
        <v>201200</v>
      </c>
      <c r="J83" s="4">
        <v>21151</v>
      </c>
      <c r="K83" s="4">
        <f>IF(DatiOriginali!K83 &gt;= SogliaPicchi!$B$2,"",DatiOriginali!K83)</f>
        <v>21000</v>
      </c>
    </row>
    <row r="84" spans="1:11" x14ac:dyDescent="0.3">
      <c r="A84" s="4" t="s">
        <v>93</v>
      </c>
      <c r="B84" s="4">
        <v>1225</v>
      </c>
      <c r="C84" s="4">
        <f>IF(DatiOriginali!C84 &gt;= SogliaPicchi!$B$2,"",DatiOriginali!C84)</f>
        <v>70800</v>
      </c>
      <c r="D84" s="4">
        <v>633</v>
      </c>
      <c r="E84" s="4">
        <f>IF(DatiOriginali!E84 &gt;= SogliaPicchi!$B$2,"",DatiOriginali!E84)</f>
        <v>152600</v>
      </c>
      <c r="F84" s="4">
        <v>18435</v>
      </c>
      <c r="G84" s="4">
        <f>IF(DatiOriginali!G84 &gt;= SogliaPicchi!$B$2,"",DatiOriginali!G84)</f>
        <v>182000</v>
      </c>
      <c r="H84" s="4">
        <v>21531</v>
      </c>
      <c r="I84" s="4">
        <f>IF(DatiOriginali!I84 &gt;= SogliaPicchi!$B$2,"",DatiOriginali!I84)</f>
        <v>88700</v>
      </c>
      <c r="J84" s="4">
        <v>21438</v>
      </c>
      <c r="K84" s="4">
        <f>IF(DatiOriginali!K84 &gt;= SogliaPicchi!$B$2,"",DatiOriginali!K84)</f>
        <v>22500</v>
      </c>
    </row>
    <row r="85" spans="1:11" x14ac:dyDescent="0.3">
      <c r="A85" s="4" t="s">
        <v>94</v>
      </c>
      <c r="B85" s="4">
        <v>1225</v>
      </c>
      <c r="C85" s="4">
        <f>IF(DatiOriginali!C85 &gt;= SogliaPicchi!$B$2,"",DatiOriginali!C85)</f>
        <v>43800</v>
      </c>
      <c r="D85" s="4">
        <v>596</v>
      </c>
      <c r="E85" s="4">
        <f>IF(DatiOriginali!E85 &gt;= SogliaPicchi!$B$2,"",DatiOriginali!E85)</f>
        <v>114500</v>
      </c>
      <c r="F85" s="4">
        <v>18655</v>
      </c>
      <c r="G85" s="4">
        <f>IF(DatiOriginali!G85 &gt;= SogliaPicchi!$B$2,"",DatiOriginali!G85)</f>
        <v>150400</v>
      </c>
      <c r="H85" s="4">
        <v>21822</v>
      </c>
      <c r="I85" s="4">
        <f>IF(DatiOriginali!I85 &gt;= SogliaPicchi!$B$2,"",DatiOriginali!I85)</f>
        <v>108800</v>
      </c>
      <c r="J85" s="4">
        <v>21671</v>
      </c>
      <c r="K85" s="4">
        <f>IF(DatiOriginali!K85 &gt;= SogliaPicchi!$B$2,"",DatiOriginali!K85)</f>
        <v>13000</v>
      </c>
    </row>
    <row r="86" spans="1:11" x14ac:dyDescent="0.3">
      <c r="A86" s="4" t="s">
        <v>95</v>
      </c>
      <c r="B86" s="4">
        <v>1225</v>
      </c>
      <c r="C86" s="4">
        <f>IF(DatiOriginali!C86 &gt;= SogliaPicchi!$B$2,"",DatiOriginali!C86)</f>
        <v>45300</v>
      </c>
      <c r="D86" s="4">
        <v>656</v>
      </c>
      <c r="E86" s="4">
        <f>IF(DatiOriginali!E86 &gt;= SogliaPicchi!$B$2,"",DatiOriginali!E86)</f>
        <v>123800</v>
      </c>
      <c r="F86" s="4">
        <v>18875</v>
      </c>
      <c r="G86" s="4">
        <f>IF(DatiOriginali!G86 &gt;= SogliaPicchi!$B$2,"",DatiOriginali!G86)</f>
        <v>145800</v>
      </c>
      <c r="H86" s="4">
        <v>22092</v>
      </c>
      <c r="I86" s="4">
        <f>IF(DatiOriginali!I86 &gt;= SogliaPicchi!$B$2,"",DatiOriginali!I86)</f>
        <v>72800</v>
      </c>
      <c r="J86" s="4">
        <v>21907</v>
      </c>
      <c r="K86" s="4">
        <f>IF(DatiOriginali!K86 &gt;= SogliaPicchi!$B$2,"",DatiOriginali!K86)</f>
        <v>13300</v>
      </c>
    </row>
    <row r="87" spans="1:11" x14ac:dyDescent="0.3">
      <c r="A87" s="4" t="s">
        <v>96</v>
      </c>
      <c r="B87" s="4">
        <v>1225</v>
      </c>
      <c r="C87" s="4">
        <f>IF(DatiOriginali!C87 &gt;= SogliaPicchi!$B$2,"",DatiOriginali!C87)</f>
        <v>51100</v>
      </c>
      <c r="D87" s="4">
        <v>651</v>
      </c>
      <c r="E87" s="4">
        <f>IF(DatiOriginali!E87 &gt;= SogliaPicchi!$B$2,"",DatiOriginali!E87)</f>
        <v>124800</v>
      </c>
      <c r="F87" s="4">
        <v>19098</v>
      </c>
      <c r="G87" s="4">
        <f>IF(DatiOriginali!G87 &gt;= SogliaPicchi!$B$2,"",DatiOriginali!G87)</f>
        <v>140500</v>
      </c>
      <c r="H87" s="4">
        <v>22394</v>
      </c>
      <c r="I87" s="4">
        <f>IF(DatiOriginali!I87 &gt;= SogliaPicchi!$B$2,"",DatiOriginali!I87)</f>
        <v>76900</v>
      </c>
      <c r="J87" s="4">
        <v>22142</v>
      </c>
      <c r="K87" s="4">
        <f>IF(DatiOriginali!K87 &gt;= SogliaPicchi!$B$2,"",DatiOriginali!K87)</f>
        <v>12800</v>
      </c>
    </row>
    <row r="88" spans="1:11" x14ac:dyDescent="0.3">
      <c r="A88" s="4" t="s">
        <v>97</v>
      </c>
      <c r="B88" s="4">
        <v>1225</v>
      </c>
      <c r="C88" s="4">
        <f>IF(DatiOriginali!C88 &gt;= SogliaPicchi!$B$2,"",DatiOriginali!C88)</f>
        <v>65400</v>
      </c>
      <c r="D88" s="4">
        <v>669</v>
      </c>
      <c r="E88" s="4">
        <f>IF(DatiOriginali!E88 &gt;= SogliaPicchi!$B$2,"",DatiOriginali!E88)</f>
        <v>127800</v>
      </c>
      <c r="F88" s="4">
        <v>19316</v>
      </c>
      <c r="G88" s="4">
        <f>IF(DatiOriginali!G88 &gt;= SogliaPicchi!$B$2,"",DatiOriginali!G88)</f>
        <v>156400</v>
      </c>
      <c r="H88" s="4">
        <v>22662</v>
      </c>
      <c r="I88" s="4">
        <f>IF(DatiOriginali!I88 &gt;= SogliaPicchi!$B$2,"",DatiOriginali!I88)</f>
        <v>75100</v>
      </c>
      <c r="J88" s="4">
        <v>22446</v>
      </c>
      <c r="K88" s="4">
        <f>IF(DatiOriginali!K88 &gt;= SogliaPicchi!$B$2,"",DatiOriginali!K88)</f>
        <v>15100</v>
      </c>
    </row>
    <row r="89" spans="1:11" x14ac:dyDescent="0.3">
      <c r="A89" s="4" t="s">
        <v>98</v>
      </c>
      <c r="B89" s="4">
        <v>1225</v>
      </c>
      <c r="C89" s="4">
        <f>IF(DatiOriginali!C89 &gt;= SogliaPicchi!$B$2,"",DatiOriginali!C89)</f>
        <v>46100</v>
      </c>
      <c r="D89" s="4">
        <v>662</v>
      </c>
      <c r="E89" s="4">
        <f>IF(DatiOriginali!E89 &gt;= SogliaPicchi!$B$2,"",DatiOriginali!E89)</f>
        <v>124500</v>
      </c>
      <c r="F89" s="4">
        <v>19527</v>
      </c>
      <c r="G89" s="4">
        <f>IF(DatiOriginali!G89 &gt;= SogliaPicchi!$B$2,"",DatiOriginali!G89)</f>
        <v>155700</v>
      </c>
      <c r="H89" s="4">
        <v>22898</v>
      </c>
      <c r="I89" s="4">
        <f>IF(DatiOriginali!I89 &gt;= SogliaPicchi!$B$2,"",DatiOriginali!I89)</f>
        <v>67600</v>
      </c>
      <c r="J89" s="4">
        <v>22680</v>
      </c>
      <c r="K89" s="4">
        <f>IF(DatiOriginali!K89 &gt;= SogliaPicchi!$B$2,"",DatiOriginali!K89)</f>
        <v>13300</v>
      </c>
    </row>
    <row r="90" spans="1:11" x14ac:dyDescent="0.3">
      <c r="A90" s="4" t="s">
        <v>99</v>
      </c>
      <c r="B90" s="4">
        <v>1225</v>
      </c>
      <c r="C90" s="4">
        <f>IF(DatiOriginali!C90 &gt;= SogliaPicchi!$B$2,"",DatiOriginali!C90)</f>
        <v>74700</v>
      </c>
      <c r="D90" s="4">
        <v>646</v>
      </c>
      <c r="E90" s="4">
        <f>IF(DatiOriginali!E90 &gt;= SogliaPicchi!$B$2,"",DatiOriginali!E90)</f>
        <v>168600</v>
      </c>
      <c r="F90" s="4">
        <v>19753</v>
      </c>
      <c r="G90" s="4">
        <f>IF(DatiOriginali!G90 &gt;= SogliaPicchi!$B$2,"",DatiOriginali!G90)</f>
        <v>181900</v>
      </c>
      <c r="H90" s="4">
        <v>23148</v>
      </c>
      <c r="I90" s="4">
        <f>IF(DatiOriginali!I90 &gt;= SogliaPicchi!$B$2,"",DatiOriginali!I90)</f>
        <v>87800</v>
      </c>
      <c r="J90" s="4">
        <v>22972</v>
      </c>
      <c r="K90" s="4">
        <f>IF(DatiOriginali!K90 &gt;= SogliaPicchi!$B$2,"",DatiOriginali!K90)</f>
        <v>21200</v>
      </c>
    </row>
    <row r="91" spans="1:11" x14ac:dyDescent="0.3">
      <c r="A91" s="4" t="s">
        <v>100</v>
      </c>
      <c r="B91" s="4">
        <v>1225</v>
      </c>
      <c r="C91" s="4">
        <f>IF(DatiOriginali!C91 &gt;= SogliaPicchi!$B$2,"",DatiOriginali!C91)</f>
        <v>74300</v>
      </c>
      <c r="D91" s="4">
        <v>640</v>
      </c>
      <c r="E91" s="4">
        <f>IF(DatiOriginali!E91 &gt;= SogliaPicchi!$B$2,"",DatiOriginali!E91)</f>
        <v>168600</v>
      </c>
      <c r="F91" s="4">
        <v>19971</v>
      </c>
      <c r="G91" s="4">
        <f>IF(DatiOriginali!G91 &gt;= SogliaPicchi!$B$2,"",DatiOriginali!G91)</f>
        <v>200200</v>
      </c>
      <c r="H91" s="4">
        <v>23436</v>
      </c>
      <c r="I91" s="4">
        <f>IF(DatiOriginali!I91 &gt;= SogliaPicchi!$B$2,"",DatiOriginali!I91)</f>
        <v>84700</v>
      </c>
      <c r="J91" s="4">
        <v>23240</v>
      </c>
      <c r="K91" s="4">
        <f>IF(DatiOriginali!K91 &gt;= SogliaPicchi!$B$2,"",DatiOriginali!K91)</f>
        <v>225800</v>
      </c>
    </row>
    <row r="92" spans="1:11" x14ac:dyDescent="0.3">
      <c r="A92" s="4" t="s">
        <v>101</v>
      </c>
      <c r="B92" s="4">
        <v>1225</v>
      </c>
      <c r="C92" s="4">
        <f>IF(DatiOriginali!C92 &gt;= SogliaPicchi!$B$2,"",DatiOriginali!C92)</f>
        <v>47300</v>
      </c>
      <c r="D92" s="4">
        <v>670</v>
      </c>
      <c r="E92" s="4">
        <f>IF(DatiOriginali!E92 &gt;= SogliaPicchi!$B$2,"",DatiOriginali!E92)</f>
        <v>123700</v>
      </c>
      <c r="F92" s="4">
        <v>20193</v>
      </c>
      <c r="G92" s="4">
        <f>IF(DatiOriginali!G92 &gt;= SogliaPicchi!$B$2,"",DatiOriginali!G92)</f>
        <v>146100</v>
      </c>
      <c r="H92" s="4">
        <v>23678</v>
      </c>
      <c r="I92" s="4">
        <f>IF(DatiOriginali!I92 &gt;= SogliaPicchi!$B$2,"",DatiOriginali!I92)</f>
        <v>76400</v>
      </c>
      <c r="J92" s="4">
        <v>23495</v>
      </c>
      <c r="K92" s="4">
        <f>IF(DatiOriginali!K92 &gt;= SogliaPicchi!$B$2,"",DatiOriginali!K92)</f>
        <v>14600</v>
      </c>
    </row>
    <row r="93" spans="1:11" x14ac:dyDescent="0.3">
      <c r="A93" s="4" t="s">
        <v>102</v>
      </c>
      <c r="B93" s="4">
        <v>1225</v>
      </c>
      <c r="C93" s="4">
        <f>IF(DatiOriginali!C93 &gt;= SogliaPicchi!$B$2,"",DatiOriginali!C93)</f>
        <v>57200</v>
      </c>
      <c r="D93" s="4">
        <v>712</v>
      </c>
      <c r="E93" s="4">
        <f>IF(DatiOriginali!E93 &gt;= SogliaPicchi!$B$2,"",DatiOriginali!E93)</f>
        <v>162400</v>
      </c>
      <c r="F93" s="4">
        <v>20414</v>
      </c>
      <c r="G93" s="4">
        <f>IF(DatiOriginali!G93 &gt;= SogliaPicchi!$B$2,"",DatiOriginali!G93)</f>
        <v>165400</v>
      </c>
      <c r="H93" s="4">
        <v>23965</v>
      </c>
      <c r="I93" s="4">
        <f>IF(DatiOriginali!I93 &gt;= SogliaPicchi!$B$2,"",DatiOriginali!I93)</f>
        <v>79900</v>
      </c>
      <c r="J93" s="4">
        <v>23718</v>
      </c>
      <c r="K93" s="4">
        <f>IF(DatiOriginali!K93 &gt;= SogliaPicchi!$B$2,"",DatiOriginali!K93)</f>
        <v>13600</v>
      </c>
    </row>
    <row r="94" spans="1:11" x14ac:dyDescent="0.3">
      <c r="A94" s="4" t="s">
        <v>103</v>
      </c>
      <c r="B94" s="4">
        <v>1225</v>
      </c>
      <c r="C94" s="4">
        <f>IF(DatiOriginali!C94 &gt;= SogliaPicchi!$B$2,"",DatiOriginali!C94)</f>
        <v>54900</v>
      </c>
      <c r="D94" s="4">
        <v>618</v>
      </c>
      <c r="E94" s="4">
        <f>IF(DatiOriginali!E94 &gt;= SogliaPicchi!$B$2,"",DatiOriginali!E94)</f>
        <v>121100</v>
      </c>
      <c r="F94" s="4">
        <v>20637</v>
      </c>
      <c r="G94" s="4">
        <f>IF(DatiOriginali!G94 &gt;= SogliaPicchi!$B$2,"",DatiOriginali!G94)</f>
        <v>144700</v>
      </c>
      <c r="H94" s="4">
        <v>24285</v>
      </c>
      <c r="I94" s="4">
        <f>IF(DatiOriginali!I94 &gt;= SogliaPicchi!$B$2,"",DatiOriginali!I94)</f>
        <v>82400</v>
      </c>
      <c r="J94" s="4">
        <v>24040</v>
      </c>
      <c r="K94" s="4">
        <f>IF(DatiOriginali!K94 &gt;= SogliaPicchi!$B$2,"",DatiOriginali!K94)</f>
        <v>16700</v>
      </c>
    </row>
    <row r="95" spans="1:11" x14ac:dyDescent="0.3">
      <c r="A95" s="4" t="s">
        <v>104</v>
      </c>
      <c r="B95" s="4">
        <v>1225</v>
      </c>
      <c r="C95" s="4">
        <f>IF(DatiOriginali!C95 &gt;= SogliaPicchi!$B$2,"",DatiOriginali!C95)</f>
        <v>45000</v>
      </c>
      <c r="D95" s="4">
        <v>649</v>
      </c>
      <c r="E95" s="4">
        <f>IF(DatiOriginali!E95 &gt;= SogliaPicchi!$B$2,"",DatiOriginali!E95)</f>
        <v>164600</v>
      </c>
      <c r="F95" s="4">
        <v>20860</v>
      </c>
      <c r="G95" s="4">
        <f>IF(DatiOriginali!G95 &gt;= SogliaPicchi!$B$2,"",DatiOriginali!G95)</f>
        <v>144000</v>
      </c>
      <c r="H95" s="4">
        <v>24577</v>
      </c>
      <c r="I95" s="4">
        <f>IF(DatiOriginali!I95 &gt;= SogliaPicchi!$B$2,"",DatiOriginali!I95)</f>
        <v>78200</v>
      </c>
      <c r="J95" s="4">
        <v>24268</v>
      </c>
      <c r="K95" s="4">
        <f>IF(DatiOriginali!K95 &gt;= SogliaPicchi!$B$2,"",DatiOriginali!K95)</f>
        <v>12500</v>
      </c>
    </row>
    <row r="96" spans="1:11" x14ac:dyDescent="0.3">
      <c r="A96" s="4" t="s">
        <v>105</v>
      </c>
      <c r="B96" s="4">
        <v>1225</v>
      </c>
      <c r="C96" s="4">
        <f>IF(DatiOriginali!C96 &gt;= SogliaPicchi!$B$2,"",DatiOriginali!C96)</f>
        <v>44200</v>
      </c>
      <c r="D96" s="4">
        <v>599</v>
      </c>
      <c r="E96" s="4">
        <f>IF(DatiOriginali!E96 &gt;= SogliaPicchi!$B$2,"",DatiOriginali!E96)</f>
        <v>72800</v>
      </c>
      <c r="F96" s="4">
        <v>21088</v>
      </c>
      <c r="G96" s="4">
        <f>IF(DatiOriginali!G96 &gt;= SogliaPicchi!$B$2,"",DatiOriginali!G96)</f>
        <v>142800</v>
      </c>
      <c r="H96" s="4">
        <v>24846</v>
      </c>
      <c r="I96" s="4">
        <f>IF(DatiOriginali!I96 &gt;= SogliaPicchi!$B$2,"",DatiOriginali!I96)</f>
        <v>68000</v>
      </c>
      <c r="J96" s="4">
        <v>24512</v>
      </c>
      <c r="K96" s="4">
        <f>IF(DatiOriginali!K96 &gt;= SogliaPicchi!$B$2,"",DatiOriginali!K96)</f>
        <v>14200</v>
      </c>
    </row>
    <row r="97" spans="1:11" x14ac:dyDescent="0.3">
      <c r="A97" s="4" t="s">
        <v>106</v>
      </c>
      <c r="B97" s="4">
        <v>1225</v>
      </c>
      <c r="C97" s="4">
        <f>IF(DatiOriginali!C97 &gt;= SogliaPicchi!$B$2,"",DatiOriginali!C97)</f>
        <v>48600</v>
      </c>
      <c r="D97" s="4">
        <v>761</v>
      </c>
      <c r="E97" s="4">
        <f>IF(DatiOriginali!E97 &gt;= SogliaPicchi!$B$2,"",DatiOriginali!E97)</f>
        <v>22900</v>
      </c>
      <c r="F97" s="4">
        <v>21314</v>
      </c>
      <c r="G97" s="4">
        <f>IF(DatiOriginali!G97 &gt;= SogliaPicchi!$B$2,"",DatiOriginali!G97)</f>
        <v>148700</v>
      </c>
      <c r="H97" s="4">
        <v>25080</v>
      </c>
      <c r="I97" s="4">
        <f>IF(DatiOriginali!I97 &gt;= SogliaPicchi!$B$2,"",DatiOriginali!I97)</f>
        <v>62700</v>
      </c>
      <c r="J97" s="4">
        <v>24751</v>
      </c>
      <c r="K97" s="4">
        <f>IF(DatiOriginali!K97 &gt;= SogliaPicchi!$B$2,"",DatiOriginali!K97)</f>
        <v>160100</v>
      </c>
    </row>
    <row r="98" spans="1:11" x14ac:dyDescent="0.3">
      <c r="A98" s="4" t="s">
        <v>107</v>
      </c>
      <c r="B98" s="4">
        <v>1225</v>
      </c>
      <c r="C98" s="4">
        <f>IF(DatiOriginali!C98 &gt;= SogliaPicchi!$B$2,"",DatiOriginali!C98)</f>
        <v>43100</v>
      </c>
      <c r="D98" s="4">
        <v>554</v>
      </c>
      <c r="E98" s="4">
        <f>IF(DatiOriginali!E98 &gt;= SogliaPicchi!$B$2,"",DatiOriginali!E98)</f>
        <v>17100</v>
      </c>
      <c r="F98" s="4">
        <v>21540</v>
      </c>
      <c r="G98" s="4">
        <f>IF(DatiOriginali!G98 &gt;= SogliaPicchi!$B$2,"",DatiOriginali!G98)</f>
        <v>144000</v>
      </c>
      <c r="H98" s="4">
        <v>25325</v>
      </c>
      <c r="I98" s="4">
        <f>IF(DatiOriginali!I98 &gt;= SogliaPicchi!$B$2,"",DatiOriginali!I98)</f>
        <v>73900</v>
      </c>
      <c r="J98" s="4">
        <v>24992</v>
      </c>
      <c r="K98" s="4">
        <f>IF(DatiOriginali!K98 &gt;= SogliaPicchi!$B$2,"",DatiOriginali!K98)</f>
        <v>70600</v>
      </c>
    </row>
    <row r="99" spans="1:11" x14ac:dyDescent="0.3">
      <c r="A99" s="4" t="s">
        <v>108</v>
      </c>
      <c r="B99" s="4">
        <v>1225</v>
      </c>
      <c r="C99" s="4">
        <f>IF(DatiOriginali!C99 &gt;= SogliaPicchi!$B$2,"",DatiOriginali!C99)</f>
        <v>45700</v>
      </c>
      <c r="D99" s="4">
        <v>653</v>
      </c>
      <c r="E99" s="4">
        <f>IF(DatiOriginali!E99 &gt;= SogliaPicchi!$B$2,"",DatiOriginali!E99)</f>
        <v>19400</v>
      </c>
      <c r="F99" s="4">
        <v>21758</v>
      </c>
      <c r="G99" s="4">
        <f>IF(DatiOriginali!G99 &gt;= SogliaPicchi!$B$2,"",DatiOriginali!G99)</f>
        <v>156700</v>
      </c>
      <c r="H99" s="4">
        <v>25574</v>
      </c>
      <c r="I99" s="4">
        <f>IF(DatiOriginali!I99 &gt;= SogliaPicchi!$B$2,"",DatiOriginali!I99)</f>
        <v>70900</v>
      </c>
      <c r="J99" s="4">
        <v>25262</v>
      </c>
      <c r="K99" s="4">
        <f>IF(DatiOriginali!K99 &gt;= SogliaPicchi!$B$2,"",DatiOriginali!K99)</f>
        <v>75200</v>
      </c>
    </row>
    <row r="100" spans="1:11" x14ac:dyDescent="0.3">
      <c r="A100" s="4" t="s">
        <v>109</v>
      </c>
      <c r="B100" s="4">
        <v>1225</v>
      </c>
      <c r="C100" s="4">
        <f>IF(DatiOriginali!C100 &gt;= SogliaPicchi!$B$2,"",DatiOriginali!C100)</f>
        <v>43800</v>
      </c>
      <c r="D100" s="4">
        <v>596</v>
      </c>
      <c r="E100" s="4">
        <f>IF(DatiOriginali!E100 &gt;= SogliaPicchi!$B$2,"",DatiOriginali!E100)</f>
        <v>18000</v>
      </c>
      <c r="F100" s="4">
        <v>21978</v>
      </c>
      <c r="G100" s="4">
        <f>IF(DatiOriginali!G100 &gt;= SogliaPicchi!$B$2,"",DatiOriginali!G100)</f>
        <v>148100</v>
      </c>
      <c r="H100" s="4">
        <v>25812</v>
      </c>
      <c r="I100" s="4">
        <f>IF(DatiOriginali!I100 &gt;= SogliaPicchi!$B$2,"",DatiOriginali!I100)</f>
        <v>66000</v>
      </c>
      <c r="J100" s="4">
        <v>25538</v>
      </c>
      <c r="K100" s="4">
        <f>IF(DatiOriginali!K100 &gt;= SogliaPicchi!$B$2,"",DatiOriginali!K100)</f>
        <v>79500</v>
      </c>
    </row>
    <row r="101" spans="1:11" x14ac:dyDescent="0.3">
      <c r="A101" s="4" t="s">
        <v>110</v>
      </c>
      <c r="B101" s="4">
        <v>1225</v>
      </c>
      <c r="C101" s="4">
        <f>IF(DatiOriginali!C101 &gt;= SogliaPicchi!$B$2,"",DatiOriginali!C101)</f>
        <v>108400</v>
      </c>
      <c r="D101" s="4">
        <v>599</v>
      </c>
      <c r="E101" s="4">
        <f>IF(DatiOriginali!E101 &gt;= SogliaPicchi!$B$2,"",DatiOriginali!E101)</f>
        <v>42600</v>
      </c>
      <c r="F101" s="4">
        <v>22200</v>
      </c>
      <c r="G101" s="4" t="str">
        <f>IF(DatiOriginali!G101 &gt;= SogliaPicchi!$B$3,"",DatiOriginali!G101)</f>
        <v/>
      </c>
      <c r="H101" s="4">
        <v>26083</v>
      </c>
      <c r="I101" s="4" t="str">
        <f>IF(DatiOriginali!I101 &gt;= SogliaPicchi!$B$3,"",DatiOriginali!I101)</f>
        <v/>
      </c>
      <c r="J101" s="4">
        <v>25814</v>
      </c>
      <c r="K101" s="4" t="str">
        <f>IF(DatiOriginali!K101 &gt;= SogliaPicchi!$B$3,"",DatiOriginali!K101)</f>
        <v/>
      </c>
    </row>
    <row r="102" spans="1:11" x14ac:dyDescent="0.3">
      <c r="A102" s="4" t="s">
        <v>111</v>
      </c>
      <c r="B102" s="4">
        <v>4950</v>
      </c>
      <c r="C102" s="4" t="str">
        <f>IF(DatiOriginali!C102 &gt;= SogliaPicchi!$B$3,"",DatiOriginali!C102)</f>
        <v/>
      </c>
      <c r="D102" s="4">
        <v>2639</v>
      </c>
      <c r="E102" s="4" t="str">
        <f>IF(DatiOriginali!E102 &gt;= SogliaPicchi!$B$3,"",DatiOriginali!E102)</f>
        <v/>
      </c>
      <c r="F102" s="4">
        <v>22744</v>
      </c>
      <c r="G102" s="4" t="str">
        <f>IF(DatiOriginali!G102 &gt;= SogliaPicchi!$B$3,"",DatiOriginali!G102)</f>
        <v/>
      </c>
      <c r="H102" s="4">
        <v>26734</v>
      </c>
      <c r="I102" s="4" t="str">
        <f>IF(DatiOriginali!I102 &gt;= SogliaPicchi!$B$3,"",DatiOriginali!I102)</f>
        <v/>
      </c>
      <c r="J102" s="4">
        <v>26491</v>
      </c>
      <c r="K102" s="4" t="str">
        <f>IF(DatiOriginali!K102 &gt;= SogliaPicchi!$B$3,"",DatiOriginali!K102)</f>
        <v/>
      </c>
    </row>
    <row r="103" spans="1:11" x14ac:dyDescent="0.3">
      <c r="A103" s="4" t="s">
        <v>112</v>
      </c>
      <c r="B103" s="4">
        <v>4950</v>
      </c>
      <c r="C103" s="4" t="str">
        <f>IF(DatiOriginali!C103 &gt;= SogliaPicchi!$B$3,"",DatiOriginali!C103)</f>
        <v/>
      </c>
      <c r="D103" s="4">
        <f>IF(DatiOriginali!D103 &gt;= SogliaPicchi!$B$3,"",DatiOriginali!D103)</f>
        <v>2481</v>
      </c>
      <c r="E103" s="4" t="str">
        <f>IF(DatiOriginali!E103 &gt;= SogliaPicchi!$B$3,"",DatiOriginali!E103)</f>
        <v/>
      </c>
      <c r="F103" s="4">
        <v>23287</v>
      </c>
      <c r="G103" s="4" t="str">
        <f>IF(DatiOriginali!G103 &gt;= SogliaPicchi!$B$3,"",DatiOriginali!G103)</f>
        <v/>
      </c>
      <c r="H103" s="4">
        <v>27371</v>
      </c>
      <c r="I103" s="4" t="str">
        <f>IF(DatiOriginali!I103 &gt;= SogliaPicchi!$B$3,"",DatiOriginali!I103)</f>
        <v/>
      </c>
      <c r="J103" s="4">
        <v>27148</v>
      </c>
      <c r="K103" s="4" t="str">
        <f>IF(DatiOriginali!K103 &gt;= SogliaPicchi!$B$3,"",DatiOriginali!K103)</f>
        <v/>
      </c>
    </row>
    <row r="104" spans="1:11" x14ac:dyDescent="0.3">
      <c r="A104" s="4" t="s">
        <v>113</v>
      </c>
      <c r="B104" s="4">
        <v>4950</v>
      </c>
      <c r="C104" s="4" t="str">
        <f>IF(DatiOriginali!C104 &gt;= SogliaPicchi!$B$3,"",DatiOriginali!C104)</f>
        <v/>
      </c>
      <c r="D104" s="4">
        <f>IF(DatiOriginali!D104 &gt;= SogliaPicchi!$B$3,"",DatiOriginali!D104)</f>
        <v>2684</v>
      </c>
      <c r="E104" s="4" t="str">
        <f>IF(DatiOriginali!E104 &gt;= SogliaPicchi!$B$3,"",DatiOriginali!E104)</f>
        <v/>
      </c>
      <c r="F104" s="4">
        <v>23828</v>
      </c>
      <c r="G104" s="4" t="str">
        <f>IF(DatiOriginali!G104 &gt;= SogliaPicchi!$B$3,"",DatiOriginali!G104)</f>
        <v/>
      </c>
      <c r="H104" s="4">
        <v>27973</v>
      </c>
      <c r="I104" s="4" t="str">
        <f>IF(DatiOriginali!I104 &gt;= SogliaPicchi!$B$3,"",DatiOriginali!I104)</f>
        <v/>
      </c>
      <c r="J104" s="4">
        <v>27828</v>
      </c>
      <c r="K104" s="4" t="str">
        <f>IF(DatiOriginali!K104 &gt;= SogliaPicchi!$B$3,"",DatiOriginali!K104)</f>
        <v/>
      </c>
    </row>
    <row r="105" spans="1:11" x14ac:dyDescent="0.3">
      <c r="A105" s="4" t="s">
        <v>114</v>
      </c>
      <c r="B105" s="4">
        <v>4950</v>
      </c>
      <c r="C105" s="4" t="str">
        <f>IF(DatiOriginali!C105 &gt;= SogliaPicchi!$B$3,"",DatiOriginali!C105)</f>
        <v/>
      </c>
      <c r="D105" s="4">
        <f>IF(DatiOriginali!D105 &gt;= SogliaPicchi!$B$3,"",DatiOriginali!D105)</f>
        <v>2603</v>
      </c>
      <c r="E105" s="4">
        <f>IF(DatiOriginali!E105 &gt;= SogliaPicchi!$B$3,"",DatiOriginali!E105)</f>
        <v>73100</v>
      </c>
      <c r="F105" s="4">
        <v>24372</v>
      </c>
      <c r="G105" s="4" t="str">
        <f>IF(DatiOriginali!G105 &gt;= SogliaPicchi!$B$3,"",DatiOriginali!G105)</f>
        <v/>
      </c>
      <c r="H105" s="4">
        <v>28623</v>
      </c>
      <c r="I105" s="4">
        <f>IF(DatiOriginali!I105 &gt;= SogliaPicchi!$B$3,"",DatiOriginali!I105)</f>
        <v>34200</v>
      </c>
      <c r="J105" s="4">
        <v>28493</v>
      </c>
      <c r="K105" s="4" t="str">
        <f>IF(DatiOriginali!K105 &gt;= SogliaPicchi!$B$3,"",DatiOriginali!K105)</f>
        <v/>
      </c>
    </row>
    <row r="106" spans="1:11" x14ac:dyDescent="0.3">
      <c r="A106" s="4" t="s">
        <v>115</v>
      </c>
      <c r="B106" s="4">
        <v>4950</v>
      </c>
      <c r="C106" s="4" t="str">
        <f>IF(DatiOriginali!C106 &gt;= SogliaPicchi!$B$3,"",DatiOriginali!C106)</f>
        <v/>
      </c>
      <c r="D106" s="4">
        <f>IF(DatiOriginali!D106 &gt;= SogliaPicchi!$B$3,"",DatiOriginali!D106)</f>
        <v>2946</v>
      </c>
      <c r="E106" s="4" t="str">
        <f>IF(DatiOriginali!E106 &gt;= SogliaPicchi!$B$3,"",DatiOriginali!E106)</f>
        <v/>
      </c>
      <c r="F106" s="4">
        <v>24913</v>
      </c>
      <c r="G106" s="4" t="str">
        <f>IF(DatiOriginali!G106 &gt;= SogliaPicchi!$B$3,"",DatiOriginali!G106)</f>
        <v/>
      </c>
      <c r="H106" s="4">
        <v>29315</v>
      </c>
      <c r="I106" s="4">
        <f>IF(DatiOriginali!I106 &gt;= SogliaPicchi!$B$3,"",DatiOriginali!I106)</f>
        <v>15700</v>
      </c>
      <c r="J106" s="4">
        <v>29198</v>
      </c>
      <c r="K106" s="4" t="str">
        <f>IF(DatiOriginali!K106 &gt;= SogliaPicchi!$B$3,"",DatiOriginali!K106)</f>
        <v/>
      </c>
    </row>
    <row r="107" spans="1:11" x14ac:dyDescent="0.3">
      <c r="A107" s="4" t="s">
        <v>116</v>
      </c>
      <c r="B107" s="4">
        <v>4950</v>
      </c>
      <c r="C107" s="4" t="str">
        <f>IF(DatiOriginali!C107 &gt;= SogliaPicchi!$B$3,"",DatiOriginali!C107)</f>
        <v/>
      </c>
      <c r="D107" s="4">
        <v>2325</v>
      </c>
      <c r="E107" s="4">
        <v>132400</v>
      </c>
      <c r="F107" s="4">
        <v>25451</v>
      </c>
      <c r="G107" s="4" t="str">
        <f>IF(DatiOriginali!G107 &gt;= SogliaPicchi!$B$3,"",DatiOriginali!G107)</f>
        <v/>
      </c>
      <c r="H107" s="4">
        <v>29992</v>
      </c>
      <c r="I107" s="4">
        <f>IF(DatiOriginali!I107 &gt;= SogliaPicchi!$B$3,"",DatiOriginali!I107)</f>
        <v>13000</v>
      </c>
      <c r="J107" s="4">
        <v>29809</v>
      </c>
      <c r="K107" s="4" t="str">
        <f>IF(DatiOriginali!K107 &gt;= SogliaPicchi!$B$3,"",DatiOriginali!K107)</f>
        <v/>
      </c>
    </row>
    <row r="108" spans="1:11" x14ac:dyDescent="0.3">
      <c r="A108" s="4" t="s">
        <v>117</v>
      </c>
      <c r="B108" s="4">
        <v>4950</v>
      </c>
      <c r="C108" s="4" t="str">
        <f>IF(DatiOriginali!C108 &gt;= SogliaPicchi!$B$3,"",DatiOriginali!C108)</f>
        <v/>
      </c>
      <c r="D108" s="4">
        <v>2399</v>
      </c>
      <c r="E108" s="4" t="str">
        <f>IF(DatiOriginali!E108 &gt;= SogliaPicchi!$B$3,"",DatiOriginali!E108)</f>
        <v/>
      </c>
      <c r="F108" s="4">
        <f>IF(DatiOriginali!F108 &gt;= SogliaPicchi!$B$3,"",DatiOriginali!F108)</f>
        <v>25989</v>
      </c>
      <c r="G108" s="4" t="str">
        <f>IF(DatiOriginali!G108 &gt;= SogliaPicchi!$B$3,"",DatiOriginali!G108)</f>
        <v/>
      </c>
      <c r="H108" s="4">
        <v>30664</v>
      </c>
      <c r="I108" s="4">
        <f>IF(DatiOriginali!I108 &gt;= SogliaPicchi!$B$3,"",DatiOriginali!I108)</f>
        <v>18000</v>
      </c>
      <c r="J108" s="4">
        <v>30406</v>
      </c>
      <c r="K108" s="4" t="str">
        <f>IF(DatiOriginali!K108 &gt;= SogliaPicchi!$B$3,"",DatiOriginali!K108)</f>
        <v/>
      </c>
    </row>
    <row r="109" spans="1:11" x14ac:dyDescent="0.3">
      <c r="A109" s="4" t="s">
        <v>118</v>
      </c>
      <c r="B109" s="4">
        <v>4950</v>
      </c>
      <c r="C109" s="4" t="str">
        <f>IF(DatiOriginali!C109 &gt;= SogliaPicchi!$B$3,"",DatiOriginali!C109)</f>
        <v/>
      </c>
      <c r="D109" s="4">
        <v>2583</v>
      </c>
      <c r="E109" s="4" t="str">
        <f>IF(DatiOriginali!E109 &gt;= SogliaPicchi!$B$3,"",DatiOriginali!E109)</f>
        <v/>
      </c>
      <c r="F109" s="4">
        <v>26529</v>
      </c>
      <c r="G109" s="4">
        <f>IF(DatiOriginali!G109 &gt;= SogliaPicchi!$B$3,"",DatiOriginali!G109)</f>
        <v>48600</v>
      </c>
      <c r="H109" s="4">
        <v>31304</v>
      </c>
      <c r="I109" s="4">
        <f>IF(DatiOriginali!I109 &gt;= SogliaPicchi!$B$3,"",DatiOriginali!I109)</f>
        <v>12400</v>
      </c>
      <c r="J109" s="4">
        <v>31056</v>
      </c>
      <c r="K109" s="4" t="str">
        <f>IF(DatiOriginali!K109 &gt;= SogliaPicchi!$B$3,"",DatiOriginali!K109)</f>
        <v/>
      </c>
    </row>
    <row r="110" spans="1:11" x14ac:dyDescent="0.3">
      <c r="A110" s="4" t="s">
        <v>119</v>
      </c>
      <c r="B110" s="4">
        <v>4950</v>
      </c>
      <c r="C110" s="4" t="str">
        <f>IF(DatiOriginali!C110 &gt;= SogliaPicchi!$B$3,"",DatiOriginali!C110)</f>
        <v/>
      </c>
      <c r="D110" s="4">
        <v>2559</v>
      </c>
      <c r="E110" s="4">
        <f>IF(DatiOriginali!E110 &gt;= SogliaPicchi!$B$3,"",DatiOriginali!E110)</f>
        <v>71700</v>
      </c>
      <c r="F110" s="4">
        <v>27069</v>
      </c>
      <c r="G110" s="4">
        <f>IF(DatiOriginali!G110 &gt;= SogliaPicchi!$B$3,"",DatiOriginali!G110)</f>
        <v>44100</v>
      </c>
      <c r="H110" s="4">
        <v>31903</v>
      </c>
      <c r="I110" s="4">
        <f>IF(DatiOriginali!I110 &gt;= SogliaPicchi!$B$3,"",DatiOriginali!I110)</f>
        <v>9900</v>
      </c>
      <c r="J110" s="4">
        <v>31763</v>
      </c>
      <c r="K110" s="4" t="str">
        <f>IF(DatiOriginali!K110 &gt;= SogliaPicchi!$B$3,"",DatiOriginali!K110)</f>
        <v/>
      </c>
    </row>
    <row r="111" spans="1:11" x14ac:dyDescent="0.3">
      <c r="A111" s="4" t="s">
        <v>120</v>
      </c>
      <c r="B111" s="4">
        <v>4950</v>
      </c>
      <c r="C111" s="4" t="str">
        <f>IF(DatiOriginali!C111 &gt;= SogliaPicchi!$B$3,"",DatiOriginali!C111)</f>
        <v/>
      </c>
      <c r="D111" s="4">
        <v>2616</v>
      </c>
      <c r="E111" s="4" t="str">
        <f>IF(DatiOriginali!E111 &gt;= SogliaPicchi!$B$3,"",DatiOriginali!E111)</f>
        <v/>
      </c>
      <c r="F111" s="4">
        <v>27608</v>
      </c>
      <c r="G111" s="4">
        <f>IF(DatiOriginali!G111 &gt;= SogliaPicchi!$B$3,"",DatiOriginali!G111)</f>
        <v>53200</v>
      </c>
      <c r="H111" s="4">
        <v>32515</v>
      </c>
      <c r="I111" s="4">
        <f>IF(DatiOriginali!I111 &gt;= SogliaPicchi!$B$3,"",DatiOriginali!I111)</f>
        <v>14000</v>
      </c>
      <c r="J111" s="4">
        <v>32539</v>
      </c>
      <c r="K111" s="4">
        <f>IF(DatiOriginali!K111 &gt;= SogliaPicchi!$B$3,"",DatiOriginali!K111)</f>
        <v>69800</v>
      </c>
    </row>
    <row r="112" spans="1:11" x14ac:dyDescent="0.3">
      <c r="A112" s="4" t="s">
        <v>121</v>
      </c>
      <c r="B112" s="4">
        <v>4950</v>
      </c>
      <c r="C112" s="4" t="str">
        <f>IF(DatiOriginali!C112 &gt;= SogliaPicchi!$B$3,"",DatiOriginali!C112)</f>
        <v/>
      </c>
      <c r="D112" s="4">
        <v>2802</v>
      </c>
      <c r="E112" s="4" t="str">
        <f>IF(DatiOriginali!E112 &gt;= SogliaPicchi!$B$3,"",DatiOriginali!E112)</f>
        <v/>
      </c>
      <c r="F112" s="4">
        <v>28154</v>
      </c>
      <c r="G112" s="4">
        <f>IF(DatiOriginali!G112 &gt;= SogliaPicchi!$B$3,"",DatiOriginali!G112)</f>
        <v>51600</v>
      </c>
      <c r="H112" s="4">
        <v>33247</v>
      </c>
      <c r="I112" s="4">
        <f>IF(DatiOriginali!I112 &gt;= SogliaPicchi!$B$3,"",DatiOriginali!I112)</f>
        <v>12500</v>
      </c>
      <c r="J112" s="4">
        <v>33349</v>
      </c>
      <c r="K112" s="4">
        <f>IF(DatiOriginali!K112 &gt;= SogliaPicchi!$B$3,"",DatiOriginali!K112)</f>
        <v>17100</v>
      </c>
    </row>
    <row r="113" spans="1:11" x14ac:dyDescent="0.3">
      <c r="A113" s="4" t="s">
        <v>122</v>
      </c>
      <c r="B113" s="4">
        <v>4950</v>
      </c>
      <c r="C113" s="4" t="str">
        <f>IF(DatiOriginali!C113 &gt;= SogliaPicchi!$B$3,"",DatiOriginali!C113)</f>
        <v/>
      </c>
      <c r="D113" s="4">
        <v>2506</v>
      </c>
      <c r="E113" s="4" t="str">
        <f>IF(DatiOriginali!E113 &gt;= SogliaPicchi!$B$3,"",DatiOriginali!E113)</f>
        <v/>
      </c>
      <c r="F113" s="4">
        <v>28692</v>
      </c>
      <c r="G113" s="4">
        <f>IF(DatiOriginali!G113 &gt;= SogliaPicchi!$B$3,"",DatiOriginali!G113)</f>
        <v>51500</v>
      </c>
      <c r="H113" s="4">
        <v>33917</v>
      </c>
      <c r="I113" s="4">
        <f>IF(DatiOriginali!I113 &gt;= SogliaPicchi!$B$3,"",DatiOriginali!I113)</f>
        <v>16000</v>
      </c>
      <c r="J113" s="4">
        <v>34135</v>
      </c>
      <c r="K113" s="4">
        <f>IF(DatiOriginali!K113 &gt;= SogliaPicchi!$B$3,"",DatiOriginali!K113)</f>
        <v>21700</v>
      </c>
    </row>
    <row r="114" spans="1:11" x14ac:dyDescent="0.3">
      <c r="A114" s="4" t="s">
        <v>123</v>
      </c>
      <c r="B114" s="4">
        <v>4950</v>
      </c>
      <c r="C114" s="4" t="str">
        <f>IF(DatiOriginali!C114 &gt;= SogliaPicchi!$B$3,"",DatiOriginali!C114)</f>
        <v/>
      </c>
      <c r="D114" s="4">
        <v>2402</v>
      </c>
      <c r="E114" s="4" t="str">
        <f>IF(DatiOriginali!E114 &gt;= SogliaPicchi!$B$3,"",DatiOriginali!E114)</f>
        <v/>
      </c>
      <c r="F114" s="4">
        <v>29239</v>
      </c>
      <c r="G114" s="4">
        <f>IF(DatiOriginali!G114 &gt;= SogliaPicchi!$B$3,"",DatiOriginali!G114)</f>
        <v>36700</v>
      </c>
      <c r="H114" s="4">
        <v>34591</v>
      </c>
      <c r="I114" s="4">
        <f>IF(DatiOriginali!I114 &gt;= SogliaPicchi!$B$3,"",DatiOriginali!I114)</f>
        <v>10400</v>
      </c>
      <c r="J114" s="4">
        <v>34772</v>
      </c>
      <c r="K114" s="4">
        <f>IF(DatiOriginali!K114 &gt;= SogliaPicchi!$B$3,"",DatiOriginali!K114)</f>
        <v>13000</v>
      </c>
    </row>
    <row r="115" spans="1:11" x14ac:dyDescent="0.3">
      <c r="A115" s="4" t="s">
        <v>124</v>
      </c>
      <c r="B115" s="4">
        <v>4950</v>
      </c>
      <c r="C115" s="4" t="str">
        <f>IF(DatiOriginali!C115 &gt;= SogliaPicchi!$B$3,"",DatiOriginali!C115)</f>
        <v/>
      </c>
      <c r="D115" s="4">
        <v>2825</v>
      </c>
      <c r="E115" s="4" t="str">
        <f>IF(DatiOriginali!E115 &gt;= SogliaPicchi!$B$3,"",DatiOriginali!E115)</f>
        <v/>
      </c>
      <c r="F115" s="4">
        <v>29786</v>
      </c>
      <c r="G115" s="4">
        <f>IF(DatiOriginali!G115 &gt;= SogliaPicchi!$B$3,"",DatiOriginali!G115)</f>
        <v>45200</v>
      </c>
      <c r="H115" s="4">
        <v>35273</v>
      </c>
      <c r="I115" s="4">
        <f>IF(DatiOriginali!I115 &gt;= SogliaPicchi!$B$3,"",DatiOriginali!I115)</f>
        <v>10600</v>
      </c>
      <c r="J115" s="4">
        <v>35468</v>
      </c>
      <c r="K115" s="4">
        <f>IF(DatiOriginali!K115 &gt;= SogliaPicchi!$B$3,"",DatiOriginali!K115)</f>
        <v>12700</v>
      </c>
    </row>
    <row r="116" spans="1:11" x14ac:dyDescent="0.3">
      <c r="A116" s="4" t="s">
        <v>125</v>
      </c>
      <c r="B116" s="4">
        <v>4950</v>
      </c>
      <c r="C116" s="4" t="str">
        <f>IF(DatiOriginali!C116 &gt;= SogliaPicchi!$B$3,"",DatiOriginali!C116)</f>
        <v/>
      </c>
      <c r="D116" s="4">
        <v>2488</v>
      </c>
      <c r="E116" s="4">
        <f>IF(DatiOriginali!E116 &gt;= SogliaPicchi!$B$3,"",DatiOriginali!E116)</f>
        <v>69500</v>
      </c>
      <c r="F116" s="4">
        <v>30325</v>
      </c>
      <c r="G116" s="4">
        <f>IF(DatiOriginali!G116 &gt;= SogliaPicchi!$B$3,"",DatiOriginali!G116)</f>
        <v>33500</v>
      </c>
      <c r="H116" s="4">
        <v>36035</v>
      </c>
      <c r="I116" s="4">
        <f>IF(DatiOriginali!I116 &gt;= SogliaPicchi!$B$3,"",DatiOriginali!I116)</f>
        <v>32200</v>
      </c>
      <c r="J116" s="4">
        <v>36078</v>
      </c>
      <c r="K116" s="4">
        <f>IF(DatiOriginali!K116 &gt;= SogliaPicchi!$B$3,"",DatiOriginali!K116)</f>
        <v>30200</v>
      </c>
    </row>
    <row r="117" spans="1:11" x14ac:dyDescent="0.3">
      <c r="A117" s="4" t="s">
        <v>126</v>
      </c>
      <c r="B117" s="4">
        <v>4950</v>
      </c>
      <c r="C117" s="4" t="str">
        <f>IF(DatiOriginali!C117 &gt;= SogliaPicchi!$B$3,"",DatiOriginali!C117)</f>
        <v/>
      </c>
      <c r="D117" s="4">
        <v>2582</v>
      </c>
      <c r="E117" s="4">
        <f>IF(DatiOriginali!E117 &gt;= SogliaPicchi!$B$3,"",DatiOriginali!E117)</f>
        <v>72100</v>
      </c>
      <c r="F117" s="4">
        <v>30868</v>
      </c>
      <c r="G117" s="4">
        <f>IF(DatiOriginali!G117 &gt;= SogliaPicchi!$B$3,"",DatiOriginali!G117)</f>
        <v>31000</v>
      </c>
      <c r="H117" s="4">
        <v>36675</v>
      </c>
      <c r="I117" s="4">
        <f>IF(DatiOriginali!I117 &gt;= SogliaPicchi!$B$3,"",DatiOriginali!I117)</f>
        <v>9500</v>
      </c>
      <c r="J117" s="4">
        <v>36829</v>
      </c>
      <c r="K117" s="4">
        <f>IF(DatiOriginali!K117 &gt;= SogliaPicchi!$B$3,"",DatiOriginali!K117)</f>
        <v>12800</v>
      </c>
    </row>
    <row r="118" spans="1:11" x14ac:dyDescent="0.3">
      <c r="A118" s="4" t="s">
        <v>127</v>
      </c>
      <c r="B118" s="4">
        <v>4950</v>
      </c>
      <c r="C118" s="4" t="str">
        <f>IF(DatiOriginali!C118 &gt;= SogliaPicchi!$B$3,"",DatiOriginali!C118)</f>
        <v/>
      </c>
      <c r="D118" s="4">
        <v>2408</v>
      </c>
      <c r="E118" s="4" t="str">
        <f>IF(DatiOriginali!E118 &gt;= SogliaPicchi!$B$3,"",DatiOriginali!E118)</f>
        <v/>
      </c>
      <c r="F118" s="4">
        <v>31403</v>
      </c>
      <c r="G118" s="4">
        <f>IF(DatiOriginali!G118 &gt;= SogliaPicchi!$B$3,"",DatiOriginali!G118)</f>
        <v>62700</v>
      </c>
      <c r="H118" s="4">
        <v>37243</v>
      </c>
      <c r="I118" s="4">
        <f>IF(DatiOriginali!I118 &gt;= SogliaPicchi!$B$3,"",DatiOriginali!I118)</f>
        <v>15000</v>
      </c>
      <c r="J118" s="4">
        <v>37392</v>
      </c>
      <c r="K118" s="4">
        <f>IF(DatiOriginali!K118 &gt;= SogliaPicchi!$B$3,"",DatiOriginali!K118)</f>
        <v>19000</v>
      </c>
    </row>
    <row r="119" spans="1:11" x14ac:dyDescent="0.3">
      <c r="A119" s="4" t="s">
        <v>128</v>
      </c>
      <c r="B119" s="4">
        <v>4950</v>
      </c>
      <c r="C119" s="4" t="str">
        <f>IF(DatiOriginali!C119 &gt;= SogliaPicchi!$B$3,"",DatiOriginali!C119)</f>
        <v/>
      </c>
      <c r="D119" s="4">
        <v>2271</v>
      </c>
      <c r="E119" s="4" t="str">
        <f>IF(DatiOriginali!E119 &gt;= SogliaPicchi!$B$3,"",DatiOriginali!E119)</f>
        <v/>
      </c>
      <c r="F119" s="4">
        <v>31950</v>
      </c>
      <c r="G119" s="4">
        <f>IF(DatiOriginali!G119 &gt;= SogliaPicchi!$B$3,"",DatiOriginali!G119)</f>
        <v>52900</v>
      </c>
      <c r="H119" s="4">
        <v>37999</v>
      </c>
      <c r="I119" s="4">
        <f>IF(DatiOriginali!I119 &gt;= SogliaPicchi!$B$3,"",DatiOriginali!I119)</f>
        <v>16300</v>
      </c>
      <c r="J119" s="4">
        <v>37976</v>
      </c>
      <c r="K119" s="4">
        <f>IF(DatiOriginali!K119 &gt;= SogliaPicchi!$B$3,"",DatiOriginali!K119)</f>
        <v>20200</v>
      </c>
    </row>
    <row r="120" spans="1:11" x14ac:dyDescent="0.3">
      <c r="A120" s="4" t="s">
        <v>129</v>
      </c>
      <c r="B120" s="4">
        <v>4950</v>
      </c>
      <c r="C120" s="4" t="str">
        <f>IF(DatiOriginali!C120 &gt;= SogliaPicchi!$B$3,"",DatiOriginali!C120)</f>
        <v/>
      </c>
      <c r="D120" s="4">
        <v>2588</v>
      </c>
      <c r="E120" s="4">
        <f>IF(DatiOriginali!E120 &gt;= SogliaPicchi!$B$3,"",DatiOriginali!E120)</f>
        <v>73500</v>
      </c>
      <c r="F120" s="4">
        <v>32494</v>
      </c>
      <c r="G120" s="4">
        <f>IF(DatiOriginali!G120 &gt;= SogliaPicchi!$B$3,"",DatiOriginali!G120)</f>
        <v>33500</v>
      </c>
      <c r="H120" s="4">
        <v>38677</v>
      </c>
      <c r="I120" s="4">
        <f>IF(DatiOriginali!I120 &gt;= SogliaPicchi!$B$3,"",DatiOriginali!I120)</f>
        <v>11000</v>
      </c>
      <c r="J120" s="4">
        <v>38611</v>
      </c>
      <c r="K120" s="4">
        <f>IF(DatiOriginali!K120 &gt;= SogliaPicchi!$B$3,"",DatiOriginali!K120)</f>
        <v>14300</v>
      </c>
    </row>
    <row r="121" spans="1:11" x14ac:dyDescent="0.3">
      <c r="A121" s="4" t="s">
        <v>130</v>
      </c>
      <c r="B121" s="4">
        <v>4950</v>
      </c>
      <c r="C121" s="4" t="str">
        <f>IF(DatiOriginali!C121 &gt;= SogliaPicchi!$B$3,"",DatiOriginali!C121)</f>
        <v/>
      </c>
      <c r="D121" s="4">
        <v>2562</v>
      </c>
      <c r="E121" s="4" t="str">
        <f>IF(DatiOriginali!E121 &gt;= SogliaPicchi!$B$3,"",DatiOriginali!E121)</f>
        <v/>
      </c>
      <c r="F121" s="4">
        <v>33026</v>
      </c>
      <c r="G121" s="4">
        <f>IF(DatiOriginali!G121 &gt;= SogliaPicchi!$B$3,"",DatiOriginali!G121)</f>
        <v>66100</v>
      </c>
      <c r="H121" s="4">
        <v>39353</v>
      </c>
      <c r="I121" s="4">
        <f>IF(DatiOriginali!I121 &gt;= SogliaPicchi!$B$3,"",DatiOriginali!I121)</f>
        <v>14000</v>
      </c>
      <c r="J121" s="4">
        <v>39222</v>
      </c>
      <c r="K121" s="4">
        <f>IF(DatiOriginali!K121 &gt;= SogliaPicchi!$B$3,"",DatiOriginali!K121)</f>
        <v>18600</v>
      </c>
    </row>
    <row r="122" spans="1:11" x14ac:dyDescent="0.3">
      <c r="A122" s="4" t="s">
        <v>131</v>
      </c>
      <c r="B122" s="4">
        <v>4950</v>
      </c>
      <c r="C122" s="4" t="str">
        <f>IF(DatiOriginali!C122 &gt;= SogliaPicchi!$B$3,"",DatiOriginali!C122)</f>
        <v/>
      </c>
      <c r="D122" s="4">
        <v>2350</v>
      </c>
      <c r="E122" s="4" t="str">
        <f>IF(DatiOriginali!E122 &gt;= SogliaPicchi!$B$3,"",DatiOriginali!E122)</f>
        <v/>
      </c>
      <c r="F122" s="4">
        <v>33563</v>
      </c>
      <c r="G122" s="4">
        <f>IF(DatiOriginali!G122 &gt;= SogliaPicchi!$B$3,"",DatiOriginali!G122)</f>
        <v>46900</v>
      </c>
      <c r="H122" s="4">
        <v>39998</v>
      </c>
      <c r="I122" s="4">
        <f>IF(DatiOriginali!I122 &gt;= SogliaPicchi!$B$3,"",DatiOriginali!I122)</f>
        <v>14800</v>
      </c>
      <c r="J122" s="4">
        <v>39927</v>
      </c>
      <c r="K122" s="4">
        <f>IF(DatiOriginali!K122 &gt;= SogliaPicchi!$B$3,"",DatiOriginali!K122)</f>
        <v>20200</v>
      </c>
    </row>
    <row r="123" spans="1:11" x14ac:dyDescent="0.3">
      <c r="A123" s="4" t="s">
        <v>132</v>
      </c>
      <c r="B123" s="4">
        <v>4950</v>
      </c>
      <c r="C123" s="4">
        <f>IF(DatiOriginali!C123 &gt;= SogliaPicchi!$B$3,"",DatiOriginali!C123)</f>
        <v>40700</v>
      </c>
      <c r="D123" s="4">
        <v>2471</v>
      </c>
      <c r="E123" s="4" t="str">
        <f>IF(DatiOriginali!E123 &gt;= SogliaPicchi!$B$3,"",DatiOriginali!E123)</f>
        <v/>
      </c>
      <c r="F123" s="4">
        <v>34100</v>
      </c>
      <c r="G123" s="4">
        <f>IF(DatiOriginali!G123 &gt;= SogliaPicchi!$B$3,"",DatiOriginali!G123)</f>
        <v>39900</v>
      </c>
      <c r="H123" s="4">
        <v>40577</v>
      </c>
      <c r="I123" s="4">
        <f>IF(DatiOriginali!I123 &gt;= SogliaPicchi!$B$3,"",DatiOriginali!I123)</f>
        <v>15900</v>
      </c>
      <c r="J123" s="4">
        <v>40669</v>
      </c>
      <c r="K123" s="4">
        <f>IF(DatiOriginali!K123 &gt;= SogliaPicchi!$B$3,"",DatiOriginali!K123)</f>
        <v>16800</v>
      </c>
    </row>
    <row r="124" spans="1:11" x14ac:dyDescent="0.3">
      <c r="A124" s="4" t="s">
        <v>133</v>
      </c>
      <c r="B124" s="4">
        <v>4950</v>
      </c>
      <c r="C124" s="4">
        <f>IF(DatiOriginali!C124 &gt;= SogliaPicchi!$B$3,"",DatiOriginali!C124)</f>
        <v>45100</v>
      </c>
      <c r="D124" s="4">
        <v>2466</v>
      </c>
      <c r="E124" s="4" t="str">
        <f>IF(DatiOriginali!E124 &gt;= SogliaPicchi!$B$3,"",DatiOriginali!E124)</f>
        <v/>
      </c>
      <c r="F124" s="4">
        <v>34642</v>
      </c>
      <c r="G124" s="4">
        <f>IF(DatiOriginali!G124 &gt;= SogliaPicchi!$B$3,"",DatiOriginali!G124)</f>
        <v>46400</v>
      </c>
      <c r="H124" s="4">
        <v>41252</v>
      </c>
      <c r="I124" s="4">
        <f>IF(DatiOriginali!I124 &gt;= SogliaPicchi!$B$3,"",DatiOriginali!I124)</f>
        <v>74700</v>
      </c>
      <c r="J124" s="4">
        <v>41306</v>
      </c>
      <c r="K124" s="4">
        <f>IF(DatiOriginali!K124 &gt;= SogliaPicchi!$B$3,"",DatiOriginali!K124)</f>
        <v>19800</v>
      </c>
    </row>
    <row r="125" spans="1:11" x14ac:dyDescent="0.3">
      <c r="A125" s="4" t="s">
        <v>134</v>
      </c>
      <c r="B125" s="4">
        <v>4950</v>
      </c>
      <c r="C125" s="4">
        <f>IF(DatiOriginali!C125 &gt;= SogliaPicchi!$B$3,"",DatiOriginali!C125)</f>
        <v>46300</v>
      </c>
      <c r="D125" s="4">
        <v>2932</v>
      </c>
      <c r="E125" s="4" t="str">
        <f>IF(DatiOriginali!E125 &gt;= SogliaPicchi!$B$3,"",DatiOriginali!E125)</f>
        <v/>
      </c>
      <c r="F125" s="4">
        <v>35171</v>
      </c>
      <c r="G125" s="4">
        <f>IF(DatiOriginali!G125 &gt;= SogliaPicchi!$B$3,"",DatiOriginali!G125)</f>
        <v>69000</v>
      </c>
      <c r="H125" s="4">
        <v>41847</v>
      </c>
      <c r="I125" s="4">
        <f>IF(DatiOriginali!I125 &gt;= SogliaPicchi!$B$3,"",DatiOriginali!I125)</f>
        <v>14000</v>
      </c>
      <c r="J125" s="4">
        <v>42035</v>
      </c>
      <c r="K125" s="4">
        <f>IF(DatiOriginali!K125 &gt;= SogliaPicchi!$B$3,"",DatiOriginali!K125)</f>
        <v>19900</v>
      </c>
    </row>
    <row r="126" spans="1:11" x14ac:dyDescent="0.3">
      <c r="A126" s="4" t="s">
        <v>135</v>
      </c>
      <c r="B126" s="4">
        <v>4950</v>
      </c>
      <c r="C126" s="4">
        <f>IF(DatiOriginali!C126 &gt;= SogliaPicchi!$B$3,"",DatiOriginali!C126)</f>
        <v>41400</v>
      </c>
      <c r="D126" s="4">
        <v>2448</v>
      </c>
      <c r="E126" s="4" t="str">
        <f>IF(DatiOriginali!E126 &gt;= SogliaPicchi!$B$3,"",DatiOriginali!E126)</f>
        <v/>
      </c>
      <c r="F126" s="4">
        <v>35715</v>
      </c>
      <c r="G126" s="4">
        <f>IF(DatiOriginali!G126 &gt;= SogliaPicchi!$B$3,"",DatiOriginali!G126)</f>
        <v>65600</v>
      </c>
      <c r="H126" s="4">
        <v>42444</v>
      </c>
      <c r="I126" s="4">
        <f>IF(DatiOriginali!I126 &gt;= SogliaPicchi!$B$3,"",DatiOriginali!I126)</f>
        <v>13800</v>
      </c>
      <c r="J126" s="4">
        <v>42728</v>
      </c>
      <c r="K126" s="4">
        <f>IF(DatiOriginali!K126 &gt;= SogliaPicchi!$B$3,"",DatiOriginali!K126)</f>
        <v>19900</v>
      </c>
    </row>
    <row r="127" spans="1:11" x14ac:dyDescent="0.3">
      <c r="A127" s="4" t="s">
        <v>136</v>
      </c>
      <c r="B127" s="4">
        <v>4950</v>
      </c>
      <c r="C127" s="4">
        <f>IF(DatiOriginali!C127 &gt;= SogliaPicchi!$B$3,"",DatiOriginali!C127)</f>
        <v>43500</v>
      </c>
      <c r="D127" s="4">
        <v>2588</v>
      </c>
      <c r="E127" s="4" t="str">
        <f>IF(DatiOriginali!E127 &gt;= SogliaPicchi!$B$3,"",DatiOriginali!E127)</f>
        <v/>
      </c>
      <c r="F127" s="4">
        <v>36254</v>
      </c>
      <c r="G127" s="4">
        <f>IF(DatiOriginali!G127 &gt;= SogliaPicchi!$B$3,"",DatiOriginali!G127)</f>
        <v>49500</v>
      </c>
      <c r="H127" s="4">
        <v>43045</v>
      </c>
      <c r="I127" s="4">
        <f>IF(DatiOriginali!I127 &gt;= SogliaPicchi!$B$3,"",DatiOriginali!I127)</f>
        <v>13000</v>
      </c>
      <c r="J127" s="4">
        <v>43374</v>
      </c>
      <c r="K127" s="4">
        <f>IF(DatiOriginali!K127 &gt;= SogliaPicchi!$B$3,"",DatiOriginali!K127)</f>
        <v>19500</v>
      </c>
    </row>
    <row r="128" spans="1:11" x14ac:dyDescent="0.3">
      <c r="A128" s="4" t="s">
        <v>137</v>
      </c>
      <c r="B128" s="4">
        <v>4950</v>
      </c>
      <c r="C128" s="4">
        <f>IF(DatiOriginali!C128 &gt;= SogliaPicchi!$B$3,"",DatiOriginali!C128)</f>
        <v>42000</v>
      </c>
      <c r="D128" s="4">
        <v>2468</v>
      </c>
      <c r="E128" s="4" t="str">
        <f>IF(DatiOriginali!E128 &gt;= SogliaPicchi!$B$3,"",DatiOriginali!E128)</f>
        <v/>
      </c>
      <c r="F128" s="4">
        <v>36787</v>
      </c>
      <c r="G128" s="4">
        <f>IF(DatiOriginali!G128 &gt;= SogliaPicchi!$B$3,"",DatiOriginali!G128)</f>
        <v>50300</v>
      </c>
      <c r="H128" s="4">
        <v>43688</v>
      </c>
      <c r="I128" s="4">
        <f>IF(DatiOriginali!I128 &gt;= SogliaPicchi!$B$3,"",DatiOriginali!I128)</f>
        <v>14600</v>
      </c>
      <c r="J128" s="4">
        <v>44011</v>
      </c>
      <c r="K128" s="4">
        <f>IF(DatiOriginali!K128 &gt;= SogliaPicchi!$B$3,"",DatiOriginali!K128)</f>
        <v>20700</v>
      </c>
    </row>
    <row r="129" spans="1:11" x14ac:dyDescent="0.3">
      <c r="A129" s="4" t="s">
        <v>138</v>
      </c>
      <c r="B129" s="4">
        <v>4950</v>
      </c>
      <c r="C129" s="4">
        <f>IF(DatiOriginali!C129 &gt;= SogliaPicchi!$B$3,"",DatiOriginali!C129)</f>
        <v>48000</v>
      </c>
      <c r="D129" s="4">
        <v>2772</v>
      </c>
      <c r="E129" s="4" t="str">
        <f>IF(DatiOriginali!E129 &gt;= SogliaPicchi!$B$3,"",DatiOriginali!E129)</f>
        <v/>
      </c>
      <c r="F129" s="4">
        <v>37323</v>
      </c>
      <c r="G129" s="4" t="str">
        <f>IF(DatiOriginali!G129 &gt;= SogliaPicchi!$B$3,"",DatiOriginali!G129)</f>
        <v/>
      </c>
      <c r="H129" s="4">
        <v>44301</v>
      </c>
      <c r="I129" s="4">
        <f>IF(DatiOriginali!I129 &gt;= SogliaPicchi!$B$3,"",DatiOriginali!I129)</f>
        <v>17300</v>
      </c>
      <c r="J129" s="4">
        <v>44657</v>
      </c>
      <c r="K129" s="4">
        <f>IF(DatiOriginali!K129 &gt;= SogliaPicchi!$B$3,"",DatiOriginali!K129)</f>
        <v>24100</v>
      </c>
    </row>
    <row r="130" spans="1:11" x14ac:dyDescent="0.3">
      <c r="A130" s="4" t="s">
        <v>139</v>
      </c>
      <c r="B130" s="4">
        <v>4950</v>
      </c>
      <c r="C130" s="4">
        <f>IF(DatiOriginali!C130 &gt;= SogliaPicchi!$B$3,"",DatiOriginali!C130)</f>
        <v>45400</v>
      </c>
      <c r="D130" s="4">
        <v>2501</v>
      </c>
      <c r="E130" s="4" t="str">
        <f>IF(DatiOriginali!E130 &gt;= SogliaPicchi!$B$3,"",DatiOriginali!E130)</f>
        <v/>
      </c>
      <c r="F130" s="4">
        <v>37865</v>
      </c>
      <c r="G130" s="4">
        <f>IF(DatiOriginali!G130 &gt;= SogliaPicchi!$B$3,"",DatiOriginali!G130)</f>
        <v>51200</v>
      </c>
      <c r="H130" s="4">
        <v>44944</v>
      </c>
      <c r="I130" s="4">
        <f>IF(DatiOriginali!I130 &gt;= SogliaPicchi!$B$3,"",DatiOriginali!I130)</f>
        <v>14400</v>
      </c>
      <c r="J130" s="4">
        <v>45282</v>
      </c>
      <c r="K130" s="4">
        <f>IF(DatiOriginali!K130 &gt;= SogliaPicchi!$B$3,"",DatiOriginali!K130)</f>
        <v>19000</v>
      </c>
    </row>
    <row r="131" spans="1:11" x14ac:dyDescent="0.3">
      <c r="A131" s="4" t="s">
        <v>140</v>
      </c>
      <c r="B131" s="4">
        <v>4950</v>
      </c>
      <c r="C131" s="4">
        <f>IF(DatiOriginali!C131 &gt;= SogliaPicchi!$B$3,"",DatiOriginali!C131)</f>
        <v>42100</v>
      </c>
      <c r="D131" s="4">
        <v>2629</v>
      </c>
      <c r="E131" s="4" t="str">
        <f>IF(DatiOriginali!E131 &gt;= SogliaPicchi!$B$3,"",DatiOriginali!E131)</f>
        <v/>
      </c>
      <c r="F131" s="4">
        <v>38411</v>
      </c>
      <c r="G131" s="4">
        <f>IF(DatiOriginali!G131 &gt;= SogliaPicchi!$B$3,"",DatiOriginali!G131)</f>
        <v>42600</v>
      </c>
      <c r="H131" s="4">
        <v>45636</v>
      </c>
      <c r="I131" s="4">
        <f>IF(DatiOriginali!I131 &gt;= SogliaPicchi!$B$3,"",DatiOriginali!I131)</f>
        <v>12700</v>
      </c>
      <c r="J131" s="4">
        <v>45894</v>
      </c>
      <c r="K131" s="4">
        <f>IF(DatiOriginali!K131 &gt;= SogliaPicchi!$B$3,"",DatiOriginali!K131)</f>
        <v>15600</v>
      </c>
    </row>
    <row r="132" spans="1:11" x14ac:dyDescent="0.3">
      <c r="A132" s="4" t="s">
        <v>141</v>
      </c>
      <c r="B132" s="4">
        <v>4950</v>
      </c>
      <c r="C132" s="4">
        <f>IF(DatiOriginali!C132 &gt;= SogliaPicchi!$B$3,"",DatiOriginali!C132)</f>
        <v>40200</v>
      </c>
      <c r="D132" s="4">
        <v>2758</v>
      </c>
      <c r="E132" s="4" t="str">
        <f>IF(DatiOriginali!E132 &gt;= SogliaPicchi!$B$3,"",DatiOriginali!E132)</f>
        <v/>
      </c>
      <c r="F132" s="4">
        <v>38951</v>
      </c>
      <c r="G132" s="4">
        <f>IF(DatiOriginali!G132 &gt;= SogliaPicchi!$B$3,"",DatiOriginali!G132)</f>
        <v>64000</v>
      </c>
      <c r="H132" s="4">
        <v>46307</v>
      </c>
      <c r="I132" s="4">
        <f>IF(DatiOriginali!I132 &gt;= SogliaPicchi!$B$3,"",DatiOriginali!I132)</f>
        <v>13700</v>
      </c>
      <c r="J132" s="4">
        <v>46498</v>
      </c>
      <c r="K132" s="4">
        <f>IF(DatiOriginali!K132 &gt;= SogliaPicchi!$B$3,"",DatiOriginali!K132)</f>
        <v>24000</v>
      </c>
    </row>
    <row r="133" spans="1:11" x14ac:dyDescent="0.3">
      <c r="A133" s="4" t="s">
        <v>142</v>
      </c>
      <c r="B133" s="4">
        <v>4950</v>
      </c>
      <c r="C133" s="4">
        <f>IF(DatiOriginali!C133 &gt;= SogliaPicchi!$B$3,"",DatiOriginali!C133)</f>
        <v>45600</v>
      </c>
      <c r="D133" s="4">
        <v>2588</v>
      </c>
      <c r="E133" s="4" t="str">
        <f>IF(DatiOriginali!E133 &gt;= SogliaPicchi!$B$3,"",DatiOriginali!E133)</f>
        <v/>
      </c>
      <c r="F133" s="4">
        <v>39478</v>
      </c>
      <c r="G133" s="4">
        <f>IF(DatiOriginali!G133 &gt;= SogliaPicchi!$B$3,"",DatiOriginali!G133)</f>
        <v>49100</v>
      </c>
      <c r="H133" s="4">
        <v>46917</v>
      </c>
      <c r="I133" s="4">
        <f>IF(DatiOriginali!I133 &gt;= SogliaPicchi!$B$3,"",DatiOriginali!I133)</f>
        <v>13900</v>
      </c>
      <c r="J133" s="4">
        <v>47116</v>
      </c>
      <c r="K133" s="4">
        <f>IF(DatiOriginali!K133 &gt;= SogliaPicchi!$B$3,"",DatiOriginali!K133)</f>
        <v>66800</v>
      </c>
    </row>
    <row r="134" spans="1:11" x14ac:dyDescent="0.3">
      <c r="A134" s="4" t="s">
        <v>143</v>
      </c>
      <c r="B134" s="4">
        <v>4950</v>
      </c>
      <c r="C134" s="4">
        <f>IF(DatiOriginali!C134 &gt;= SogliaPicchi!$B$3,"",DatiOriginali!C134)</f>
        <v>40700</v>
      </c>
      <c r="D134" s="4">
        <v>2125</v>
      </c>
      <c r="E134" s="4">
        <f>IF(DatiOriginali!E134 &gt;= SogliaPicchi!$B$3,"",DatiOriginali!E134)</f>
        <v>73100</v>
      </c>
      <c r="F134" s="4">
        <v>40022</v>
      </c>
      <c r="G134" s="4">
        <f>IF(DatiOriginali!G134 &gt;= SogliaPicchi!$B$3,"",DatiOriginali!G134)</f>
        <v>40400</v>
      </c>
      <c r="H134" s="4">
        <v>47628</v>
      </c>
      <c r="I134" s="4">
        <f>IF(DatiOriginali!I134 &gt;= SogliaPicchi!$B$3,"",DatiOriginali!I134)</f>
        <v>12800</v>
      </c>
      <c r="J134" s="4">
        <v>47872</v>
      </c>
      <c r="K134" s="4">
        <f>IF(DatiOriginali!K134 &gt;= SogliaPicchi!$B$3,"",DatiOriginali!K134)</f>
        <v>14300</v>
      </c>
    </row>
    <row r="135" spans="1:11" x14ac:dyDescent="0.3">
      <c r="A135" s="4" t="s">
        <v>144</v>
      </c>
      <c r="B135" s="4">
        <v>4950</v>
      </c>
      <c r="C135" s="4">
        <f>IF(DatiOriginali!C135 &gt;= SogliaPicchi!$B$3,"",DatiOriginali!C135)</f>
        <v>44300</v>
      </c>
      <c r="D135" s="4">
        <v>2490</v>
      </c>
      <c r="E135" s="4" t="str">
        <f>IF(DatiOriginali!E135 &gt;= SogliaPicchi!$B$3,"",DatiOriginali!E135)</f>
        <v/>
      </c>
      <c r="F135" s="4">
        <v>40566</v>
      </c>
      <c r="G135" s="4">
        <f>IF(DatiOriginali!G135 &gt;= SogliaPicchi!$B$3,"",DatiOriginali!G135)</f>
        <v>49500</v>
      </c>
      <c r="H135" s="4">
        <v>48236</v>
      </c>
      <c r="I135" s="4">
        <f>IF(DatiOriginali!I135 &gt;= SogliaPicchi!$B$3,"",DatiOriginali!I135)</f>
        <v>13600</v>
      </c>
      <c r="J135" s="4">
        <v>48469</v>
      </c>
      <c r="K135" s="4">
        <f>IF(DatiOriginali!K135 &gt;= SogliaPicchi!$B$3,"",DatiOriginali!K135)</f>
        <v>15800</v>
      </c>
    </row>
    <row r="136" spans="1:11" x14ac:dyDescent="0.3">
      <c r="A136" s="4" t="s">
        <v>145</v>
      </c>
      <c r="B136" s="4">
        <v>4950</v>
      </c>
      <c r="C136" s="4">
        <f>IF(DatiOriginali!C136 &gt;= SogliaPicchi!$B$3,"",DatiOriginali!C136)</f>
        <v>42900</v>
      </c>
      <c r="D136" s="4">
        <v>2784</v>
      </c>
      <c r="E136" s="4" t="str">
        <f>IF(DatiOriginali!E136 &gt;= SogliaPicchi!$B$3,"",DatiOriginali!E136)</f>
        <v/>
      </c>
      <c r="F136" s="4">
        <v>41105</v>
      </c>
      <c r="G136" s="4">
        <f>IF(DatiOriginali!G136 &gt;= SogliaPicchi!$B$3,"",DatiOriginali!G136)</f>
        <v>36900</v>
      </c>
      <c r="H136" s="4">
        <v>48863</v>
      </c>
      <c r="I136" s="4">
        <f>IF(DatiOriginali!I136 &gt;= SogliaPicchi!$B$3,"",DatiOriginali!I136)</f>
        <v>12700</v>
      </c>
      <c r="J136" s="4">
        <v>49219</v>
      </c>
      <c r="K136" s="4">
        <f>IF(DatiOriginali!K136 &gt;= SogliaPicchi!$B$3,"",DatiOriginali!K136)</f>
        <v>15800</v>
      </c>
    </row>
    <row r="137" spans="1:11" x14ac:dyDescent="0.3">
      <c r="A137" s="4" t="s">
        <v>146</v>
      </c>
      <c r="B137" s="4">
        <v>4950</v>
      </c>
      <c r="C137" s="4">
        <f>IF(DatiOriginali!C137 &gt;= SogliaPicchi!$B$3,"",DatiOriginali!C137)</f>
        <v>52000</v>
      </c>
      <c r="D137" s="4">
        <v>2398</v>
      </c>
      <c r="E137" s="4" t="str">
        <f>IF(DatiOriginali!E137 &gt;= SogliaPicchi!$B$3,"",DatiOriginali!E137)</f>
        <v/>
      </c>
      <c r="F137" s="4">
        <v>41634</v>
      </c>
      <c r="G137" s="4">
        <f>IF(DatiOriginali!G137 &gt;= SogliaPicchi!$B$3,"",DatiOriginali!G137)</f>
        <v>69600</v>
      </c>
      <c r="H137" s="4">
        <v>49468</v>
      </c>
      <c r="I137" s="4">
        <f>IF(DatiOriginali!I137 &gt;= SogliaPicchi!$B$3,"",DatiOriginali!I137)</f>
        <v>13000</v>
      </c>
      <c r="J137" s="4">
        <v>49783</v>
      </c>
      <c r="K137" s="4">
        <f>IF(DatiOriginali!K137 &gt;= SogliaPicchi!$B$3,"",DatiOriginali!K137)</f>
        <v>14700</v>
      </c>
    </row>
    <row r="138" spans="1:11" x14ac:dyDescent="0.3">
      <c r="A138" s="4" t="s">
        <v>147</v>
      </c>
      <c r="B138" s="4">
        <v>4950</v>
      </c>
      <c r="C138" s="4">
        <f>IF(DatiOriginali!C138 &gt;= SogliaPicchi!$B$3,"",DatiOriginali!C138)</f>
        <v>43600</v>
      </c>
      <c r="D138" s="4">
        <v>2724</v>
      </c>
      <c r="E138" s="4" t="str">
        <f>IF(DatiOriginali!E138 &gt;= SogliaPicchi!$B$3,"",DatiOriginali!E138)</f>
        <v/>
      </c>
      <c r="F138" s="4">
        <v>42182</v>
      </c>
      <c r="G138" s="4">
        <f>IF(DatiOriginali!G138 &gt;= SogliaPicchi!$B$3,"",DatiOriginali!G138)</f>
        <v>50800</v>
      </c>
      <c r="H138" s="4">
        <v>50138</v>
      </c>
      <c r="I138" s="4">
        <f>IF(DatiOriginali!I138 &gt;= SogliaPicchi!$B$3,"",DatiOriginali!I138)</f>
        <v>13600</v>
      </c>
      <c r="J138" s="4">
        <v>50425</v>
      </c>
      <c r="K138" s="4">
        <f>IF(DatiOriginali!K138 &gt;= SogliaPicchi!$B$3,"",DatiOriginali!K138)</f>
        <v>15000</v>
      </c>
    </row>
    <row r="139" spans="1:11" x14ac:dyDescent="0.3">
      <c r="A139" s="4" t="s">
        <v>148</v>
      </c>
      <c r="B139" s="4">
        <v>4950</v>
      </c>
      <c r="C139" s="4">
        <f>IF(DatiOriginali!C139 &gt;= SogliaPicchi!$B$3,"",DatiOriginali!C139)</f>
        <v>44700</v>
      </c>
      <c r="D139" s="4">
        <v>2800</v>
      </c>
      <c r="E139" s="4" t="str">
        <f>IF(DatiOriginali!E139 &gt;= SogliaPicchi!$B$3,"",DatiOriginali!E139)</f>
        <v/>
      </c>
      <c r="F139" s="4">
        <v>42727</v>
      </c>
      <c r="G139" s="4">
        <f>IF(DatiOriginali!G139 &gt;= SogliaPicchi!$B$3,"",DatiOriginali!G139)</f>
        <v>50400</v>
      </c>
      <c r="H139" s="4">
        <v>50723</v>
      </c>
      <c r="I139" s="4">
        <f>IF(DatiOriginali!I139 &gt;= SogliaPicchi!$B$3,"",DatiOriginali!I139)</f>
        <v>12900</v>
      </c>
      <c r="J139" s="4">
        <v>51097</v>
      </c>
      <c r="K139" s="4">
        <f>IF(DatiOriginali!K139 &gt;= SogliaPicchi!$B$3,"",DatiOriginali!K139)</f>
        <v>15100</v>
      </c>
    </row>
    <row r="140" spans="1:11" x14ac:dyDescent="0.3">
      <c r="A140" s="4" t="s">
        <v>149</v>
      </c>
      <c r="B140" s="4">
        <v>4950</v>
      </c>
      <c r="C140" s="4">
        <f>IF(DatiOriginali!C140 &gt;= SogliaPicchi!$B$3,"",DatiOriginali!C140)</f>
        <v>49700</v>
      </c>
      <c r="D140" s="4">
        <v>2651</v>
      </c>
      <c r="E140" s="4" t="str">
        <f>IF(DatiOriginali!E140 &gt;= SogliaPicchi!$B$3,"",DatiOriginali!E140)</f>
        <v/>
      </c>
      <c r="F140" s="4">
        <v>43259</v>
      </c>
      <c r="G140" s="4">
        <f>IF(DatiOriginali!G140 &gt;= SogliaPicchi!$B$3,"",DatiOriginali!G140)</f>
        <v>53600</v>
      </c>
      <c r="H140" s="4">
        <v>51338</v>
      </c>
      <c r="I140" s="4">
        <f>IF(DatiOriginali!I140 &gt;= SogliaPicchi!$B$3,"",DatiOriginali!I140)</f>
        <v>12200</v>
      </c>
      <c r="J140" s="4">
        <v>51791</v>
      </c>
      <c r="K140" s="4">
        <f>IF(DatiOriginali!K140 &gt;= SogliaPicchi!$B$3,"",DatiOriginali!K140)</f>
        <v>13100</v>
      </c>
    </row>
    <row r="141" spans="1:11" x14ac:dyDescent="0.3">
      <c r="A141" s="4" t="s">
        <v>150</v>
      </c>
      <c r="B141" s="4">
        <v>4950</v>
      </c>
      <c r="C141" s="4">
        <f>IF(DatiOriginali!C141 &gt;= SogliaPicchi!$B$3,"",DatiOriginali!C141)</f>
        <v>43900</v>
      </c>
      <c r="D141" s="4">
        <v>2577</v>
      </c>
      <c r="E141" s="4" t="str">
        <f>IF(DatiOriginali!E141 &gt;= SogliaPicchi!$B$3,"",DatiOriginali!E141)</f>
        <v/>
      </c>
      <c r="F141" s="4">
        <v>43800</v>
      </c>
      <c r="G141" s="4">
        <f>IF(DatiOriginali!G141 &gt;= SogliaPicchi!$B$3,"",DatiOriginali!G141)</f>
        <v>33300</v>
      </c>
      <c r="H141" s="4">
        <v>51942</v>
      </c>
      <c r="I141" s="4">
        <f>IF(DatiOriginali!I141 &gt;= SogliaPicchi!$B$3,"",DatiOriginali!I141)</f>
        <v>9900</v>
      </c>
      <c r="J141" s="4">
        <v>52464</v>
      </c>
      <c r="K141" s="4">
        <f>IF(DatiOriginali!K141 &gt;= SogliaPicchi!$B$3,"",DatiOriginali!K141)</f>
        <v>11500</v>
      </c>
    </row>
    <row r="142" spans="1:11" x14ac:dyDescent="0.3">
      <c r="A142" s="4" t="s">
        <v>151</v>
      </c>
      <c r="B142" s="4">
        <v>4950</v>
      </c>
      <c r="C142" s="4">
        <f>IF(DatiOriginali!C142 &gt;= SogliaPicchi!$B$3,"",DatiOriginali!C142)</f>
        <v>38800</v>
      </c>
      <c r="D142" s="4">
        <v>2730</v>
      </c>
      <c r="E142" s="4" t="str">
        <f>IF(DatiOriginali!E142 &gt;= SogliaPicchi!$B$3,"",DatiOriginali!E142)</f>
        <v/>
      </c>
      <c r="F142" s="4">
        <v>44338</v>
      </c>
      <c r="G142" s="4">
        <f>IF(DatiOriginali!G142 &gt;= SogliaPicchi!$B$3,"",DatiOriginali!G142)</f>
        <v>35000</v>
      </c>
      <c r="H142" s="4">
        <v>52641</v>
      </c>
      <c r="I142" s="4">
        <f>IF(DatiOriginali!I142 &gt;= SogliaPicchi!$B$3,"",DatiOriginali!I142)</f>
        <v>9700</v>
      </c>
      <c r="J142" s="4">
        <v>53112</v>
      </c>
      <c r="K142" s="4">
        <f>IF(DatiOriginali!K142 &gt;= SogliaPicchi!$B$3,"",DatiOriginali!K142)</f>
        <v>11400</v>
      </c>
    </row>
    <row r="143" spans="1:11" x14ac:dyDescent="0.3">
      <c r="A143" s="4" t="s">
        <v>152</v>
      </c>
      <c r="B143" s="4">
        <v>4950</v>
      </c>
      <c r="C143" s="4">
        <f>IF(DatiOriginali!C143 &gt;= SogliaPicchi!$B$3,"",DatiOriginali!C143)</f>
        <v>49900</v>
      </c>
      <c r="D143" s="4">
        <v>2725</v>
      </c>
      <c r="E143" s="4" t="str">
        <f>IF(DatiOriginali!E143 &gt;= SogliaPicchi!$B$3,"",DatiOriginali!E143)</f>
        <v/>
      </c>
      <c r="F143" s="4">
        <v>44873</v>
      </c>
      <c r="G143" s="4">
        <f>IF(DatiOriginali!G143 &gt;= SogliaPicchi!$B$3,"",DatiOriginali!G143)</f>
        <v>66100</v>
      </c>
      <c r="H143" s="4">
        <v>53421</v>
      </c>
      <c r="I143" s="4">
        <f>IF(DatiOriginali!I143 &gt;= SogliaPicchi!$B$3,"",DatiOriginali!I143)</f>
        <v>11200</v>
      </c>
      <c r="J143" s="4">
        <v>53760</v>
      </c>
      <c r="K143" s="4">
        <f>IF(DatiOriginali!K143 &gt;= SogliaPicchi!$B$3,"",DatiOriginali!K143)</f>
        <v>11200</v>
      </c>
    </row>
    <row r="144" spans="1:11" x14ac:dyDescent="0.3">
      <c r="A144" s="4" t="s">
        <v>153</v>
      </c>
      <c r="B144" s="4">
        <v>4950</v>
      </c>
      <c r="C144" s="4">
        <f>IF(DatiOriginali!C144 &gt;= SogliaPicchi!$B$3,"",DatiOriginali!C144)</f>
        <v>50000</v>
      </c>
      <c r="D144" s="4">
        <v>2830</v>
      </c>
      <c r="E144" s="4" t="str">
        <f>IF(DatiOriginali!E144 &gt;= SogliaPicchi!$B$3,"",DatiOriginali!E144)</f>
        <v/>
      </c>
      <c r="F144" s="4">
        <v>45412</v>
      </c>
      <c r="G144" s="4">
        <f>IF(DatiOriginali!G144 &gt;= SogliaPicchi!$B$3,"",DatiOriginali!G144)</f>
        <v>58800</v>
      </c>
      <c r="H144" s="4">
        <v>54177</v>
      </c>
      <c r="I144" s="4">
        <f>IF(DatiOriginali!I144 &gt;= SogliaPicchi!$B$3,"",DatiOriginali!I144)</f>
        <v>12400</v>
      </c>
      <c r="J144" s="4">
        <v>54367</v>
      </c>
      <c r="K144" s="4">
        <f>IF(DatiOriginali!K144 &gt;= SogliaPicchi!$B$3,"",DatiOriginali!K144)</f>
        <v>14500</v>
      </c>
    </row>
    <row r="145" spans="1:11" x14ac:dyDescent="0.3">
      <c r="A145" s="4" t="s">
        <v>154</v>
      </c>
      <c r="B145" s="4">
        <v>4950</v>
      </c>
      <c r="C145" s="4">
        <f>IF(DatiOriginali!C145 &gt;= SogliaPicchi!$B$3,"",DatiOriginali!C145)</f>
        <v>50100</v>
      </c>
      <c r="D145" s="4">
        <v>2673</v>
      </c>
      <c r="E145" s="4" t="str">
        <f>IF(DatiOriginali!E145 &gt;= SogliaPicchi!$B$3,"",DatiOriginali!E145)</f>
        <v/>
      </c>
      <c r="F145" s="4">
        <v>45961</v>
      </c>
      <c r="G145" s="4">
        <f>IF(DatiOriginali!G145 &gt;= SogliaPicchi!$B$3,"",DatiOriginali!G145)</f>
        <v>50000</v>
      </c>
      <c r="H145" s="4">
        <v>54843</v>
      </c>
      <c r="I145" s="4">
        <f>IF(DatiOriginali!I145 &gt;= SogliaPicchi!$B$3,"",DatiOriginali!I145)</f>
        <v>14400</v>
      </c>
      <c r="J145" s="4">
        <v>55016</v>
      </c>
      <c r="K145" s="4">
        <f>IF(DatiOriginali!K145 &gt;= SogliaPicchi!$B$3,"",DatiOriginali!K145)</f>
        <v>15600</v>
      </c>
    </row>
    <row r="146" spans="1:11" x14ac:dyDescent="0.3">
      <c r="A146" s="4" t="s">
        <v>155</v>
      </c>
      <c r="B146" s="4">
        <v>4950</v>
      </c>
      <c r="C146" s="4">
        <f>IF(DatiOriginali!C146 &gt;= SogliaPicchi!$B$3,"",DatiOriginali!C146)</f>
        <v>41500</v>
      </c>
      <c r="D146" s="4">
        <v>2562</v>
      </c>
      <c r="E146" s="4" t="str">
        <f>IF(DatiOriginali!E146 &gt;= SogliaPicchi!$B$3,"",DatiOriginali!E146)</f>
        <v/>
      </c>
      <c r="F146" s="4">
        <v>46505</v>
      </c>
      <c r="G146" s="4">
        <f>IF(DatiOriginali!G146 &gt;= SogliaPicchi!$B$3,"",DatiOriginali!G146)</f>
        <v>40500</v>
      </c>
      <c r="H146" s="4">
        <v>55724</v>
      </c>
      <c r="I146" s="4">
        <f>IF(DatiOriginali!I146 &gt;= SogliaPicchi!$B$3,"",DatiOriginali!I146)</f>
        <v>13100</v>
      </c>
      <c r="J146" s="4">
        <v>55690</v>
      </c>
      <c r="K146" s="4">
        <f>IF(DatiOriginali!K146 &gt;= SogliaPicchi!$B$3,"",DatiOriginali!K146)</f>
        <v>13800</v>
      </c>
    </row>
    <row r="147" spans="1:11" x14ac:dyDescent="0.3">
      <c r="A147" s="4" t="s">
        <v>156</v>
      </c>
      <c r="B147" s="4">
        <v>4950</v>
      </c>
      <c r="C147" s="4">
        <f>IF(DatiOriginali!C147 &gt;= SogliaPicchi!$B$3,"",DatiOriginali!C147)</f>
        <v>47600</v>
      </c>
      <c r="D147" s="4">
        <v>2351</v>
      </c>
      <c r="E147" s="4" t="str">
        <f>IF(DatiOriginali!E147 &gt;= SogliaPicchi!$B$3,"",DatiOriginali!E147)</f>
        <v/>
      </c>
      <c r="F147" s="4">
        <v>47052</v>
      </c>
      <c r="G147" s="4">
        <f>IF(DatiOriginali!G147 &gt;= SogliaPicchi!$B$3,"",DatiOriginali!G147)</f>
        <v>53900</v>
      </c>
      <c r="H147" s="4">
        <v>56300</v>
      </c>
      <c r="I147" s="4">
        <f>IF(DatiOriginali!I147 &gt;= SogliaPicchi!$B$3,"",DatiOriginali!I147)</f>
        <v>13200</v>
      </c>
      <c r="J147" s="4">
        <v>56311</v>
      </c>
      <c r="K147" s="4">
        <f>IF(DatiOriginali!K147 &gt;= SogliaPicchi!$B$3,"",DatiOriginali!K147)</f>
        <v>15800</v>
      </c>
    </row>
    <row r="148" spans="1:11" x14ac:dyDescent="0.3">
      <c r="A148" s="4" t="s">
        <v>157</v>
      </c>
      <c r="B148" s="4">
        <v>4950</v>
      </c>
      <c r="C148" s="4">
        <f>IF(DatiOriginali!C148 &gt;= SogliaPicchi!$B$3,"",DatiOriginali!C148)</f>
        <v>46500</v>
      </c>
      <c r="D148" s="4">
        <v>2662</v>
      </c>
      <c r="E148" s="4" t="str">
        <f>IF(DatiOriginali!E148 &gt;= SogliaPicchi!$B$3,"",DatiOriginali!E148)</f>
        <v/>
      </c>
      <c r="F148" s="4">
        <v>47590</v>
      </c>
      <c r="G148" s="4">
        <f>IF(DatiOriginali!G148 &gt;= SogliaPicchi!$B$3,"",DatiOriginali!G148)</f>
        <v>61600</v>
      </c>
      <c r="H148" s="4">
        <v>56927</v>
      </c>
      <c r="I148" s="4">
        <f>IF(DatiOriginali!I148 &gt;= SogliaPicchi!$B$3,"",DatiOriginali!I148)</f>
        <v>12400</v>
      </c>
      <c r="J148" s="4">
        <v>56954</v>
      </c>
      <c r="K148" s="4">
        <f>IF(DatiOriginali!K148 &gt;= SogliaPicchi!$B$3,"",DatiOriginali!K148)</f>
        <v>14600</v>
      </c>
    </row>
    <row r="149" spans="1:11" x14ac:dyDescent="0.3">
      <c r="A149" s="4" t="s">
        <v>158</v>
      </c>
      <c r="B149" s="4">
        <v>4950</v>
      </c>
      <c r="C149" s="4">
        <f>IF(DatiOriginali!C149 &gt;= SogliaPicchi!$B$3,"",DatiOriginali!C149)</f>
        <v>45100</v>
      </c>
      <c r="D149" s="4">
        <v>2540</v>
      </c>
      <c r="E149" s="4" t="str">
        <f>IF(DatiOriginali!E149 &gt;= SogliaPicchi!$B$3,"",DatiOriginali!E149)</f>
        <v/>
      </c>
      <c r="F149" s="4">
        <v>48137</v>
      </c>
      <c r="G149" s="4">
        <f>IF(DatiOriginali!G149 &gt;= SogliaPicchi!$B$3,"",DatiOriginali!G149)</f>
        <v>33800</v>
      </c>
      <c r="H149" s="4">
        <v>57612</v>
      </c>
      <c r="I149" s="4">
        <f>IF(DatiOriginali!I149 &gt;= SogliaPicchi!$B$3,"",DatiOriginali!I149)</f>
        <v>10300</v>
      </c>
      <c r="J149" s="4">
        <v>57539</v>
      </c>
      <c r="K149" s="4">
        <f>IF(DatiOriginali!K149 &gt;= SogliaPicchi!$B$3,"",DatiOriginali!K149)</f>
        <v>11800</v>
      </c>
    </row>
    <row r="150" spans="1:11" x14ac:dyDescent="0.3">
      <c r="A150" s="4" t="s">
        <v>159</v>
      </c>
      <c r="B150" s="4">
        <v>4950</v>
      </c>
      <c r="C150" s="4">
        <f>IF(DatiOriginali!C150 &gt;= SogliaPicchi!$B$3,"",DatiOriginali!C150)</f>
        <v>38900</v>
      </c>
      <c r="D150" s="4">
        <v>2279</v>
      </c>
      <c r="E150" s="4">
        <f>IF(DatiOriginali!E150 &gt;= SogliaPicchi!$B$3,"",DatiOriginali!E150)</f>
        <v>13200</v>
      </c>
      <c r="F150" s="4">
        <v>48674</v>
      </c>
      <c r="G150" s="4">
        <f>IF(DatiOriginali!G150 &gt;= SogliaPicchi!$B$3,"",DatiOriginali!G150)</f>
        <v>40500</v>
      </c>
      <c r="H150" s="4">
        <v>58303</v>
      </c>
      <c r="I150" s="4">
        <f>IF(DatiOriginali!I150 &gt;= SogliaPicchi!$B$3,"",DatiOriginali!I150)</f>
        <v>12300</v>
      </c>
      <c r="J150" s="4">
        <v>58223</v>
      </c>
      <c r="K150" s="4">
        <f>IF(DatiOriginali!K150 &gt;= SogliaPicchi!$B$3,"",DatiOriginali!K150)</f>
        <v>14400</v>
      </c>
    </row>
    <row r="151" spans="1:11" x14ac:dyDescent="0.3">
      <c r="A151" s="4" t="s">
        <v>160</v>
      </c>
      <c r="B151" s="4">
        <v>4950</v>
      </c>
      <c r="C151" s="4">
        <f>IF(DatiOriginali!C151 &gt;= SogliaPicchi!$B$3,"",DatiOriginali!C151)</f>
        <v>36800</v>
      </c>
      <c r="D151" s="4">
        <v>2335</v>
      </c>
      <c r="E151" s="4">
        <f>IF(DatiOriginali!E151 &gt;= SogliaPicchi!$B$3,"",DatiOriginali!E151)</f>
        <v>11100</v>
      </c>
      <c r="F151" s="4">
        <v>49214</v>
      </c>
      <c r="G151" s="4">
        <f>IF(DatiOriginali!G151 &gt;= SogliaPicchi!$B$3,"",DatiOriginali!G151)</f>
        <v>46700</v>
      </c>
      <c r="H151" s="4">
        <v>59005</v>
      </c>
      <c r="I151" s="4">
        <f>IF(DatiOriginali!I151 &gt;= SogliaPicchi!$B$3,"",DatiOriginali!I151)</f>
        <v>9900</v>
      </c>
      <c r="J151" s="4">
        <v>58848</v>
      </c>
      <c r="K151" s="4">
        <f>IF(DatiOriginali!K151 &gt;= SogliaPicchi!$B$3,"",DatiOriginali!K151)</f>
        <v>11200</v>
      </c>
    </row>
    <row r="152" spans="1:11" x14ac:dyDescent="0.3">
      <c r="A152" s="4" t="s">
        <v>161</v>
      </c>
      <c r="B152" s="4">
        <v>4950</v>
      </c>
      <c r="C152" s="4">
        <f>IF(DatiOriginali!C152 &gt;= SogliaPicchi!$B$3,"",DatiOriginali!C152)</f>
        <v>48300</v>
      </c>
      <c r="D152" s="4">
        <v>2247</v>
      </c>
      <c r="E152" s="4">
        <f>IF(DatiOriginali!E152 &gt;= SogliaPicchi!$B$3,"",DatiOriginali!E152)</f>
        <v>15800</v>
      </c>
      <c r="F152" s="4">
        <v>49759</v>
      </c>
      <c r="G152" s="4">
        <f>IF(DatiOriginali!G152 &gt;= SogliaPicchi!$B$3,"",DatiOriginali!G152)</f>
        <v>55900</v>
      </c>
      <c r="H152" s="4">
        <v>59602</v>
      </c>
      <c r="I152" s="4">
        <f>IF(DatiOriginali!I152 &gt;= SogliaPicchi!$B$3,"",DatiOriginali!I152)</f>
        <v>12400</v>
      </c>
      <c r="J152" s="4">
        <v>59531</v>
      </c>
      <c r="K152" s="4">
        <f>IF(DatiOriginali!K152 &gt;= SogliaPicchi!$B$3,"",DatiOriginali!K152)</f>
        <v>15200</v>
      </c>
    </row>
    <row r="153" spans="1:11" x14ac:dyDescent="0.3">
      <c r="A153" s="4" t="s">
        <v>162</v>
      </c>
      <c r="B153" s="4">
        <v>4950</v>
      </c>
      <c r="C153" s="4">
        <f>IF(DatiOriginali!C153 &gt;= SogliaPicchi!$B$3,"",DatiOriginali!C153)</f>
        <v>43800</v>
      </c>
      <c r="D153" s="4">
        <v>2569</v>
      </c>
      <c r="E153" s="4">
        <f>IF(DatiOriginali!E153 &gt;= SogliaPicchi!$B$3,"",DatiOriginali!E153)</f>
        <v>16800</v>
      </c>
      <c r="F153" s="4">
        <v>50304</v>
      </c>
      <c r="G153" s="4">
        <f>IF(DatiOriginali!G153 &gt;= SogliaPicchi!$B$3,"",DatiOriginali!G153)</f>
        <v>44800</v>
      </c>
      <c r="H153" s="4">
        <v>60258</v>
      </c>
      <c r="I153" s="4">
        <f>IF(DatiOriginali!I153 &gt;= SogliaPicchi!$B$3,"",DatiOriginali!I153)</f>
        <v>12400</v>
      </c>
      <c r="J153" s="4">
        <v>60203</v>
      </c>
      <c r="K153" s="4">
        <f>IF(DatiOriginali!K153 &gt;= SogliaPicchi!$B$3,"",DatiOriginali!K153)</f>
        <v>14600</v>
      </c>
    </row>
    <row r="154" spans="1:11" x14ac:dyDescent="0.3">
      <c r="A154" s="4" t="s">
        <v>163</v>
      </c>
      <c r="B154" s="4">
        <v>4950</v>
      </c>
      <c r="C154" s="4">
        <f>IF(DatiOriginali!C154 &gt;= SogliaPicchi!$B$3,"",DatiOriginali!C154)</f>
        <v>43300</v>
      </c>
      <c r="D154" s="4">
        <v>2867</v>
      </c>
      <c r="E154" s="4">
        <f>IF(DatiOriginali!E154 &gt;= SogliaPicchi!$B$3,"",DatiOriginali!E154)</f>
        <v>20300</v>
      </c>
      <c r="F154" s="4">
        <v>50839</v>
      </c>
      <c r="G154" s="4">
        <f>IF(DatiOriginali!G154 &gt;= SogliaPicchi!$B$3,"",DatiOriginali!G154)</f>
        <v>47800</v>
      </c>
      <c r="H154" s="4">
        <v>60860</v>
      </c>
      <c r="I154" s="4">
        <f>IF(DatiOriginali!I154 &gt;= SogliaPicchi!$B$3,"",DatiOriginali!I154)</f>
        <v>12300</v>
      </c>
      <c r="J154" s="4">
        <v>60820</v>
      </c>
      <c r="K154" s="4">
        <f>IF(DatiOriginali!K154 &gt;= SogliaPicchi!$B$3,"",DatiOriginali!K154)</f>
        <v>14600</v>
      </c>
    </row>
    <row r="155" spans="1:11" x14ac:dyDescent="0.3">
      <c r="A155" s="4" t="s">
        <v>164</v>
      </c>
      <c r="B155" s="4">
        <v>4950</v>
      </c>
      <c r="C155" s="4">
        <f>IF(DatiOriginali!C155 &gt;= SogliaPicchi!$B$3,"",DatiOriginali!C155)</f>
        <v>45200</v>
      </c>
      <c r="D155" s="4">
        <v>2430</v>
      </c>
      <c r="E155" s="4">
        <f>IF(DatiOriginali!E155 &gt;= SogliaPicchi!$B$3,"",DatiOriginali!E155)</f>
        <v>18300</v>
      </c>
      <c r="F155" s="4">
        <v>51385</v>
      </c>
      <c r="G155" s="4">
        <f>IF(DatiOriginali!G155 &gt;= SogliaPicchi!$B$3,"",DatiOriginali!G155)</f>
        <v>48600</v>
      </c>
      <c r="H155" s="4">
        <v>61583</v>
      </c>
      <c r="I155" s="4">
        <f>IF(DatiOriginali!I155 &gt;= SogliaPicchi!$B$3,"",DatiOriginali!I155)</f>
        <v>12500</v>
      </c>
      <c r="J155" s="4">
        <v>61602</v>
      </c>
      <c r="K155" s="4">
        <f>IF(DatiOriginali!K155 &gt;= SogliaPicchi!$B$3,"",DatiOriginali!K155)</f>
        <v>15700</v>
      </c>
    </row>
    <row r="156" spans="1:11" x14ac:dyDescent="0.3">
      <c r="A156" s="4" t="s">
        <v>165</v>
      </c>
      <c r="B156" s="4">
        <v>4950</v>
      </c>
      <c r="C156" s="4">
        <f>IF(DatiOriginali!C156 &gt;= SogliaPicchi!$B$3,"",DatiOriginali!C156)</f>
        <v>41800</v>
      </c>
      <c r="D156" s="4">
        <v>2767</v>
      </c>
      <c r="E156" s="4">
        <f>IF(DatiOriginali!E156 &gt;= SogliaPicchi!$B$3,"",DatiOriginali!E156)</f>
        <v>15200</v>
      </c>
      <c r="F156" s="4">
        <v>51936</v>
      </c>
      <c r="G156" s="4">
        <f>IF(DatiOriginali!G156 &gt;= SogliaPicchi!$B$3,"",DatiOriginali!G156)</f>
        <v>40200</v>
      </c>
      <c r="H156" s="4">
        <v>62231</v>
      </c>
      <c r="I156" s="4">
        <f>IF(DatiOriginali!I156 &gt;= SogliaPicchi!$B$3,"",DatiOriginali!I156)</f>
        <v>12300</v>
      </c>
      <c r="J156" s="4">
        <v>62230</v>
      </c>
      <c r="K156" s="4">
        <f>IF(DatiOriginali!K156 &gt;= SogliaPicchi!$B$3,"",DatiOriginali!K156)</f>
        <v>13900</v>
      </c>
    </row>
    <row r="157" spans="1:11" x14ac:dyDescent="0.3">
      <c r="A157" s="4" t="s">
        <v>166</v>
      </c>
      <c r="B157" s="4">
        <v>4950</v>
      </c>
      <c r="C157" s="4">
        <f>IF(DatiOriginali!C157 &gt;= SogliaPicchi!$B$3,"",DatiOriginali!C157)</f>
        <v>50000</v>
      </c>
      <c r="D157" s="4">
        <v>2936</v>
      </c>
      <c r="E157" s="4">
        <f>IF(DatiOriginali!E157 &gt;= SogliaPicchi!$B$3,"",DatiOriginali!E157)</f>
        <v>20300</v>
      </c>
      <c r="F157" s="4">
        <v>52478</v>
      </c>
      <c r="G157" s="4">
        <f>IF(DatiOriginali!G157 &gt;= SogliaPicchi!$B$3,"",DatiOriginali!G157)</f>
        <v>51900</v>
      </c>
      <c r="H157" s="4">
        <v>62833</v>
      </c>
      <c r="I157" s="4">
        <f>IF(DatiOriginali!I157 &gt;= SogliaPicchi!$B$3,"",DatiOriginali!I157)</f>
        <v>12100</v>
      </c>
      <c r="J157" s="4">
        <v>63047</v>
      </c>
      <c r="K157" s="4">
        <f>IF(DatiOriginali!K157 &gt;= SogliaPicchi!$B$3,"",DatiOriginali!K157)</f>
        <v>15900</v>
      </c>
    </row>
    <row r="158" spans="1:11" x14ac:dyDescent="0.3">
      <c r="A158" s="4" t="s">
        <v>167</v>
      </c>
      <c r="B158" s="4">
        <v>4950</v>
      </c>
      <c r="C158" s="4">
        <f>IF(DatiOriginali!C158 &gt;= SogliaPicchi!$B$3,"",DatiOriginali!C158)</f>
        <v>46100</v>
      </c>
      <c r="D158" s="4">
        <v>2594</v>
      </c>
      <c r="E158" s="4">
        <f>IF(DatiOriginali!E158 &gt;= SogliaPicchi!$B$3,"",DatiOriginali!E158)</f>
        <v>18100</v>
      </c>
      <c r="F158" s="4">
        <v>53013</v>
      </c>
      <c r="G158" s="4">
        <f>IF(DatiOriginali!G158 &gt;= SogliaPicchi!$B$3,"",DatiOriginali!G158)</f>
        <v>47100</v>
      </c>
      <c r="H158" s="4">
        <v>63417</v>
      </c>
      <c r="I158" s="4">
        <f>IF(DatiOriginali!I158 &gt;= SogliaPicchi!$B$3,"",DatiOriginali!I158)</f>
        <v>12100</v>
      </c>
      <c r="J158" s="4">
        <v>63729</v>
      </c>
      <c r="K158" s="4">
        <f>IF(DatiOriginali!K158 &gt;= SogliaPicchi!$B$3,"",DatiOriginali!K158)</f>
        <v>14700</v>
      </c>
    </row>
    <row r="159" spans="1:11" x14ac:dyDescent="0.3">
      <c r="A159" s="4" t="s">
        <v>168</v>
      </c>
      <c r="B159" s="4">
        <v>4950</v>
      </c>
      <c r="C159" s="4">
        <f>IF(DatiOriginali!C159 &gt;= SogliaPicchi!$B$3,"",DatiOriginali!C159)</f>
        <v>50800</v>
      </c>
      <c r="D159" s="4">
        <v>2801</v>
      </c>
      <c r="E159" s="4">
        <f>IF(DatiOriginali!E159 &gt;= SogliaPicchi!$B$3,"",DatiOriginali!E159)</f>
        <v>19100</v>
      </c>
      <c r="F159" s="4">
        <v>53559</v>
      </c>
      <c r="G159" s="4">
        <f>IF(DatiOriginali!G159 &gt;= SogliaPicchi!$B$3,"",DatiOriginali!G159)</f>
        <v>64800</v>
      </c>
      <c r="H159" s="4">
        <v>64011</v>
      </c>
      <c r="I159" s="4">
        <f>IF(DatiOriginali!I159 &gt;= SogliaPicchi!$B$3,"",DatiOriginali!I159)</f>
        <v>13300</v>
      </c>
      <c r="J159" s="4">
        <v>64375</v>
      </c>
      <c r="K159" s="4">
        <f>IF(DatiOriginali!K159 &gt;= SogliaPicchi!$B$3,"",DatiOriginali!K159)</f>
        <v>15000</v>
      </c>
    </row>
    <row r="160" spans="1:11" x14ac:dyDescent="0.3">
      <c r="A160" s="4" t="s">
        <v>169</v>
      </c>
      <c r="B160" s="4">
        <v>4950</v>
      </c>
      <c r="C160" s="4">
        <f>IF(DatiOriginali!C160 &gt;= SogliaPicchi!$B$3,"",DatiOriginali!C160)</f>
        <v>42100</v>
      </c>
      <c r="D160" s="4">
        <v>2394</v>
      </c>
      <c r="E160" s="4">
        <f>IF(DatiOriginali!E160 &gt;= SogliaPicchi!$B$3,"",DatiOriginali!E160)</f>
        <v>17300</v>
      </c>
      <c r="F160" s="4">
        <v>54096</v>
      </c>
      <c r="G160" s="4">
        <f>IF(DatiOriginali!G160 &gt;= SogliaPicchi!$B$3,"",DatiOriginali!G160)</f>
        <v>46000</v>
      </c>
      <c r="H160" s="4">
        <v>64726</v>
      </c>
      <c r="I160" s="4">
        <f>IF(DatiOriginali!I160 &gt;= SogliaPicchi!$B$3,"",DatiOriginali!I160)</f>
        <v>13100</v>
      </c>
      <c r="J160" s="4">
        <v>64953</v>
      </c>
      <c r="K160" s="4">
        <f>IF(DatiOriginali!K160 &gt;= SogliaPicchi!$B$3,"",DatiOriginali!K160)</f>
        <v>14400</v>
      </c>
    </row>
    <row r="161" spans="1:11" x14ac:dyDescent="0.3">
      <c r="A161" s="4" t="s">
        <v>170</v>
      </c>
      <c r="B161" s="4">
        <v>4950</v>
      </c>
      <c r="C161" s="4">
        <f>IF(DatiOriginali!C161 &gt;= SogliaPicchi!$B$3,"",DatiOriginali!C161)</f>
        <v>46000</v>
      </c>
      <c r="D161" s="4">
        <v>2432</v>
      </c>
      <c r="E161" s="4">
        <f>IF(DatiOriginali!E161 &gt;= SogliaPicchi!$B$3,"",DatiOriginali!E161)</f>
        <v>16900</v>
      </c>
      <c r="F161" s="4">
        <v>54653</v>
      </c>
      <c r="G161" s="4">
        <f>IF(DatiOriginali!G161 &gt;= SogliaPicchi!$B$3,"",DatiOriginali!G161)</f>
        <v>48200</v>
      </c>
      <c r="H161" s="4">
        <v>65330</v>
      </c>
      <c r="I161" s="4">
        <f>IF(DatiOriginali!I161 &gt;= SogliaPicchi!$B$3,"",DatiOriginali!I161)</f>
        <v>12900</v>
      </c>
      <c r="J161" s="4">
        <v>65622</v>
      </c>
      <c r="K161" s="4">
        <f>IF(DatiOriginali!K161 &gt;= SogliaPicchi!$B$3,"",DatiOriginali!K161)</f>
        <v>14700</v>
      </c>
    </row>
    <row r="162" spans="1:11" x14ac:dyDescent="0.3">
      <c r="A162" s="4" t="s">
        <v>171</v>
      </c>
      <c r="B162" s="4">
        <v>4950</v>
      </c>
      <c r="C162" s="4">
        <f>IF(DatiOriginali!C162 &gt;= SogliaPicchi!$B$3,"",DatiOriginali!C162)</f>
        <v>45400</v>
      </c>
      <c r="D162" s="4">
        <v>2540</v>
      </c>
      <c r="E162" s="4">
        <f>IF(DatiOriginali!E162 &gt;= SogliaPicchi!$B$3,"",DatiOriginali!E162)</f>
        <v>18100</v>
      </c>
      <c r="F162" s="4">
        <v>55198</v>
      </c>
      <c r="G162" s="4">
        <f>IF(DatiOriginali!G162 &gt;= SogliaPicchi!$B$3,"",DatiOriginali!G162)</f>
        <v>63900</v>
      </c>
      <c r="H162" s="4">
        <v>66042</v>
      </c>
      <c r="I162" s="4">
        <f>IF(DatiOriginali!I162 &gt;= SogliaPicchi!$B$3,"",DatiOriginali!I162)</f>
        <v>13200</v>
      </c>
      <c r="J162" s="4">
        <v>66215</v>
      </c>
      <c r="K162" s="4">
        <f>IF(DatiOriginali!K162 &gt;= SogliaPicchi!$B$3,"",DatiOriginali!K162)</f>
        <v>14400</v>
      </c>
    </row>
    <row r="163" spans="1:11" x14ac:dyDescent="0.3">
      <c r="A163" s="4" t="s">
        <v>172</v>
      </c>
      <c r="B163" s="4">
        <v>4950</v>
      </c>
      <c r="C163" s="4" t="str">
        <f>IF(DatiOriginali!C163 &gt;= SogliaPicchi!$B$3,"",DatiOriginali!C163)</f>
        <v/>
      </c>
      <c r="D163" s="4">
        <v>2744</v>
      </c>
      <c r="E163" s="4">
        <f>IF(DatiOriginali!E163 &gt;= SogliaPicchi!$B$3,"",DatiOriginali!E163)</f>
        <v>38300</v>
      </c>
      <c r="F163" s="4">
        <v>55741</v>
      </c>
      <c r="G163" s="4">
        <f>IF(DatiOriginali!G163 &gt;= SogliaPicchi!$B$3,"",DatiOriginali!G163)</f>
        <v>37900</v>
      </c>
      <c r="H163" s="4">
        <v>66650</v>
      </c>
      <c r="I163" s="4">
        <f>IF(DatiOriginali!I163 &gt;= SogliaPicchi!$B$3,"",DatiOriginali!I163)</f>
        <v>11500</v>
      </c>
      <c r="J163" s="4">
        <v>66823</v>
      </c>
      <c r="K163" s="4">
        <f>IF(DatiOriginali!K163 &gt;= SogliaPicchi!$B$3,"",DatiOriginali!K163)</f>
        <v>13300</v>
      </c>
    </row>
    <row r="164" spans="1:11" x14ac:dyDescent="0.3">
      <c r="A164" s="4" t="s">
        <v>173</v>
      </c>
      <c r="B164" s="4">
        <v>4950</v>
      </c>
      <c r="C164" s="4">
        <f>IF(DatiOriginali!C164 &gt;= SogliaPicchi!$B$3,"",DatiOriginali!C164)</f>
        <v>35500</v>
      </c>
      <c r="D164" s="4">
        <v>2605</v>
      </c>
      <c r="E164" s="4">
        <f>IF(DatiOriginali!E164 &gt;= SogliaPicchi!$B$3,"",DatiOriginali!E164)</f>
        <v>11200</v>
      </c>
      <c r="F164" s="4">
        <v>56290</v>
      </c>
      <c r="G164" s="4">
        <f>IF(DatiOriginali!G164 &gt;= SogliaPicchi!$B$3,"",DatiOriginali!G164)</f>
        <v>31400</v>
      </c>
      <c r="H164" s="4">
        <v>67258</v>
      </c>
      <c r="I164" s="4">
        <f>IF(DatiOriginali!I164 &gt;= SogliaPicchi!$B$3,"",DatiOriginali!I164)</f>
        <v>9200</v>
      </c>
      <c r="J164" s="4">
        <v>67398</v>
      </c>
      <c r="K164" s="4">
        <f>IF(DatiOriginali!K164 &gt;= SogliaPicchi!$B$3,"",DatiOriginali!K164)</f>
        <v>11000</v>
      </c>
    </row>
    <row r="165" spans="1:11" x14ac:dyDescent="0.3">
      <c r="A165" s="4" t="s">
        <v>174</v>
      </c>
      <c r="B165" s="4">
        <v>4950</v>
      </c>
      <c r="C165" s="4">
        <f>IF(DatiOriginali!C165 &gt;= SogliaPicchi!$B$3,"",DatiOriginali!C165)</f>
        <v>34200</v>
      </c>
      <c r="D165" s="4">
        <v>2694</v>
      </c>
      <c r="E165" s="4">
        <f>IF(DatiOriginali!E165 &gt;= SogliaPicchi!$B$3,"",DatiOriginali!E165)</f>
        <v>11400</v>
      </c>
      <c r="F165" s="4">
        <v>56830</v>
      </c>
      <c r="G165" s="4">
        <f>IF(DatiOriginali!G165 &gt;= SogliaPicchi!$B$3,"",DatiOriginali!G165)</f>
        <v>30600</v>
      </c>
      <c r="H165" s="4">
        <v>67853</v>
      </c>
      <c r="I165" s="4">
        <f>IF(DatiOriginali!I165 &gt;= SogliaPicchi!$B$3,"",DatiOriginali!I165)</f>
        <v>9000</v>
      </c>
      <c r="J165" s="4">
        <v>68049</v>
      </c>
      <c r="K165" s="4">
        <f>IF(DatiOriginali!K165 &gt;= SogliaPicchi!$B$3,"",DatiOriginali!K165)</f>
        <v>11200</v>
      </c>
    </row>
    <row r="166" spans="1:11" x14ac:dyDescent="0.3">
      <c r="A166" s="4" t="s">
        <v>175</v>
      </c>
      <c r="B166" s="4">
        <v>4950</v>
      </c>
      <c r="C166" s="4">
        <f>IF(DatiOriginali!C166 &gt;= SogliaPicchi!$B$3,"",DatiOriginali!C166)</f>
        <v>45000</v>
      </c>
      <c r="D166" s="4">
        <v>2384</v>
      </c>
      <c r="E166" s="4">
        <f>IF(DatiOriginali!E166 &gt;= SogliaPicchi!$B$3,"",DatiOriginali!E166)</f>
        <v>16500</v>
      </c>
      <c r="F166" s="4">
        <v>57376</v>
      </c>
      <c r="G166" s="4">
        <f>IF(DatiOriginali!G166 &gt;= SogliaPicchi!$B$3,"",DatiOriginali!G166)</f>
        <v>48600</v>
      </c>
      <c r="H166" s="4">
        <v>68412</v>
      </c>
      <c r="I166" s="4">
        <f>IF(DatiOriginali!I166 &gt;= SogliaPicchi!$B$3,"",DatiOriginali!I166)</f>
        <v>12400</v>
      </c>
      <c r="J166" s="4">
        <v>68643</v>
      </c>
      <c r="K166" s="4">
        <f>IF(DatiOriginali!K166 &gt;= SogliaPicchi!$B$3,"",DatiOriginali!K166)</f>
        <v>13500</v>
      </c>
    </row>
    <row r="167" spans="1:11" x14ac:dyDescent="0.3">
      <c r="A167" s="4" t="s">
        <v>176</v>
      </c>
      <c r="B167" s="4">
        <v>4950</v>
      </c>
      <c r="C167" s="4">
        <f>IF(DatiOriginali!C167 &gt;= SogliaPicchi!$B$3,"",DatiOriginali!C167)</f>
        <v>40100</v>
      </c>
      <c r="D167" s="4">
        <v>2410</v>
      </c>
      <c r="E167" s="4">
        <f>IF(DatiOriginali!E167 &gt;= SogliaPicchi!$B$3,"",DatiOriginali!E167)</f>
        <v>11200</v>
      </c>
      <c r="F167" s="4">
        <v>57918</v>
      </c>
      <c r="G167" s="4">
        <f>IF(DatiOriginali!G167 &gt;= SogliaPicchi!$B$3,"",DatiOriginali!G167)</f>
        <v>39700</v>
      </c>
      <c r="H167" s="4">
        <v>69100</v>
      </c>
      <c r="I167" s="4">
        <f>IF(DatiOriginali!I167 &gt;= SogliaPicchi!$B$3,"",DatiOriginali!I167)</f>
        <v>11700</v>
      </c>
      <c r="J167" s="4">
        <v>69277</v>
      </c>
      <c r="K167" s="4">
        <f>IF(DatiOriginali!K167 &gt;= SogliaPicchi!$B$3,"",DatiOriginali!K167)</f>
        <v>14400</v>
      </c>
    </row>
    <row r="168" spans="1:11" x14ac:dyDescent="0.3">
      <c r="A168" s="4" t="s">
        <v>177</v>
      </c>
      <c r="B168" s="4">
        <v>4950</v>
      </c>
      <c r="C168" s="4">
        <f>IF(DatiOriginali!C168 &gt;= SogliaPicchi!$B$3,"",DatiOriginali!C168)</f>
        <v>40200</v>
      </c>
      <c r="D168" s="4">
        <v>2310</v>
      </c>
      <c r="E168" s="4">
        <f>IF(DatiOriginali!E168 &gt;= SogliaPicchi!$B$3,"",DatiOriginali!E168)</f>
        <v>17400</v>
      </c>
      <c r="F168" s="4">
        <v>58463</v>
      </c>
      <c r="G168" s="4">
        <f>IF(DatiOriginali!G168 &gt;= SogliaPicchi!$B$3,"",DatiOriginali!G168)</f>
        <v>50800</v>
      </c>
      <c r="H168" s="4">
        <v>69709</v>
      </c>
      <c r="I168" s="4">
        <f>IF(DatiOriginali!I168 &gt;= SogliaPicchi!$B$3,"",DatiOriginali!I168)</f>
        <v>13800</v>
      </c>
      <c r="J168" s="4">
        <v>69898</v>
      </c>
      <c r="K168" s="4">
        <f>IF(DatiOriginali!K168 &gt;= SogliaPicchi!$B$3,"",DatiOriginali!K168)</f>
        <v>15600</v>
      </c>
    </row>
    <row r="169" spans="1:11" x14ac:dyDescent="0.3">
      <c r="A169" s="4" t="s">
        <v>178</v>
      </c>
      <c r="B169" s="4">
        <v>4950</v>
      </c>
      <c r="C169" s="4">
        <f>IF(DatiOriginali!C169 &gt;= SogliaPicchi!$B$3,"",DatiOriginali!C169)</f>
        <v>37900</v>
      </c>
      <c r="D169" s="4">
        <v>2697</v>
      </c>
      <c r="E169" s="4">
        <f>IF(DatiOriginali!E169 &gt;= SogliaPicchi!$B$3,"",DatiOriginali!E169)</f>
        <v>17300</v>
      </c>
      <c r="F169" s="4">
        <v>58998</v>
      </c>
      <c r="G169" s="4">
        <f>IF(DatiOriginali!G169 &gt;= SogliaPicchi!$B$3,"",DatiOriginali!G169)</f>
        <v>45500</v>
      </c>
      <c r="H169" s="4">
        <v>70358</v>
      </c>
      <c r="I169" s="4">
        <f>IF(DatiOriginali!I169 &gt;= SogliaPicchi!$B$3,"",DatiOriginali!I169)</f>
        <v>13500</v>
      </c>
      <c r="J169" s="4">
        <v>70584</v>
      </c>
      <c r="K169" s="4">
        <f>IF(DatiOriginali!K169 &gt;= SogliaPicchi!$B$3,"",DatiOriginali!K169)</f>
        <v>11600</v>
      </c>
    </row>
    <row r="170" spans="1:11" x14ac:dyDescent="0.3">
      <c r="A170" s="4" t="s">
        <v>179</v>
      </c>
      <c r="B170" s="4">
        <v>4950</v>
      </c>
      <c r="C170" s="4">
        <f>IF(DatiOriginali!C170 &gt;= SogliaPicchi!$B$3,"",DatiOriginali!C170)</f>
        <v>45300</v>
      </c>
      <c r="D170" s="4">
        <v>2484</v>
      </c>
      <c r="E170" s="4">
        <f>IF(DatiOriginali!E170 &gt;= SogliaPicchi!$B$3,"",DatiOriginali!E170)</f>
        <v>18000</v>
      </c>
      <c r="F170" s="4">
        <v>59539</v>
      </c>
      <c r="G170" s="4">
        <f>IF(DatiOriginali!G170 &gt;= SogliaPicchi!$B$3,"",DatiOriginali!G170)</f>
        <v>66600</v>
      </c>
      <c r="H170" s="4">
        <v>71064</v>
      </c>
      <c r="I170" s="4">
        <f>IF(DatiOriginali!I170 &gt;= SogliaPicchi!$B$3,"",DatiOriginali!I170)</f>
        <v>13800</v>
      </c>
      <c r="J170" s="4">
        <v>71153</v>
      </c>
      <c r="K170" s="4">
        <f>IF(DatiOriginali!K170 &gt;= SogliaPicchi!$B$3,"",DatiOriginali!K170)</f>
        <v>15000</v>
      </c>
    </row>
    <row r="171" spans="1:11" x14ac:dyDescent="0.3">
      <c r="A171" s="4" t="s">
        <v>180</v>
      </c>
      <c r="B171" s="4">
        <v>4950</v>
      </c>
      <c r="C171" s="4">
        <f>IF(DatiOriginali!C171 &gt;= SogliaPicchi!$B$3,"",DatiOriginali!C171)</f>
        <v>42800</v>
      </c>
      <c r="D171" s="4">
        <v>2516</v>
      </c>
      <c r="E171" s="4">
        <f>IF(DatiOriginali!E171 &gt;= SogliaPicchi!$B$3,"",DatiOriginali!E171)</f>
        <v>13400</v>
      </c>
      <c r="F171" s="4">
        <v>60086</v>
      </c>
      <c r="G171" s="4">
        <f>IF(DatiOriginali!G171 &gt;= SogliaPicchi!$B$3,"",DatiOriginali!G171)</f>
        <v>41700</v>
      </c>
      <c r="H171" s="4">
        <v>71719</v>
      </c>
      <c r="I171" s="4">
        <f>IF(DatiOriginali!I171 &gt;= SogliaPicchi!$B$3,"",DatiOriginali!I171)</f>
        <v>12500</v>
      </c>
      <c r="J171" s="4">
        <v>71837</v>
      </c>
      <c r="K171" s="4">
        <f>IF(DatiOriginali!K171 &gt;= SogliaPicchi!$B$3,"",DatiOriginali!K171)</f>
        <v>14000</v>
      </c>
    </row>
    <row r="172" spans="1:11" x14ac:dyDescent="0.3">
      <c r="A172" s="4" t="s">
        <v>181</v>
      </c>
      <c r="B172" s="4">
        <v>4950</v>
      </c>
      <c r="C172" s="4">
        <f>IF(DatiOriginali!C172 &gt;= SogliaPicchi!$B$3,"",DatiOriginali!C172)</f>
        <v>46200</v>
      </c>
      <c r="D172" s="4">
        <v>2702</v>
      </c>
      <c r="E172" s="4">
        <f>IF(DatiOriginali!E172 &gt;= SogliaPicchi!$B$3,"",DatiOriginali!E172)</f>
        <v>19600</v>
      </c>
      <c r="F172" s="4">
        <v>60633</v>
      </c>
      <c r="G172" s="4">
        <f>IF(DatiOriginali!G172 &gt;= SogliaPicchi!$B$3,"",DatiOriginali!G172)</f>
        <v>51800</v>
      </c>
      <c r="H172" s="4">
        <v>72441</v>
      </c>
      <c r="I172" s="4">
        <f>IF(DatiOriginali!I172 &gt;= SogliaPicchi!$B$3,"",DatiOriginali!I172)</f>
        <v>14300</v>
      </c>
      <c r="J172" s="4">
        <v>72454</v>
      </c>
      <c r="K172" s="4">
        <f>IF(DatiOriginali!K172 &gt;= SogliaPicchi!$B$3,"",DatiOriginali!K172)</f>
        <v>15200</v>
      </c>
    </row>
    <row r="173" spans="1:11" x14ac:dyDescent="0.3">
      <c r="A173" s="4" t="s">
        <v>182</v>
      </c>
      <c r="B173" s="4">
        <v>4950</v>
      </c>
      <c r="C173" s="4">
        <f>IF(DatiOriginali!C173 &gt;= SogliaPicchi!$B$3,"",DatiOriginali!C173)</f>
        <v>40700</v>
      </c>
      <c r="D173" s="4">
        <v>2348</v>
      </c>
      <c r="E173" s="4">
        <f>IF(DatiOriginali!E173 &gt;= SogliaPicchi!$B$3,"",DatiOriginali!E173)</f>
        <v>13300</v>
      </c>
      <c r="F173" s="4">
        <v>61178</v>
      </c>
      <c r="G173" s="4">
        <f>IF(DatiOriginali!G173 &gt;= SogliaPicchi!$B$3,"",DatiOriginali!G173)</f>
        <v>60600</v>
      </c>
      <c r="H173" s="4">
        <v>73116</v>
      </c>
      <c r="I173" s="4">
        <f>IF(DatiOriginali!I173 &gt;= SogliaPicchi!$B$3,"",DatiOriginali!I173)</f>
        <v>11500</v>
      </c>
      <c r="J173" s="4">
        <v>73045</v>
      </c>
      <c r="K173" s="4">
        <f>IF(DatiOriginali!K173 &gt;= SogliaPicchi!$B$3,"",DatiOriginali!K173)</f>
        <v>13000</v>
      </c>
    </row>
    <row r="174" spans="1:11" x14ac:dyDescent="0.3">
      <c r="A174" s="4" t="s">
        <v>183</v>
      </c>
      <c r="B174" s="4">
        <v>4950</v>
      </c>
      <c r="C174" s="4">
        <f>IF(DatiOriginali!C174 &gt;= SogliaPicchi!$B$3,"",DatiOriginali!C174)</f>
        <v>48400</v>
      </c>
      <c r="D174" s="4">
        <v>2539</v>
      </c>
      <c r="E174" s="4">
        <f>IF(DatiOriginali!E174 &gt;= SogliaPicchi!$B$3,"",DatiOriginali!E174)</f>
        <v>18600</v>
      </c>
      <c r="F174" s="4">
        <v>61721</v>
      </c>
      <c r="G174" s="4">
        <f>IF(DatiOriginali!G174 &gt;= SogliaPicchi!$B$3,"",DatiOriginali!G174)</f>
        <v>50700</v>
      </c>
      <c r="H174" s="4">
        <v>73726</v>
      </c>
      <c r="I174" s="4">
        <f>IF(DatiOriginali!I174 &gt;= SogliaPicchi!$B$3,"",DatiOriginali!I174)</f>
        <v>13100</v>
      </c>
      <c r="J174" s="4">
        <v>73771</v>
      </c>
      <c r="K174" s="4">
        <f>IF(DatiOriginali!K174 &gt;= SogliaPicchi!$B$3,"",DatiOriginali!K174)</f>
        <v>23200</v>
      </c>
    </row>
    <row r="175" spans="1:11" x14ac:dyDescent="0.3">
      <c r="A175" s="4" t="s">
        <v>184</v>
      </c>
      <c r="B175" s="4">
        <v>4950</v>
      </c>
      <c r="C175" s="4">
        <f>IF(DatiOriginali!C175 &gt;= SogliaPicchi!$B$3,"",DatiOriginali!C175)</f>
        <v>44100</v>
      </c>
      <c r="D175" s="4">
        <v>3000</v>
      </c>
      <c r="E175" s="4">
        <f>IF(DatiOriginali!E175 &gt;= SogliaPicchi!$B$3,"",DatiOriginali!E175)</f>
        <v>12800</v>
      </c>
      <c r="F175" s="4">
        <v>62260</v>
      </c>
      <c r="G175" s="4">
        <f>IF(DatiOriginali!G175 &gt;= SogliaPicchi!$B$3,"",DatiOriginali!G175)</f>
        <v>44000</v>
      </c>
      <c r="H175" s="4">
        <v>74469</v>
      </c>
      <c r="I175" s="4">
        <f>IF(DatiOriginali!I175 &gt;= SogliaPicchi!$B$3,"",DatiOriginali!I175)</f>
        <v>10000</v>
      </c>
      <c r="J175" s="4">
        <v>74364</v>
      </c>
      <c r="K175" s="4">
        <f>IF(DatiOriginali!K175 &gt;= SogliaPicchi!$B$3,"",DatiOriginali!K175)</f>
        <v>15400</v>
      </c>
    </row>
    <row r="176" spans="1:11" x14ac:dyDescent="0.3">
      <c r="A176" s="4" t="s">
        <v>185</v>
      </c>
      <c r="B176" s="4">
        <v>4950</v>
      </c>
      <c r="C176" s="4">
        <f>IF(DatiOriginali!C176 &gt;= SogliaPicchi!$B$3,"",DatiOriginali!C176)</f>
        <v>42300</v>
      </c>
      <c r="D176" s="4">
        <v>2175</v>
      </c>
      <c r="E176" s="4">
        <f>IF(DatiOriginali!E176 &gt;= SogliaPicchi!$B$3,"",DatiOriginali!E176)</f>
        <v>15800</v>
      </c>
      <c r="F176" s="4">
        <v>62802</v>
      </c>
      <c r="G176" s="4">
        <f>IF(DatiOriginali!G176 &gt;= SogliaPicchi!$B$3,"",DatiOriginali!G176)</f>
        <v>62600</v>
      </c>
      <c r="H176" s="4">
        <v>75087</v>
      </c>
      <c r="I176" s="4">
        <f>IF(DatiOriginali!I176 &gt;= SogliaPicchi!$B$3,"",DatiOriginali!I176)</f>
        <v>12400</v>
      </c>
      <c r="J176" s="4">
        <v>75005</v>
      </c>
      <c r="K176" s="4">
        <f>IF(DatiOriginali!K176 &gt;= SogliaPicchi!$B$3,"",DatiOriginali!K176)</f>
        <v>15400</v>
      </c>
    </row>
    <row r="177" spans="1:11" x14ac:dyDescent="0.3">
      <c r="A177" s="4" t="s">
        <v>186</v>
      </c>
      <c r="B177" s="4">
        <v>4950</v>
      </c>
      <c r="C177" s="4">
        <f>IF(DatiOriginali!C177 &gt;= SogliaPicchi!$B$3,"",DatiOriginali!C177)</f>
        <v>45500</v>
      </c>
      <c r="D177" s="4">
        <v>2560</v>
      </c>
      <c r="E177" s="4">
        <f>IF(DatiOriginali!E177 &gt;= SogliaPicchi!$B$3,"",DatiOriginali!E177)</f>
        <v>14900</v>
      </c>
      <c r="F177" s="4">
        <v>63331</v>
      </c>
      <c r="G177" s="4">
        <f>IF(DatiOriginali!G177 &gt;= SogliaPicchi!$B$3,"",DatiOriginali!G177)</f>
        <v>34300</v>
      </c>
      <c r="H177" s="4">
        <v>75794</v>
      </c>
      <c r="I177" s="4">
        <f>IF(DatiOriginali!I177 &gt;= SogliaPicchi!$B$3,"",DatiOriginali!I177)</f>
        <v>10500</v>
      </c>
      <c r="J177" s="4">
        <v>75623</v>
      </c>
      <c r="K177" s="4">
        <f>IF(DatiOriginali!K177 &gt;= SogliaPicchi!$B$3,"",DatiOriginali!K177)</f>
        <v>10900</v>
      </c>
    </row>
    <row r="178" spans="1:11" x14ac:dyDescent="0.3">
      <c r="A178" s="4" t="s">
        <v>187</v>
      </c>
      <c r="B178" s="4">
        <v>4950</v>
      </c>
      <c r="C178" s="4">
        <f>IF(DatiOriginali!C178 &gt;= SogliaPicchi!$B$3,"",DatiOriginali!C178)</f>
        <v>32300</v>
      </c>
      <c r="D178" s="4">
        <v>2495</v>
      </c>
      <c r="E178" s="4">
        <f>IF(DatiOriginali!E178 &gt;= SogliaPicchi!$B$3,"",DatiOriginali!E178)</f>
        <v>10800</v>
      </c>
      <c r="F178" s="4">
        <v>63867</v>
      </c>
      <c r="G178" s="4">
        <f>IF(DatiOriginali!G178 &gt;= SogliaPicchi!$B$3,"",DatiOriginali!G178)</f>
        <v>35400</v>
      </c>
      <c r="H178" s="4">
        <v>76476</v>
      </c>
      <c r="I178" s="4">
        <f>IF(DatiOriginali!I178 &gt;= SogliaPicchi!$B$3,"",DatiOriginali!I178)</f>
        <v>9800</v>
      </c>
      <c r="J178" s="4">
        <v>76329</v>
      </c>
      <c r="K178" s="4">
        <f>IF(DatiOriginali!K178 &gt;= SogliaPicchi!$B$3,"",DatiOriginali!K178)</f>
        <v>10900</v>
      </c>
    </row>
    <row r="179" spans="1:11" x14ac:dyDescent="0.3">
      <c r="A179" s="4" t="s">
        <v>188</v>
      </c>
      <c r="B179" s="4">
        <v>4950</v>
      </c>
      <c r="C179" s="4">
        <f>IF(DatiOriginali!C179 &gt;= SogliaPicchi!$B$3,"",DatiOriginali!C179)</f>
        <v>43700</v>
      </c>
      <c r="D179" s="4">
        <v>2707</v>
      </c>
      <c r="E179" s="4">
        <f>IF(DatiOriginali!E179 &gt;= SogliaPicchi!$B$3,"",DatiOriginali!E179)</f>
        <v>18900</v>
      </c>
      <c r="F179" s="4">
        <v>64407</v>
      </c>
      <c r="G179" s="4">
        <f>IF(DatiOriginali!G179 &gt;= SogliaPicchi!$B$3,"",DatiOriginali!G179)</f>
        <v>48200</v>
      </c>
      <c r="H179" s="4">
        <v>77125</v>
      </c>
      <c r="I179" s="4">
        <f>IF(DatiOriginali!I179 &gt;= SogliaPicchi!$B$3,"",DatiOriginali!I179)</f>
        <v>12900</v>
      </c>
      <c r="J179" s="4">
        <v>76931</v>
      </c>
      <c r="K179" s="4">
        <f>IF(DatiOriginali!K179 &gt;= SogliaPicchi!$B$3,"",DatiOriginali!K179)</f>
        <v>15400</v>
      </c>
    </row>
    <row r="180" spans="1:11" x14ac:dyDescent="0.3">
      <c r="A180" s="4" t="s">
        <v>189</v>
      </c>
      <c r="B180" s="4">
        <v>4950</v>
      </c>
      <c r="C180" s="4">
        <f>IF(DatiOriginali!C180 &gt;= SogliaPicchi!$B$3,"",DatiOriginali!C180)</f>
        <v>41600</v>
      </c>
      <c r="D180" s="4">
        <v>2311</v>
      </c>
      <c r="E180" s="4">
        <f>IF(DatiOriginali!E180 &gt;= SogliaPicchi!$B$3,"",DatiOriginali!E180)</f>
        <v>16800</v>
      </c>
      <c r="F180" s="4">
        <v>64951</v>
      </c>
      <c r="G180" s="4">
        <f>IF(DatiOriginali!G180 &gt;= SogliaPicchi!$B$3,"",DatiOriginali!G180)</f>
        <v>50200</v>
      </c>
      <c r="H180" s="4">
        <v>77782</v>
      </c>
      <c r="I180" s="4">
        <f>IF(DatiOriginali!I180 &gt;= SogliaPicchi!$B$3,"",DatiOriginali!I180)</f>
        <v>13900</v>
      </c>
      <c r="J180" s="4">
        <v>77485</v>
      </c>
      <c r="K180" s="4">
        <f>IF(DatiOriginali!K180 &gt;= SogliaPicchi!$B$3,"",DatiOriginali!K180)</f>
        <v>14300</v>
      </c>
    </row>
    <row r="181" spans="1:11" x14ac:dyDescent="0.3">
      <c r="A181" s="4" t="s">
        <v>190</v>
      </c>
      <c r="B181" s="4">
        <v>4950</v>
      </c>
      <c r="C181" s="4">
        <f>IF(DatiOriginali!C181 &gt;= SogliaPicchi!$B$3,"",DatiOriginali!C181)</f>
        <v>40300</v>
      </c>
      <c r="D181" s="4">
        <v>2886</v>
      </c>
      <c r="E181" s="4">
        <f>IF(DatiOriginali!E181 &gt;= SogliaPicchi!$B$3,"",DatiOriginali!E181)</f>
        <v>20200</v>
      </c>
      <c r="F181" s="4">
        <v>65499</v>
      </c>
      <c r="G181" s="4">
        <f>IF(DatiOriginali!G181 &gt;= SogliaPicchi!$B$3,"",DatiOriginali!G181)</f>
        <v>63100</v>
      </c>
      <c r="H181" s="4">
        <v>78382</v>
      </c>
      <c r="I181" s="4">
        <f>IF(DatiOriginali!I181 &gt;= SogliaPicchi!$B$3,"",DatiOriginali!I181)</f>
        <v>12800</v>
      </c>
      <c r="J181" s="4">
        <v>78142</v>
      </c>
      <c r="K181" s="4">
        <f>IF(DatiOriginali!K181 &gt;= SogliaPicchi!$B$3,"",DatiOriginali!K181)</f>
        <v>14900</v>
      </c>
    </row>
    <row r="182" spans="1:11" x14ac:dyDescent="0.3">
      <c r="A182" s="4" t="s">
        <v>191</v>
      </c>
      <c r="B182" s="4">
        <v>4950</v>
      </c>
      <c r="C182" s="4">
        <f>IF(DatiOriginali!C182 &gt;= SogliaPicchi!$B$3,"",DatiOriginali!C182)</f>
        <v>44400</v>
      </c>
      <c r="D182" s="4">
        <v>2652</v>
      </c>
      <c r="E182" s="4">
        <f>IF(DatiOriginali!E182 &gt;= SogliaPicchi!$B$3,"",DatiOriginali!E182)</f>
        <v>18500</v>
      </c>
      <c r="F182" s="4">
        <v>66030</v>
      </c>
      <c r="G182" s="4">
        <f>IF(DatiOriginali!G182 &gt;= SogliaPicchi!$B$3,"",DatiOriginali!G182)</f>
        <v>51900</v>
      </c>
      <c r="H182" s="4">
        <v>79104</v>
      </c>
      <c r="I182" s="4">
        <f>IF(DatiOriginali!I182 &gt;= SogliaPicchi!$B$3,"",DatiOriginali!I182)</f>
        <v>13100</v>
      </c>
      <c r="J182" s="4">
        <v>78813</v>
      </c>
      <c r="K182" s="4">
        <f>IF(DatiOriginali!K182 &gt;= SogliaPicchi!$B$3,"",DatiOriginali!K182)</f>
        <v>15100</v>
      </c>
    </row>
    <row r="183" spans="1:11" x14ac:dyDescent="0.3">
      <c r="A183" s="4" t="s">
        <v>192</v>
      </c>
      <c r="B183" s="4">
        <v>4950</v>
      </c>
      <c r="C183" s="4">
        <f>IF(DatiOriginali!C183 &gt;= SogliaPicchi!$B$3,"",DatiOriginali!C183)</f>
        <v>44300</v>
      </c>
      <c r="D183" s="4">
        <v>2562</v>
      </c>
      <c r="E183" s="4">
        <f>IF(DatiOriginali!E183 &gt;= SogliaPicchi!$B$3,"",DatiOriginali!E183)</f>
        <v>18000</v>
      </c>
      <c r="F183" s="4">
        <v>66570</v>
      </c>
      <c r="G183" s="4">
        <f>IF(DatiOriginali!G183 &gt;= SogliaPicchi!$B$3,"",DatiOriginali!G183)</f>
        <v>68700</v>
      </c>
      <c r="H183" s="4">
        <v>79684</v>
      </c>
      <c r="I183" s="4">
        <f>IF(DatiOriginali!I183 &gt;= SogliaPicchi!$B$3,"",DatiOriginali!I183)</f>
        <v>13500</v>
      </c>
      <c r="J183" s="4">
        <v>79383</v>
      </c>
      <c r="K183" s="4">
        <f>IF(DatiOriginali!K183 &gt;= SogliaPicchi!$B$3,"",DatiOriginali!K183)</f>
        <v>15800</v>
      </c>
    </row>
    <row r="184" spans="1:11" x14ac:dyDescent="0.3">
      <c r="A184" s="4" t="s">
        <v>193</v>
      </c>
      <c r="B184" s="4">
        <v>4950</v>
      </c>
      <c r="C184" s="4">
        <f>IF(DatiOriginali!C184 &gt;= SogliaPicchi!$B$3,"",DatiOriginali!C184)</f>
        <v>41200</v>
      </c>
      <c r="D184" s="4">
        <v>2391</v>
      </c>
      <c r="E184" s="4">
        <f>IF(DatiOriginali!E184 &gt;= SogliaPicchi!$B$3,"",DatiOriginali!E184)</f>
        <v>17400</v>
      </c>
      <c r="F184" s="4">
        <v>67117</v>
      </c>
      <c r="G184" s="4" t="str">
        <f>IF(DatiOriginali!G184 &gt;= SogliaPicchi!$B$3,"",DatiOriginali!G184)</f>
        <v/>
      </c>
      <c r="H184" s="4">
        <v>80389</v>
      </c>
      <c r="I184" s="4">
        <f>IF(DatiOriginali!I184 &gt;= SogliaPicchi!$B$3,"",DatiOriginali!I184)</f>
        <v>14100</v>
      </c>
      <c r="J184" s="4">
        <v>80052</v>
      </c>
      <c r="K184" s="4">
        <f>IF(DatiOriginali!K184 &gt;= SogliaPicchi!$B$3,"",DatiOriginali!K184)</f>
        <v>19000</v>
      </c>
    </row>
    <row r="185" spans="1:11" x14ac:dyDescent="0.3">
      <c r="A185" s="4" t="s">
        <v>194</v>
      </c>
      <c r="B185" s="4">
        <v>4950</v>
      </c>
      <c r="C185" s="4">
        <f>IF(DatiOriginali!C185 &gt;= SogliaPicchi!$B$3,"",DatiOriginali!C185)</f>
        <v>47400</v>
      </c>
      <c r="D185" s="4">
        <v>2567</v>
      </c>
      <c r="E185" s="4">
        <f>IF(DatiOriginali!E185 &gt;= SogliaPicchi!$B$3,"",DatiOriginali!E185)</f>
        <v>18200</v>
      </c>
      <c r="F185" s="4">
        <v>67664</v>
      </c>
      <c r="G185" s="4">
        <f>IF(DatiOriginali!G185 &gt;= SogliaPicchi!$B$3,"",DatiOriginali!G185)</f>
        <v>50100</v>
      </c>
      <c r="H185" s="4">
        <v>80967</v>
      </c>
      <c r="I185" s="4">
        <f>IF(DatiOriginali!I185 &gt;= SogliaPicchi!$B$3,"",DatiOriginali!I185)</f>
        <v>13300</v>
      </c>
      <c r="J185" s="4">
        <v>80851</v>
      </c>
      <c r="K185" s="4">
        <f>IF(DatiOriginali!K185 &gt;= SogliaPicchi!$B$3,"",DatiOriginali!K185)</f>
        <v>15900</v>
      </c>
    </row>
    <row r="186" spans="1:11" x14ac:dyDescent="0.3">
      <c r="A186" s="4" t="s">
        <v>195</v>
      </c>
      <c r="B186" s="4">
        <v>4950</v>
      </c>
      <c r="C186" s="4">
        <f>IF(DatiOriginali!C186 &gt;= SogliaPicchi!$B$3,"",DatiOriginali!C186)</f>
        <v>48000</v>
      </c>
      <c r="D186" s="4">
        <v>2972</v>
      </c>
      <c r="E186" s="4">
        <f>IF(DatiOriginali!E186 &gt;= SogliaPicchi!$B$3,"",DatiOriginali!E186)</f>
        <v>20600</v>
      </c>
      <c r="F186" s="4">
        <v>68198</v>
      </c>
      <c r="G186" s="4">
        <f>IF(DatiOriginali!G186 &gt;= SogliaPicchi!$B$3,"",DatiOriginali!G186)</f>
        <v>73300</v>
      </c>
      <c r="H186" s="4">
        <v>81639</v>
      </c>
      <c r="I186" s="4">
        <f>IF(DatiOriginali!I186 &gt;= SogliaPicchi!$B$3,"",DatiOriginali!I186)</f>
        <v>13000</v>
      </c>
      <c r="J186" s="4">
        <v>81506</v>
      </c>
      <c r="K186" s="4">
        <f>IF(DatiOriginali!K186 &gt;= SogliaPicchi!$B$3,"",DatiOriginali!K186)</f>
        <v>15300</v>
      </c>
    </row>
    <row r="187" spans="1:11" x14ac:dyDescent="0.3">
      <c r="A187" s="4" t="s">
        <v>196</v>
      </c>
      <c r="B187" s="4">
        <v>4950</v>
      </c>
      <c r="C187" s="4">
        <f>IF(DatiOriginali!C187 &gt;= SogliaPicchi!$B$3,"",DatiOriginali!C187)</f>
        <v>44400</v>
      </c>
      <c r="D187" s="4">
        <v>2553</v>
      </c>
      <c r="E187" s="4">
        <f>IF(DatiOriginali!E187 &gt;= SogliaPicchi!$B$3,"",DatiOriginali!E187)</f>
        <v>19000</v>
      </c>
      <c r="F187" s="4">
        <v>68738</v>
      </c>
      <c r="G187" s="4">
        <f>IF(DatiOriginali!G187 &gt;= SogliaPicchi!$B$3,"",DatiOriginali!G187)</f>
        <v>50300</v>
      </c>
      <c r="H187" s="4">
        <v>82237</v>
      </c>
      <c r="I187" s="4">
        <f>IF(DatiOriginali!I187 &gt;= SogliaPicchi!$B$3,"",DatiOriginali!I187)</f>
        <v>12800</v>
      </c>
      <c r="J187" s="4">
        <v>82213</v>
      </c>
      <c r="K187" s="4">
        <f>IF(DatiOriginali!K187 &gt;= SogliaPicchi!$B$3,"",DatiOriginali!K187)</f>
        <v>15400</v>
      </c>
    </row>
    <row r="188" spans="1:11" x14ac:dyDescent="0.3">
      <c r="A188" s="4" t="s">
        <v>197</v>
      </c>
      <c r="B188" s="4">
        <v>4950</v>
      </c>
      <c r="C188" s="4">
        <f>IF(DatiOriginali!C188 &gt;= SogliaPicchi!$B$3,"",DatiOriginali!C188)</f>
        <v>42100</v>
      </c>
      <c r="D188" s="4">
        <v>2483</v>
      </c>
      <c r="E188" s="4">
        <f>IF(DatiOriginali!E188 &gt;= SogliaPicchi!$B$3,"",DatiOriginali!E188)</f>
        <v>17600</v>
      </c>
      <c r="F188" s="4">
        <v>69272</v>
      </c>
      <c r="G188" s="4">
        <f>IF(DatiOriginali!G188 &gt;= SogliaPicchi!$B$3,"",DatiOriginali!G188)</f>
        <v>65700</v>
      </c>
      <c r="H188" s="4">
        <v>82935</v>
      </c>
      <c r="I188" s="4">
        <f>IF(DatiOriginali!I188 &gt;= SogliaPicchi!$B$3,"",DatiOriginali!I188)</f>
        <v>13100</v>
      </c>
      <c r="J188" s="4">
        <v>82889</v>
      </c>
      <c r="K188" s="4">
        <f>IF(DatiOriginali!K188 &gt;= SogliaPicchi!$B$3,"",DatiOriginali!K188)</f>
        <v>14800</v>
      </c>
    </row>
    <row r="189" spans="1:11" x14ac:dyDescent="0.3">
      <c r="A189" s="4" t="s">
        <v>198</v>
      </c>
      <c r="B189" s="4">
        <v>4950</v>
      </c>
      <c r="C189" s="4">
        <f>IF(DatiOriginali!C189 &gt;= SogliaPicchi!$B$3,"",DatiOriginali!C189)</f>
        <v>38200</v>
      </c>
      <c r="D189" s="4">
        <v>2458</v>
      </c>
      <c r="E189" s="4">
        <f>IF(DatiOriginali!E189 &gt;= SogliaPicchi!$B$3,"",DatiOriginali!E189)</f>
        <v>17900</v>
      </c>
      <c r="F189" s="4">
        <v>69819</v>
      </c>
      <c r="G189" s="4">
        <f>IF(DatiOriginali!G189 &gt;= SogliaPicchi!$B$3,"",DatiOriginali!G189)</f>
        <v>50000</v>
      </c>
      <c r="H189" s="4">
        <v>83618</v>
      </c>
      <c r="I189" s="4">
        <f>IF(DatiOriginali!I189 &gt;= SogliaPicchi!$B$3,"",DatiOriginali!I189)</f>
        <v>13800</v>
      </c>
      <c r="J189" s="4">
        <v>83468</v>
      </c>
      <c r="K189" s="4">
        <f>IF(DatiOriginali!K189 &gt;= SogliaPicchi!$B$3,"",DatiOriginali!K189)</f>
        <v>14900</v>
      </c>
    </row>
    <row r="190" spans="1:11" x14ac:dyDescent="0.3">
      <c r="A190" s="4" t="s">
        <v>199</v>
      </c>
      <c r="B190" s="4">
        <v>4950</v>
      </c>
      <c r="C190" s="4">
        <f>IF(DatiOriginali!C190 &gt;= SogliaPicchi!$B$3,"",DatiOriginali!C190)</f>
        <v>45300</v>
      </c>
      <c r="D190" s="4">
        <v>2404</v>
      </c>
      <c r="E190" s="4">
        <f>IF(DatiOriginali!E190 &gt;= SogliaPicchi!$B$3,"",DatiOriginali!E190)</f>
        <v>17600</v>
      </c>
      <c r="F190" s="4">
        <v>70357</v>
      </c>
      <c r="G190" s="4">
        <f>IF(DatiOriginali!G190 &gt;= SogliaPicchi!$B$3,"",DatiOriginali!G190)</f>
        <v>55500</v>
      </c>
      <c r="H190" s="4">
        <v>84227</v>
      </c>
      <c r="I190" s="4">
        <f>IF(DatiOriginali!I190 &gt;= SogliaPicchi!$B$3,"",DatiOriginali!I190)</f>
        <v>12600</v>
      </c>
      <c r="J190" s="4">
        <v>84186</v>
      </c>
      <c r="K190" s="4">
        <f>IF(DatiOriginali!K190 &gt;= SogliaPicchi!$B$3,"",DatiOriginali!K190)</f>
        <v>15900</v>
      </c>
    </row>
    <row r="191" spans="1:11" x14ac:dyDescent="0.3">
      <c r="A191" s="4" t="s">
        <v>200</v>
      </c>
      <c r="B191" s="4">
        <v>4950</v>
      </c>
      <c r="C191" s="4">
        <f>IF(DatiOriginali!C191 &gt;= SogliaPicchi!$B$3,"",DatiOriginali!C191)</f>
        <v>45900</v>
      </c>
      <c r="D191" s="4">
        <v>2439</v>
      </c>
      <c r="E191" s="4">
        <f>IF(DatiOriginali!E191 &gt;= SogliaPicchi!$B$3,"",DatiOriginali!E191)</f>
        <v>13300</v>
      </c>
      <c r="F191" s="4">
        <v>70905</v>
      </c>
      <c r="G191" s="4" t="str">
        <f>IF(DatiOriginali!G191 &gt;= SogliaPicchi!$B$3,"",DatiOriginali!G191)</f>
        <v/>
      </c>
      <c r="H191" s="4">
        <v>84929</v>
      </c>
      <c r="I191" s="4">
        <f>IF(DatiOriginali!I191 &gt;= SogliaPicchi!$B$3,"",DatiOriginali!I191)</f>
        <v>15600</v>
      </c>
      <c r="J191" s="4">
        <v>84835</v>
      </c>
      <c r="K191" s="4">
        <f>IF(DatiOriginali!K191 &gt;= SogliaPicchi!$B$3,"",DatiOriginali!K191)</f>
        <v>14000</v>
      </c>
    </row>
    <row r="192" spans="1:11" x14ac:dyDescent="0.3">
      <c r="A192" s="4" t="s">
        <v>201</v>
      </c>
      <c r="B192" s="4">
        <v>4950</v>
      </c>
      <c r="C192" s="4">
        <f>IF(DatiOriginali!C192 &gt;= SogliaPicchi!$B$3,"",DatiOriginali!C192)</f>
        <v>44700</v>
      </c>
      <c r="D192" s="4">
        <v>2781</v>
      </c>
      <c r="E192" s="4">
        <f>IF(DatiOriginali!E192 &gt;= SogliaPicchi!$B$3,"",DatiOriginali!E192)</f>
        <v>19800</v>
      </c>
      <c r="F192" s="4">
        <v>71453</v>
      </c>
      <c r="G192" s="4" t="str">
        <f>IF(DatiOriginali!G192 &gt;= SogliaPicchi!$B$3,"",DatiOriginali!G192)</f>
        <v/>
      </c>
      <c r="H192" s="4">
        <v>85536</v>
      </c>
      <c r="I192" s="4">
        <f>IF(DatiOriginali!I192 &gt;= SogliaPicchi!$B$3,"",DatiOriginali!I192)</f>
        <v>12800</v>
      </c>
      <c r="J192" s="4">
        <v>85521</v>
      </c>
      <c r="K192" s="4">
        <f>IF(DatiOriginali!K192 &gt;= SogliaPicchi!$B$3,"",DatiOriginali!K192)</f>
        <v>15500</v>
      </c>
    </row>
    <row r="193" spans="1:11" x14ac:dyDescent="0.3">
      <c r="A193" s="4" t="s">
        <v>202</v>
      </c>
      <c r="B193" s="4">
        <v>4950</v>
      </c>
      <c r="C193" s="4">
        <f>IF(DatiOriginali!C193 &gt;= SogliaPicchi!$B$3,"",DatiOriginali!C193)</f>
        <v>43700</v>
      </c>
      <c r="D193" s="4">
        <v>2524</v>
      </c>
      <c r="E193" s="4">
        <f>IF(DatiOriginali!E193 &gt;= SogliaPicchi!$B$3,"",DatiOriginali!E193)</f>
        <v>18300</v>
      </c>
      <c r="F193" s="4">
        <v>71992</v>
      </c>
      <c r="G193" s="4">
        <f>IF(DatiOriginali!G193 &gt;= SogliaPicchi!$B$3,"",DatiOriginali!G193)</f>
        <v>55500</v>
      </c>
      <c r="H193" s="4">
        <v>86137</v>
      </c>
      <c r="I193" s="4">
        <f>IF(DatiOriginali!I193 &gt;= SogliaPicchi!$B$3,"",DatiOriginali!I193)</f>
        <v>13900</v>
      </c>
      <c r="J193" s="4">
        <v>86129</v>
      </c>
      <c r="K193" s="4">
        <f>IF(DatiOriginali!K193 &gt;= SogliaPicchi!$B$3,"",DatiOriginali!K193)</f>
        <v>16100</v>
      </c>
    </row>
    <row r="194" spans="1:11" x14ac:dyDescent="0.3">
      <c r="A194" s="4" t="s">
        <v>203</v>
      </c>
      <c r="B194" s="4">
        <v>4950</v>
      </c>
      <c r="C194" s="4">
        <f>IF(DatiOriginali!C194 &gt;= SogliaPicchi!$B$3,"",DatiOriginali!C194)</f>
        <v>41300</v>
      </c>
      <c r="D194" s="4">
        <v>2449</v>
      </c>
      <c r="E194" s="4">
        <f>IF(DatiOriginali!E194 &gt;= SogliaPicchi!$B$3,"",DatiOriginali!E194)</f>
        <v>13300</v>
      </c>
      <c r="F194" s="4">
        <v>72531</v>
      </c>
      <c r="G194" s="4">
        <f>IF(DatiOriginali!G194 &gt;= SogliaPicchi!$B$3,"",DatiOriginali!G194)</f>
        <v>41100</v>
      </c>
      <c r="H194" s="4">
        <v>86832</v>
      </c>
      <c r="I194" s="4">
        <f>IF(DatiOriginali!I194 &gt;= SogliaPicchi!$B$3,"",DatiOriginali!I194)</f>
        <v>14400</v>
      </c>
      <c r="J194" s="4">
        <v>86673</v>
      </c>
      <c r="K194" s="4">
        <f>IF(DatiOriginali!K194 &gt;= SogliaPicchi!$B$3,"",DatiOriginali!K194)</f>
        <v>13200</v>
      </c>
    </row>
    <row r="195" spans="1:11" x14ac:dyDescent="0.3">
      <c r="A195" s="4" t="s">
        <v>204</v>
      </c>
      <c r="B195" s="4">
        <v>4950</v>
      </c>
      <c r="C195" s="4">
        <f>IF(DatiOriginali!C195 &gt;= SogliaPicchi!$B$3,"",DatiOriginali!C195)</f>
        <v>46500</v>
      </c>
      <c r="D195" s="4">
        <v>2955</v>
      </c>
      <c r="E195" s="4">
        <f>IF(DatiOriginali!E195 &gt;= SogliaPicchi!$B$3,"",DatiOriginali!E195)</f>
        <v>21200</v>
      </c>
      <c r="F195" s="4">
        <v>73075</v>
      </c>
      <c r="G195" s="4">
        <f>IF(DatiOriginali!G195 &gt;= SogliaPicchi!$B$3,"",DatiOriginali!G195)</f>
        <v>65400</v>
      </c>
      <c r="H195" s="4">
        <v>87536</v>
      </c>
      <c r="I195" s="4">
        <f>IF(DatiOriginali!I195 &gt;= SogliaPicchi!$B$3,"",DatiOriginali!I195)</f>
        <v>12600</v>
      </c>
      <c r="J195" s="4">
        <v>87540</v>
      </c>
      <c r="K195" s="4">
        <f>IF(DatiOriginali!K195 &gt;= SogliaPicchi!$B$3,"",DatiOriginali!K195)</f>
        <v>17600</v>
      </c>
    </row>
    <row r="196" spans="1:11" x14ac:dyDescent="0.3">
      <c r="A196" s="4" t="s">
        <v>205</v>
      </c>
      <c r="B196" s="4">
        <v>4950</v>
      </c>
      <c r="C196" s="4">
        <f>IF(DatiOriginali!C196 &gt;= SogliaPicchi!$B$3,"",DatiOriginali!C196)</f>
        <v>38200</v>
      </c>
      <c r="D196" s="4">
        <v>2256</v>
      </c>
      <c r="E196" s="4">
        <f>IF(DatiOriginali!E196 &gt;= SogliaPicchi!$B$3,"",DatiOriginali!E196)</f>
        <v>16700</v>
      </c>
      <c r="F196" s="4">
        <v>73610</v>
      </c>
      <c r="G196" s="4">
        <f>IF(DatiOriginali!G196 &gt;= SogliaPicchi!$B$3,"",DatiOriginali!G196)</f>
        <v>50000</v>
      </c>
      <c r="H196" s="4">
        <v>88244</v>
      </c>
      <c r="I196" s="4">
        <f>IF(DatiOriginali!I196 &gt;= SogliaPicchi!$B$3,"",DatiOriginali!I196)</f>
        <v>13200</v>
      </c>
      <c r="J196" s="4">
        <v>88120</v>
      </c>
      <c r="K196" s="4">
        <f>IF(DatiOriginali!K196 &gt;= SogliaPicchi!$B$3,"",DatiOriginali!K196)</f>
        <v>14900</v>
      </c>
    </row>
    <row r="197" spans="1:11" x14ac:dyDescent="0.3">
      <c r="A197" s="4" t="s">
        <v>206</v>
      </c>
      <c r="B197" s="4">
        <v>4950</v>
      </c>
      <c r="C197" s="4">
        <f>IF(DatiOriginali!C197 &gt;= SogliaPicchi!$B$3,"",DatiOriginali!C197)</f>
        <v>46100</v>
      </c>
      <c r="D197" s="4">
        <v>2499</v>
      </c>
      <c r="E197" s="4">
        <f>IF(DatiOriginali!E197 &gt;= SogliaPicchi!$B$3,"",DatiOriginali!E197)</f>
        <v>18100</v>
      </c>
      <c r="F197" s="4">
        <v>74154</v>
      </c>
      <c r="G197" s="4">
        <f>IF(DatiOriginali!G197 &gt;= SogliaPicchi!$B$3,"",DatiOriginali!G197)</f>
        <v>65800</v>
      </c>
      <c r="H197" s="4">
        <v>88833</v>
      </c>
      <c r="I197" s="4">
        <f>IF(DatiOriginali!I197 &gt;= SogliaPicchi!$B$3,"",DatiOriginali!I197)</f>
        <v>13200</v>
      </c>
      <c r="J197" s="4">
        <v>88888</v>
      </c>
      <c r="K197" s="4">
        <f>IF(DatiOriginali!K197 &gt;= SogliaPicchi!$B$3,"",DatiOriginali!K197)</f>
        <v>15700</v>
      </c>
    </row>
    <row r="198" spans="1:11" x14ac:dyDescent="0.3">
      <c r="A198" s="4" t="s">
        <v>207</v>
      </c>
      <c r="B198" s="4">
        <v>4950</v>
      </c>
      <c r="C198" s="4">
        <f>IF(DatiOriginali!C198 &gt;= SogliaPicchi!$B$3,"",DatiOriginali!C198)</f>
        <v>52800</v>
      </c>
      <c r="D198" s="4">
        <v>2769</v>
      </c>
      <c r="E198" s="4">
        <f>IF(DatiOriginali!E198 &gt;= SogliaPicchi!$B$3,"",DatiOriginali!E198)</f>
        <v>22600</v>
      </c>
      <c r="F198" s="4">
        <v>74691</v>
      </c>
      <c r="G198" s="4">
        <f>IF(DatiOriginali!G198 &gt;= SogliaPicchi!$B$3,"",DatiOriginali!G198)</f>
        <v>58900</v>
      </c>
      <c r="H198" s="4">
        <v>89627</v>
      </c>
      <c r="I198" s="4">
        <f>IF(DatiOriginali!I198 &gt;= SogliaPicchi!$B$3,"",DatiOriginali!I198)</f>
        <v>15900</v>
      </c>
      <c r="J198" s="4">
        <v>89506</v>
      </c>
      <c r="K198" s="4">
        <f>IF(DatiOriginali!K198 &gt;= SogliaPicchi!$B$3,"",DatiOriginali!K198)</f>
        <v>15700</v>
      </c>
    </row>
    <row r="199" spans="1:11" x14ac:dyDescent="0.3">
      <c r="A199" s="4" t="s">
        <v>208</v>
      </c>
      <c r="B199" s="4">
        <v>4950</v>
      </c>
      <c r="C199" s="4">
        <f>IF(DatiOriginali!C199 &gt;= SogliaPicchi!$B$3,"",DatiOriginali!C199)</f>
        <v>45900</v>
      </c>
      <c r="D199" s="4">
        <v>2646</v>
      </c>
      <c r="E199" s="4">
        <f>IF(DatiOriginali!E199 &gt;= SogliaPicchi!$B$3,"",DatiOriginali!E199)</f>
        <v>11400</v>
      </c>
      <c r="F199" s="4">
        <v>75230</v>
      </c>
      <c r="G199" s="4">
        <f>IF(DatiOriginali!G199 &gt;= SogliaPicchi!$B$3,"",DatiOriginali!G199)</f>
        <v>48200</v>
      </c>
      <c r="H199" s="4">
        <v>90272</v>
      </c>
      <c r="I199" s="4">
        <f>IF(DatiOriginali!I199 &gt;= SogliaPicchi!$B$3,"",DatiOriginali!I199)</f>
        <v>20100</v>
      </c>
      <c r="J199" s="4">
        <v>90135</v>
      </c>
      <c r="K199" s="4">
        <f>IF(DatiOriginali!K199 &gt;= SogliaPicchi!$B$3,"",DatiOriginali!K199)</f>
        <v>14900</v>
      </c>
    </row>
    <row r="200" spans="1:11" x14ac:dyDescent="0.3">
      <c r="A200" s="4" t="s">
        <v>209</v>
      </c>
      <c r="B200" s="4">
        <v>4950</v>
      </c>
      <c r="C200" s="4">
        <f>IF(DatiOriginali!C200 &gt;= SogliaPicchi!$B$3,"",DatiOriginali!C200)</f>
        <v>43900</v>
      </c>
      <c r="D200" s="4">
        <v>2562</v>
      </c>
      <c r="E200" s="4">
        <f>IF(DatiOriginali!E200 &gt;= SogliaPicchi!$B$3,"",DatiOriginali!E200)</f>
        <v>18800</v>
      </c>
      <c r="F200" s="4">
        <v>75768</v>
      </c>
      <c r="G200" s="4">
        <f>IF(DatiOriginali!G200 &gt;= SogliaPicchi!$B$3,"",DatiOriginali!G200)</f>
        <v>50200</v>
      </c>
      <c r="H200" s="4">
        <v>90882</v>
      </c>
      <c r="I200" s="4">
        <f>IF(DatiOriginali!I200 &gt;= SogliaPicchi!$B$3,"",DatiOriginali!I200)</f>
        <v>13400</v>
      </c>
      <c r="J200" s="4">
        <v>90764</v>
      </c>
      <c r="K200" s="4">
        <f>IF(DatiOriginali!K200 &gt;= SogliaPicchi!$B$3,"",DatiOriginali!K200)</f>
        <v>16600</v>
      </c>
    </row>
    <row r="201" spans="1:11" x14ac:dyDescent="0.3">
      <c r="A201" s="4" t="s">
        <v>210</v>
      </c>
      <c r="B201" s="4">
        <v>4950</v>
      </c>
      <c r="C201" s="4">
        <f>IF(DatiOriginali!C201 &gt;= SogliaPicchi!$B$3,"",DatiOriginali!C201)</f>
        <v>41600</v>
      </c>
      <c r="D201" s="4">
        <v>2322</v>
      </c>
      <c r="E201" s="4">
        <f>IF(DatiOriginali!E201 &gt;= SogliaPicchi!$B$3,"",DatiOriginali!E201)</f>
        <v>16200</v>
      </c>
      <c r="F201" s="4">
        <v>76305</v>
      </c>
      <c r="G201" s="4">
        <f>IF(DatiOriginali!G201 &gt;= SogliaPicchi!$B$4,"",DatiOriginali!G201)</f>
        <v>49000</v>
      </c>
      <c r="H201" s="4">
        <v>91469</v>
      </c>
      <c r="I201" s="4">
        <f>IF(DatiOriginali!I201 &gt;= SogliaPicchi!$B$4,"",DatiOriginali!I201)</f>
        <v>12300</v>
      </c>
      <c r="J201" s="4">
        <v>91442</v>
      </c>
      <c r="K201" s="4">
        <f>IF(DatiOriginali!K201 &gt;= SogliaPicchi!$B$4,"",DatiOriginali!K201)</f>
        <v>15700</v>
      </c>
    </row>
    <row r="202" spans="1:11" x14ac:dyDescent="0.3">
      <c r="A202" s="4" t="s">
        <v>211</v>
      </c>
      <c r="B202" s="4">
        <v>11175</v>
      </c>
      <c r="C202" s="4">
        <f>IF(DatiOriginali!C202 &gt;= SogliaPicchi!$B$4,"",DatiOriginali!C202)</f>
        <v>92000</v>
      </c>
      <c r="D202" s="4">
        <v>5541</v>
      </c>
      <c r="E202" s="4">
        <f>IF(DatiOriginali!E202 &gt;= SogliaPicchi!$B$4,"",DatiOriginali!E202)</f>
        <v>36500</v>
      </c>
      <c r="F202" s="4">
        <v>77203</v>
      </c>
      <c r="G202" s="4">
        <f>IF(DatiOriginali!G202 &gt;= SogliaPicchi!$B$4,"",DatiOriginali!G202)</f>
        <v>95000</v>
      </c>
      <c r="H202" s="4">
        <v>92464</v>
      </c>
      <c r="I202" s="4">
        <f>IF(DatiOriginali!I202 &gt;= SogliaPicchi!$B$4,"",DatiOriginali!I202)</f>
        <v>20200</v>
      </c>
      <c r="J202" s="4">
        <v>92400</v>
      </c>
      <c r="K202" s="4">
        <f>IF(DatiOriginali!K202 &gt;= SogliaPicchi!$B$4,"",DatiOriginali!K202)</f>
        <v>23300</v>
      </c>
    </row>
    <row r="203" spans="1:11" x14ac:dyDescent="0.3">
      <c r="A203" s="4" t="s">
        <v>212</v>
      </c>
      <c r="B203" s="4">
        <v>11175</v>
      </c>
      <c r="C203" s="4">
        <f>IF(DatiOriginali!C203 &gt;= SogliaPicchi!$B$4,"",DatiOriginali!C203)</f>
        <v>94500</v>
      </c>
      <c r="D203" s="4">
        <v>5611</v>
      </c>
      <c r="E203" s="4">
        <f>IF(DatiOriginali!E203 &gt;= SogliaPicchi!$B$4,"",DatiOriginali!E203)</f>
        <v>38400</v>
      </c>
      <c r="F203" s="4">
        <v>78104</v>
      </c>
      <c r="G203" s="4">
        <f>IF(DatiOriginali!G203 &gt;= SogliaPicchi!$B$4,"",DatiOriginali!G203)</f>
        <v>95800</v>
      </c>
      <c r="H203" s="4">
        <v>93521</v>
      </c>
      <c r="I203" s="4">
        <f>IF(DatiOriginali!I203 &gt;= SogliaPicchi!$B$4,"",DatiOriginali!I203)</f>
        <v>20300</v>
      </c>
      <c r="J203" s="4">
        <v>93628</v>
      </c>
      <c r="K203" s="4">
        <f>IF(DatiOriginali!K203 &gt;= SogliaPicchi!$B$4,"",DatiOriginali!K203)</f>
        <v>24800</v>
      </c>
    </row>
    <row r="204" spans="1:11" x14ac:dyDescent="0.3">
      <c r="A204" s="4" t="s">
        <v>213</v>
      </c>
      <c r="B204" s="4">
        <v>11175</v>
      </c>
      <c r="C204" s="4">
        <f>IF(DatiOriginali!C204 &gt;= SogliaPicchi!$B$4,"",DatiOriginali!C204)</f>
        <v>91600</v>
      </c>
      <c r="D204" s="4">
        <v>5605</v>
      </c>
      <c r="E204" s="4">
        <f>IF(DatiOriginali!E204 &gt;= SogliaPicchi!$B$4,"",DatiOriginali!E204)</f>
        <v>37400</v>
      </c>
      <c r="F204" s="4">
        <v>79006</v>
      </c>
      <c r="G204" s="4">
        <f>IF(DatiOriginali!G204 &gt;= SogliaPicchi!$B$4,"",DatiOriginali!G204)</f>
        <v>77300</v>
      </c>
      <c r="H204" s="4">
        <v>94553</v>
      </c>
      <c r="I204" s="4">
        <f>IF(DatiOriginali!I204 &gt;= SogliaPicchi!$B$4,"",DatiOriginali!I204)</f>
        <v>27600</v>
      </c>
      <c r="J204" s="4">
        <v>94713</v>
      </c>
      <c r="K204" s="4">
        <f>IF(DatiOriginali!K204 &gt;= SogliaPicchi!$B$4,"",DatiOriginali!K204)</f>
        <v>24200</v>
      </c>
    </row>
    <row r="205" spans="1:11" x14ac:dyDescent="0.3">
      <c r="A205" s="4" t="s">
        <v>214</v>
      </c>
      <c r="B205" s="4">
        <v>11175</v>
      </c>
      <c r="C205" s="4">
        <f>IF(DatiOriginali!C205 &gt;= SogliaPicchi!$B$4,"",DatiOriginali!C205)</f>
        <v>68600</v>
      </c>
      <c r="D205" s="4">
        <v>5805</v>
      </c>
      <c r="E205" s="4">
        <f>IF(DatiOriginali!E205 &gt;= SogliaPicchi!$B$4,"",DatiOriginali!E205)</f>
        <v>24600</v>
      </c>
      <c r="F205" s="4">
        <v>79890</v>
      </c>
      <c r="G205" s="4">
        <f>IF(DatiOriginali!G205 &gt;= SogliaPicchi!$B$4,"",DatiOriginali!G205)</f>
        <v>61800</v>
      </c>
      <c r="H205" s="4">
        <v>95982</v>
      </c>
      <c r="I205" s="4">
        <f>IF(DatiOriginali!I205 &gt;= SogliaPicchi!$B$4,"",DatiOriginali!I205)</f>
        <v>19700</v>
      </c>
      <c r="J205" s="4">
        <v>95636</v>
      </c>
      <c r="K205" s="4">
        <f>IF(DatiOriginali!K205 &gt;= SogliaPicchi!$B$4,"",DatiOriginali!K205)</f>
        <v>19700</v>
      </c>
    </row>
    <row r="206" spans="1:11" x14ac:dyDescent="0.3">
      <c r="A206" s="4" t="s">
        <v>215</v>
      </c>
      <c r="B206" s="4">
        <v>11175</v>
      </c>
      <c r="C206" s="4">
        <f>IF(DatiOriginali!C206 &gt;= SogliaPicchi!$B$4,"",DatiOriginali!C206)</f>
        <v>98400</v>
      </c>
      <c r="D206" s="4">
        <v>6082</v>
      </c>
      <c r="E206" s="4">
        <f>IF(DatiOriginali!E206 &gt;= SogliaPicchi!$B$4,"",DatiOriginali!E206)</f>
        <v>28900</v>
      </c>
      <c r="F206" s="4">
        <v>80804</v>
      </c>
      <c r="G206" s="4">
        <f>IF(DatiOriginali!G206 &gt;= SogliaPicchi!$B$4,"",DatiOriginali!G206)</f>
        <v>68200</v>
      </c>
      <c r="H206" s="4">
        <v>96969</v>
      </c>
      <c r="I206" s="4">
        <f>IF(DatiOriginali!I206 &gt;= SogliaPicchi!$B$4,"",DatiOriginali!I206)</f>
        <v>18400</v>
      </c>
      <c r="J206" s="4">
        <v>96724</v>
      </c>
      <c r="K206" s="4">
        <f>IF(DatiOriginali!K206 &gt;= SogliaPicchi!$B$4,"",DatiOriginali!K206)</f>
        <v>21100</v>
      </c>
    </row>
    <row r="207" spans="1:11" x14ac:dyDescent="0.3">
      <c r="A207" s="4" t="s">
        <v>216</v>
      </c>
      <c r="B207" s="4">
        <v>11175</v>
      </c>
      <c r="C207" s="4">
        <f>IF(DatiOriginali!C207 &gt;= SogliaPicchi!$B$4,"",DatiOriginali!C207)</f>
        <v>89300</v>
      </c>
      <c r="D207" s="4">
        <v>5575</v>
      </c>
      <c r="E207" s="4">
        <f>IF(DatiOriginali!E207 &gt;= SogliaPicchi!$B$4,"",DatiOriginali!E207)</f>
        <v>27100</v>
      </c>
      <c r="F207" s="4">
        <v>81695</v>
      </c>
      <c r="G207" s="4">
        <f>IF(DatiOriginali!G207 &gt;= SogliaPicchi!$B$4,"",DatiOriginali!G207)</f>
        <v>76500</v>
      </c>
      <c r="H207" s="4">
        <v>98023</v>
      </c>
      <c r="I207" s="4">
        <f>IF(DatiOriginali!I207 &gt;= SogliaPicchi!$B$4,"",DatiOriginali!I207)</f>
        <v>18500</v>
      </c>
      <c r="J207" s="4">
        <v>97738</v>
      </c>
      <c r="K207" s="4">
        <f>IF(DatiOriginali!K207 &gt;= SogliaPicchi!$B$4,"",DatiOriginali!K207)</f>
        <v>20800</v>
      </c>
    </row>
    <row r="208" spans="1:11" x14ac:dyDescent="0.3">
      <c r="A208" s="4" t="s">
        <v>217</v>
      </c>
      <c r="B208" s="4">
        <v>11175</v>
      </c>
      <c r="C208" s="4">
        <f>IF(DatiOriginali!C208 &gt;= SogliaPicchi!$B$4,"",DatiOriginali!C208)</f>
        <v>88800</v>
      </c>
      <c r="D208" s="4">
        <v>5382</v>
      </c>
      <c r="E208" s="4">
        <f>IF(DatiOriginali!E208 &gt;= SogliaPicchi!$B$4,"",DatiOriginali!E208)</f>
        <v>26700</v>
      </c>
      <c r="F208" s="4">
        <v>82596</v>
      </c>
      <c r="G208" s="4">
        <f>IF(DatiOriginali!G208 &gt;= SogliaPicchi!$B$4,"",DatiOriginali!G208)</f>
        <v>77100</v>
      </c>
      <c r="H208" s="4">
        <v>99018</v>
      </c>
      <c r="I208" s="4">
        <f>IF(DatiOriginali!I208 &gt;= SogliaPicchi!$B$4,"",DatiOriginali!I208)</f>
        <v>18900</v>
      </c>
      <c r="J208" s="4">
        <v>98759</v>
      </c>
      <c r="K208" s="4">
        <f>IF(DatiOriginali!K208 &gt;= SogliaPicchi!$B$4,"",DatiOriginali!K208)</f>
        <v>21400</v>
      </c>
    </row>
    <row r="209" spans="1:11" x14ac:dyDescent="0.3">
      <c r="A209" s="4" t="s">
        <v>218</v>
      </c>
      <c r="B209" s="4">
        <v>11175</v>
      </c>
      <c r="C209" s="4">
        <f>IF(DatiOriginali!C209 &gt;= SogliaPicchi!$B$4,"",DatiOriginali!C209)</f>
        <v>87600</v>
      </c>
      <c r="D209" s="4">
        <v>5473</v>
      </c>
      <c r="E209" s="4">
        <f>IF(DatiOriginali!E209 &gt;= SogliaPicchi!$B$4,"",DatiOriginali!E209)</f>
        <v>28700</v>
      </c>
      <c r="F209" s="4">
        <v>83490</v>
      </c>
      <c r="G209" s="4">
        <f>IF(DatiOriginali!G209 &gt;= SogliaPicchi!$B$4,"",DatiOriginali!G209)</f>
        <v>58300</v>
      </c>
      <c r="H209" s="4">
        <v>100315</v>
      </c>
      <c r="I209" s="4">
        <f>IF(DatiOriginali!I209 &gt;= SogliaPicchi!$B$4,"",DatiOriginali!I209)</f>
        <v>19000</v>
      </c>
      <c r="J209" s="4">
        <v>99731</v>
      </c>
      <c r="K209" s="4">
        <f>IF(DatiOriginali!K209 &gt;= SogliaPicchi!$B$4,"",DatiOriginali!K209)</f>
        <v>19800</v>
      </c>
    </row>
    <row r="210" spans="1:11" x14ac:dyDescent="0.3">
      <c r="A210" s="4" t="s">
        <v>219</v>
      </c>
      <c r="B210" s="4">
        <v>11175</v>
      </c>
      <c r="C210" s="4">
        <f>IF(DatiOriginali!C210 &gt;= SogliaPicchi!$B$4,"",DatiOriginali!C210)</f>
        <v>67100</v>
      </c>
      <c r="D210" s="4">
        <v>5209</v>
      </c>
      <c r="E210" s="4">
        <f>IF(DatiOriginali!E210 &gt;= SogliaPicchi!$B$4,"",DatiOriginali!E210)</f>
        <v>24600</v>
      </c>
      <c r="F210" s="4">
        <v>84388</v>
      </c>
      <c r="G210" s="4">
        <f>IF(DatiOriginali!G210 &gt;= SogliaPicchi!$B$4,"",DatiOriginali!G210)</f>
        <v>51300</v>
      </c>
      <c r="H210" s="4">
        <v>101423</v>
      </c>
      <c r="I210" s="4">
        <f>IF(DatiOriginali!I210 &gt;= SogliaPicchi!$B$4,"",DatiOriginali!I210)</f>
        <v>14200</v>
      </c>
      <c r="J210" s="4">
        <v>101181</v>
      </c>
      <c r="K210" s="4">
        <f>IF(DatiOriginali!K210 &gt;= SogliaPicchi!$B$4,"",DatiOriginali!K210)</f>
        <v>17900</v>
      </c>
    </row>
    <row r="211" spans="1:11" x14ac:dyDescent="0.3">
      <c r="A211" s="4" t="s">
        <v>220</v>
      </c>
      <c r="B211" s="4">
        <v>11175</v>
      </c>
      <c r="C211" s="4" t="str">
        <f>IF(DatiOriginali!C211 &gt;= SogliaPicchi!$B$4,"",DatiOriginali!C211)</f>
        <v/>
      </c>
      <c r="D211" s="4">
        <v>5177</v>
      </c>
      <c r="E211" s="4">
        <f>IF(DatiOriginali!E211 &gt;= SogliaPicchi!$B$4,"",DatiOriginali!E211)</f>
        <v>35600</v>
      </c>
      <c r="F211" s="4">
        <v>85302</v>
      </c>
      <c r="G211" s="4">
        <f>IF(DatiOriginali!G211 &gt;= SogliaPicchi!$B$4,"",DatiOriginali!G211)</f>
        <v>81600</v>
      </c>
      <c r="H211" s="4">
        <v>102488</v>
      </c>
      <c r="I211" s="4">
        <f>IF(DatiOriginali!I211 &gt;= SogliaPicchi!$B$4,"",DatiOriginali!I211)</f>
        <v>21400</v>
      </c>
      <c r="J211" s="4">
        <v>102225</v>
      </c>
      <c r="K211" s="4">
        <f>IF(DatiOriginali!K211 &gt;= SogliaPicchi!$B$4,"",DatiOriginali!K211)</f>
        <v>23700</v>
      </c>
    </row>
    <row r="212" spans="1:11" x14ac:dyDescent="0.3">
      <c r="A212" s="4" t="s">
        <v>221</v>
      </c>
      <c r="B212" s="4">
        <v>11175</v>
      </c>
      <c r="C212" s="4">
        <f>IF(DatiOriginali!C212 &gt;= SogliaPicchi!$B$4,"",DatiOriginali!C212)</f>
        <v>97400</v>
      </c>
      <c r="D212" s="4">
        <v>6018</v>
      </c>
      <c r="E212" s="4">
        <f>IF(DatiOriginali!E212 &gt;= SogliaPicchi!$B$4,"",DatiOriginali!E212)</f>
        <v>41300</v>
      </c>
      <c r="F212" s="4">
        <v>86199</v>
      </c>
      <c r="G212" s="4">
        <f>IF(DatiOriginali!G212 &gt;= SogliaPicchi!$B$4,"",DatiOriginali!G212)</f>
        <v>73700</v>
      </c>
      <c r="H212" s="4">
        <v>103517</v>
      </c>
      <c r="I212" s="4">
        <f>IF(DatiOriginali!I212 &gt;= SogliaPicchi!$B$4,"",DatiOriginali!I212)</f>
        <v>22100</v>
      </c>
      <c r="J212" s="4">
        <v>103332</v>
      </c>
      <c r="K212" s="4">
        <f>IF(DatiOriginali!K212 &gt;= SogliaPicchi!$B$4,"",DatiOriginali!K212)</f>
        <v>24900</v>
      </c>
    </row>
    <row r="213" spans="1:11" x14ac:dyDescent="0.3">
      <c r="A213" s="4" t="s">
        <v>222</v>
      </c>
      <c r="B213" s="4">
        <v>11175</v>
      </c>
      <c r="C213" s="4">
        <f>IF(DatiOriginali!C213 &gt;= SogliaPicchi!$B$4,"",DatiOriginali!C213)</f>
        <v>73100</v>
      </c>
      <c r="D213" s="4">
        <v>5933</v>
      </c>
      <c r="E213" s="4">
        <f>IF(DatiOriginali!E213 &gt;= SogliaPicchi!$B$4,"",DatiOriginali!E213)</f>
        <v>23400</v>
      </c>
      <c r="F213" s="4">
        <v>87101</v>
      </c>
      <c r="G213" s="4">
        <f>IF(DatiOriginali!G213 &gt;= SogliaPicchi!$B$4,"",DatiOriginali!G213)</f>
        <v>79400</v>
      </c>
      <c r="H213" s="4">
        <v>104545</v>
      </c>
      <c r="I213" s="4">
        <f>IF(DatiOriginali!I213 &gt;= SogliaPicchi!$B$4,"",DatiOriginali!I213)</f>
        <v>14800</v>
      </c>
      <c r="J213" s="4">
        <v>104391</v>
      </c>
      <c r="K213" s="4">
        <f>IF(DatiOriginali!K213 &gt;= SogliaPicchi!$B$4,"",DatiOriginali!K213)</f>
        <v>23500</v>
      </c>
    </row>
    <row r="214" spans="1:11" x14ac:dyDescent="0.3">
      <c r="A214" s="4" t="s">
        <v>223</v>
      </c>
      <c r="B214" s="4">
        <v>11175</v>
      </c>
      <c r="C214" s="4">
        <f>IF(DatiOriginali!C214 &gt;= SogliaPicchi!$B$4,"",DatiOriginali!C214)</f>
        <v>67800</v>
      </c>
      <c r="D214" s="4">
        <v>5887</v>
      </c>
      <c r="E214" s="4">
        <f>IF(DatiOriginali!E214 &gt;= SogliaPicchi!$B$4,"",DatiOriginali!E214)</f>
        <v>29000</v>
      </c>
      <c r="F214" s="4">
        <v>88004</v>
      </c>
      <c r="G214" s="4">
        <f>IF(DatiOriginali!G214 &gt;= SogliaPicchi!$B$4,"",DatiOriginali!G214)</f>
        <v>103200</v>
      </c>
      <c r="H214" s="4">
        <v>105573</v>
      </c>
      <c r="I214" s="4">
        <f>IF(DatiOriginali!I214 &gt;= SogliaPicchi!$B$4,"",DatiOriginali!I214)</f>
        <v>15000</v>
      </c>
      <c r="J214" s="4">
        <v>105551</v>
      </c>
      <c r="K214" s="4">
        <f>IF(DatiOriginali!K214 &gt;= SogliaPicchi!$B$4,"",DatiOriginali!K214)</f>
        <v>17000</v>
      </c>
    </row>
    <row r="215" spans="1:11" x14ac:dyDescent="0.3">
      <c r="A215" s="4" t="s">
        <v>224</v>
      </c>
      <c r="B215" s="4">
        <v>11175</v>
      </c>
      <c r="C215" s="4">
        <f>IF(DatiOriginali!C215 &gt;= SogliaPicchi!$B$4,"",DatiOriginali!C215)</f>
        <v>91600</v>
      </c>
      <c r="D215" s="4">
        <v>5933</v>
      </c>
      <c r="E215" s="4">
        <f>IF(DatiOriginali!E215 &gt;= SogliaPicchi!$B$4,"",DatiOriginali!E215)</f>
        <v>28400</v>
      </c>
      <c r="F215" s="4">
        <v>88893</v>
      </c>
      <c r="G215" s="4">
        <f>IF(DatiOriginali!G215 &gt;= SogliaPicchi!$B$4,"",DatiOriginali!G215)</f>
        <v>60400</v>
      </c>
      <c r="H215" s="4">
        <v>106647</v>
      </c>
      <c r="I215" s="4">
        <f>IF(DatiOriginali!I215 &gt;= SogliaPicchi!$B$4,"",DatiOriginali!I215)</f>
        <v>18700</v>
      </c>
      <c r="J215" s="4">
        <v>106634</v>
      </c>
      <c r="K215" s="4">
        <f>IF(DatiOriginali!K215 &gt;= SogliaPicchi!$B$4,"",DatiOriginali!K215)</f>
        <v>20300</v>
      </c>
    </row>
    <row r="216" spans="1:11" x14ac:dyDescent="0.3">
      <c r="A216" s="4" t="s">
        <v>225</v>
      </c>
      <c r="B216" s="4">
        <v>11175</v>
      </c>
      <c r="C216" s="4">
        <f>IF(DatiOriginali!C216 &gt;= SogliaPicchi!$B$4,"",DatiOriginali!C216)</f>
        <v>109300</v>
      </c>
      <c r="D216" s="4">
        <v>5636</v>
      </c>
      <c r="E216" s="4">
        <f>IF(DatiOriginali!E216 &gt;= SogliaPicchi!$B$4,"",DatiOriginali!E216)</f>
        <v>29000</v>
      </c>
      <c r="F216" s="4">
        <v>89795</v>
      </c>
      <c r="G216" s="4">
        <f>IF(DatiOriginali!G216 &gt;= SogliaPicchi!$B$4,"",DatiOriginali!G216)</f>
        <v>63700</v>
      </c>
      <c r="H216" s="4">
        <v>107686</v>
      </c>
      <c r="I216" s="4">
        <f>IF(DatiOriginali!I216 &gt;= SogliaPicchi!$B$4,"",DatiOriginali!I216)</f>
        <v>18800</v>
      </c>
      <c r="J216" s="4">
        <v>107691</v>
      </c>
      <c r="K216" s="4">
        <f>IF(DatiOriginali!K216 &gt;= SogliaPicchi!$B$4,"",DatiOriginali!K216)</f>
        <v>21400</v>
      </c>
    </row>
    <row r="217" spans="1:11" x14ac:dyDescent="0.3">
      <c r="A217" s="4" t="s">
        <v>226</v>
      </c>
      <c r="B217" s="4">
        <v>11175</v>
      </c>
      <c r="C217" s="4">
        <f>IF(DatiOriginali!C217 &gt;= SogliaPicchi!$B$4,"",DatiOriginali!C217)</f>
        <v>87700</v>
      </c>
      <c r="D217" s="4">
        <v>5778</v>
      </c>
      <c r="E217" s="4">
        <f>IF(DatiOriginali!E217 &gt;= SogliaPicchi!$B$4,"",DatiOriginali!E217)</f>
        <v>27400</v>
      </c>
      <c r="F217" s="4">
        <v>90686</v>
      </c>
      <c r="G217" s="4">
        <f>IF(DatiOriginali!G217 &gt;= SogliaPicchi!$B$4,"",DatiOriginali!G217)</f>
        <v>61700</v>
      </c>
      <c r="H217" s="4">
        <v>108801</v>
      </c>
      <c r="I217" s="4">
        <f>IF(DatiOriginali!I217 &gt;= SogliaPicchi!$B$4,"",DatiOriginali!I217)</f>
        <v>18300</v>
      </c>
      <c r="J217" s="4">
        <v>108802</v>
      </c>
      <c r="K217" s="4">
        <f>IF(DatiOriginali!K217 &gt;= SogliaPicchi!$B$4,"",DatiOriginali!K217)</f>
        <v>20800</v>
      </c>
    </row>
    <row r="218" spans="1:11" x14ac:dyDescent="0.3">
      <c r="A218" s="4" t="s">
        <v>227</v>
      </c>
      <c r="B218" s="4">
        <v>11175</v>
      </c>
      <c r="C218" s="4">
        <f>IF(DatiOriginali!C218 &gt;= SogliaPicchi!$B$4,"",DatiOriginali!C218)</f>
        <v>98900</v>
      </c>
      <c r="D218" s="4">
        <v>5558</v>
      </c>
      <c r="E218" s="4">
        <f>IF(DatiOriginali!E218 &gt;= SogliaPicchi!$B$4,"",DatiOriginali!E218)</f>
        <v>41900</v>
      </c>
      <c r="F218" s="4">
        <v>91589</v>
      </c>
      <c r="G218" s="4">
        <f>IF(DatiOriginali!G218 &gt;= SogliaPicchi!$B$4,"",DatiOriginali!G218)</f>
        <v>101700</v>
      </c>
      <c r="H218" s="4">
        <v>109752</v>
      </c>
      <c r="I218" s="4">
        <f>IF(DatiOriginali!I218 &gt;= SogliaPicchi!$B$4,"",DatiOriginali!I218)</f>
        <v>20000</v>
      </c>
      <c r="J218" s="4">
        <v>109825</v>
      </c>
      <c r="K218" s="4">
        <f>IF(DatiOriginali!K218 &gt;= SogliaPicchi!$B$4,"",DatiOriginali!K218)</f>
        <v>23400</v>
      </c>
    </row>
    <row r="219" spans="1:11" x14ac:dyDescent="0.3">
      <c r="A219" s="4" t="s">
        <v>228</v>
      </c>
      <c r="B219" s="4">
        <v>11175</v>
      </c>
      <c r="C219" s="4">
        <f>IF(DatiOriginali!C219 &gt;= SogliaPicchi!$B$4,"",DatiOriginali!C219)</f>
        <v>89900</v>
      </c>
      <c r="D219" s="4">
        <v>5886</v>
      </c>
      <c r="E219" s="4">
        <f>IF(DatiOriginali!E219 &gt;= SogliaPicchi!$B$4,"",DatiOriginali!E219)</f>
        <v>27900</v>
      </c>
      <c r="F219" s="4">
        <v>92486</v>
      </c>
      <c r="G219" s="4">
        <f>IF(DatiOriginali!G219 &gt;= SogliaPicchi!$B$4,"",DatiOriginali!G219)</f>
        <v>76800</v>
      </c>
      <c r="H219" s="4">
        <v>110947</v>
      </c>
      <c r="I219" s="4">
        <f>IF(DatiOriginali!I219 &gt;= SogliaPicchi!$B$4,"",DatiOriginali!I219)</f>
        <v>19200</v>
      </c>
      <c r="J219" s="4">
        <v>110847</v>
      </c>
      <c r="K219" s="4">
        <f>IF(DatiOriginali!K219 &gt;= SogliaPicchi!$B$4,"",DatiOriginali!K219)</f>
        <v>21500</v>
      </c>
    </row>
    <row r="220" spans="1:11" x14ac:dyDescent="0.3">
      <c r="A220" s="4" t="s">
        <v>229</v>
      </c>
      <c r="B220" s="4">
        <v>11175</v>
      </c>
      <c r="C220" s="4">
        <f>IF(DatiOriginali!C220 &gt;= SogliaPicchi!$B$4,"",DatiOriginali!C220)</f>
        <v>74100</v>
      </c>
      <c r="D220" s="4">
        <v>5590</v>
      </c>
      <c r="E220" s="4">
        <f>IF(DatiOriginali!E220 &gt;= SogliaPicchi!$B$4,"",DatiOriginali!E220)</f>
        <v>23400</v>
      </c>
      <c r="F220" s="4">
        <v>93372</v>
      </c>
      <c r="G220" s="4">
        <f>IF(DatiOriginali!G220 &gt;= SogliaPicchi!$B$4,"",DatiOriginali!G220)</f>
        <v>52700</v>
      </c>
      <c r="H220" s="4">
        <v>112010</v>
      </c>
      <c r="I220" s="4">
        <f>IF(DatiOriginali!I220 &gt;= SogliaPicchi!$B$4,"",DatiOriginali!I220)</f>
        <v>16100</v>
      </c>
      <c r="J220" s="4">
        <v>111953</v>
      </c>
      <c r="K220" s="4">
        <f>IF(DatiOriginali!K220 &gt;= SogliaPicchi!$B$4,"",DatiOriginali!K220)</f>
        <v>18400</v>
      </c>
    </row>
    <row r="221" spans="1:11" x14ac:dyDescent="0.3">
      <c r="A221" s="4" t="s">
        <v>230</v>
      </c>
      <c r="B221" s="4">
        <v>11175</v>
      </c>
      <c r="C221" s="4">
        <f>IF(DatiOriginali!C221 &gt;= SogliaPicchi!$B$4,"",DatiOriginali!C221)</f>
        <v>95200</v>
      </c>
      <c r="D221" s="4">
        <v>5619</v>
      </c>
      <c r="E221" s="4">
        <f>IF(DatiOriginali!E221 &gt;= SogliaPicchi!$B$4,"",DatiOriginali!E221)</f>
        <v>27800</v>
      </c>
      <c r="F221" s="4">
        <v>94268</v>
      </c>
      <c r="G221" s="4">
        <f>IF(DatiOriginali!G221 &gt;= SogliaPicchi!$B$4,"",DatiOriginali!G221)</f>
        <v>60300</v>
      </c>
      <c r="H221" s="4">
        <v>113100</v>
      </c>
      <c r="I221" s="4">
        <f>IF(DatiOriginali!I221 &gt;= SogliaPicchi!$B$4,"",DatiOriginali!I221)</f>
        <v>19200</v>
      </c>
      <c r="J221" s="4">
        <v>113097</v>
      </c>
      <c r="K221" s="4">
        <f>IF(DatiOriginali!K221 &gt;= SogliaPicchi!$B$4,"",DatiOriginali!K221)</f>
        <v>21600</v>
      </c>
    </row>
    <row r="222" spans="1:11" x14ac:dyDescent="0.3">
      <c r="A222" s="4" t="s">
        <v>231</v>
      </c>
      <c r="B222" s="4">
        <v>11175</v>
      </c>
      <c r="C222" s="4">
        <f>IF(DatiOriginali!C222 &gt;= SogliaPicchi!$B$4,"",DatiOriginali!C222)</f>
        <v>73800</v>
      </c>
      <c r="D222" s="4">
        <v>5715</v>
      </c>
      <c r="E222" s="4">
        <f>IF(DatiOriginali!E222 &gt;= SogliaPicchi!$B$4,"",DatiOriginali!E222)</f>
        <v>22900</v>
      </c>
      <c r="F222" s="4">
        <v>95171</v>
      </c>
      <c r="G222" s="4">
        <f>IF(DatiOriginali!G222 &gt;= SogliaPicchi!$B$4,"",DatiOriginali!G222)</f>
        <v>71500</v>
      </c>
      <c r="H222" s="4">
        <v>114357</v>
      </c>
      <c r="I222" s="4">
        <f>IF(DatiOriginali!I222 &gt;= SogliaPicchi!$B$4,"",DatiOriginali!I222)</f>
        <v>15100</v>
      </c>
      <c r="J222" s="4">
        <v>114129</v>
      </c>
      <c r="K222" s="4">
        <f>IF(DatiOriginali!K222 &gt;= SogliaPicchi!$B$4,"",DatiOriginali!K222)</f>
        <v>17600</v>
      </c>
    </row>
    <row r="223" spans="1:11" x14ac:dyDescent="0.3">
      <c r="A223" s="4" t="s">
        <v>232</v>
      </c>
      <c r="B223" s="4">
        <v>11175</v>
      </c>
      <c r="C223" s="4">
        <f>IF(DatiOriginali!C223 &gt;= SogliaPicchi!$B$4,"",DatiOriginali!C223)</f>
        <v>71300</v>
      </c>
      <c r="D223" s="4">
        <v>5121</v>
      </c>
      <c r="E223" s="4">
        <f>IF(DatiOriginali!E223 &gt;= SogliaPicchi!$B$4,"",DatiOriginali!E223)</f>
        <v>20900</v>
      </c>
      <c r="F223" s="4">
        <v>96066</v>
      </c>
      <c r="G223" s="4">
        <f>IF(DatiOriginali!G223 &gt;= SogliaPicchi!$B$4,"",DatiOriginali!G223)</f>
        <v>58300</v>
      </c>
      <c r="H223" s="4">
        <v>115312</v>
      </c>
      <c r="I223" s="4">
        <f>IF(DatiOriginali!I223 &gt;= SogliaPicchi!$B$4,"",DatiOriginali!I223)</f>
        <v>22800</v>
      </c>
      <c r="J223" s="4">
        <v>115330</v>
      </c>
      <c r="K223" s="4">
        <f>IF(DatiOriginali!K223 &gt;= SogliaPicchi!$B$4,"",DatiOriginali!K223)</f>
        <v>18000</v>
      </c>
    </row>
    <row r="224" spans="1:11" x14ac:dyDescent="0.3">
      <c r="A224" s="4" t="s">
        <v>233</v>
      </c>
      <c r="B224" s="4">
        <v>11175</v>
      </c>
      <c r="C224" s="4">
        <f>IF(DatiOriginali!C224 &gt;= SogliaPicchi!$B$4,"",DatiOriginali!C224)</f>
        <v>86200</v>
      </c>
      <c r="D224" s="4">
        <v>5515</v>
      </c>
      <c r="E224" s="4">
        <f>IF(DatiOriginali!E224 &gt;= SogliaPicchi!$B$4,"",DatiOriginali!E224)</f>
        <v>26800</v>
      </c>
      <c r="F224" s="4">
        <v>96960</v>
      </c>
      <c r="G224" s="4">
        <f>IF(DatiOriginali!G224 &gt;= SogliaPicchi!$B$4,"",DatiOriginali!G224)</f>
        <v>74800</v>
      </c>
      <c r="H224" s="4">
        <v>116632</v>
      </c>
      <c r="I224" s="4">
        <f>IF(DatiOriginali!I224 &gt;= SogliaPicchi!$B$4,"",DatiOriginali!I224)</f>
        <v>22000</v>
      </c>
      <c r="J224" s="4">
        <v>116378</v>
      </c>
      <c r="K224" s="4">
        <f>IF(DatiOriginali!K224 &gt;= SogliaPicchi!$B$4,"",DatiOriginali!K224)</f>
        <v>25900</v>
      </c>
    </row>
    <row r="225" spans="1:11" x14ac:dyDescent="0.3">
      <c r="A225" s="4" t="s">
        <v>234</v>
      </c>
      <c r="B225" s="4">
        <v>11175</v>
      </c>
      <c r="C225" s="4">
        <f>IF(DatiOriginali!C225 &gt;= SogliaPicchi!$B$4,"",DatiOriginali!C225)</f>
        <v>76300</v>
      </c>
      <c r="D225" s="4">
        <v>5635</v>
      </c>
      <c r="E225" s="4">
        <f>IF(DatiOriginali!E225 &gt;= SogliaPicchi!$B$4,"",DatiOriginali!E225)</f>
        <v>37300</v>
      </c>
      <c r="F225" s="4">
        <v>97848</v>
      </c>
      <c r="G225" s="4">
        <f>IF(DatiOriginali!G225 &gt;= SogliaPicchi!$B$4,"",DatiOriginali!G225)</f>
        <v>82200</v>
      </c>
      <c r="H225" s="4">
        <v>117877</v>
      </c>
      <c r="I225" s="4">
        <f>IF(DatiOriginali!I225 &gt;= SogliaPicchi!$B$4,"",DatiOriginali!I225)</f>
        <v>20900</v>
      </c>
      <c r="J225" s="4">
        <v>117283</v>
      </c>
      <c r="K225" s="4">
        <f>IF(DatiOriginali!K225 &gt;= SogliaPicchi!$B$4,"",DatiOriginali!K225)</f>
        <v>20700</v>
      </c>
    </row>
    <row r="226" spans="1:11" x14ac:dyDescent="0.3">
      <c r="A226" s="4" t="s">
        <v>235</v>
      </c>
      <c r="B226" s="4">
        <v>11175</v>
      </c>
      <c r="C226" s="4">
        <f>IF(DatiOriginali!C226 &gt;= SogliaPicchi!$B$4,"",DatiOriginali!C226)</f>
        <v>83200</v>
      </c>
      <c r="D226" s="4">
        <v>5242</v>
      </c>
      <c r="E226" s="4">
        <f>IF(DatiOriginali!E226 &gt;= SogliaPicchi!$B$4,"",DatiOriginali!E226)</f>
        <v>21500</v>
      </c>
      <c r="F226" s="4">
        <v>98741</v>
      </c>
      <c r="G226" s="4" t="str">
        <f>IF(DatiOriginali!G226 &gt;= SogliaPicchi!$B$4,"",DatiOriginali!G226)</f>
        <v/>
      </c>
      <c r="H226" s="4">
        <v>118930</v>
      </c>
      <c r="I226" s="4">
        <f>IF(DatiOriginali!I226 &gt;= SogliaPicchi!$B$4,"",DatiOriginali!I226)</f>
        <v>16200</v>
      </c>
      <c r="J226" s="4">
        <v>118382</v>
      </c>
      <c r="K226" s="4">
        <f>IF(DatiOriginali!K226 &gt;= SogliaPicchi!$B$4,"",DatiOriginali!K226)</f>
        <v>26100</v>
      </c>
    </row>
    <row r="227" spans="1:11" x14ac:dyDescent="0.3">
      <c r="A227" s="4" t="s">
        <v>236</v>
      </c>
      <c r="B227" s="4">
        <v>11175</v>
      </c>
      <c r="C227" s="4">
        <f>IF(DatiOriginali!C227 &gt;= SogliaPicchi!$B$4,"",DatiOriginali!C227)</f>
        <v>90700</v>
      </c>
      <c r="D227" s="4">
        <v>5536</v>
      </c>
      <c r="E227" s="4">
        <f>IF(DatiOriginali!E227 &gt;= SogliaPicchi!$B$4,"",DatiOriginali!E227)</f>
        <v>26800</v>
      </c>
      <c r="F227" s="4">
        <v>99640</v>
      </c>
      <c r="G227" s="4">
        <f>IF(DatiOriginali!G227 &gt;= SogliaPicchi!$B$4,"",DatiOriginali!G227)</f>
        <v>60700</v>
      </c>
      <c r="H227" s="4">
        <v>120013</v>
      </c>
      <c r="I227" s="4">
        <f>IF(DatiOriginali!I227 &gt;= SogliaPicchi!$B$4,"",DatiOriginali!I227)</f>
        <v>18700</v>
      </c>
      <c r="J227" s="4">
        <v>119471</v>
      </c>
      <c r="K227" s="4">
        <f>IF(DatiOriginali!K227 &gt;= SogliaPicchi!$B$4,"",DatiOriginali!K227)</f>
        <v>20500</v>
      </c>
    </row>
    <row r="228" spans="1:11" x14ac:dyDescent="0.3">
      <c r="A228" s="4" t="s">
        <v>237</v>
      </c>
      <c r="B228" s="4">
        <v>11175</v>
      </c>
      <c r="C228" s="4">
        <f>IF(DatiOriginali!C228 &gt;= SogliaPicchi!$B$4,"",DatiOriginali!C228)</f>
        <v>80100</v>
      </c>
      <c r="D228" s="4">
        <v>5609</v>
      </c>
      <c r="E228" s="4">
        <f>IF(DatiOriginali!E228 &gt;= SogliaPicchi!$B$4,"",DatiOriginali!E228)</f>
        <v>26900</v>
      </c>
      <c r="F228" s="4">
        <v>100551</v>
      </c>
      <c r="G228" s="4">
        <f>IF(DatiOriginali!G228 &gt;= SogliaPicchi!$B$4,"",DatiOriginali!G228)</f>
        <v>60600</v>
      </c>
      <c r="H228" s="4">
        <v>121062</v>
      </c>
      <c r="I228" s="4">
        <f>IF(DatiOriginali!I228 &gt;= SogliaPicchi!$B$4,"",DatiOriginali!I228)</f>
        <v>18900</v>
      </c>
      <c r="J228" s="4">
        <v>120602</v>
      </c>
      <c r="K228" s="4">
        <f>IF(DatiOriginali!K228 &gt;= SogliaPicchi!$B$4,"",DatiOriginali!K228)</f>
        <v>20300</v>
      </c>
    </row>
    <row r="229" spans="1:11" x14ac:dyDescent="0.3">
      <c r="A229" s="4" t="s">
        <v>238</v>
      </c>
      <c r="B229" s="4">
        <v>11175</v>
      </c>
      <c r="C229" s="4">
        <f>IF(DatiOriginali!C229 &gt;= SogliaPicchi!$B$4,"",DatiOriginali!C229)</f>
        <v>84100</v>
      </c>
      <c r="D229" s="4">
        <v>5795</v>
      </c>
      <c r="E229" s="4">
        <f>IF(DatiOriginali!E229 &gt;= SogliaPicchi!$B$4,"",DatiOriginali!E229)</f>
        <v>27800</v>
      </c>
      <c r="F229" s="4">
        <v>101448</v>
      </c>
      <c r="G229" s="4">
        <f>IF(DatiOriginali!G229 &gt;= SogliaPicchi!$B$4,"",DatiOriginali!G229)</f>
        <v>60500</v>
      </c>
      <c r="H229" s="4">
        <v>122005</v>
      </c>
      <c r="I229" s="4">
        <f>IF(DatiOriginali!I229 &gt;= SogliaPicchi!$B$4,"",DatiOriginali!I229)</f>
        <v>18100</v>
      </c>
      <c r="J229" s="4">
        <v>121544</v>
      </c>
      <c r="K229" s="4">
        <f>IF(DatiOriginali!K229 &gt;= SogliaPicchi!$B$4,"",DatiOriginali!K229)</f>
        <v>20400</v>
      </c>
    </row>
    <row r="230" spans="1:11" x14ac:dyDescent="0.3">
      <c r="A230" s="4" t="s">
        <v>239</v>
      </c>
      <c r="B230" s="4">
        <v>11175</v>
      </c>
      <c r="C230" s="4">
        <f>IF(DatiOriginali!C230 &gt;= SogliaPicchi!$B$4,"",DatiOriginali!C230)</f>
        <v>71400</v>
      </c>
      <c r="D230" s="4">
        <v>5760</v>
      </c>
      <c r="E230" s="4">
        <f>IF(DatiOriginali!E230 &gt;= SogliaPicchi!$B$4,"",DatiOriginali!E230)</f>
        <v>23100</v>
      </c>
      <c r="F230" s="4">
        <v>102356</v>
      </c>
      <c r="G230" s="4">
        <f>IF(DatiOriginali!G230 &gt;= SogliaPicchi!$B$4,"",DatiOriginali!G230)</f>
        <v>62500</v>
      </c>
      <c r="H230" s="4">
        <v>123184</v>
      </c>
      <c r="I230" s="4">
        <f>IF(DatiOriginali!I230 &gt;= SogliaPicchi!$B$4,"",DatiOriginali!I230)</f>
        <v>16500</v>
      </c>
      <c r="J230" s="4">
        <v>122675</v>
      </c>
      <c r="K230" s="4">
        <f>IF(DatiOriginali!K230 &gt;= SogliaPicchi!$B$4,"",DatiOriginali!K230)</f>
        <v>17900</v>
      </c>
    </row>
    <row r="231" spans="1:11" x14ac:dyDescent="0.3">
      <c r="A231" s="4" t="s">
        <v>240</v>
      </c>
      <c r="B231" s="4">
        <v>11175</v>
      </c>
      <c r="C231" s="4">
        <f>IF(DatiOriginali!C231 &gt;= SogliaPicchi!$B$4,"",DatiOriginali!C231)</f>
        <v>79100</v>
      </c>
      <c r="D231" s="4">
        <v>6190</v>
      </c>
      <c r="E231" s="4">
        <f>IF(DatiOriginali!E231 &gt;= SogliaPicchi!$B$4,"",DatiOriginali!E231)</f>
        <v>24300</v>
      </c>
      <c r="F231" s="4">
        <v>103246</v>
      </c>
      <c r="G231" s="4">
        <f>IF(DatiOriginali!G231 &gt;= SogliaPicchi!$B$4,"",DatiOriginali!G231)</f>
        <v>62800</v>
      </c>
      <c r="H231" s="4">
        <v>124299</v>
      </c>
      <c r="I231" s="4">
        <f>IF(DatiOriginali!I231 &gt;= SogliaPicchi!$B$4,"",DatiOriginali!I231)</f>
        <v>15900</v>
      </c>
      <c r="J231" s="4">
        <v>123712</v>
      </c>
      <c r="K231" s="4">
        <f>IF(DatiOriginali!K231 &gt;= SogliaPicchi!$B$4,"",DatiOriginali!K231)</f>
        <v>23300</v>
      </c>
    </row>
    <row r="232" spans="1:11" x14ac:dyDescent="0.3">
      <c r="A232" s="4" t="s">
        <v>241</v>
      </c>
      <c r="B232" s="4">
        <v>11175</v>
      </c>
      <c r="C232" s="4">
        <f>IF(DatiOriginali!C232 &gt;= SogliaPicchi!$B$4,"",DatiOriginali!C232)</f>
        <v>77600</v>
      </c>
      <c r="D232" s="4">
        <v>5315</v>
      </c>
      <c r="E232" s="4">
        <f>IF(DatiOriginali!E232 &gt;= SogliaPicchi!$B$4,"",DatiOriginali!E232)</f>
        <v>25800</v>
      </c>
      <c r="F232" s="4">
        <v>104139</v>
      </c>
      <c r="G232" s="4">
        <f>IF(DatiOriginali!G232 &gt;= SogliaPicchi!$B$4,"",DatiOriginali!G232)</f>
        <v>60600</v>
      </c>
      <c r="H232" s="4">
        <v>125508</v>
      </c>
      <c r="I232" s="4">
        <f>IF(DatiOriginali!I232 &gt;= SogliaPicchi!$B$4,"",DatiOriginali!I232)</f>
        <v>19500</v>
      </c>
      <c r="J232" s="4">
        <v>124768</v>
      </c>
      <c r="K232" s="4">
        <f>IF(DatiOriginali!K232 &gt;= SogliaPicchi!$B$4,"",DatiOriginali!K232)</f>
        <v>20500</v>
      </c>
    </row>
    <row r="233" spans="1:11" x14ac:dyDescent="0.3">
      <c r="A233" s="4" t="s">
        <v>242</v>
      </c>
      <c r="B233" s="4">
        <v>11175</v>
      </c>
      <c r="C233" s="4">
        <f>IF(DatiOriginali!C233 &gt;= SogliaPicchi!$B$4,"",DatiOriginali!C233)</f>
        <v>72500</v>
      </c>
      <c r="D233" s="4">
        <v>5568</v>
      </c>
      <c r="E233" s="4">
        <f>IF(DatiOriginali!E233 &gt;= SogliaPicchi!$B$4,"",DatiOriginali!E233)</f>
        <v>22600</v>
      </c>
      <c r="F233" s="4">
        <v>105034</v>
      </c>
      <c r="G233" s="4">
        <f>IF(DatiOriginali!G233 &gt;= SogliaPicchi!$B$4,"",DatiOriginali!G233)</f>
        <v>51000</v>
      </c>
      <c r="H233" s="4">
        <v>126547</v>
      </c>
      <c r="I233" s="4">
        <f>IF(DatiOriginali!I233 &gt;= SogliaPicchi!$B$4,"",DatiOriginali!I233)</f>
        <v>15500</v>
      </c>
      <c r="J233" s="4">
        <v>125879</v>
      </c>
      <c r="K233" s="4">
        <f>IF(DatiOriginali!K233 &gt;= SogliaPicchi!$B$4,"",DatiOriginali!K233)</f>
        <v>19600</v>
      </c>
    </row>
    <row r="234" spans="1:11" x14ac:dyDescent="0.3">
      <c r="A234" s="4" t="s">
        <v>243</v>
      </c>
      <c r="B234" s="4">
        <v>11175</v>
      </c>
      <c r="C234" s="4">
        <f>IF(DatiOriginali!C234 &gt;= SogliaPicchi!$B$4,"",DatiOriginali!C234)</f>
        <v>88000</v>
      </c>
      <c r="D234" s="4">
        <v>5489</v>
      </c>
      <c r="E234" s="4">
        <f>IF(DatiOriginali!E234 &gt;= SogliaPicchi!$B$4,"",DatiOriginali!E234)</f>
        <v>26600</v>
      </c>
      <c r="F234" s="4">
        <v>105922</v>
      </c>
      <c r="G234" s="4">
        <f>IF(DatiOriginali!G234 &gt;= SogliaPicchi!$B$4,"",DatiOriginali!G234)</f>
        <v>59000</v>
      </c>
      <c r="H234" s="4">
        <v>127601</v>
      </c>
      <c r="I234" s="4">
        <f>IF(DatiOriginali!I234 &gt;= SogliaPicchi!$B$4,"",DatiOriginali!I234)</f>
        <v>18300</v>
      </c>
      <c r="J234" s="4">
        <v>126981</v>
      </c>
      <c r="K234" s="4">
        <f>IF(DatiOriginali!K234 &gt;= SogliaPicchi!$B$4,"",DatiOriginali!K234)</f>
        <v>21300</v>
      </c>
    </row>
    <row r="235" spans="1:11" x14ac:dyDescent="0.3">
      <c r="A235" s="4" t="s">
        <v>244</v>
      </c>
      <c r="B235" s="4">
        <v>11175</v>
      </c>
      <c r="C235" s="4">
        <f>IF(DatiOriginali!C235 &gt;= SogliaPicchi!$B$4,"",DatiOriginali!C235)</f>
        <v>82300</v>
      </c>
      <c r="D235" s="4">
        <v>5400</v>
      </c>
      <c r="E235" s="4">
        <f>IF(DatiOriginali!E235 &gt;= SogliaPicchi!$B$4,"",DatiOriginali!E235)</f>
        <v>26100</v>
      </c>
      <c r="F235" s="4">
        <v>106821</v>
      </c>
      <c r="G235" s="4">
        <f>IF(DatiOriginali!G235 &gt;= SogliaPicchi!$B$4,"",DatiOriginali!G235)</f>
        <v>74900</v>
      </c>
      <c r="H235" s="4">
        <v>128615</v>
      </c>
      <c r="I235" s="4">
        <f>IF(DatiOriginali!I235 &gt;= SogliaPicchi!$B$4,"",DatiOriginali!I235)</f>
        <v>18600</v>
      </c>
      <c r="J235" s="4">
        <v>127991</v>
      </c>
      <c r="K235" s="4">
        <f>IF(DatiOriginali!K235 &gt;= SogliaPicchi!$B$4,"",DatiOriginali!K235)</f>
        <v>20700</v>
      </c>
    </row>
    <row r="236" spans="1:11" x14ac:dyDescent="0.3">
      <c r="A236" s="4" t="s">
        <v>245</v>
      </c>
      <c r="B236" s="4">
        <v>11175</v>
      </c>
      <c r="C236" s="4">
        <f>IF(DatiOriginali!C236 &gt;= SogliaPicchi!$B$4,"",DatiOriginali!C236)</f>
        <v>81800</v>
      </c>
      <c r="D236" s="4">
        <v>5698</v>
      </c>
      <c r="E236" s="4">
        <f>IF(DatiOriginali!E236 &gt;= SogliaPicchi!$B$4,"",DatiOriginali!E236)</f>
        <v>26900</v>
      </c>
      <c r="F236" s="4">
        <v>107723</v>
      </c>
      <c r="G236" s="4">
        <f>IF(DatiOriginali!G236 &gt;= SogliaPicchi!$B$4,"",DatiOriginali!G236)</f>
        <v>74200</v>
      </c>
      <c r="H236" s="4">
        <v>129963</v>
      </c>
      <c r="I236" s="4">
        <f>IF(DatiOriginali!I236 &gt;= SogliaPicchi!$B$4,"",DatiOriginali!I236)</f>
        <v>19100</v>
      </c>
      <c r="J236" s="4">
        <v>129170</v>
      </c>
      <c r="K236" s="4">
        <f>IF(DatiOriginali!K236 &gt;= SogliaPicchi!$B$4,"",DatiOriginali!K236)</f>
        <v>21000</v>
      </c>
    </row>
    <row r="237" spans="1:11" x14ac:dyDescent="0.3">
      <c r="A237" s="4" t="s">
        <v>246</v>
      </c>
      <c r="B237" s="4">
        <v>11175</v>
      </c>
      <c r="C237" s="4">
        <f>IF(DatiOriginali!C237 &gt;= SogliaPicchi!$B$4,"",DatiOriginali!C237)</f>
        <v>79500</v>
      </c>
      <c r="D237" s="4">
        <v>5503</v>
      </c>
      <c r="E237" s="4">
        <f>IF(DatiOriginali!E237 &gt;= SogliaPicchi!$B$4,"",DatiOriginali!E237)</f>
        <v>24100</v>
      </c>
      <c r="F237" s="4">
        <v>108609</v>
      </c>
      <c r="G237" s="4">
        <f>IF(DatiOriginali!G237 &gt;= SogliaPicchi!$B$4,"",DatiOriginali!G237)</f>
        <v>50600</v>
      </c>
      <c r="H237" s="4">
        <v>130998</v>
      </c>
      <c r="I237" s="4">
        <f>IF(DatiOriginali!I237 &gt;= SogliaPicchi!$B$4,"",DatiOriginali!I237)</f>
        <v>15500</v>
      </c>
      <c r="J237" s="4">
        <v>130255</v>
      </c>
      <c r="K237" s="4">
        <f>IF(DatiOriginali!K237 &gt;= SogliaPicchi!$B$4,"",DatiOriginali!K237)</f>
        <v>17600</v>
      </c>
    </row>
    <row r="238" spans="1:11" x14ac:dyDescent="0.3">
      <c r="A238" s="4" t="s">
        <v>247</v>
      </c>
      <c r="B238" s="4">
        <v>11175</v>
      </c>
      <c r="C238" s="4">
        <f>IF(DatiOriginali!C238 &gt;= SogliaPicchi!$B$4,"",DatiOriginali!C238)</f>
        <v>90000</v>
      </c>
      <c r="D238" s="4">
        <v>5580</v>
      </c>
      <c r="E238" s="4">
        <f>IF(DatiOriginali!E238 &gt;= SogliaPicchi!$B$4,"",DatiOriginali!E238)</f>
        <v>26800</v>
      </c>
      <c r="F238" s="4">
        <v>109499</v>
      </c>
      <c r="G238" s="4">
        <f>IF(DatiOriginali!G238 &gt;= SogliaPicchi!$B$4,"",DatiOriginali!G238)</f>
        <v>60500</v>
      </c>
      <c r="H238" s="4">
        <v>131955</v>
      </c>
      <c r="I238" s="4">
        <f>IF(DatiOriginali!I238 &gt;= SogliaPicchi!$B$4,"",DatiOriginali!I238)</f>
        <v>18500</v>
      </c>
      <c r="J238" s="4">
        <v>131333</v>
      </c>
      <c r="K238" s="4">
        <f>IF(DatiOriginali!K238 &gt;= SogliaPicchi!$B$4,"",DatiOriginali!K238)</f>
        <v>20100</v>
      </c>
    </row>
    <row r="239" spans="1:11" x14ac:dyDescent="0.3">
      <c r="A239" s="4" t="s">
        <v>248</v>
      </c>
      <c r="B239" s="4">
        <v>11175</v>
      </c>
      <c r="C239" s="4">
        <f>IF(DatiOriginali!C239 &gt;= SogliaPicchi!$B$4,"",DatiOriginali!C239)</f>
        <v>81200</v>
      </c>
      <c r="D239" s="4">
        <v>5076</v>
      </c>
      <c r="E239" s="4">
        <f>IF(DatiOriginali!E239 &gt;= SogliaPicchi!$B$4,"",DatiOriginali!E239)</f>
        <v>25400</v>
      </c>
      <c r="F239" s="4">
        <v>110402</v>
      </c>
      <c r="G239" s="4">
        <f>IF(DatiOriginali!G239 &gt;= SogliaPicchi!$B$4,"",DatiOriginali!G239)</f>
        <v>60900</v>
      </c>
      <c r="H239" s="4">
        <v>132975</v>
      </c>
      <c r="I239" s="4">
        <f>IF(DatiOriginali!I239 &gt;= SogliaPicchi!$B$4,"",DatiOriginali!I239)</f>
        <v>17600</v>
      </c>
      <c r="J239" s="4">
        <v>132369</v>
      </c>
      <c r="K239" s="4">
        <f>IF(DatiOriginali!K239 &gt;= SogliaPicchi!$B$4,"",DatiOriginali!K239)</f>
        <v>21000</v>
      </c>
    </row>
    <row r="240" spans="1:11" x14ac:dyDescent="0.3">
      <c r="A240" s="4" t="s">
        <v>249</v>
      </c>
      <c r="B240" s="4">
        <v>11175</v>
      </c>
      <c r="C240" s="4">
        <f>IF(DatiOriginali!C240 &gt;= SogliaPicchi!$B$4,"",DatiOriginali!C240)</f>
        <v>72000</v>
      </c>
      <c r="D240" s="4">
        <v>5843</v>
      </c>
      <c r="E240" s="4">
        <f>IF(DatiOriginali!E240 &gt;= SogliaPicchi!$B$4,"",DatiOriginali!E240)</f>
        <v>23100</v>
      </c>
      <c r="F240" s="4">
        <v>111314</v>
      </c>
      <c r="G240" s="4">
        <f>IF(DatiOriginali!G240 &gt;= SogliaPicchi!$B$4,"",DatiOriginali!G240)</f>
        <v>54200</v>
      </c>
      <c r="H240" s="4">
        <v>133935</v>
      </c>
      <c r="I240" s="4">
        <f>IF(DatiOriginali!I240 &gt;= SogliaPicchi!$B$4,"",DatiOriginali!I240)</f>
        <v>15200</v>
      </c>
      <c r="J240" s="4">
        <v>133409</v>
      </c>
      <c r="K240" s="4">
        <f>IF(DatiOriginali!K240 &gt;= SogliaPicchi!$B$4,"",DatiOriginali!K240)</f>
        <v>19700</v>
      </c>
    </row>
    <row r="241" spans="1:11" x14ac:dyDescent="0.3">
      <c r="A241" s="4" t="s">
        <v>250</v>
      </c>
      <c r="B241" s="4">
        <v>11175</v>
      </c>
      <c r="C241" s="4">
        <f>IF(DatiOriginali!C241 &gt;= SogliaPicchi!$B$4,"",DatiOriginali!C241)</f>
        <v>86500</v>
      </c>
      <c r="D241" s="4">
        <v>5792</v>
      </c>
      <c r="E241" s="4">
        <f>IF(DatiOriginali!E241 &gt;= SogliaPicchi!$B$4,"",DatiOriginali!E241)</f>
        <v>27700</v>
      </c>
      <c r="F241" s="4">
        <v>112213</v>
      </c>
      <c r="G241" s="4">
        <f>IF(DatiOriginali!G241 &gt;= SogliaPicchi!$B$4,"",DatiOriginali!G241)</f>
        <v>74600</v>
      </c>
      <c r="H241" s="4">
        <v>134942</v>
      </c>
      <c r="I241" s="4">
        <f>IF(DatiOriginali!I241 &gt;= SogliaPicchi!$B$4,"",DatiOriginali!I241)</f>
        <v>17600</v>
      </c>
      <c r="J241" s="4">
        <v>134429</v>
      </c>
      <c r="K241" s="4">
        <f>IF(DatiOriginali!K241 &gt;= SogliaPicchi!$B$4,"",DatiOriginali!K241)</f>
        <v>20800</v>
      </c>
    </row>
    <row r="242" spans="1:11" x14ac:dyDescent="0.3">
      <c r="A242" s="4" t="s">
        <v>251</v>
      </c>
      <c r="B242" s="4">
        <v>11175</v>
      </c>
      <c r="C242" s="4">
        <f>IF(DatiOriginali!C242 &gt;= SogliaPicchi!$B$4,"",DatiOriginali!C242)</f>
        <v>87500</v>
      </c>
      <c r="D242" s="4">
        <v>5807</v>
      </c>
      <c r="E242" s="4">
        <f>IF(DatiOriginali!E242 &gt;= SogliaPicchi!$B$4,"",DatiOriginali!E242)</f>
        <v>28500</v>
      </c>
      <c r="F242" s="4">
        <v>113123</v>
      </c>
      <c r="G242" s="4">
        <f>IF(DatiOriginali!G242 &gt;= SogliaPicchi!$B$4,"",DatiOriginali!G242)</f>
        <v>73800</v>
      </c>
      <c r="H242" s="4">
        <v>135977</v>
      </c>
      <c r="I242" s="4">
        <f>IF(DatiOriginali!I242 &gt;= SogliaPicchi!$B$4,"",DatiOriginali!I242)</f>
        <v>17900</v>
      </c>
      <c r="J242" s="4">
        <v>135399</v>
      </c>
      <c r="K242" s="4">
        <f>IF(DatiOriginali!K242 &gt;= SogliaPicchi!$B$4,"",DatiOriginali!K242)</f>
        <v>20400</v>
      </c>
    </row>
    <row r="243" spans="1:11" x14ac:dyDescent="0.3">
      <c r="A243" s="4" t="s">
        <v>252</v>
      </c>
      <c r="B243" s="4">
        <v>11175</v>
      </c>
      <c r="C243" s="4">
        <f>IF(DatiOriginali!C243 &gt;= SogliaPicchi!$B$4,"",DatiOriginali!C243)</f>
        <v>73500</v>
      </c>
      <c r="D243" s="4">
        <v>5693</v>
      </c>
      <c r="E243" s="4">
        <f>IF(DatiOriginali!E243 &gt;= SogliaPicchi!$B$4,"",DatiOriginali!E243)</f>
        <v>22700</v>
      </c>
      <c r="F243" s="4">
        <v>114016</v>
      </c>
      <c r="G243" s="4">
        <f>IF(DatiOriginali!G243 &gt;= SogliaPicchi!$B$4,"",DatiOriginali!G243)</f>
        <v>50200</v>
      </c>
      <c r="H243" s="4">
        <v>136990</v>
      </c>
      <c r="I243" s="4">
        <f>IF(DatiOriginali!I243 &gt;= SogliaPicchi!$B$4,"",DatiOriginali!I243)</f>
        <v>15700</v>
      </c>
      <c r="J243" s="4">
        <v>136349</v>
      </c>
      <c r="K243" s="4">
        <f>IF(DatiOriginali!K243 &gt;= SogliaPicchi!$B$4,"",DatiOriginali!K243)</f>
        <v>16900</v>
      </c>
    </row>
    <row r="244" spans="1:11" x14ac:dyDescent="0.3">
      <c r="A244" s="4" t="s">
        <v>253</v>
      </c>
      <c r="B244" s="4">
        <v>11175</v>
      </c>
      <c r="C244" s="4">
        <f>IF(DatiOriginali!C244 &gt;= SogliaPicchi!$B$4,"",DatiOriginali!C244)</f>
        <v>68200</v>
      </c>
      <c r="D244" s="4">
        <v>5758</v>
      </c>
      <c r="E244" s="4">
        <f>IF(DatiOriginali!E244 &gt;= SogliaPicchi!$B$4,"",DatiOriginali!E244)</f>
        <v>23300</v>
      </c>
      <c r="F244" s="4">
        <v>114920</v>
      </c>
      <c r="G244" s="4">
        <f>IF(DatiOriginali!G244 &gt;= SogliaPicchi!$B$4,"",DatiOriginali!G244)</f>
        <v>50500</v>
      </c>
      <c r="H244" s="4">
        <v>138090</v>
      </c>
      <c r="I244" s="4">
        <f>IF(DatiOriginali!I244 &gt;= SogliaPicchi!$B$4,"",DatiOriginali!I244)</f>
        <v>15400</v>
      </c>
      <c r="J244" s="4">
        <v>137435</v>
      </c>
      <c r="K244" s="4">
        <f>IF(DatiOriginali!K244 &gt;= SogliaPicchi!$B$4,"",DatiOriginali!K244)</f>
        <v>17300</v>
      </c>
    </row>
    <row r="245" spans="1:11" x14ac:dyDescent="0.3">
      <c r="A245" s="4" t="s">
        <v>254</v>
      </c>
      <c r="B245" s="4">
        <v>11175</v>
      </c>
      <c r="C245" s="4">
        <f>IF(DatiOriginali!C245 &gt;= SogliaPicchi!$B$4,"",DatiOriginali!C245)</f>
        <v>85600</v>
      </c>
      <c r="D245" s="4">
        <v>5668</v>
      </c>
      <c r="E245" s="4">
        <f>IF(DatiOriginali!E245 &gt;= SogliaPicchi!$B$4,"",DatiOriginali!E245)</f>
        <v>27700</v>
      </c>
      <c r="F245" s="4">
        <v>115816</v>
      </c>
      <c r="G245" s="4">
        <f>IF(DatiOriginali!G245 &gt;= SogliaPicchi!$B$4,"",DatiOriginali!G245)</f>
        <v>60400</v>
      </c>
      <c r="H245" s="4">
        <v>139105</v>
      </c>
      <c r="I245" s="4">
        <f>IF(DatiOriginali!I245 &gt;= SogliaPicchi!$B$4,"",DatiOriginali!I245)</f>
        <v>18100</v>
      </c>
      <c r="J245" s="4">
        <v>138424</v>
      </c>
      <c r="K245" s="4">
        <f>IF(DatiOriginali!K245 &gt;= SogliaPicchi!$B$4,"",DatiOriginali!K245)</f>
        <v>17600</v>
      </c>
    </row>
    <row r="246" spans="1:11" x14ac:dyDescent="0.3">
      <c r="A246" s="4" t="s">
        <v>255</v>
      </c>
      <c r="B246" s="4">
        <v>11175</v>
      </c>
      <c r="C246" s="4">
        <f>IF(DatiOriginali!C246 &gt;= SogliaPicchi!$B$4,"",DatiOriginali!C246)</f>
        <v>88600</v>
      </c>
      <c r="D246" s="4">
        <v>6310</v>
      </c>
      <c r="E246" s="4">
        <f>IF(DatiOriginali!E246 &gt;= SogliaPicchi!$B$4,"",DatiOriginali!E246)</f>
        <v>29600</v>
      </c>
      <c r="F246" s="4">
        <v>116719</v>
      </c>
      <c r="G246" s="4">
        <f>IF(DatiOriginali!G246 &gt;= SogliaPicchi!$B$4,"",DatiOriginali!G246)</f>
        <v>74300</v>
      </c>
      <c r="H246" s="4">
        <v>140182</v>
      </c>
      <c r="I246" s="4">
        <f>IF(DatiOriginali!I246 &gt;= SogliaPicchi!$B$4,"",DatiOriginali!I246)</f>
        <v>18600</v>
      </c>
      <c r="J246" s="4">
        <v>139735</v>
      </c>
      <c r="K246" s="4">
        <f>IF(DatiOriginali!K246 &gt;= SogliaPicchi!$B$4,"",DatiOriginali!K246)</f>
        <v>21900</v>
      </c>
    </row>
    <row r="247" spans="1:11" x14ac:dyDescent="0.3">
      <c r="A247" s="4" t="s">
        <v>256</v>
      </c>
      <c r="B247" s="4">
        <v>11175</v>
      </c>
      <c r="C247" s="4">
        <f>IF(DatiOriginali!C247 &gt;= SogliaPicchi!$B$4,"",DatiOriginali!C247)</f>
        <v>96300</v>
      </c>
      <c r="D247" s="4">
        <v>5434</v>
      </c>
      <c r="E247" s="4">
        <f>IF(DatiOriginali!E247 &gt;= SogliaPicchi!$B$4,"",DatiOriginali!E247)</f>
        <v>32200</v>
      </c>
      <c r="F247" s="4">
        <v>117617</v>
      </c>
      <c r="G247" s="4">
        <f>IF(DatiOriginali!G247 &gt;= SogliaPicchi!$B$4,"",DatiOriginali!G247)</f>
        <v>98000</v>
      </c>
      <c r="H247" s="4">
        <v>141203</v>
      </c>
      <c r="I247" s="4">
        <f>IF(DatiOriginali!I247 &gt;= SogliaPicchi!$B$4,"",DatiOriginali!I247)</f>
        <v>19500</v>
      </c>
      <c r="J247" s="4">
        <v>140739</v>
      </c>
      <c r="K247" s="4">
        <f>IF(DatiOriginali!K247 &gt;= SogliaPicchi!$B$4,"",DatiOriginali!K247)</f>
        <v>22000</v>
      </c>
    </row>
    <row r="248" spans="1:11" x14ac:dyDescent="0.3">
      <c r="A248" s="4" t="s">
        <v>257</v>
      </c>
      <c r="B248" s="4">
        <v>11175</v>
      </c>
      <c r="C248" s="4">
        <f>IF(DatiOriginali!C248 &gt;= SogliaPicchi!$B$4,"",DatiOriginali!C248)</f>
        <v>88900</v>
      </c>
      <c r="D248" s="4">
        <v>5453</v>
      </c>
      <c r="E248" s="4">
        <f>IF(DatiOriginali!E248 &gt;= SogliaPicchi!$B$4,"",DatiOriginali!E248)</f>
        <v>26700</v>
      </c>
      <c r="F248" s="4">
        <v>118515</v>
      </c>
      <c r="G248" s="4">
        <f>IF(DatiOriginali!G248 &gt;= SogliaPicchi!$B$4,"",DatiOriginali!G248)</f>
        <v>60300</v>
      </c>
      <c r="H248" s="4">
        <v>142282</v>
      </c>
      <c r="I248" s="4">
        <f>IF(DatiOriginali!I248 &gt;= SogliaPicchi!$B$4,"",DatiOriginali!I248)</f>
        <v>17100</v>
      </c>
      <c r="J248" s="4">
        <v>141754</v>
      </c>
      <c r="K248" s="4">
        <f>IF(DatiOriginali!K248 &gt;= SogliaPicchi!$B$4,"",DatiOriginali!K248)</f>
        <v>21100</v>
      </c>
    </row>
    <row r="249" spans="1:11" x14ac:dyDescent="0.3">
      <c r="A249" s="4" t="s">
        <v>258</v>
      </c>
      <c r="B249" s="4">
        <v>11175</v>
      </c>
      <c r="C249" s="4">
        <f>IF(DatiOriginali!C249 &gt;= SogliaPicchi!$B$4,"",DatiOriginali!C249)</f>
        <v>89600</v>
      </c>
      <c r="D249" s="4">
        <v>5834</v>
      </c>
      <c r="E249" s="4">
        <f>IF(DatiOriginali!E249 &gt;= SogliaPicchi!$B$4,"",DatiOriginali!E249)</f>
        <v>28000</v>
      </c>
      <c r="F249" s="4">
        <v>119400</v>
      </c>
      <c r="G249" s="4">
        <f>IF(DatiOriginali!G249 &gt;= SogliaPicchi!$B$4,"",DatiOriginali!G249)</f>
        <v>60400</v>
      </c>
      <c r="H249" s="4">
        <v>143321</v>
      </c>
      <c r="I249" s="4">
        <f>IF(DatiOriginali!I249 &gt;= SogliaPicchi!$B$4,"",DatiOriginali!I249)</f>
        <v>17900</v>
      </c>
      <c r="J249" s="4">
        <v>142882</v>
      </c>
      <c r="K249" s="4">
        <f>IF(DatiOriginali!K249 &gt;= SogliaPicchi!$B$4,"",DatiOriginali!K249)</f>
        <v>21500</v>
      </c>
    </row>
    <row r="250" spans="1:11" x14ac:dyDescent="0.3">
      <c r="A250" s="4" t="s">
        <v>259</v>
      </c>
      <c r="B250" s="4">
        <v>11175</v>
      </c>
      <c r="C250" s="4">
        <f>IF(DatiOriginali!C250 &gt;= SogliaPicchi!$B$4,"",DatiOriginali!C250)</f>
        <v>87400</v>
      </c>
      <c r="D250" s="4">
        <v>6023</v>
      </c>
      <c r="E250" s="4">
        <f>IF(DatiOriginali!E250 &gt;= SogliaPicchi!$B$4,"",DatiOriginali!E250)</f>
        <v>28500</v>
      </c>
      <c r="F250" s="4">
        <v>120293</v>
      </c>
      <c r="G250" s="4">
        <f>IF(DatiOriginali!G250 &gt;= SogliaPicchi!$B$4,"",DatiOriginali!G250)</f>
        <v>60300</v>
      </c>
      <c r="H250" s="4">
        <v>144453</v>
      </c>
      <c r="I250" s="4">
        <f>IF(DatiOriginali!I250 &gt;= SogliaPicchi!$B$4,"",DatiOriginali!I250)</f>
        <v>19100</v>
      </c>
      <c r="J250" s="4">
        <v>143966</v>
      </c>
      <c r="K250" s="4">
        <f>IF(DatiOriginali!K250 &gt;= SogliaPicchi!$B$4,"",DatiOriginali!K250)</f>
        <v>20700</v>
      </c>
    </row>
    <row r="251" spans="1:11" x14ac:dyDescent="0.3">
      <c r="A251" s="4" t="s">
        <v>260</v>
      </c>
      <c r="B251" s="4">
        <v>11175</v>
      </c>
      <c r="C251" s="4">
        <f>IF(DatiOriginali!C251 &gt;= SogliaPicchi!$B$4,"",DatiOriginali!C251)</f>
        <v>110300</v>
      </c>
      <c r="D251" s="4">
        <v>5311</v>
      </c>
      <c r="E251" s="4">
        <f>IF(DatiOriginali!E251 &gt;= SogliaPicchi!$B$4,"",DatiOriginali!E251)</f>
        <v>43000</v>
      </c>
      <c r="F251" s="4">
        <v>121180</v>
      </c>
      <c r="G251" s="4">
        <f>IF(DatiOriginali!G251 &gt;= SogliaPicchi!$B$4,"",DatiOriginali!G251)</f>
        <v>88600</v>
      </c>
      <c r="H251" s="4">
        <v>145445</v>
      </c>
      <c r="I251" s="4">
        <f>IF(DatiOriginali!I251 &gt;= SogliaPicchi!$B$4,"",DatiOriginali!I251)</f>
        <v>23700</v>
      </c>
      <c r="J251" s="4">
        <v>145058</v>
      </c>
      <c r="K251" s="4">
        <f>IF(DatiOriginali!K251 &gt;= SogliaPicchi!$B$4,"",DatiOriginali!K251)</f>
        <v>21500</v>
      </c>
    </row>
    <row r="252" spans="1:11" x14ac:dyDescent="0.3">
      <c r="A252" s="4" t="s">
        <v>261</v>
      </c>
      <c r="B252" s="4">
        <v>11175</v>
      </c>
      <c r="C252" s="4">
        <f>IF(DatiOriginali!C252 &gt;= SogliaPicchi!$B$4,"",DatiOriginali!C252)</f>
        <v>90200</v>
      </c>
      <c r="D252" s="4">
        <v>6019</v>
      </c>
      <c r="E252" s="4">
        <f>IF(DatiOriginali!E252 &gt;= SogliaPicchi!$B$4,"",DatiOriginali!E252)</f>
        <v>28500</v>
      </c>
      <c r="F252" s="4">
        <v>122080</v>
      </c>
      <c r="G252" s="4">
        <f>IF(DatiOriginali!G252 &gt;= SogliaPicchi!$B$4,"",DatiOriginali!G252)</f>
        <v>85000</v>
      </c>
      <c r="H252" s="4">
        <v>146558</v>
      </c>
      <c r="I252" s="4">
        <f>IF(DatiOriginali!I252 &gt;= SogliaPicchi!$B$4,"",DatiOriginali!I252)</f>
        <v>17400</v>
      </c>
      <c r="J252" s="4">
        <v>146051</v>
      </c>
      <c r="K252" s="4">
        <f>IF(DatiOriginali!K252 &gt;= SogliaPicchi!$B$4,"",DatiOriginali!K252)</f>
        <v>19900</v>
      </c>
    </row>
    <row r="253" spans="1:11" x14ac:dyDescent="0.3">
      <c r="A253" s="4" t="s">
        <v>262</v>
      </c>
      <c r="B253" s="4">
        <v>11175</v>
      </c>
      <c r="C253" s="4">
        <f>IF(DatiOriginali!C253 &gt;= SogliaPicchi!$B$4,"",DatiOriginali!C253)</f>
        <v>70200</v>
      </c>
      <c r="D253" s="4">
        <v>5638</v>
      </c>
      <c r="E253" s="4">
        <f>IF(DatiOriginali!E253 &gt;= SogliaPicchi!$B$4,"",DatiOriginali!E253)</f>
        <v>22600</v>
      </c>
      <c r="F253" s="4">
        <v>122989</v>
      </c>
      <c r="G253" s="4">
        <f>IF(DatiOriginali!G253 &gt;= SogliaPicchi!$B$4,"",DatiOriginali!G253)</f>
        <v>62900</v>
      </c>
      <c r="H253" s="4">
        <v>147532</v>
      </c>
      <c r="I253" s="4">
        <f>IF(DatiOriginali!I253 &gt;= SogliaPicchi!$B$4,"",DatiOriginali!I253)</f>
        <v>15200</v>
      </c>
      <c r="J253" s="4">
        <v>147072</v>
      </c>
      <c r="K253" s="4">
        <f>IF(DatiOriginali!K253 &gt;= SogliaPicchi!$B$4,"",DatiOriginali!K253)</f>
        <v>17700</v>
      </c>
    </row>
    <row r="254" spans="1:11" x14ac:dyDescent="0.3">
      <c r="A254" s="4" t="s">
        <v>263</v>
      </c>
      <c r="B254" s="4">
        <v>11175</v>
      </c>
      <c r="C254" s="4">
        <f>IF(DatiOriginali!C254 &gt;= SogliaPicchi!$B$4,"",DatiOriginali!C254)</f>
        <v>107300</v>
      </c>
      <c r="D254" s="4">
        <v>5700</v>
      </c>
      <c r="E254" s="4">
        <f>IF(DatiOriginali!E254 &gt;= SogliaPicchi!$B$4,"",DatiOriginali!E254)</f>
        <v>33300</v>
      </c>
      <c r="F254" s="4">
        <v>123888</v>
      </c>
      <c r="G254" s="4">
        <f>IF(DatiOriginali!G254 &gt;= SogliaPicchi!$B$4,"",DatiOriginali!G254)</f>
        <v>70700</v>
      </c>
      <c r="H254" s="4">
        <v>148555</v>
      </c>
      <c r="I254" s="4">
        <f>IF(DatiOriginali!I254 &gt;= SogliaPicchi!$B$4,"",DatiOriginali!I254)</f>
        <v>19600</v>
      </c>
      <c r="J254" s="4">
        <v>148125</v>
      </c>
      <c r="K254" s="4">
        <f>IF(DatiOriginali!K254 &gt;= SogliaPicchi!$B$4,"",DatiOriginali!K254)</f>
        <v>22000</v>
      </c>
    </row>
    <row r="255" spans="1:11" x14ac:dyDescent="0.3">
      <c r="A255" s="4" t="s">
        <v>264</v>
      </c>
      <c r="B255" s="4">
        <v>11175</v>
      </c>
      <c r="C255" s="4">
        <f>IF(DatiOriginali!C255 &gt;= SogliaPicchi!$B$4,"",DatiOriginali!C255)</f>
        <v>99600</v>
      </c>
      <c r="D255" s="4">
        <v>5913</v>
      </c>
      <c r="E255" s="4">
        <f>IF(DatiOriginali!E255 &gt;= SogliaPicchi!$B$4,"",DatiOriginali!E255)</f>
        <v>28500</v>
      </c>
      <c r="F255" s="4">
        <v>124779</v>
      </c>
      <c r="G255" s="4">
        <f>IF(DatiOriginali!G255 &gt;= SogliaPicchi!$B$4,"",DatiOriginali!G255)</f>
        <v>60800</v>
      </c>
      <c r="H255" s="4">
        <v>149820</v>
      </c>
      <c r="I255" s="4">
        <f>IF(DatiOriginali!I255 &gt;= SogliaPicchi!$B$4,"",DatiOriginali!I255)</f>
        <v>19100</v>
      </c>
      <c r="J255" s="4">
        <v>149285</v>
      </c>
      <c r="K255" s="4">
        <f>IF(DatiOriginali!K255 &gt;= SogliaPicchi!$B$4,"",DatiOriginali!K255)</f>
        <v>20800</v>
      </c>
    </row>
    <row r="256" spans="1:11" x14ac:dyDescent="0.3">
      <c r="A256" s="4" t="s">
        <v>265</v>
      </c>
      <c r="B256" s="4">
        <v>11175</v>
      </c>
      <c r="C256" s="4">
        <f>IF(DatiOriginali!C256 &gt;= SogliaPicchi!$B$4,"",DatiOriginali!C256)</f>
        <v>82900</v>
      </c>
      <c r="D256" s="4">
        <v>5953</v>
      </c>
      <c r="E256" s="4">
        <f>IF(DatiOriginali!E256 &gt;= SogliaPicchi!$B$4,"",DatiOriginali!E256)</f>
        <v>28500</v>
      </c>
      <c r="F256" s="4">
        <v>125672</v>
      </c>
      <c r="G256" s="4">
        <f>IF(DatiOriginali!G256 &gt;= SogliaPicchi!$B$4,"",DatiOriginali!G256)</f>
        <v>61100</v>
      </c>
      <c r="H256" s="4">
        <v>150951</v>
      </c>
      <c r="I256" s="4">
        <f>IF(DatiOriginali!I256 &gt;= SogliaPicchi!$B$4,"",DatiOriginali!I256)</f>
        <v>18000</v>
      </c>
      <c r="J256" s="4">
        <v>150578</v>
      </c>
      <c r="K256" s="4">
        <f>IF(DatiOriginali!K256 &gt;= SogliaPicchi!$B$4,"",DatiOriginali!K256)</f>
        <v>21900</v>
      </c>
    </row>
    <row r="257" spans="1:11" x14ac:dyDescent="0.3">
      <c r="A257" s="4" t="s">
        <v>266</v>
      </c>
      <c r="B257" s="4">
        <v>11175</v>
      </c>
      <c r="C257" s="4">
        <f>IF(DatiOriginali!C257 &gt;= SogliaPicchi!$B$4,"",DatiOriginali!C257)</f>
        <v>90800</v>
      </c>
      <c r="D257" s="4">
        <v>5748</v>
      </c>
      <c r="E257" s="4">
        <f>IF(DatiOriginali!E257 &gt;= SogliaPicchi!$B$4,"",DatiOriginali!E257)</f>
        <v>28400</v>
      </c>
      <c r="F257" s="4">
        <v>126575</v>
      </c>
      <c r="G257" s="4">
        <f>IF(DatiOriginali!G257 &gt;= SogliaPicchi!$B$4,"",DatiOriginali!G257)</f>
        <v>79700</v>
      </c>
      <c r="H257" s="4">
        <v>151983</v>
      </c>
      <c r="I257" s="4">
        <f>IF(DatiOriginali!I257 &gt;= SogliaPicchi!$B$4,"",DatiOriginali!I257)</f>
        <v>32000</v>
      </c>
      <c r="J257" s="4">
        <v>151647</v>
      </c>
      <c r="K257" s="4">
        <f>IF(DatiOriginali!K257 &gt;= SogliaPicchi!$B$4,"",DatiOriginali!K257)</f>
        <v>18800</v>
      </c>
    </row>
    <row r="258" spans="1:11" x14ac:dyDescent="0.3">
      <c r="A258" s="4" t="s">
        <v>267</v>
      </c>
      <c r="B258" s="4">
        <v>11175</v>
      </c>
      <c r="C258" s="4">
        <f>IF(DatiOriginali!C258 &gt;= SogliaPicchi!$B$4,"",DatiOriginali!C258)</f>
        <v>84600</v>
      </c>
      <c r="D258" s="4">
        <v>5631</v>
      </c>
      <c r="E258" s="4">
        <f>IF(DatiOriginali!E258 &gt;= SogliaPicchi!$B$4,"",DatiOriginali!E258)</f>
        <v>27300</v>
      </c>
      <c r="F258" s="4">
        <v>127461</v>
      </c>
      <c r="G258" s="4">
        <f>IF(DatiOriginali!G258 &gt;= SogliaPicchi!$B$4,"",DatiOriginali!G258)</f>
        <v>107800</v>
      </c>
      <c r="H258" s="4">
        <v>153060</v>
      </c>
      <c r="I258" s="4">
        <f>IF(DatiOriginali!I258 &gt;= SogliaPicchi!$B$4,"",DatiOriginali!I258)</f>
        <v>46700</v>
      </c>
      <c r="J258" s="4">
        <v>152709</v>
      </c>
      <c r="K258" s="4">
        <f>IF(DatiOriginali!K258 &gt;= SogliaPicchi!$B$4,"",DatiOriginali!K258)</f>
        <v>22300</v>
      </c>
    </row>
    <row r="259" spans="1:11" x14ac:dyDescent="0.3">
      <c r="A259" s="4" t="s">
        <v>268</v>
      </c>
      <c r="B259" s="4">
        <v>11175</v>
      </c>
      <c r="C259" s="4">
        <f>IF(DatiOriginali!C259 &gt;= SogliaPicchi!$B$4,"",DatiOriginali!C259)</f>
        <v>72400</v>
      </c>
      <c r="D259" s="4">
        <v>5260</v>
      </c>
      <c r="E259" s="4">
        <f>IF(DatiOriginali!E259 &gt;= SogliaPicchi!$B$4,"",DatiOriginali!E259)</f>
        <v>21700</v>
      </c>
      <c r="F259" s="4">
        <v>128379</v>
      </c>
      <c r="G259" s="4">
        <f>IF(DatiOriginali!G259 &gt;= SogliaPicchi!$B$4,"",DatiOriginali!G259)</f>
        <v>59400</v>
      </c>
      <c r="H259" s="4">
        <v>154139</v>
      </c>
      <c r="I259" s="4">
        <f>IF(DatiOriginali!I259 &gt;= SogliaPicchi!$B$4,"",DatiOriginali!I259)</f>
        <v>14200</v>
      </c>
      <c r="J259" s="4">
        <v>153722</v>
      </c>
      <c r="K259" s="4">
        <f>IF(DatiOriginali!K259 &gt;= SogliaPicchi!$B$4,"",DatiOriginali!K259)</f>
        <v>19200</v>
      </c>
    </row>
    <row r="260" spans="1:11" x14ac:dyDescent="0.3">
      <c r="A260" s="4" t="s">
        <v>269</v>
      </c>
      <c r="B260" s="4">
        <v>11175</v>
      </c>
      <c r="C260" s="4">
        <f>IF(DatiOriginali!C260 &gt;= SogliaPicchi!$B$4,"",DatiOriginali!C260)</f>
        <v>94700</v>
      </c>
      <c r="D260" s="4">
        <v>5816</v>
      </c>
      <c r="E260" s="4">
        <f>IF(DatiOriginali!E260 &gt;= SogliaPicchi!$B$4,"",DatiOriginali!E260)</f>
        <v>34500</v>
      </c>
      <c r="F260" s="4">
        <v>129272</v>
      </c>
      <c r="G260" s="4">
        <f>IF(DatiOriginali!G260 &gt;= SogliaPicchi!$B$4,"",DatiOriginali!G260)</f>
        <v>65900</v>
      </c>
      <c r="H260" s="4">
        <v>155130</v>
      </c>
      <c r="I260" s="4">
        <f>IF(DatiOriginali!I260 &gt;= SogliaPicchi!$B$4,"",DatiOriginali!I260)</f>
        <v>17700</v>
      </c>
      <c r="J260" s="4">
        <v>154649</v>
      </c>
      <c r="K260" s="4">
        <f>IF(DatiOriginali!K260 &gt;= SogliaPicchi!$B$4,"",DatiOriginali!K260)</f>
        <v>24700</v>
      </c>
    </row>
    <row r="261" spans="1:11" x14ac:dyDescent="0.3">
      <c r="A261" s="4" t="s">
        <v>270</v>
      </c>
      <c r="B261" s="4">
        <v>11175</v>
      </c>
      <c r="C261" s="4">
        <f>IF(DatiOriginali!C261 &gt;= SogliaPicchi!$B$4,"",DatiOriginali!C261)</f>
        <v>99300</v>
      </c>
      <c r="D261" s="4">
        <v>5464</v>
      </c>
      <c r="E261" s="4">
        <f>IF(DatiOriginali!E261 &gt;= SogliaPicchi!$B$4,"",DatiOriginali!E261)</f>
        <v>26500</v>
      </c>
      <c r="F261" s="4">
        <v>130177</v>
      </c>
      <c r="G261" s="4">
        <f>IF(DatiOriginali!G261 &gt;= SogliaPicchi!$B$4,"",DatiOriginali!G261)</f>
        <v>94900</v>
      </c>
      <c r="H261" s="4">
        <v>156082</v>
      </c>
      <c r="I261" s="4">
        <f>IF(DatiOriginali!I261 &gt;= SogliaPicchi!$B$4,"",DatiOriginali!I261)</f>
        <v>17600</v>
      </c>
      <c r="J261" s="4">
        <v>155729</v>
      </c>
      <c r="K261" s="4">
        <f>IF(DatiOriginali!K261 &gt;= SogliaPicchi!$B$4,"",DatiOriginali!K261)</f>
        <v>24100</v>
      </c>
    </row>
    <row r="262" spans="1:11" x14ac:dyDescent="0.3">
      <c r="A262" s="4" t="s">
        <v>271</v>
      </c>
      <c r="B262" s="4">
        <v>11175</v>
      </c>
      <c r="C262" s="4">
        <f>IF(DatiOriginali!C262 &gt;= SogliaPicchi!$B$4,"",DatiOriginali!C262)</f>
        <v>90000</v>
      </c>
      <c r="D262" s="4">
        <v>5868</v>
      </c>
      <c r="E262" s="4">
        <f>IF(DatiOriginali!E262 &gt;= SogliaPicchi!$B$4,"",DatiOriginali!E262)</f>
        <v>28200</v>
      </c>
      <c r="F262" s="4">
        <v>131078</v>
      </c>
      <c r="G262" s="4">
        <f>IF(DatiOriginali!G262 &gt;= SogliaPicchi!$B$4,"",DatiOriginali!G262)</f>
        <v>58300</v>
      </c>
      <c r="H262" s="4">
        <v>157141</v>
      </c>
      <c r="I262" s="4">
        <f>IF(DatiOriginali!I262 &gt;= SogliaPicchi!$B$4,"",DatiOriginali!I262)</f>
        <v>18000</v>
      </c>
      <c r="J262" s="4">
        <v>156774</v>
      </c>
      <c r="K262" s="4">
        <f>IF(DatiOriginali!K262 &gt;= SogliaPicchi!$B$4,"",DatiOriginali!K262)</f>
        <v>23200</v>
      </c>
    </row>
    <row r="263" spans="1:11" x14ac:dyDescent="0.3">
      <c r="A263" s="4" t="s">
        <v>272</v>
      </c>
      <c r="B263" s="4">
        <v>11175</v>
      </c>
      <c r="C263" s="4">
        <f>IF(DatiOriginali!C263 &gt;= SogliaPicchi!$B$4,"",DatiOriginali!C263)</f>
        <v>77100</v>
      </c>
      <c r="D263" s="4">
        <v>5735</v>
      </c>
      <c r="E263" s="4">
        <f>IF(DatiOriginali!E263 &gt;= SogliaPicchi!$B$4,"",DatiOriginali!E263)</f>
        <v>22700</v>
      </c>
      <c r="F263" s="4">
        <v>131966</v>
      </c>
      <c r="G263" s="4">
        <f>IF(DatiOriginali!G263 &gt;= SogliaPicchi!$B$4,"",DatiOriginali!G263)</f>
        <v>58500</v>
      </c>
      <c r="H263" s="4">
        <v>158236</v>
      </c>
      <c r="I263" s="4">
        <f>IF(DatiOriginali!I263 &gt;= SogliaPicchi!$B$4,"",DatiOriginali!I263)</f>
        <v>15000</v>
      </c>
      <c r="J263" s="4">
        <v>157812</v>
      </c>
      <c r="K263" s="4">
        <f>IF(DatiOriginali!K263 &gt;= SogliaPicchi!$B$4,"",DatiOriginali!K263)</f>
        <v>18500</v>
      </c>
    </row>
    <row r="264" spans="1:11" x14ac:dyDescent="0.3">
      <c r="A264" s="4" t="s">
        <v>273</v>
      </c>
      <c r="B264" s="4">
        <v>11175</v>
      </c>
      <c r="C264" s="4">
        <f>IF(DatiOriginali!C264 &gt;= SogliaPicchi!$B$4,"",DatiOriginali!C264)</f>
        <v>77200</v>
      </c>
      <c r="D264" s="4">
        <v>5517</v>
      </c>
      <c r="E264" s="4">
        <f>IF(DatiOriginali!E264 &gt;= SogliaPicchi!$B$4,"",DatiOriginali!E264)</f>
        <v>21600</v>
      </c>
      <c r="F264" s="4">
        <v>132869</v>
      </c>
      <c r="G264" s="4">
        <f>IF(DatiOriginali!G264 &gt;= SogliaPicchi!$B$4,"",DatiOriginali!G264)</f>
        <v>55300</v>
      </c>
      <c r="H264" s="4">
        <v>159291</v>
      </c>
      <c r="I264" s="4">
        <f>IF(DatiOriginali!I264 &gt;= SogliaPicchi!$B$4,"",DatiOriginali!I264)</f>
        <v>14400</v>
      </c>
      <c r="J264" s="4">
        <v>158921</v>
      </c>
      <c r="K264" s="4">
        <f>IF(DatiOriginali!K264 &gt;= SogliaPicchi!$B$4,"",DatiOriginali!K264)</f>
        <v>17600</v>
      </c>
    </row>
    <row r="265" spans="1:11" x14ac:dyDescent="0.3">
      <c r="A265" s="4" t="s">
        <v>274</v>
      </c>
      <c r="B265" s="4">
        <v>11175</v>
      </c>
      <c r="C265" s="4">
        <f>IF(DatiOriginali!C265 &gt;= SogliaPicchi!$B$4,"",DatiOriginali!C265)</f>
        <v>80600</v>
      </c>
      <c r="D265" s="4">
        <v>5888</v>
      </c>
      <c r="E265" s="4">
        <f>IF(DatiOriginali!E265 &gt;= SogliaPicchi!$B$4,"",DatiOriginali!E265)</f>
        <v>22600</v>
      </c>
      <c r="F265" s="4">
        <v>133768</v>
      </c>
      <c r="G265" s="4">
        <f>IF(DatiOriginali!G265 &gt;= SogliaPicchi!$B$4,"",DatiOriginali!G265)</f>
        <v>44500</v>
      </c>
      <c r="H265" s="4">
        <v>160274</v>
      </c>
      <c r="I265" s="4">
        <f>IF(DatiOriginali!I265 &gt;= SogliaPicchi!$B$4,"",DatiOriginali!I265)</f>
        <v>13500</v>
      </c>
      <c r="J265" s="4">
        <v>159958</v>
      </c>
      <c r="K265" s="4">
        <f>IF(DatiOriginali!K265 &gt;= SogliaPicchi!$B$4,"",DatiOriginali!K265)</f>
        <v>17000</v>
      </c>
    </row>
    <row r="266" spans="1:11" x14ac:dyDescent="0.3">
      <c r="A266" s="4" t="s">
        <v>275</v>
      </c>
      <c r="B266" s="4">
        <v>11175</v>
      </c>
      <c r="C266" s="4">
        <f>IF(DatiOriginali!C266 &gt;= SogliaPicchi!$B$4,"",DatiOriginali!C266)</f>
        <v>93900</v>
      </c>
      <c r="D266" s="4">
        <v>5697</v>
      </c>
      <c r="E266" s="4">
        <f>IF(DatiOriginali!E266 &gt;= SogliaPicchi!$B$4,"",DatiOriginali!E266)</f>
        <v>40700</v>
      </c>
      <c r="F266" s="4">
        <v>134664</v>
      </c>
      <c r="G266" s="4">
        <f>IF(DatiOriginali!G266 &gt;= SogliaPicchi!$B$4,"",DatiOriginali!G266)</f>
        <v>71900</v>
      </c>
      <c r="H266" s="4">
        <v>161310</v>
      </c>
      <c r="I266" s="4">
        <f>IF(DatiOriginali!I266 &gt;= SogliaPicchi!$B$4,"",DatiOriginali!I266)</f>
        <v>19000</v>
      </c>
      <c r="J266" s="4">
        <v>160990</v>
      </c>
      <c r="K266" s="4">
        <f>IF(DatiOriginali!K266 &gt;= SogliaPicchi!$B$4,"",DatiOriginali!K266)</f>
        <v>24700</v>
      </c>
    </row>
    <row r="267" spans="1:11" x14ac:dyDescent="0.3">
      <c r="A267" s="4" t="s">
        <v>276</v>
      </c>
      <c r="B267" s="4">
        <v>11175</v>
      </c>
      <c r="C267" s="4">
        <f>IF(DatiOriginali!C267 &gt;= SogliaPicchi!$B$4,"",DatiOriginali!C267)</f>
        <v>100200</v>
      </c>
      <c r="D267" s="4">
        <v>6011</v>
      </c>
      <c r="E267" s="4">
        <f>IF(DatiOriginali!E267 &gt;= SogliaPicchi!$B$4,"",DatiOriginali!E267)</f>
        <v>47600</v>
      </c>
      <c r="F267" s="4">
        <v>135559</v>
      </c>
      <c r="G267" s="4">
        <f>IF(DatiOriginali!G267 &gt;= SogliaPicchi!$B$4,"",DatiOriginali!G267)</f>
        <v>89400</v>
      </c>
      <c r="H267" s="4">
        <v>162417</v>
      </c>
      <c r="I267" s="4">
        <f>IF(DatiOriginali!I267 &gt;= SogliaPicchi!$B$4,"",DatiOriginali!I267)</f>
        <v>22300</v>
      </c>
      <c r="J267" s="4">
        <v>162079</v>
      </c>
      <c r="K267" s="4">
        <f>IF(DatiOriginali!K267 &gt;= SogliaPicchi!$B$4,"",DatiOriginali!K267)</f>
        <v>39300</v>
      </c>
    </row>
    <row r="268" spans="1:11" x14ac:dyDescent="0.3">
      <c r="A268" s="4" t="s">
        <v>277</v>
      </c>
      <c r="B268" s="4">
        <v>11175</v>
      </c>
      <c r="C268" s="4">
        <f>IF(DatiOriginali!C268 &gt;= SogliaPicchi!$B$4,"",DatiOriginali!C268)</f>
        <v>83300</v>
      </c>
      <c r="D268" s="4">
        <v>5855</v>
      </c>
      <c r="E268" s="4">
        <f>IF(DatiOriginali!E268 &gt;= SogliaPicchi!$B$4,"",DatiOriginali!E268)</f>
        <v>39500</v>
      </c>
      <c r="F268" s="4">
        <v>136466</v>
      </c>
      <c r="G268" s="4">
        <f>IF(DatiOriginali!G268 &gt;= SogliaPicchi!$B$4,"",DatiOriginali!G268)</f>
        <v>67900</v>
      </c>
      <c r="H268" s="4">
        <v>163579</v>
      </c>
      <c r="I268" s="4">
        <f>IF(DatiOriginali!I268 &gt;= SogliaPicchi!$B$4,"",DatiOriginali!I268)</f>
        <v>15200</v>
      </c>
      <c r="J268" s="4">
        <v>163231</v>
      </c>
      <c r="K268" s="4">
        <f>IF(DatiOriginali!K268 &gt;= SogliaPicchi!$B$4,"",DatiOriginali!K268)</f>
        <v>19100</v>
      </c>
    </row>
    <row r="269" spans="1:11" x14ac:dyDescent="0.3">
      <c r="A269" s="4" t="s">
        <v>278</v>
      </c>
      <c r="B269" s="4">
        <v>11175</v>
      </c>
      <c r="C269" s="4">
        <f>IF(DatiOriginali!C269 &gt;= SogliaPicchi!$B$4,"",DatiOriginali!C269)</f>
        <v>70900</v>
      </c>
      <c r="D269" s="4">
        <v>5664</v>
      </c>
      <c r="E269" s="4">
        <f>IF(DatiOriginali!E269 &gt;= SogliaPicchi!$B$4,"",DatiOriginali!E269)</f>
        <v>22000</v>
      </c>
      <c r="F269" s="4">
        <v>137362</v>
      </c>
      <c r="G269" s="4">
        <f>IF(DatiOriginali!G269 &gt;= SogliaPicchi!$B$4,"",DatiOriginali!G269)</f>
        <v>56900</v>
      </c>
      <c r="H269" s="4">
        <v>164693</v>
      </c>
      <c r="I269" s="4">
        <f>IF(DatiOriginali!I269 &gt;= SogliaPicchi!$B$4,"",DatiOriginali!I269)</f>
        <v>14600</v>
      </c>
      <c r="J269" s="4">
        <v>164420</v>
      </c>
      <c r="K269" s="4">
        <f>IF(DatiOriginali!K269 &gt;= SogliaPicchi!$B$4,"",DatiOriginali!K269)</f>
        <v>17900</v>
      </c>
    </row>
    <row r="270" spans="1:11" x14ac:dyDescent="0.3">
      <c r="A270" s="4" t="s">
        <v>279</v>
      </c>
      <c r="B270" s="4">
        <v>11175</v>
      </c>
      <c r="C270" s="4">
        <f>IF(DatiOriginali!C270 &gt;= SogliaPicchi!$B$4,"",DatiOriginali!C270)</f>
        <v>89800</v>
      </c>
      <c r="D270" s="4">
        <v>5722</v>
      </c>
      <c r="E270" s="4">
        <f>IF(DatiOriginali!E270 &gt;= SogliaPicchi!$B$4,"",DatiOriginali!E270)</f>
        <v>33200</v>
      </c>
      <c r="F270" s="4">
        <v>138257</v>
      </c>
      <c r="G270" s="4">
        <f>IF(DatiOriginali!G270 &gt;= SogliaPicchi!$B$4,"",DatiOriginali!G270)</f>
        <v>80800</v>
      </c>
      <c r="H270" s="4">
        <v>165788</v>
      </c>
      <c r="I270" s="4">
        <f>IF(DatiOriginali!I270 &gt;= SogliaPicchi!$B$4,"",DatiOriginali!I270)</f>
        <v>19100</v>
      </c>
      <c r="J270" s="4">
        <v>165426</v>
      </c>
      <c r="K270" s="4">
        <f>IF(DatiOriginali!K270 &gt;= SogliaPicchi!$B$4,"",DatiOriginali!K270)</f>
        <v>23000</v>
      </c>
    </row>
    <row r="271" spans="1:11" x14ac:dyDescent="0.3">
      <c r="A271" s="4" t="s">
        <v>280</v>
      </c>
      <c r="B271" s="4">
        <v>11175</v>
      </c>
      <c r="C271" s="4">
        <f>IF(DatiOriginali!C271 &gt;= SogliaPicchi!$B$4,"",DatiOriginali!C271)</f>
        <v>85600</v>
      </c>
      <c r="D271" s="4">
        <v>5394</v>
      </c>
      <c r="E271" s="4">
        <f>IF(DatiOriginali!E271 &gt;= SogliaPicchi!$B$4,"",DatiOriginali!E271)</f>
        <v>32200</v>
      </c>
      <c r="F271" s="4">
        <v>139168</v>
      </c>
      <c r="G271" s="4">
        <f>IF(DatiOriginali!G271 &gt;= SogliaPicchi!$B$4,"",DatiOriginali!G271)</f>
        <v>64400</v>
      </c>
      <c r="H271" s="4">
        <v>166777</v>
      </c>
      <c r="I271" s="4">
        <f>IF(DatiOriginali!I271 &gt;= SogliaPicchi!$B$4,"",DatiOriginali!I271)</f>
        <v>17200</v>
      </c>
      <c r="J271" s="4">
        <v>166563</v>
      </c>
      <c r="K271" s="4">
        <f>IF(DatiOriginali!K271 &gt;= SogliaPicchi!$B$4,"",DatiOriginali!K271)</f>
        <v>24100</v>
      </c>
    </row>
    <row r="272" spans="1:11" x14ac:dyDescent="0.3">
      <c r="A272" s="4" t="s">
        <v>281</v>
      </c>
      <c r="B272" s="4">
        <v>11175</v>
      </c>
      <c r="C272" s="4">
        <f>IF(DatiOriginali!C272 &gt;= SogliaPicchi!$B$4,"",DatiOriginali!C272)</f>
        <v>97800</v>
      </c>
      <c r="D272" s="4">
        <v>5738</v>
      </c>
      <c r="E272" s="4">
        <f>IF(DatiOriginali!E272 &gt;= SogliaPicchi!$B$4,"",DatiOriginali!E272)</f>
        <v>32500</v>
      </c>
      <c r="F272" s="4">
        <v>140061</v>
      </c>
      <c r="G272" s="4">
        <f>IF(DatiOriginali!G272 &gt;= SogliaPicchi!$B$4,"",DatiOriginali!G272)</f>
        <v>64500</v>
      </c>
      <c r="H272" s="4">
        <v>168027</v>
      </c>
      <c r="I272" s="4">
        <f>IF(DatiOriginali!I272 &gt;= SogliaPicchi!$B$4,"",DatiOriginali!I272)</f>
        <v>18300</v>
      </c>
      <c r="J272" s="4">
        <v>167700</v>
      </c>
      <c r="K272" s="4">
        <f>IF(DatiOriginali!K272 &gt;= SogliaPicchi!$B$4,"",DatiOriginali!K272)</f>
        <v>21300</v>
      </c>
    </row>
    <row r="273" spans="1:11" x14ac:dyDescent="0.3">
      <c r="A273" s="4" t="s">
        <v>282</v>
      </c>
      <c r="B273" s="4">
        <v>11175</v>
      </c>
      <c r="C273" s="4">
        <f>IF(DatiOriginali!C273 &gt;= SogliaPicchi!$B$4,"",DatiOriginali!C273)</f>
        <v>96100</v>
      </c>
      <c r="D273" s="4">
        <v>5824</v>
      </c>
      <c r="E273" s="4">
        <f>IF(DatiOriginali!E273 &gt;= SogliaPicchi!$B$4,"",DatiOriginali!E273)</f>
        <v>27900</v>
      </c>
      <c r="F273" s="4">
        <v>140961</v>
      </c>
      <c r="G273" s="4">
        <f>IF(DatiOriginali!G273 &gt;= SogliaPicchi!$B$4,"",DatiOriginali!G273)</f>
        <v>57100</v>
      </c>
      <c r="H273" s="4">
        <v>169091</v>
      </c>
      <c r="I273" s="4">
        <f>IF(DatiOriginali!I273 &gt;= SogliaPicchi!$B$4,"",DatiOriginali!I273)</f>
        <v>17700</v>
      </c>
      <c r="J273" s="4">
        <v>168837</v>
      </c>
      <c r="K273" s="4">
        <f>IF(DatiOriginali!K273 &gt;= SogliaPicchi!$B$4,"",DatiOriginali!K273)</f>
        <v>23700</v>
      </c>
    </row>
    <row r="274" spans="1:11" x14ac:dyDescent="0.3">
      <c r="A274" s="4" t="s">
        <v>283</v>
      </c>
      <c r="B274" s="4">
        <v>11175</v>
      </c>
      <c r="C274" s="4">
        <f>IF(DatiOriginali!C274 &gt;= SogliaPicchi!$B$4,"",DatiOriginali!C274)</f>
        <v>73400</v>
      </c>
      <c r="D274" s="4">
        <v>5664</v>
      </c>
      <c r="E274" s="4">
        <f>IF(DatiOriginali!E274 &gt;= SogliaPicchi!$B$4,"",DatiOriginali!E274)</f>
        <v>22400</v>
      </c>
      <c r="F274" s="4">
        <v>141861</v>
      </c>
      <c r="G274" s="4">
        <f>IF(DatiOriginali!G274 &gt;= SogliaPicchi!$B$4,"",DatiOriginali!G274)</f>
        <v>60800</v>
      </c>
      <c r="H274" s="4">
        <v>170020</v>
      </c>
      <c r="I274" s="4">
        <f>IF(DatiOriginali!I274 &gt;= SogliaPicchi!$B$4,"",DatiOriginali!I274)</f>
        <v>13900</v>
      </c>
      <c r="J274" s="4">
        <v>169863</v>
      </c>
      <c r="K274" s="4">
        <f>IF(DatiOriginali!K274 &gt;= SogliaPicchi!$B$4,"",DatiOriginali!K274)</f>
        <v>18700</v>
      </c>
    </row>
    <row r="275" spans="1:11" x14ac:dyDescent="0.3">
      <c r="A275" s="4" t="s">
        <v>284</v>
      </c>
      <c r="B275" s="4">
        <v>11175</v>
      </c>
      <c r="C275" s="4">
        <f>IF(DatiOriginali!C275 &gt;= SogliaPicchi!$B$4,"",DatiOriginali!C275)</f>
        <v>73600</v>
      </c>
      <c r="D275" s="4">
        <v>5996</v>
      </c>
      <c r="E275" s="4">
        <f>IF(DatiOriginali!E275 &gt;= SogliaPicchi!$B$4,"",DatiOriginali!E275)</f>
        <v>23200</v>
      </c>
      <c r="F275" s="4">
        <v>142767</v>
      </c>
      <c r="G275" s="4">
        <f>IF(DatiOriginali!G275 &gt;= SogliaPicchi!$B$4,"",DatiOriginali!G275)</f>
        <v>54400</v>
      </c>
      <c r="H275" s="4">
        <v>171053</v>
      </c>
      <c r="I275" s="4">
        <f>IF(DatiOriginali!I275 &gt;= SogliaPicchi!$B$4,"",DatiOriginali!I275)</f>
        <v>14300</v>
      </c>
      <c r="J275" s="4">
        <v>171180</v>
      </c>
      <c r="K275" s="4">
        <f>IF(DatiOriginali!K275 &gt;= SogliaPicchi!$B$4,"",DatiOriginali!K275)</f>
        <v>18400</v>
      </c>
    </row>
    <row r="276" spans="1:11" x14ac:dyDescent="0.3">
      <c r="A276" s="4" t="s">
        <v>285</v>
      </c>
      <c r="B276" s="4">
        <v>11175</v>
      </c>
      <c r="C276" s="4">
        <f>IF(DatiOriginali!C276 &gt;= SogliaPicchi!$B$4,"",DatiOriginali!C276)</f>
        <v>91900</v>
      </c>
      <c r="D276" s="4">
        <v>6072</v>
      </c>
      <c r="E276" s="4">
        <f>IF(DatiOriginali!E276 &gt;= SogliaPicchi!$B$4,"",DatiOriginali!E276)</f>
        <v>36100</v>
      </c>
      <c r="F276" s="4">
        <v>143658</v>
      </c>
      <c r="G276" s="4">
        <f>IF(DatiOriginali!G276 &gt;= SogliaPicchi!$B$4,"",DatiOriginali!G276)</f>
        <v>68200</v>
      </c>
      <c r="H276" s="4">
        <v>172113</v>
      </c>
      <c r="I276" s="4">
        <f>IF(DatiOriginali!I276 &gt;= SogliaPicchi!$B$4,"",DatiOriginali!I276)</f>
        <v>18400</v>
      </c>
      <c r="J276" s="4">
        <v>172776</v>
      </c>
      <c r="K276" s="4">
        <f>IF(DatiOriginali!K276 &gt;= SogliaPicchi!$B$4,"",DatiOriginali!K276)</f>
        <v>27400</v>
      </c>
    </row>
    <row r="277" spans="1:11" x14ac:dyDescent="0.3">
      <c r="A277" s="4" t="s">
        <v>286</v>
      </c>
      <c r="B277" s="4">
        <v>11175</v>
      </c>
      <c r="C277" s="4">
        <f>IF(DatiOriginali!C277 &gt;= SogliaPicchi!$B$4,"",DatiOriginali!C277)</f>
        <v>85700</v>
      </c>
      <c r="D277" s="4">
        <v>5120</v>
      </c>
      <c r="E277" s="4">
        <f>IF(DatiOriginali!E277 &gt;= SogliaPicchi!$B$4,"",DatiOriginali!E277)</f>
        <v>25500</v>
      </c>
      <c r="F277" s="4">
        <v>144557</v>
      </c>
      <c r="G277" s="4">
        <f>IF(DatiOriginali!G277 &gt;= SogliaPicchi!$B$4,"",DatiOriginali!G277)</f>
        <v>58000</v>
      </c>
      <c r="H277" s="4">
        <v>173082</v>
      </c>
      <c r="I277" s="4">
        <f>IF(DatiOriginali!I277 &gt;= SogliaPicchi!$B$4,"",DatiOriginali!I277)</f>
        <v>17700</v>
      </c>
      <c r="J277" s="4">
        <v>173825</v>
      </c>
      <c r="K277" s="4">
        <f>IF(DatiOriginali!K277 &gt;= SogliaPicchi!$B$4,"",DatiOriginali!K277)</f>
        <v>23100</v>
      </c>
    </row>
    <row r="278" spans="1:11" x14ac:dyDescent="0.3">
      <c r="A278" s="4" t="s">
        <v>287</v>
      </c>
      <c r="B278" s="4">
        <v>11175</v>
      </c>
      <c r="C278" s="4">
        <f>IF(DatiOriginali!C278 &gt;= SogliaPicchi!$B$4,"",DatiOriginali!C278)</f>
        <v>81800</v>
      </c>
      <c r="D278" s="4">
        <v>5375</v>
      </c>
      <c r="E278" s="4">
        <f>IF(DatiOriginali!E278 &gt;= SogliaPicchi!$B$4,"",DatiOriginali!E278)</f>
        <v>25600</v>
      </c>
      <c r="F278" s="4">
        <v>145454</v>
      </c>
      <c r="G278" s="4">
        <f>IF(DatiOriginali!G278 &gt;= SogliaPicchi!$B$4,"",DatiOriginali!G278)</f>
        <v>55900</v>
      </c>
      <c r="H278" s="4">
        <v>174065</v>
      </c>
      <c r="I278" s="4">
        <f>IF(DatiOriginali!I278 &gt;= SogliaPicchi!$B$4,"",DatiOriginali!I278)</f>
        <v>17100</v>
      </c>
      <c r="J278" s="4">
        <v>175027</v>
      </c>
      <c r="K278" s="4">
        <f>IF(DatiOriginali!K278 &gt;= SogliaPicchi!$B$4,"",DatiOriginali!K278)</f>
        <v>23400</v>
      </c>
    </row>
    <row r="279" spans="1:11" x14ac:dyDescent="0.3">
      <c r="A279" s="4" t="s">
        <v>288</v>
      </c>
      <c r="B279" s="4">
        <v>11175</v>
      </c>
      <c r="C279" s="4">
        <f>IF(DatiOriginali!C279 &gt;= SogliaPicchi!$B$4,"",DatiOriginali!C279)</f>
        <v>67600</v>
      </c>
      <c r="D279" s="4">
        <v>5522</v>
      </c>
      <c r="E279" s="4">
        <f>IF(DatiOriginali!E279 &gt;= SogliaPicchi!$B$4,"",DatiOriginali!E279)</f>
        <v>21700</v>
      </c>
      <c r="F279" s="4">
        <v>146351</v>
      </c>
      <c r="G279" s="4">
        <f>IF(DatiOriginali!G279 &gt;= SogliaPicchi!$B$4,"",DatiOriginali!G279)</f>
        <v>45700</v>
      </c>
      <c r="H279" s="4">
        <v>175104</v>
      </c>
      <c r="I279" s="4">
        <f>IF(DatiOriginali!I279 &gt;= SogliaPicchi!$B$4,"",DatiOriginali!I279)</f>
        <v>13900</v>
      </c>
      <c r="J279" s="4">
        <v>176100</v>
      </c>
      <c r="K279" s="4">
        <f>IF(DatiOriginali!K279 &gt;= SogliaPicchi!$B$4,"",DatiOriginali!K279)</f>
        <v>18300</v>
      </c>
    </row>
    <row r="280" spans="1:11" x14ac:dyDescent="0.3">
      <c r="A280" s="4" t="s">
        <v>289</v>
      </c>
      <c r="B280" s="4">
        <v>11175</v>
      </c>
      <c r="C280" s="4">
        <f>IF(DatiOriginali!C280 &gt;= SogliaPicchi!$B$4,"",DatiOriginali!C280)</f>
        <v>85400</v>
      </c>
      <c r="D280" s="4">
        <v>6030</v>
      </c>
      <c r="E280" s="4">
        <f>IF(DatiOriginali!E280 &gt;= SogliaPicchi!$B$4,"",DatiOriginali!E280)</f>
        <v>23100</v>
      </c>
      <c r="F280" s="4">
        <v>147251</v>
      </c>
      <c r="G280" s="4">
        <f>IF(DatiOriginali!G280 &gt;= SogliaPicchi!$B$4,"",DatiOriginali!G280)</f>
        <v>55300</v>
      </c>
      <c r="H280" s="4">
        <v>176193</v>
      </c>
      <c r="I280" s="4">
        <f>IF(DatiOriginali!I280 &gt;= SogliaPicchi!$B$4,"",DatiOriginali!I280)</f>
        <v>14100</v>
      </c>
      <c r="J280" s="4">
        <v>177120</v>
      </c>
      <c r="K280" s="4">
        <f>IF(DatiOriginali!K280 &gt;= SogliaPicchi!$B$4,"",DatiOriginali!K280)</f>
        <v>18400</v>
      </c>
    </row>
    <row r="281" spans="1:11" x14ac:dyDescent="0.3">
      <c r="A281" s="4" t="s">
        <v>290</v>
      </c>
      <c r="B281" s="4">
        <v>11175</v>
      </c>
      <c r="C281" s="4">
        <f>IF(DatiOriginali!C281 &gt;= SogliaPicchi!$B$4,"",DatiOriginali!C281)</f>
        <v>66500</v>
      </c>
      <c r="D281" s="4">
        <v>5392</v>
      </c>
      <c r="E281" s="4">
        <f>IF(DatiOriginali!E281 &gt;= SogliaPicchi!$B$4,"",DatiOriginali!E281)</f>
        <v>21600</v>
      </c>
      <c r="F281" s="4">
        <v>148153</v>
      </c>
      <c r="G281" s="4">
        <f>IF(DatiOriginali!G281 &gt;= SogliaPicchi!$B$4,"",DatiOriginali!G281)</f>
        <v>60000</v>
      </c>
      <c r="H281" s="4">
        <v>177239</v>
      </c>
      <c r="I281" s="4">
        <f>IF(DatiOriginali!I281 &gt;= SogliaPicchi!$B$4,"",DatiOriginali!I281)</f>
        <v>18300</v>
      </c>
      <c r="J281" s="4">
        <v>178152</v>
      </c>
      <c r="K281" s="4">
        <f>IF(DatiOriginali!K281 &gt;= SogliaPicchi!$B$4,"",DatiOriginali!K281)</f>
        <v>19400</v>
      </c>
    </row>
    <row r="282" spans="1:11" x14ac:dyDescent="0.3">
      <c r="A282" s="4" t="s">
        <v>291</v>
      </c>
      <c r="B282" s="4">
        <v>11175</v>
      </c>
      <c r="C282" s="4">
        <f>IF(DatiOriginali!C282 &gt;= SogliaPicchi!$B$4,"",DatiOriginali!C282)</f>
        <v>71300</v>
      </c>
      <c r="D282" s="4">
        <v>5122</v>
      </c>
      <c r="E282" s="4">
        <f>IF(DatiOriginali!E282 &gt;= SogliaPicchi!$B$4,"",DatiOriginali!E282)</f>
        <v>21000</v>
      </c>
      <c r="F282" s="4">
        <v>149058</v>
      </c>
      <c r="G282" s="4">
        <f>IF(DatiOriginali!G282 &gt;= SogliaPicchi!$B$4,"",DatiOriginali!G282)</f>
        <v>46700</v>
      </c>
      <c r="H282" s="4">
        <v>178372</v>
      </c>
      <c r="I282" s="4">
        <f>IF(DatiOriginali!I282 &gt;= SogliaPicchi!$B$4,"",DatiOriginali!I282)</f>
        <v>15100</v>
      </c>
      <c r="J282" s="4">
        <v>179253</v>
      </c>
      <c r="K282" s="4">
        <f>IF(DatiOriginali!K282 &gt;= SogliaPicchi!$B$4,"",DatiOriginali!K282)</f>
        <v>19600</v>
      </c>
    </row>
    <row r="283" spans="1:11" x14ac:dyDescent="0.3">
      <c r="A283" s="4" t="s">
        <v>292</v>
      </c>
      <c r="B283" s="4">
        <v>11175</v>
      </c>
      <c r="C283" s="4">
        <f>IF(DatiOriginali!C283 &gt;= SogliaPicchi!$B$4,"",DatiOriginali!C283)</f>
        <v>73200</v>
      </c>
      <c r="D283" s="4">
        <v>5533</v>
      </c>
      <c r="E283" s="4">
        <f>IF(DatiOriginali!E283 &gt;= SogliaPicchi!$B$4,"",DatiOriginali!E283)</f>
        <v>21800</v>
      </c>
      <c r="F283" s="4">
        <v>149957</v>
      </c>
      <c r="G283" s="4">
        <f>IF(DatiOriginali!G283 &gt;= SogliaPicchi!$B$4,"",DatiOriginali!G283)</f>
        <v>45100</v>
      </c>
      <c r="H283" s="4">
        <v>179335</v>
      </c>
      <c r="I283" s="4">
        <f>IF(DatiOriginali!I283 &gt;= SogliaPicchi!$B$4,"",DatiOriginali!I283)</f>
        <v>14100</v>
      </c>
      <c r="J283" s="4">
        <v>180287</v>
      </c>
      <c r="K283" s="4">
        <f>IF(DatiOriginali!K283 &gt;= SogliaPicchi!$B$4,"",DatiOriginali!K283)</f>
        <v>17600</v>
      </c>
    </row>
    <row r="284" spans="1:11" x14ac:dyDescent="0.3">
      <c r="A284" s="4" t="s">
        <v>293</v>
      </c>
      <c r="B284" s="4">
        <v>11175</v>
      </c>
      <c r="C284" s="4">
        <f>IF(DatiOriginali!C284 &gt;= SogliaPicchi!$B$4,"",DatiOriginali!C284)</f>
        <v>84600</v>
      </c>
      <c r="D284" s="4">
        <v>6285</v>
      </c>
      <c r="E284" s="4">
        <f>IF(DatiOriginali!E284 &gt;= SogliaPicchi!$B$4,"",DatiOriginali!E284)</f>
        <v>24100</v>
      </c>
      <c r="F284" s="4">
        <v>150869</v>
      </c>
      <c r="G284" s="4">
        <f>IF(DatiOriginali!G284 &gt;= SogliaPicchi!$B$4,"",DatiOriginali!G284)</f>
        <v>45700</v>
      </c>
      <c r="H284" s="4">
        <v>180480</v>
      </c>
      <c r="I284" s="4">
        <f>IF(DatiOriginali!I284 &gt;= SogliaPicchi!$B$4,"",DatiOriginali!I284)</f>
        <v>14700</v>
      </c>
      <c r="J284" s="4">
        <v>181376</v>
      </c>
      <c r="K284" s="4">
        <f>IF(DatiOriginali!K284 &gt;= SogliaPicchi!$B$4,"",DatiOriginali!K284)</f>
        <v>18500</v>
      </c>
    </row>
    <row r="285" spans="1:11" x14ac:dyDescent="0.3">
      <c r="A285" s="4" t="s">
        <v>294</v>
      </c>
      <c r="B285" s="4">
        <v>11175</v>
      </c>
      <c r="C285" s="4">
        <f>IF(DatiOriginali!C285 &gt;= SogliaPicchi!$B$4,"",DatiOriginali!C285)</f>
        <v>75300</v>
      </c>
      <c r="D285" s="4">
        <v>5318</v>
      </c>
      <c r="E285" s="4">
        <f>IF(DatiOriginali!E285 &gt;= SogliaPicchi!$B$4,"",DatiOriginali!E285)</f>
        <v>21000</v>
      </c>
      <c r="F285" s="4">
        <v>151773</v>
      </c>
      <c r="G285" s="4">
        <f>IF(DatiOriginali!G285 &gt;= SogliaPicchi!$B$4,"",DatiOriginali!G285)</f>
        <v>54700</v>
      </c>
      <c r="H285" s="4">
        <v>181726</v>
      </c>
      <c r="I285" s="4">
        <f>IF(DatiOriginali!I285 &gt;= SogliaPicchi!$B$4,"",DatiOriginali!I285)</f>
        <v>14500</v>
      </c>
      <c r="J285" s="4">
        <v>182573</v>
      </c>
      <c r="K285" s="4">
        <f>IF(DatiOriginali!K285 &gt;= SogliaPicchi!$B$4,"",DatiOriginali!K285)</f>
        <v>17600</v>
      </c>
    </row>
    <row r="286" spans="1:11" x14ac:dyDescent="0.3">
      <c r="A286" s="4" t="s">
        <v>295</v>
      </c>
      <c r="B286" s="4">
        <v>11175</v>
      </c>
      <c r="C286" s="4">
        <f>IF(DatiOriginali!C286 &gt;= SogliaPicchi!$B$4,"",DatiOriginali!C286)</f>
        <v>74700</v>
      </c>
      <c r="D286" s="4">
        <v>6259</v>
      </c>
      <c r="E286" s="4">
        <f>IF(DatiOriginali!E286 &gt;= SogliaPicchi!$B$4,"",DatiOriginali!E286)</f>
        <v>25300</v>
      </c>
      <c r="F286" s="4">
        <v>152674</v>
      </c>
      <c r="G286" s="4">
        <f>IF(DatiOriginali!G286 &gt;= SogliaPicchi!$B$4,"",DatiOriginali!G286)</f>
        <v>53400</v>
      </c>
      <c r="H286" s="4">
        <v>182863</v>
      </c>
      <c r="I286" s="4">
        <f>IF(DatiOriginali!I286 &gt;= SogliaPicchi!$B$4,"",DatiOriginali!I286)</f>
        <v>13800</v>
      </c>
      <c r="J286" s="4">
        <v>183792</v>
      </c>
      <c r="K286" s="4">
        <f>IF(DatiOriginali!K286 &gt;= SogliaPicchi!$B$4,"",DatiOriginali!K286)</f>
        <v>16800</v>
      </c>
    </row>
    <row r="287" spans="1:11" x14ac:dyDescent="0.3">
      <c r="A287" s="4" t="s">
        <v>296</v>
      </c>
      <c r="B287" s="4">
        <v>11175</v>
      </c>
      <c r="C287" s="4">
        <f>IF(DatiOriginali!C287 &gt;= SogliaPicchi!$B$4,"",DatiOriginali!C287)</f>
        <v>68400</v>
      </c>
      <c r="D287" s="4">
        <v>5728</v>
      </c>
      <c r="E287" s="4">
        <f>IF(DatiOriginali!E287 &gt;= SogliaPicchi!$B$4,"",DatiOriginali!E287)</f>
        <v>22300</v>
      </c>
      <c r="F287" s="4">
        <v>153576</v>
      </c>
      <c r="G287" s="4">
        <f>IF(DatiOriginali!G287 &gt;= SogliaPicchi!$B$4,"",DatiOriginali!G287)</f>
        <v>46300</v>
      </c>
      <c r="H287" s="4">
        <v>183998</v>
      </c>
      <c r="I287" s="4">
        <f>IF(DatiOriginali!I287 &gt;= SogliaPicchi!$B$4,"",DatiOriginali!I287)</f>
        <v>14600</v>
      </c>
      <c r="J287" s="4">
        <v>184782</v>
      </c>
      <c r="K287" s="4">
        <f>IF(DatiOriginali!K287 &gt;= SogliaPicchi!$B$4,"",DatiOriginali!K287)</f>
        <v>17300</v>
      </c>
    </row>
    <row r="288" spans="1:11" x14ac:dyDescent="0.3">
      <c r="A288" s="4" t="s">
        <v>297</v>
      </c>
      <c r="B288" s="4">
        <v>11175</v>
      </c>
      <c r="C288" s="4">
        <f>IF(DatiOriginali!C288 &gt;= SogliaPicchi!$B$4,"",DatiOriginali!C288)</f>
        <v>71500</v>
      </c>
      <c r="D288" s="4">
        <v>5426</v>
      </c>
      <c r="E288" s="4">
        <f>IF(DatiOriginali!E288 &gt;= SogliaPicchi!$B$4,"",DatiOriginali!E288)</f>
        <v>21200</v>
      </c>
      <c r="F288" s="4">
        <v>154485</v>
      </c>
      <c r="G288" s="4">
        <f>IF(DatiOriginali!G288 &gt;= SogliaPicchi!$B$4,"",DatiOriginali!G288)</f>
        <v>43900</v>
      </c>
      <c r="H288" s="4">
        <v>185254</v>
      </c>
      <c r="I288" s="4">
        <f>IF(DatiOriginali!I288 &gt;= SogliaPicchi!$B$4,"",DatiOriginali!I288)</f>
        <v>14800</v>
      </c>
      <c r="J288" s="4">
        <v>185861</v>
      </c>
      <c r="K288" s="4">
        <f>IF(DatiOriginali!K288 &gt;= SogliaPicchi!$B$4,"",DatiOriginali!K288)</f>
        <v>26800</v>
      </c>
    </row>
    <row r="289" spans="1:11" x14ac:dyDescent="0.3">
      <c r="A289" s="4" t="s">
        <v>298</v>
      </c>
      <c r="B289" s="4">
        <v>11175</v>
      </c>
      <c r="C289" s="4">
        <f>IF(DatiOriginali!C289 &gt;= SogliaPicchi!$B$4,"",DatiOriginali!C289)</f>
        <v>87700</v>
      </c>
      <c r="D289" s="4">
        <v>5819</v>
      </c>
      <c r="E289" s="4">
        <f>IF(DatiOriginali!E289 &gt;= SogliaPicchi!$B$4,"",DatiOriginali!E289)</f>
        <v>28300</v>
      </c>
      <c r="F289" s="4">
        <v>155398</v>
      </c>
      <c r="G289" s="4">
        <f>IF(DatiOriginali!G289 &gt;= SogliaPicchi!$B$4,"",DatiOriginali!G289)</f>
        <v>63500</v>
      </c>
      <c r="H289" s="4">
        <v>186300</v>
      </c>
      <c r="I289" s="4">
        <f>IF(DatiOriginali!I289 &gt;= SogliaPicchi!$B$4,"",DatiOriginali!I289)</f>
        <v>17900</v>
      </c>
      <c r="J289" s="4">
        <v>186837</v>
      </c>
      <c r="K289" s="4">
        <f>IF(DatiOriginali!K289 &gt;= SogliaPicchi!$B$4,"",DatiOriginali!K289)</f>
        <v>23500</v>
      </c>
    </row>
    <row r="290" spans="1:11" x14ac:dyDescent="0.3">
      <c r="A290" s="4" t="s">
        <v>299</v>
      </c>
      <c r="B290" s="4">
        <v>11175</v>
      </c>
      <c r="C290" s="4">
        <f>IF(DatiOriginali!C290 &gt;= SogliaPicchi!$B$4,"",DatiOriginali!C290)</f>
        <v>63700</v>
      </c>
      <c r="D290" s="4">
        <v>5564</v>
      </c>
      <c r="E290" s="4">
        <f>IF(DatiOriginali!E290 &gt;= SogliaPicchi!$B$4,"",DatiOriginali!E290)</f>
        <v>22100</v>
      </c>
      <c r="F290" s="4">
        <v>156298</v>
      </c>
      <c r="G290" s="4">
        <f>IF(DatiOriginali!G290 &gt;= SogliaPicchi!$B$4,"",DatiOriginali!G290)</f>
        <v>48000</v>
      </c>
      <c r="H290" s="4">
        <v>187371</v>
      </c>
      <c r="I290" s="4">
        <f>IF(DatiOriginali!I290 &gt;= SogliaPicchi!$B$4,"",DatiOriginali!I290)</f>
        <v>14800</v>
      </c>
      <c r="J290" s="4">
        <v>187914</v>
      </c>
      <c r="K290" s="4">
        <f>IF(DatiOriginali!K290 &gt;= SogliaPicchi!$B$4,"",DatiOriginali!K290)</f>
        <v>19400</v>
      </c>
    </row>
    <row r="291" spans="1:11" x14ac:dyDescent="0.3">
      <c r="A291" s="4" t="s">
        <v>300</v>
      </c>
      <c r="B291" s="4">
        <v>11175</v>
      </c>
      <c r="C291" s="4">
        <f>IF(DatiOriginali!C291 &gt;= SogliaPicchi!$B$4,"",DatiOriginali!C291)</f>
        <v>85600</v>
      </c>
      <c r="D291" s="4">
        <v>5753</v>
      </c>
      <c r="E291" s="4">
        <f>IF(DatiOriginali!E291 &gt;= SogliaPicchi!$B$4,"",DatiOriginali!E291)</f>
        <v>35500</v>
      </c>
      <c r="F291" s="4">
        <v>157184</v>
      </c>
      <c r="G291" s="4">
        <f>IF(DatiOriginali!G291 &gt;= SogliaPicchi!$B$4,"",DatiOriginali!G291)</f>
        <v>82400</v>
      </c>
      <c r="H291" s="4">
        <v>188522</v>
      </c>
      <c r="I291" s="4">
        <f>IF(DatiOriginali!I291 &gt;= SogliaPicchi!$B$4,"",DatiOriginali!I291)</f>
        <v>19000</v>
      </c>
      <c r="J291" s="4">
        <v>188937</v>
      </c>
      <c r="K291" s="4">
        <f>IF(DatiOriginali!K291 &gt;= SogliaPicchi!$B$4,"",DatiOriginali!K291)</f>
        <v>30000</v>
      </c>
    </row>
    <row r="292" spans="1:11" x14ac:dyDescent="0.3">
      <c r="A292" s="4" t="s">
        <v>301</v>
      </c>
      <c r="B292" s="4">
        <v>11175</v>
      </c>
      <c r="C292" s="4">
        <f>IF(DatiOriginali!C292 &gt;= SogliaPicchi!$B$4,"",DatiOriginali!C292)</f>
        <v>100300</v>
      </c>
      <c r="D292" s="4">
        <v>5915</v>
      </c>
      <c r="E292" s="4">
        <f>IF(DatiOriginali!E292 &gt;= SogliaPicchi!$B$4,"",DatiOriginali!E292)</f>
        <v>39400</v>
      </c>
      <c r="F292" s="4">
        <v>158082</v>
      </c>
      <c r="G292" s="4">
        <f>IF(DatiOriginali!G292 &gt;= SogliaPicchi!$B$4,"",DatiOriginali!G292)</f>
        <v>87300</v>
      </c>
      <c r="H292" s="4">
        <v>189600</v>
      </c>
      <c r="I292" s="4">
        <f>IF(DatiOriginali!I292 &gt;= SogliaPicchi!$B$4,"",DatiOriginali!I292)</f>
        <v>19000</v>
      </c>
      <c r="J292" s="4">
        <v>189854</v>
      </c>
      <c r="K292" s="4">
        <f>IF(DatiOriginali!K292 &gt;= SogliaPicchi!$B$4,"",DatiOriginali!K292)</f>
        <v>24600</v>
      </c>
    </row>
    <row r="293" spans="1:11" x14ac:dyDescent="0.3">
      <c r="A293" s="4" t="s">
        <v>302</v>
      </c>
      <c r="B293" s="4">
        <v>11175</v>
      </c>
      <c r="C293" s="4">
        <f>IF(DatiOriginali!C293 &gt;= SogliaPicchi!$B$4,"",DatiOriginali!C293)</f>
        <v>91100</v>
      </c>
      <c r="D293" s="4">
        <v>5261</v>
      </c>
      <c r="E293" s="4">
        <f>IF(DatiOriginali!E293 &gt;= SogliaPicchi!$B$4,"",DatiOriginali!E293)</f>
        <v>25600</v>
      </c>
      <c r="F293" s="4">
        <v>158972</v>
      </c>
      <c r="G293" s="4">
        <f>IF(DatiOriginali!G293 &gt;= SogliaPicchi!$B$4,"",DatiOriginali!G293)</f>
        <v>57600</v>
      </c>
      <c r="H293" s="4">
        <v>190587</v>
      </c>
      <c r="I293" s="4">
        <f>IF(DatiOriginali!I293 &gt;= SogliaPicchi!$B$4,"",DatiOriginali!I293)</f>
        <v>16800</v>
      </c>
      <c r="J293" s="4">
        <v>190930</v>
      </c>
      <c r="K293" s="4">
        <f>IF(DatiOriginali!K293 &gt;= SogliaPicchi!$B$4,"",DatiOriginali!K293)</f>
        <v>23000</v>
      </c>
    </row>
    <row r="294" spans="1:11" x14ac:dyDescent="0.3">
      <c r="A294" s="4" t="s">
        <v>303</v>
      </c>
      <c r="B294" s="4">
        <v>11175</v>
      </c>
      <c r="C294" s="4">
        <f>IF(DatiOriginali!C294 &gt;= SogliaPicchi!$B$4,"",DatiOriginali!C294)</f>
        <v>88500</v>
      </c>
      <c r="D294" s="4">
        <v>5551</v>
      </c>
      <c r="E294" s="4">
        <f>IF(DatiOriginali!E294 &gt;= SogliaPicchi!$B$4,"",DatiOriginali!E294)</f>
        <v>22100</v>
      </c>
      <c r="F294" s="4">
        <v>159875</v>
      </c>
      <c r="G294" s="4">
        <f>IF(DatiOriginali!G294 &gt;= SogliaPicchi!$B$4,"",DatiOriginali!G294)</f>
        <v>45600</v>
      </c>
      <c r="H294" s="4">
        <v>191831</v>
      </c>
      <c r="I294" s="4">
        <f>IF(DatiOriginali!I294 &gt;= SogliaPicchi!$B$4,"",DatiOriginali!I294)</f>
        <v>15600</v>
      </c>
      <c r="J294" s="4">
        <v>191957</v>
      </c>
      <c r="K294" s="4">
        <f>IF(DatiOriginali!K294 &gt;= SogliaPicchi!$B$4,"",DatiOriginali!K294)</f>
        <v>18900</v>
      </c>
    </row>
    <row r="295" spans="1:11" x14ac:dyDescent="0.3">
      <c r="A295" s="4" t="s">
        <v>304</v>
      </c>
      <c r="B295" s="4">
        <v>11175</v>
      </c>
      <c r="C295" s="4">
        <f>IF(DatiOriginali!C295 &gt;= SogliaPicchi!$B$4,"",DatiOriginali!C295)</f>
        <v>96600</v>
      </c>
      <c r="D295" s="4">
        <v>5346</v>
      </c>
      <c r="E295" s="4">
        <f>IF(DatiOriginali!E295 &gt;= SogliaPicchi!$B$4,"",DatiOriginali!E295)</f>
        <v>32200</v>
      </c>
      <c r="F295" s="4">
        <v>160768</v>
      </c>
      <c r="G295" s="4">
        <f>IF(DatiOriginali!G295 &gt;= SogliaPicchi!$B$4,"",DatiOriginali!G295)</f>
        <v>64600</v>
      </c>
      <c r="H295" s="4">
        <v>193192</v>
      </c>
      <c r="I295" s="4">
        <f>IF(DatiOriginali!I295 &gt;= SogliaPicchi!$B$4,"",DatiOriginali!I295)</f>
        <v>18000</v>
      </c>
      <c r="J295" s="4">
        <v>193130</v>
      </c>
      <c r="K295" s="4">
        <f>IF(DatiOriginali!K295 &gt;= SogliaPicchi!$B$4,"",DatiOriginali!K295)</f>
        <v>23500</v>
      </c>
    </row>
    <row r="296" spans="1:11" x14ac:dyDescent="0.3">
      <c r="A296" s="4" t="s">
        <v>305</v>
      </c>
      <c r="B296" s="4">
        <v>11175</v>
      </c>
      <c r="C296" s="4">
        <f>IF(DatiOriginali!C296 &gt;= SogliaPicchi!$B$4,"",DatiOriginali!C296)</f>
        <v>73800</v>
      </c>
      <c r="D296" s="4">
        <v>5980</v>
      </c>
      <c r="E296" s="4">
        <f>IF(DatiOriginali!E296 &gt;= SogliaPicchi!$B$4,"",DatiOriginali!E296)</f>
        <v>23600</v>
      </c>
      <c r="F296" s="4">
        <v>161676</v>
      </c>
      <c r="G296" s="4">
        <f>IF(DatiOriginali!G296 &gt;= SogliaPicchi!$B$4,"",DatiOriginali!G296)</f>
        <v>47800</v>
      </c>
      <c r="H296" s="4">
        <v>194332</v>
      </c>
      <c r="I296" s="4">
        <f>IF(DatiOriginali!I296 &gt;= SogliaPicchi!$B$4,"",DatiOriginali!I296)</f>
        <v>14800</v>
      </c>
      <c r="J296" s="4">
        <v>194144</v>
      </c>
      <c r="K296" s="4">
        <f>IF(DatiOriginali!K296 &gt;= SogliaPicchi!$B$4,"",DatiOriginali!K296)</f>
        <v>24000</v>
      </c>
    </row>
    <row r="297" spans="1:11" x14ac:dyDescent="0.3">
      <c r="A297" s="4" t="s">
        <v>306</v>
      </c>
      <c r="B297" s="4">
        <v>11175</v>
      </c>
      <c r="C297" s="4">
        <f>IF(DatiOriginali!C297 &gt;= SogliaPicchi!$B$4,"",DatiOriginali!C297)</f>
        <v>75600</v>
      </c>
      <c r="D297" s="4">
        <v>5995</v>
      </c>
      <c r="E297" s="4">
        <f>IF(DatiOriginali!E297 &gt;= SogliaPicchi!$B$4,"",DatiOriginali!E297)</f>
        <v>24400</v>
      </c>
      <c r="F297" s="4">
        <v>162589</v>
      </c>
      <c r="G297" s="4">
        <f>IF(DatiOriginali!G297 &gt;= SogliaPicchi!$B$4,"",DatiOriginali!G297)</f>
        <v>57900</v>
      </c>
      <c r="H297" s="4">
        <v>195399</v>
      </c>
      <c r="I297" s="4">
        <f>IF(DatiOriginali!I297 &gt;= SogliaPicchi!$B$4,"",DatiOriginali!I297)</f>
        <v>14300</v>
      </c>
      <c r="J297" s="4">
        <v>195185</v>
      </c>
      <c r="K297" s="4">
        <f>IF(DatiOriginali!K297 &gt;= SogliaPicchi!$B$4,"",DatiOriginali!K297)</f>
        <v>19600</v>
      </c>
    </row>
    <row r="298" spans="1:11" x14ac:dyDescent="0.3">
      <c r="A298" s="4" t="s">
        <v>307</v>
      </c>
      <c r="B298" s="4">
        <v>11175</v>
      </c>
      <c r="C298" s="4">
        <f>IF(DatiOriginali!C298 &gt;= SogliaPicchi!$B$4,"",DatiOriginali!C298)</f>
        <v>77400</v>
      </c>
      <c r="D298" s="4">
        <v>5981</v>
      </c>
      <c r="E298" s="4">
        <f>IF(DatiOriginali!E298 &gt;= SogliaPicchi!$B$4,"",DatiOriginali!E298)</f>
        <v>23200</v>
      </c>
      <c r="F298" s="4">
        <v>163491</v>
      </c>
      <c r="G298" s="4">
        <f>IF(DatiOriginali!G298 &gt;= SogliaPicchi!$B$4,"",DatiOriginali!G298)</f>
        <v>55100</v>
      </c>
      <c r="H298" s="4">
        <v>196482</v>
      </c>
      <c r="I298" s="4">
        <f>IF(DatiOriginali!I298 &gt;= SogliaPicchi!$B$4,"",DatiOriginali!I298)</f>
        <v>14200</v>
      </c>
      <c r="J298" s="4">
        <v>196316</v>
      </c>
      <c r="K298" s="4">
        <f>IF(DatiOriginali!K298 &gt;= SogliaPicchi!$B$4,"",DatiOriginali!K298)</f>
        <v>18600</v>
      </c>
    </row>
    <row r="299" spans="1:11" x14ac:dyDescent="0.3">
      <c r="A299" s="4" t="s">
        <v>308</v>
      </c>
      <c r="B299" s="4">
        <v>11175</v>
      </c>
      <c r="C299" s="4">
        <f>IF(DatiOriginali!C299 &gt;= SogliaPicchi!$B$4,"",DatiOriginali!C299)</f>
        <v>89700</v>
      </c>
      <c r="D299" s="4">
        <v>5929</v>
      </c>
      <c r="E299" s="4">
        <f>IF(DatiOriginali!E299 &gt;= SogliaPicchi!$B$4,"",DatiOriginali!E299)</f>
        <v>33400</v>
      </c>
      <c r="F299" s="4">
        <v>164389</v>
      </c>
      <c r="G299" s="4">
        <f>IF(DatiOriginali!G299 &gt;= SogliaPicchi!$B$4,"",DatiOriginali!G299)</f>
        <v>67300</v>
      </c>
      <c r="H299" s="4">
        <v>197485</v>
      </c>
      <c r="I299" s="4">
        <f>IF(DatiOriginali!I299 &gt;= SogliaPicchi!$B$4,"",DatiOriginali!I299)</f>
        <v>17900</v>
      </c>
      <c r="J299" s="4">
        <v>197352</v>
      </c>
      <c r="K299" s="4">
        <f>IF(DatiOriginali!K299 &gt;= SogliaPicchi!$B$4,"",DatiOriginali!K299)</f>
        <v>23600</v>
      </c>
    </row>
    <row r="300" spans="1:11" x14ac:dyDescent="0.3">
      <c r="A300" s="4" t="s">
        <v>309</v>
      </c>
      <c r="B300" s="4">
        <v>11175</v>
      </c>
      <c r="C300" s="4">
        <f>IF(DatiOriginali!C300 &gt;= SogliaPicchi!$B$4,"",DatiOriginali!C300)</f>
        <v>86700</v>
      </c>
      <c r="D300" s="4">
        <v>5439</v>
      </c>
      <c r="E300" s="4">
        <f>IF(DatiOriginali!E300 &gt;= SogliaPicchi!$B$4,"",DatiOriginali!E300)</f>
        <v>26900</v>
      </c>
      <c r="F300" s="4">
        <v>165278</v>
      </c>
      <c r="G300" s="4">
        <f>IF(DatiOriginali!G300 &gt;= SogliaPicchi!$B$4,"",DatiOriginali!G300)</f>
        <v>76500</v>
      </c>
      <c r="H300" s="4">
        <v>198611</v>
      </c>
      <c r="I300" s="4">
        <f>IF(DatiOriginali!I300 &gt;= SogliaPicchi!$B$4,"",DatiOriginali!I300)</f>
        <v>17200</v>
      </c>
      <c r="J300" s="4">
        <v>198391</v>
      </c>
      <c r="K300" s="4">
        <f>IF(DatiOriginali!K300 &gt;= SogliaPicchi!$B$4,"",DatiOriginali!K300)</f>
        <v>25100</v>
      </c>
    </row>
    <row r="301" spans="1:11" x14ac:dyDescent="0.3">
      <c r="A301" s="4" t="s">
        <v>310</v>
      </c>
      <c r="B301" s="4">
        <v>11175</v>
      </c>
      <c r="C301" s="4">
        <f>IF(DatiOriginali!C301 &gt;= SogliaPicchi!$B$4,"",DatiOriginali!C301)</f>
        <v>85800</v>
      </c>
      <c r="D301" s="4">
        <v>5125</v>
      </c>
      <c r="E301" s="4">
        <f>IF(DatiOriginali!E301 &gt;= SogliaPicchi!$B$4,"",DatiOriginali!E301)</f>
        <v>21000</v>
      </c>
      <c r="F301" s="4">
        <v>166170</v>
      </c>
      <c r="G301" s="4">
        <f>IF(DatiOriginali!G301 &gt;= SogliaPicchi!$B$5,"",DatiOriginali!G301)</f>
        <v>55700</v>
      </c>
      <c r="H301" s="4">
        <v>199706</v>
      </c>
      <c r="I301" s="4">
        <f>IF(DatiOriginali!I301 &gt;= SogliaPicchi!$B$5,"",DatiOriginali!I301)</f>
        <v>15200</v>
      </c>
      <c r="J301" s="4">
        <v>199621</v>
      </c>
      <c r="K301" s="4">
        <f>IF(DatiOriginali!K301 &gt;= SogliaPicchi!$B$5,"",DatiOriginali!K301)</f>
        <v>24000</v>
      </c>
    </row>
    <row r="302" spans="1:11" x14ac:dyDescent="0.3">
      <c r="A302" s="4" t="s">
        <v>311</v>
      </c>
      <c r="B302" s="4">
        <v>19900</v>
      </c>
      <c r="C302" s="4">
        <f>IF(DatiOriginali!C302 &gt;= SogliaPicchi!$B$5,"",DatiOriginali!C302)</f>
        <v>164800</v>
      </c>
      <c r="D302" s="4">
        <v>9705</v>
      </c>
      <c r="E302" s="4">
        <f>IF(DatiOriginali!E302 &gt;= SogliaPicchi!$B$5,"",DatiOriginali!E302)</f>
        <v>55200</v>
      </c>
      <c r="F302" s="4">
        <v>167451</v>
      </c>
      <c r="G302" s="4">
        <f>IF(DatiOriginali!G302 &gt;= SogliaPicchi!$B$5,"",DatiOriginali!G302)</f>
        <v>91600</v>
      </c>
      <c r="H302" s="4">
        <v>201247</v>
      </c>
      <c r="I302" s="4">
        <f>IF(DatiOriginali!I302 &gt;= SogliaPicchi!$B$5,"",DatiOriginali!I302)</f>
        <v>26500</v>
      </c>
      <c r="J302" s="4">
        <v>201425</v>
      </c>
      <c r="K302" s="4">
        <f>IF(DatiOriginali!K302 &gt;= SogliaPicchi!$B$5,"",DatiOriginali!K302)</f>
        <v>31500</v>
      </c>
    </row>
    <row r="303" spans="1:11" x14ac:dyDescent="0.3">
      <c r="A303" s="4" t="s">
        <v>312</v>
      </c>
      <c r="B303" s="4">
        <v>19900</v>
      </c>
      <c r="C303" s="4">
        <f>IF(DatiOriginali!C303 &gt;= SogliaPicchi!$B$5,"",DatiOriginali!C303)</f>
        <v>148300</v>
      </c>
      <c r="D303" s="4">
        <v>10519</v>
      </c>
      <c r="E303" s="4">
        <f>IF(DatiOriginali!E303 &gt;= SogliaPicchi!$B$5,"",DatiOriginali!E303)</f>
        <v>49400</v>
      </c>
      <c r="F303" s="4">
        <v>168743</v>
      </c>
      <c r="G303" s="4">
        <f>IF(DatiOriginali!G303 &gt;= SogliaPicchi!$B$5,"",DatiOriginali!G303)</f>
        <v>77600</v>
      </c>
      <c r="H303" s="4">
        <v>202692</v>
      </c>
      <c r="I303" s="4">
        <f>IF(DatiOriginali!I303 &gt;= SogliaPicchi!$B$5,"",DatiOriginali!I303)</f>
        <v>24800</v>
      </c>
      <c r="J303" s="4">
        <v>203031</v>
      </c>
      <c r="K303" s="4">
        <f>IF(DatiOriginali!K303 &gt;= SogliaPicchi!$B$5,"",DatiOriginali!K303)</f>
        <v>29200</v>
      </c>
    </row>
    <row r="304" spans="1:11" x14ac:dyDescent="0.3">
      <c r="A304" s="4" t="s">
        <v>313</v>
      </c>
      <c r="B304" s="4">
        <v>19900</v>
      </c>
      <c r="C304" s="4">
        <f>IF(DatiOriginali!C304 &gt;= SogliaPicchi!$B$5,"",DatiOriginali!C304)</f>
        <v>161100</v>
      </c>
      <c r="D304" s="4">
        <v>10462</v>
      </c>
      <c r="E304" s="4">
        <f>IF(DatiOriginali!E304 &gt;= SogliaPicchi!$B$5,"",DatiOriginali!E304)</f>
        <v>61400</v>
      </c>
      <c r="F304" s="4">
        <v>170016</v>
      </c>
      <c r="G304" s="4">
        <f>IF(DatiOriginali!G304 &gt;= SogliaPicchi!$B$5,"",DatiOriginali!G304)</f>
        <v>87700</v>
      </c>
      <c r="H304" s="4">
        <v>204341</v>
      </c>
      <c r="I304" s="4">
        <f>IF(DatiOriginali!I304 &gt;= SogliaPicchi!$B$5,"",DatiOriginali!I304)</f>
        <v>25600</v>
      </c>
      <c r="J304" s="4">
        <v>204504</v>
      </c>
      <c r="K304" s="4">
        <f>IF(DatiOriginali!K304 &gt;= SogliaPicchi!$B$5,"",DatiOriginali!K304)</f>
        <v>30300</v>
      </c>
    </row>
    <row r="305" spans="1:11" x14ac:dyDescent="0.3">
      <c r="A305" s="4" t="s">
        <v>314</v>
      </c>
      <c r="B305" s="4">
        <v>19900</v>
      </c>
      <c r="C305" s="4" t="str">
        <f>IF(DatiOriginali!C305 &gt;= SogliaPicchi!$B$5,"",DatiOriginali!C305)</f>
        <v/>
      </c>
      <c r="D305" s="4">
        <v>9662</v>
      </c>
      <c r="E305" s="4">
        <f>IF(DatiOriginali!E305 &gt;= SogliaPicchi!$B$5,"",DatiOriginali!E305)</f>
        <v>37000</v>
      </c>
      <c r="F305" s="4">
        <v>171306</v>
      </c>
      <c r="G305" s="4">
        <f>IF(DatiOriginali!G305 &gt;= SogliaPicchi!$B$5,"",DatiOriginali!G305)</f>
        <v>65400</v>
      </c>
      <c r="H305" s="4">
        <v>205907</v>
      </c>
      <c r="I305" s="4">
        <f>IF(DatiOriginali!I305 &gt;= SogliaPicchi!$B$5,"",DatiOriginali!I305)</f>
        <v>20600</v>
      </c>
      <c r="J305" s="4">
        <v>205975</v>
      </c>
      <c r="K305" s="4">
        <f>IF(DatiOriginali!K305 &gt;= SogliaPicchi!$B$5,"",DatiOriginali!K305)</f>
        <v>25300</v>
      </c>
    </row>
    <row r="306" spans="1:11" x14ac:dyDescent="0.3">
      <c r="A306" s="4" t="s">
        <v>315</v>
      </c>
      <c r="B306" s="4">
        <v>19900</v>
      </c>
      <c r="C306" s="4">
        <f>IF(DatiOriginali!C306 &gt;= SogliaPicchi!$B$5,"",DatiOriginali!C306)</f>
        <v>138000</v>
      </c>
      <c r="D306" s="4">
        <v>10441</v>
      </c>
      <c r="E306" s="4">
        <f>IF(DatiOriginali!E306 &gt;= SogliaPicchi!$B$5,"",DatiOriginali!E306)</f>
        <v>39200</v>
      </c>
      <c r="F306" s="4">
        <v>172590</v>
      </c>
      <c r="G306" s="4">
        <f>IF(DatiOriginali!G306 &gt;= SogliaPicchi!$B$5,"",DatiOriginali!G306)</f>
        <v>75300</v>
      </c>
      <c r="H306" s="4">
        <v>207376</v>
      </c>
      <c r="I306" s="4">
        <f>IF(DatiOriginali!I306 &gt;= SogliaPicchi!$B$5,"",DatiOriginali!I306)</f>
        <v>19600</v>
      </c>
      <c r="J306" s="4">
        <v>207480</v>
      </c>
      <c r="K306" s="4">
        <f>IF(DatiOriginali!K306 &gt;= SogliaPicchi!$B$5,"",DatiOriginali!K306)</f>
        <v>25500</v>
      </c>
    </row>
    <row r="307" spans="1:11" x14ac:dyDescent="0.3">
      <c r="A307" s="4" t="s">
        <v>316</v>
      </c>
      <c r="B307" s="4">
        <v>19900</v>
      </c>
      <c r="C307" s="4">
        <f>IF(DatiOriginali!C307 &gt;= SogliaPicchi!$B$5,"",DatiOriginali!C307)</f>
        <v>141300</v>
      </c>
      <c r="D307" s="4">
        <v>9629</v>
      </c>
      <c r="E307" s="4">
        <f>IF(DatiOriginali!E307 &gt;= SogliaPicchi!$B$5,"",DatiOriginali!E307)</f>
        <v>37300</v>
      </c>
      <c r="F307" s="4">
        <v>173882</v>
      </c>
      <c r="G307" s="4">
        <f>IF(DatiOriginali!G307 &gt;= SogliaPicchi!$B$5,"",DatiOriginali!G307)</f>
        <v>70500</v>
      </c>
      <c r="H307" s="4">
        <v>209242</v>
      </c>
      <c r="I307" s="4">
        <f>IF(DatiOriginali!I307 &gt;= SogliaPicchi!$B$5,"",DatiOriginali!I307)</f>
        <v>20700</v>
      </c>
      <c r="J307" s="4">
        <v>208903</v>
      </c>
      <c r="K307" s="4">
        <f>IF(DatiOriginali!K307 &gt;= SogliaPicchi!$B$5,"",DatiOriginali!K307)</f>
        <v>23500</v>
      </c>
    </row>
    <row r="308" spans="1:11" x14ac:dyDescent="0.3">
      <c r="A308" s="4" t="s">
        <v>317</v>
      </c>
      <c r="B308" s="4">
        <v>19900</v>
      </c>
      <c r="C308" s="4">
        <f>IF(DatiOriginali!C308 &gt;= SogliaPicchi!$B$5,"",DatiOriginali!C308)</f>
        <v>126200</v>
      </c>
      <c r="D308" s="4">
        <v>10117</v>
      </c>
      <c r="E308" s="4">
        <f>IF(DatiOriginali!E308 &gt;= SogliaPicchi!$B$5,"",DatiOriginali!E308)</f>
        <v>38000</v>
      </c>
      <c r="F308" s="4">
        <v>175164</v>
      </c>
      <c r="G308" s="4">
        <f>IF(DatiOriginali!G308 &gt;= SogliaPicchi!$B$5,"",DatiOriginali!G308)</f>
        <v>71500</v>
      </c>
      <c r="H308" s="4">
        <v>210831</v>
      </c>
      <c r="I308" s="4">
        <f>IF(DatiOriginali!I308 &gt;= SogliaPicchi!$B$5,"",DatiOriginali!I308)</f>
        <v>19300</v>
      </c>
      <c r="J308" s="4">
        <v>210453</v>
      </c>
      <c r="K308" s="4">
        <f>IF(DatiOriginali!K308 &gt;= SogliaPicchi!$B$5,"",DatiOriginali!K308)</f>
        <v>23400</v>
      </c>
    </row>
    <row r="309" spans="1:11" x14ac:dyDescent="0.3">
      <c r="A309" s="4" t="s">
        <v>318</v>
      </c>
      <c r="B309" s="4">
        <v>19900</v>
      </c>
      <c r="C309" s="4">
        <f>IF(DatiOriginali!C309 &gt;= SogliaPicchi!$B$5,"",DatiOriginali!C309)</f>
        <v>121600</v>
      </c>
      <c r="D309" s="4">
        <v>9876</v>
      </c>
      <c r="E309" s="4">
        <f>IF(DatiOriginali!E309 &gt;= SogliaPicchi!$B$5,"",DatiOriginali!E309)</f>
        <v>37000</v>
      </c>
      <c r="F309" s="4">
        <v>176446</v>
      </c>
      <c r="G309" s="4">
        <f>IF(DatiOriginali!G309 &gt;= SogliaPicchi!$B$5,"",DatiOriginali!G309)</f>
        <v>79300</v>
      </c>
      <c r="H309" s="4">
        <v>212491</v>
      </c>
      <c r="I309" s="4">
        <f>IF(DatiOriginali!I309 &gt;= SogliaPicchi!$B$5,"",DatiOriginali!I309)</f>
        <v>19800</v>
      </c>
      <c r="J309" s="4">
        <v>212067</v>
      </c>
      <c r="K309" s="4">
        <f>IF(DatiOriginali!K309 &gt;= SogliaPicchi!$B$5,"",DatiOriginali!K309)</f>
        <v>24500</v>
      </c>
    </row>
    <row r="310" spans="1:11" x14ac:dyDescent="0.3">
      <c r="A310" s="4" t="s">
        <v>319</v>
      </c>
      <c r="B310" s="4">
        <v>19900</v>
      </c>
      <c r="C310" s="4">
        <f>IF(DatiOriginali!C310 &gt;= SogliaPicchi!$B$5,"",DatiOriginali!C310)</f>
        <v>162200</v>
      </c>
      <c r="D310" s="4">
        <v>9443</v>
      </c>
      <c r="E310" s="4">
        <f>IF(DatiOriginali!E310 &gt;= SogliaPicchi!$B$5,"",DatiOriginali!E310)</f>
        <v>55700</v>
      </c>
      <c r="F310" s="4">
        <v>177731</v>
      </c>
      <c r="G310" s="4">
        <f>IF(DatiOriginali!G310 &gt;= SogliaPicchi!$B$5,"",DatiOriginali!G310)</f>
        <v>107000</v>
      </c>
      <c r="H310" s="4">
        <v>213964</v>
      </c>
      <c r="I310" s="4">
        <f>IF(DatiOriginali!I310 &gt;= SogliaPicchi!$B$5,"",DatiOriginali!I310)</f>
        <v>30700</v>
      </c>
      <c r="J310" s="4">
        <v>213570</v>
      </c>
      <c r="K310" s="4">
        <f>IF(DatiOriginali!K310 &gt;= SogliaPicchi!$B$5,"",DatiOriginali!K310)</f>
        <v>38100</v>
      </c>
    </row>
    <row r="311" spans="1:11" x14ac:dyDescent="0.3">
      <c r="A311" s="4" t="s">
        <v>320</v>
      </c>
      <c r="B311" s="4">
        <v>19900</v>
      </c>
      <c r="C311" s="4">
        <f>IF(DatiOriginali!C311 &gt;= SogliaPicchi!$B$5,"",DatiOriginali!C311)</f>
        <v>150200</v>
      </c>
      <c r="D311" s="4">
        <v>10400</v>
      </c>
      <c r="E311" s="4">
        <f>IF(DatiOriginali!E311 &gt;= SogliaPicchi!$B$5,"",DatiOriginali!E311)</f>
        <v>39700</v>
      </c>
      <c r="F311" s="4">
        <v>179009</v>
      </c>
      <c r="G311" s="4">
        <f>IF(DatiOriginali!G311 &gt;= SogliaPicchi!$B$5,"",DatiOriginali!G311)</f>
        <v>63800</v>
      </c>
      <c r="H311" s="4">
        <v>215745</v>
      </c>
      <c r="I311" s="4">
        <f>IF(DatiOriginali!I311 &gt;= SogliaPicchi!$B$5,"",DatiOriginali!I311)</f>
        <v>19000</v>
      </c>
      <c r="J311" s="4">
        <v>215159</v>
      </c>
      <c r="K311" s="4">
        <f>IF(DatiOriginali!K311 &gt;= SogliaPicchi!$B$5,"",DatiOriginali!K311)</f>
        <v>25400</v>
      </c>
    </row>
    <row r="312" spans="1:11" x14ac:dyDescent="0.3">
      <c r="A312" s="4" t="s">
        <v>321</v>
      </c>
      <c r="B312" s="4">
        <v>19900</v>
      </c>
      <c r="C312" s="4">
        <f>IF(DatiOriginali!C312 &gt;= SogliaPicchi!$B$5,"",DatiOriginali!C312)</f>
        <v>189600</v>
      </c>
      <c r="D312" s="4">
        <v>10004</v>
      </c>
      <c r="E312" s="4">
        <f>IF(DatiOriginali!E312 &gt;= SogliaPicchi!$B$5,"",DatiOriginali!E312)</f>
        <v>57300</v>
      </c>
      <c r="F312" s="4">
        <v>180288</v>
      </c>
      <c r="G312" s="4">
        <f>IF(DatiOriginali!G312 &gt;= SogliaPicchi!$B$5,"",DatiOriginali!G312)</f>
        <v>93800</v>
      </c>
      <c r="H312" s="4">
        <v>217423</v>
      </c>
      <c r="I312" s="4">
        <f>IF(DatiOriginali!I312 &gt;= SogliaPicchi!$B$5,"",DatiOriginali!I312)</f>
        <v>25300</v>
      </c>
      <c r="J312" s="4">
        <v>216578</v>
      </c>
      <c r="K312" s="4">
        <f>IF(DatiOriginali!K312 &gt;= SogliaPicchi!$B$5,"",DatiOriginali!K312)</f>
        <v>30700</v>
      </c>
    </row>
    <row r="313" spans="1:11" x14ac:dyDescent="0.3">
      <c r="A313" s="4" t="s">
        <v>322</v>
      </c>
      <c r="B313" s="4">
        <v>19900</v>
      </c>
      <c r="C313" s="4">
        <f>IF(DatiOriginali!C313 &gt;= SogliaPicchi!$B$5,"",DatiOriginali!C313)</f>
        <v>151100</v>
      </c>
      <c r="D313" s="4">
        <v>9977</v>
      </c>
      <c r="E313" s="4">
        <f>IF(DatiOriginali!E313 &gt;= SogliaPicchi!$B$5,"",DatiOriginali!E313)</f>
        <v>46000</v>
      </c>
      <c r="F313" s="4">
        <v>181566</v>
      </c>
      <c r="G313" s="4">
        <f>IF(DatiOriginali!G313 &gt;= SogliaPicchi!$B$5,"",DatiOriginali!G313)</f>
        <v>78000</v>
      </c>
      <c r="H313" s="4">
        <v>218821</v>
      </c>
      <c r="I313" s="4">
        <f>IF(DatiOriginali!I313 &gt;= SogliaPicchi!$B$5,"",DatiOriginali!I313)</f>
        <v>24500</v>
      </c>
      <c r="J313" s="4">
        <v>218023</v>
      </c>
      <c r="K313" s="4">
        <f>IF(DatiOriginali!K313 &gt;= SogliaPicchi!$B$5,"",DatiOriginali!K313)</f>
        <v>30600</v>
      </c>
    </row>
    <row r="314" spans="1:11" x14ac:dyDescent="0.3">
      <c r="A314" s="4" t="s">
        <v>323</v>
      </c>
      <c r="B314" s="4">
        <v>19900</v>
      </c>
      <c r="C314" s="4">
        <f>IF(DatiOriginali!C314 &gt;= SogliaPicchi!$B$5,"",DatiOriginali!C314)</f>
        <v>175200</v>
      </c>
      <c r="D314" s="4">
        <v>11123</v>
      </c>
      <c r="E314" s="4">
        <f>IF(DatiOriginali!E314 &gt;= SogliaPicchi!$B$5,"",DatiOriginali!E314)</f>
        <v>61500</v>
      </c>
      <c r="F314" s="4">
        <v>182849</v>
      </c>
      <c r="G314" s="4">
        <f>IF(DatiOriginali!G314 &gt;= SogliaPicchi!$B$5,"",DatiOriginali!G314)</f>
        <v>92300</v>
      </c>
      <c r="H314" s="4">
        <v>220505</v>
      </c>
      <c r="I314" s="4">
        <f>IF(DatiOriginali!I314 &gt;= SogliaPicchi!$B$5,"",DatiOriginali!I314)</f>
        <v>24900</v>
      </c>
      <c r="J314" s="4">
        <v>219578</v>
      </c>
      <c r="K314" s="4">
        <f>IF(DatiOriginali!K314 &gt;= SogliaPicchi!$B$5,"",DatiOriginali!K314)</f>
        <v>30600</v>
      </c>
    </row>
    <row r="315" spans="1:11" x14ac:dyDescent="0.3">
      <c r="A315" s="4" t="s">
        <v>324</v>
      </c>
      <c r="B315" s="4">
        <v>19900</v>
      </c>
      <c r="C315" s="4">
        <f>IF(DatiOriginali!C315 &gt;= SogliaPicchi!$B$5,"",DatiOriginali!C315)</f>
        <v>153500</v>
      </c>
      <c r="D315" s="4">
        <v>9898</v>
      </c>
      <c r="E315" s="4">
        <f>IF(DatiOriginali!E315 &gt;= SogliaPicchi!$B$5,"",DatiOriginali!E315)</f>
        <v>64100</v>
      </c>
      <c r="F315" s="4">
        <v>184126</v>
      </c>
      <c r="G315" s="4">
        <f>IF(DatiOriginali!G315 &gt;= SogliaPicchi!$B$5,"",DatiOriginali!G315)</f>
        <v>126500</v>
      </c>
      <c r="H315" s="4">
        <v>221933</v>
      </c>
      <c r="I315" s="4">
        <f>IF(DatiOriginali!I315 &gt;= SogliaPicchi!$B$5,"",DatiOriginali!I315)</f>
        <v>31500</v>
      </c>
      <c r="J315" s="4">
        <v>221127</v>
      </c>
      <c r="K315" s="4">
        <f>IF(DatiOriginali!K315 &gt;= SogliaPicchi!$B$5,"",DatiOriginali!K315)</f>
        <v>42200</v>
      </c>
    </row>
    <row r="316" spans="1:11" x14ac:dyDescent="0.3">
      <c r="A316" s="4" t="s">
        <v>325</v>
      </c>
      <c r="B316" s="4">
        <v>19900</v>
      </c>
      <c r="C316" s="4">
        <f>IF(DatiOriginali!C316 &gt;= SogliaPicchi!$B$5,"",DatiOriginali!C316)</f>
        <v>162600</v>
      </c>
      <c r="D316" s="4">
        <v>9991</v>
      </c>
      <c r="E316" s="4">
        <f>IF(DatiOriginali!E316 &gt;= SogliaPicchi!$B$5,"",DatiOriginali!E316)</f>
        <v>57200</v>
      </c>
      <c r="F316" s="4">
        <v>185397</v>
      </c>
      <c r="G316" s="4">
        <f>IF(DatiOriginali!G316 &gt;= SogliaPicchi!$B$5,"",DatiOriginali!G316)</f>
        <v>106100</v>
      </c>
      <c r="H316" s="4">
        <v>223499</v>
      </c>
      <c r="I316" s="4">
        <f>IF(DatiOriginali!I316 &gt;= SogliaPicchi!$B$5,"",DatiOriginali!I316)</f>
        <v>25500</v>
      </c>
      <c r="J316" s="4">
        <v>222858</v>
      </c>
      <c r="K316" s="4">
        <f>IF(DatiOriginali!K316 &gt;= SogliaPicchi!$B$5,"",DatiOriginali!K316)</f>
        <v>33100</v>
      </c>
    </row>
    <row r="317" spans="1:11" x14ac:dyDescent="0.3">
      <c r="A317" s="4" t="s">
        <v>326</v>
      </c>
      <c r="B317" s="4">
        <v>19900</v>
      </c>
      <c r="C317" s="4">
        <f>IF(DatiOriginali!C317 &gt;= SogliaPicchi!$B$5,"",DatiOriginali!C317)</f>
        <v>168100</v>
      </c>
      <c r="D317" s="4">
        <v>10152</v>
      </c>
      <c r="E317" s="4">
        <f>IF(DatiOriginali!E317 &gt;= SogliaPicchi!$B$5,"",DatiOriginali!E317)</f>
        <v>46100</v>
      </c>
      <c r="F317" s="4">
        <v>186682</v>
      </c>
      <c r="G317" s="4">
        <f>IF(DatiOriginali!G317 &gt;= SogliaPicchi!$B$5,"",DatiOriginali!G317)</f>
        <v>91400</v>
      </c>
      <c r="H317" s="4">
        <v>225129</v>
      </c>
      <c r="I317" s="4">
        <f>IF(DatiOriginali!I317 &gt;= SogliaPicchi!$B$5,"",DatiOriginali!I317)</f>
        <v>25100</v>
      </c>
      <c r="J317" s="4">
        <v>224402</v>
      </c>
      <c r="K317" s="4">
        <f>IF(DatiOriginali!K317 &gt;= SogliaPicchi!$B$5,"",DatiOriginali!K317)</f>
        <v>32300</v>
      </c>
    </row>
    <row r="318" spans="1:11" x14ac:dyDescent="0.3">
      <c r="A318" s="4" t="s">
        <v>327</v>
      </c>
      <c r="B318" s="4">
        <v>19900</v>
      </c>
      <c r="C318" s="4">
        <f>IF(DatiOriginali!C318 &gt;= SogliaPicchi!$B$5,"",DatiOriginali!C318)</f>
        <v>158300</v>
      </c>
      <c r="D318" s="4">
        <v>10026</v>
      </c>
      <c r="E318" s="4">
        <f>IF(DatiOriginali!E318 &gt;= SogliaPicchi!$B$5,"",DatiOriginali!E318)</f>
        <v>59800</v>
      </c>
      <c r="F318" s="4">
        <v>187971</v>
      </c>
      <c r="G318" s="4">
        <f>IF(DatiOriginali!G318 &gt;= SogliaPicchi!$B$5,"",DatiOriginali!G318)</f>
        <v>101500</v>
      </c>
      <c r="H318" s="4">
        <v>226574</v>
      </c>
      <c r="I318" s="4">
        <f>IF(DatiOriginali!I318 &gt;= SogliaPicchi!$B$5,"",DatiOriginali!I318)</f>
        <v>24300</v>
      </c>
      <c r="J318" s="4">
        <v>225964</v>
      </c>
      <c r="K318" s="4">
        <f>IF(DatiOriginali!K318 &gt;= SogliaPicchi!$B$5,"",DatiOriginali!K318)</f>
        <v>32100</v>
      </c>
    </row>
    <row r="319" spans="1:11" x14ac:dyDescent="0.3">
      <c r="A319" s="4" t="s">
        <v>328</v>
      </c>
      <c r="B319" s="4">
        <v>19900</v>
      </c>
      <c r="C319" s="4">
        <f>IF(DatiOriginali!C319 &gt;= SogliaPicchi!$B$5,"",DatiOriginali!C319)</f>
        <v>196900</v>
      </c>
      <c r="D319" s="4">
        <v>10237</v>
      </c>
      <c r="E319" s="4">
        <f>IF(DatiOriginali!E319 &gt;= SogliaPicchi!$B$5,"",DatiOriginali!E319)</f>
        <v>64500</v>
      </c>
      <c r="F319" s="4">
        <v>189252</v>
      </c>
      <c r="G319" s="4">
        <f>IF(DatiOriginali!G319 &gt;= SogliaPicchi!$B$5,"",DatiOriginali!G319)</f>
        <v>96000</v>
      </c>
      <c r="H319" s="4">
        <v>228081</v>
      </c>
      <c r="I319" s="4">
        <f>IF(DatiOriginali!I319 &gt;= SogliaPicchi!$B$5,"",DatiOriginali!I319)</f>
        <v>27100</v>
      </c>
      <c r="J319" s="4">
        <v>227370</v>
      </c>
      <c r="K319" s="4">
        <f>IF(DatiOriginali!K319 &gt;= SogliaPicchi!$B$5,"",DatiOriginali!K319)</f>
        <v>32200</v>
      </c>
    </row>
    <row r="320" spans="1:11" x14ac:dyDescent="0.3">
      <c r="A320" s="4" t="s">
        <v>329</v>
      </c>
      <c r="B320" s="4">
        <v>19900</v>
      </c>
      <c r="C320" s="4">
        <f>IF(DatiOriginali!C320 &gt;= SogliaPicchi!$B$5,"",DatiOriginali!C320)</f>
        <v>128900</v>
      </c>
      <c r="D320" s="4">
        <v>10321</v>
      </c>
      <c r="E320" s="4">
        <f>IF(DatiOriginali!E320 &gt;= SogliaPicchi!$B$5,"",DatiOriginali!E320)</f>
        <v>39400</v>
      </c>
      <c r="F320" s="4">
        <v>190535</v>
      </c>
      <c r="G320" s="4">
        <f>IF(DatiOriginali!G320 &gt;= SogliaPicchi!$B$5,"",DatiOriginali!G320)</f>
        <v>71600</v>
      </c>
      <c r="H320" s="4">
        <v>229884</v>
      </c>
      <c r="I320" s="4">
        <f>IF(DatiOriginali!I320 &gt;= SogliaPicchi!$B$5,"",DatiOriginali!I320)</f>
        <v>27900</v>
      </c>
      <c r="J320" s="4">
        <v>228816</v>
      </c>
      <c r="K320" s="4">
        <f>IF(DatiOriginali!K320 &gt;= SogliaPicchi!$B$5,"",DatiOriginali!K320)</f>
        <v>33300</v>
      </c>
    </row>
    <row r="321" spans="1:11" x14ac:dyDescent="0.3">
      <c r="A321" s="4" t="s">
        <v>330</v>
      </c>
      <c r="B321" s="4">
        <v>19900</v>
      </c>
      <c r="C321" s="4">
        <f>IF(DatiOriginali!C321 &gt;= SogliaPicchi!$B$5,"",DatiOriginali!C321)</f>
        <v>130800</v>
      </c>
      <c r="D321" s="4">
        <v>10401</v>
      </c>
      <c r="E321" s="4">
        <f>IF(DatiOriginali!E321 &gt;= SogliaPicchi!$B$5,"",DatiOriginali!E321)</f>
        <v>40000</v>
      </c>
      <c r="F321" s="4">
        <v>191826</v>
      </c>
      <c r="G321" s="4">
        <f>IF(DatiOriginali!G321 &gt;= SogliaPicchi!$B$5,"",DatiOriginali!G321)</f>
        <v>66100</v>
      </c>
      <c r="H321" s="4">
        <v>231416</v>
      </c>
      <c r="I321" s="4">
        <f>IF(DatiOriginali!I321 &gt;= SogliaPicchi!$B$5,"",DatiOriginali!I321)</f>
        <v>20600</v>
      </c>
      <c r="J321" s="4">
        <v>230427</v>
      </c>
      <c r="K321" s="4">
        <f>IF(DatiOriginali!K321 &gt;= SogliaPicchi!$B$5,"",DatiOriginali!K321)</f>
        <v>26500</v>
      </c>
    </row>
    <row r="322" spans="1:11" x14ac:dyDescent="0.3">
      <c r="A322" s="4" t="s">
        <v>331</v>
      </c>
      <c r="B322" s="4">
        <v>19900</v>
      </c>
      <c r="C322" s="4">
        <f>IF(DatiOriginali!C322 &gt;= SogliaPicchi!$B$5,"",DatiOriginali!C322)</f>
        <v>165800</v>
      </c>
      <c r="D322" s="4">
        <v>9707</v>
      </c>
      <c r="E322" s="4">
        <f>IF(DatiOriginali!E322 &gt;= SogliaPicchi!$B$5,"",DatiOriginali!E322)</f>
        <v>64500</v>
      </c>
      <c r="F322" s="4">
        <v>193093</v>
      </c>
      <c r="G322" s="4">
        <f>IF(DatiOriginali!G322 &gt;= SogliaPicchi!$B$5,"",DatiOriginali!G322)</f>
        <v>101700</v>
      </c>
      <c r="H322" s="4">
        <v>233133</v>
      </c>
      <c r="I322" s="4">
        <f>IF(DatiOriginali!I322 &gt;= SogliaPicchi!$B$5,"",DatiOriginali!I322)</f>
        <v>28700</v>
      </c>
      <c r="J322" s="4">
        <v>232189</v>
      </c>
      <c r="K322" s="4">
        <f>IF(DatiOriginali!K322 &gt;= SogliaPicchi!$B$5,"",DatiOriginali!K322)</f>
        <v>35000</v>
      </c>
    </row>
    <row r="323" spans="1:11" x14ac:dyDescent="0.3">
      <c r="A323" s="4" t="s">
        <v>332</v>
      </c>
      <c r="B323" s="4">
        <v>19900</v>
      </c>
      <c r="C323" s="4">
        <f>IF(DatiOriginali!C323 &gt;= SogliaPicchi!$B$5,"",DatiOriginali!C323)</f>
        <v>181800</v>
      </c>
      <c r="D323" s="4">
        <v>10551</v>
      </c>
      <c r="E323" s="4">
        <f>IF(DatiOriginali!E323 &gt;= SogliaPicchi!$B$5,"",DatiOriginali!E323)</f>
        <v>67100</v>
      </c>
      <c r="F323" s="4">
        <v>194368</v>
      </c>
      <c r="G323" s="4">
        <f>IF(DatiOriginali!G323 &gt;= SogliaPicchi!$B$5,"",DatiOriginali!G323)</f>
        <v>97700</v>
      </c>
      <c r="H323" s="4">
        <v>234533</v>
      </c>
      <c r="I323" s="4">
        <f>IF(DatiOriginali!I323 &gt;= SogliaPicchi!$B$5,"",DatiOriginali!I323)</f>
        <v>26100</v>
      </c>
      <c r="J323" s="4">
        <v>233606</v>
      </c>
      <c r="K323" s="4">
        <f>IF(DatiOriginali!K323 &gt;= SogliaPicchi!$B$5,"",DatiOriginali!K323)</f>
        <v>33400</v>
      </c>
    </row>
    <row r="324" spans="1:11" x14ac:dyDescent="0.3">
      <c r="A324" s="4" t="s">
        <v>333</v>
      </c>
      <c r="B324" s="4">
        <v>19900</v>
      </c>
      <c r="C324" s="4">
        <f>IF(DatiOriginali!C324 &gt;= SogliaPicchi!$B$5,"",DatiOriginali!C324)</f>
        <v>172100</v>
      </c>
      <c r="D324" s="4">
        <v>10132</v>
      </c>
      <c r="E324" s="4">
        <f>IF(DatiOriginali!E324 &gt;= SogliaPicchi!$B$5,"",DatiOriginali!E324)</f>
        <v>66600</v>
      </c>
      <c r="F324" s="4">
        <v>195651</v>
      </c>
      <c r="G324" s="4">
        <f>IF(DatiOriginali!G324 &gt;= SogliaPicchi!$B$5,"",DatiOriginali!G324)</f>
        <v>119800</v>
      </c>
      <c r="H324" s="4">
        <v>236100</v>
      </c>
      <c r="I324" s="4">
        <f>IF(DatiOriginali!I324 &gt;= SogliaPicchi!$B$5,"",DatiOriginali!I324)</f>
        <v>26800</v>
      </c>
      <c r="J324" s="4">
        <v>235220</v>
      </c>
      <c r="K324" s="4">
        <f>IF(DatiOriginali!K324 &gt;= SogliaPicchi!$B$5,"",DatiOriginali!K324)</f>
        <v>34700</v>
      </c>
    </row>
    <row r="325" spans="1:11" x14ac:dyDescent="0.3">
      <c r="A325" s="4" t="s">
        <v>334</v>
      </c>
      <c r="B325" s="4">
        <v>19900</v>
      </c>
      <c r="C325" s="4">
        <f>IF(DatiOriginali!C325 &gt;= SogliaPicchi!$B$5,"",DatiOriginali!C325)</f>
        <v>202600</v>
      </c>
      <c r="D325" s="4">
        <v>10426</v>
      </c>
      <c r="E325" s="4">
        <f>IF(DatiOriginali!E325 &gt;= SogliaPicchi!$B$5,"",DatiOriginali!E325)</f>
        <v>66000</v>
      </c>
      <c r="F325" s="4">
        <v>196928</v>
      </c>
      <c r="G325" s="4">
        <f>IF(DatiOriginali!G325 &gt;= SogliaPicchi!$B$5,"",DatiOriginali!G325)</f>
        <v>100900</v>
      </c>
      <c r="H325" s="4">
        <v>237606</v>
      </c>
      <c r="I325" s="4">
        <f>IF(DatiOriginali!I325 &gt;= SogliaPicchi!$B$5,"",DatiOriginali!I325)</f>
        <v>27100</v>
      </c>
      <c r="J325" s="4">
        <v>236960</v>
      </c>
      <c r="K325" s="4">
        <f>IF(DatiOriginali!K325 &gt;= SogliaPicchi!$B$5,"",DatiOriginali!K325)</f>
        <v>35100</v>
      </c>
    </row>
    <row r="326" spans="1:11" x14ac:dyDescent="0.3">
      <c r="A326" s="4" t="s">
        <v>335</v>
      </c>
      <c r="B326" s="4">
        <v>19900</v>
      </c>
      <c r="C326" s="4">
        <f>IF(DatiOriginali!C326 &gt;= SogliaPicchi!$B$5,"",DatiOriginali!C326)</f>
        <v>139400</v>
      </c>
      <c r="D326" s="4">
        <v>10139</v>
      </c>
      <c r="E326" s="4">
        <f>IF(DatiOriginali!E326 &gt;= SogliaPicchi!$B$5,"",DatiOriginali!E326)</f>
        <v>39800</v>
      </c>
      <c r="F326" s="4">
        <v>198212</v>
      </c>
      <c r="G326" s="4">
        <f>IF(DatiOriginali!G326 &gt;= SogliaPicchi!$B$5,"",DatiOriginali!G326)</f>
        <v>86200</v>
      </c>
      <c r="H326" s="4">
        <v>239093</v>
      </c>
      <c r="I326" s="4">
        <f>IF(DatiOriginali!I326 &gt;= SogliaPicchi!$B$5,"",DatiOriginali!I326)</f>
        <v>23500</v>
      </c>
      <c r="J326" s="4">
        <v>238540</v>
      </c>
      <c r="K326" s="4">
        <f>IF(DatiOriginali!K326 &gt;= SogliaPicchi!$B$5,"",DatiOriginali!K326)</f>
        <v>31100</v>
      </c>
    </row>
    <row r="327" spans="1:11" x14ac:dyDescent="0.3">
      <c r="A327" s="4" t="s">
        <v>336</v>
      </c>
      <c r="B327" s="4">
        <v>19900</v>
      </c>
      <c r="C327" s="4">
        <f>IF(DatiOriginali!C327 &gt;= SogliaPicchi!$B$5,"",DatiOriginali!C327)</f>
        <v>135400</v>
      </c>
      <c r="D327" s="4">
        <v>10156</v>
      </c>
      <c r="E327" s="4">
        <f>IF(DatiOriginali!E327 &gt;= SogliaPicchi!$B$5,"",DatiOriginali!E327)</f>
        <v>38000</v>
      </c>
      <c r="F327" s="4">
        <v>199483</v>
      </c>
      <c r="G327" s="4">
        <f>IF(DatiOriginali!G327 &gt;= SogliaPicchi!$B$5,"",DatiOriginali!G327)</f>
        <v>83000</v>
      </c>
      <c r="H327" s="4">
        <v>240536</v>
      </c>
      <c r="I327" s="4">
        <f>IF(DatiOriginali!I327 &gt;= SogliaPicchi!$B$5,"",DatiOriginali!I327)</f>
        <v>20000</v>
      </c>
      <c r="J327" s="4">
        <v>240054</v>
      </c>
      <c r="K327" s="4">
        <f>IF(DatiOriginali!K327 &gt;= SogliaPicchi!$B$5,"",DatiOriginali!K327)</f>
        <v>24000</v>
      </c>
    </row>
    <row r="328" spans="1:11" x14ac:dyDescent="0.3">
      <c r="A328" s="4" t="s">
        <v>337</v>
      </c>
      <c r="B328" s="4">
        <v>19900</v>
      </c>
      <c r="C328" s="4">
        <f>IF(DatiOriginali!C328 &gt;= SogliaPicchi!$B$5,"",DatiOriginali!C328)</f>
        <v>135800</v>
      </c>
      <c r="D328" s="4">
        <v>9730</v>
      </c>
      <c r="E328" s="4">
        <f>IF(DatiOriginali!E328 &gt;= SogliaPicchi!$B$5,"",DatiOriginali!E328)</f>
        <v>36900</v>
      </c>
      <c r="F328" s="4">
        <v>200753</v>
      </c>
      <c r="G328" s="4">
        <f>IF(DatiOriginali!G328 &gt;= SogliaPicchi!$B$5,"",DatiOriginali!G328)</f>
        <v>62800</v>
      </c>
      <c r="H328" s="4">
        <v>241991</v>
      </c>
      <c r="I328" s="4">
        <f>IF(DatiOriginali!I328 &gt;= SogliaPicchi!$B$5,"",DatiOriginali!I328)</f>
        <v>19200</v>
      </c>
      <c r="J328" s="4">
        <v>241722</v>
      </c>
      <c r="K328" s="4">
        <f>IF(DatiOriginali!K328 &gt;= SogliaPicchi!$B$5,"",DatiOriginali!K328)</f>
        <v>24000</v>
      </c>
    </row>
    <row r="329" spans="1:11" x14ac:dyDescent="0.3">
      <c r="A329" s="4" t="s">
        <v>338</v>
      </c>
      <c r="B329" s="4">
        <v>19900</v>
      </c>
      <c r="C329" s="4">
        <f>IF(DatiOriginali!C329 &gt;= SogliaPicchi!$B$5,"",DatiOriginali!C329)</f>
        <v>122500</v>
      </c>
      <c r="D329" s="4">
        <v>9691</v>
      </c>
      <c r="E329" s="4">
        <f>IF(DatiOriginali!E329 &gt;= SogliaPicchi!$B$5,"",DatiOriginali!E329)</f>
        <v>36700</v>
      </c>
      <c r="F329" s="4">
        <v>202024</v>
      </c>
      <c r="G329" s="4">
        <f>IF(DatiOriginali!G329 &gt;= SogliaPicchi!$B$5,"",DatiOriginali!G329)</f>
        <v>84500</v>
      </c>
      <c r="H329" s="4">
        <v>243600</v>
      </c>
      <c r="I329" s="4">
        <f>IF(DatiOriginali!I329 &gt;= SogliaPicchi!$B$5,"",DatiOriginali!I329)</f>
        <v>19100</v>
      </c>
      <c r="J329" s="4">
        <v>243373</v>
      </c>
      <c r="K329" s="4">
        <f>IF(DatiOriginali!K329 &gt;= SogliaPicchi!$B$5,"",DatiOriginali!K329)</f>
        <v>24100</v>
      </c>
    </row>
    <row r="330" spans="1:11" x14ac:dyDescent="0.3">
      <c r="A330" s="4" t="s">
        <v>339</v>
      </c>
      <c r="B330" s="4">
        <v>19900</v>
      </c>
      <c r="C330" s="4">
        <f>IF(DatiOriginali!C330 &gt;= SogliaPicchi!$B$5,"",DatiOriginali!C330)</f>
        <v>122600</v>
      </c>
      <c r="D330" s="4">
        <v>9942</v>
      </c>
      <c r="E330" s="4">
        <f>IF(DatiOriginali!E330 &gt;= SogliaPicchi!$B$5,"",DatiOriginali!E330)</f>
        <v>38600</v>
      </c>
      <c r="F330" s="4">
        <v>203315</v>
      </c>
      <c r="G330" s="4">
        <f>IF(DatiOriginali!G330 &gt;= SogliaPicchi!$B$5,"",DatiOriginali!G330)</f>
        <v>63600</v>
      </c>
      <c r="H330" s="4">
        <v>245110</v>
      </c>
      <c r="I330" s="4">
        <f>IF(DatiOriginali!I330 &gt;= SogliaPicchi!$B$5,"",DatiOriginali!I330)</f>
        <v>20300</v>
      </c>
      <c r="J330" s="4">
        <v>244826</v>
      </c>
      <c r="K330" s="4">
        <f>IF(DatiOriginali!K330 &gt;= SogliaPicchi!$B$5,"",DatiOriginali!K330)</f>
        <v>23300</v>
      </c>
    </row>
    <row r="331" spans="1:11" x14ac:dyDescent="0.3">
      <c r="A331" s="4" t="s">
        <v>340</v>
      </c>
      <c r="B331" s="4">
        <v>19900</v>
      </c>
      <c r="C331" s="4">
        <f>IF(DatiOriginali!C331 &gt;= SogliaPicchi!$B$5,"",DatiOriginali!C331)</f>
        <v>216300</v>
      </c>
      <c r="D331" s="4">
        <v>9961</v>
      </c>
      <c r="E331" s="4">
        <f>IF(DatiOriginali!E331 &gt;= SogliaPicchi!$B$5,"",DatiOriginali!E331)</f>
        <v>77900</v>
      </c>
      <c r="F331" s="4">
        <v>204580</v>
      </c>
      <c r="G331" s="4">
        <f>IF(DatiOriginali!G331 &gt;= SogliaPicchi!$B$5,"",DatiOriginali!G331)</f>
        <v>117100</v>
      </c>
      <c r="H331" s="4">
        <v>246669</v>
      </c>
      <c r="I331" s="4">
        <f>IF(DatiOriginali!I331 &gt;= SogliaPicchi!$B$5,"",DatiOriginali!I331)</f>
        <v>32100</v>
      </c>
      <c r="J331" s="4">
        <v>246240</v>
      </c>
      <c r="K331" s="4">
        <f>IF(DatiOriginali!K331 &gt;= SogliaPicchi!$B$5,"",DatiOriginali!K331)</f>
        <v>37900</v>
      </c>
    </row>
    <row r="332" spans="1:11" x14ac:dyDescent="0.3">
      <c r="A332" s="4" t="s">
        <v>341</v>
      </c>
      <c r="B332" s="4">
        <v>19900</v>
      </c>
      <c r="C332" s="4">
        <f>IF(DatiOriginali!C332 &gt;= SogliaPicchi!$B$5,"",DatiOriginali!C332)</f>
        <v>129400</v>
      </c>
      <c r="D332" s="4">
        <v>10569</v>
      </c>
      <c r="E332" s="4">
        <f>IF(DatiOriginali!E332 &gt;= SogliaPicchi!$B$5,"",DatiOriginali!E332)</f>
        <v>40700</v>
      </c>
      <c r="F332" s="4">
        <v>205875</v>
      </c>
      <c r="G332" s="4">
        <f>IF(DatiOriginali!G332 &gt;= SogliaPicchi!$B$5,"",DatiOriginali!G332)</f>
        <v>65200</v>
      </c>
      <c r="H332" s="4">
        <v>248244</v>
      </c>
      <c r="I332" s="4">
        <f>IF(DatiOriginali!I332 &gt;= SogliaPicchi!$B$5,"",DatiOriginali!I332)</f>
        <v>20700</v>
      </c>
      <c r="J332" s="4">
        <v>247810</v>
      </c>
      <c r="K332" s="4">
        <f>IF(DatiOriginali!K332 &gt;= SogliaPicchi!$B$5,"",DatiOriginali!K332)</f>
        <v>26600</v>
      </c>
    </row>
    <row r="333" spans="1:11" x14ac:dyDescent="0.3">
      <c r="A333" s="4" t="s">
        <v>342</v>
      </c>
      <c r="B333" s="4">
        <v>19900</v>
      </c>
      <c r="C333" s="4">
        <f>IF(DatiOriginali!C333 &gt;= SogliaPicchi!$B$5,"",DatiOriginali!C333)</f>
        <v>169400</v>
      </c>
      <c r="D333" s="4">
        <v>9559</v>
      </c>
      <c r="E333" s="4">
        <f>IF(DatiOriginali!E333 &gt;= SogliaPicchi!$B$5,"",DatiOriginali!E333)</f>
        <v>63900</v>
      </c>
      <c r="F333" s="4">
        <v>207153</v>
      </c>
      <c r="G333" s="4">
        <f>IF(DatiOriginali!G333 &gt;= SogliaPicchi!$B$5,"",DatiOriginali!G333)</f>
        <v>117700</v>
      </c>
      <c r="H333" s="4">
        <v>249626</v>
      </c>
      <c r="I333" s="4">
        <f>IF(DatiOriginali!I333 &gt;= SogliaPicchi!$B$5,"",DatiOriginali!I333)</f>
        <v>27700</v>
      </c>
      <c r="J333" s="4">
        <v>249416</v>
      </c>
      <c r="K333" s="4">
        <f>IF(DatiOriginali!K333 &gt;= SogliaPicchi!$B$5,"",DatiOriginali!K333)</f>
        <v>34000</v>
      </c>
    </row>
    <row r="334" spans="1:11" x14ac:dyDescent="0.3">
      <c r="A334" s="4" t="s">
        <v>343</v>
      </c>
      <c r="B334" s="4">
        <v>19900</v>
      </c>
      <c r="C334" s="4">
        <f>IF(DatiOriginali!C334 &gt;= SogliaPicchi!$B$5,"",DatiOriginali!C334)</f>
        <v>149000</v>
      </c>
      <c r="D334" s="4">
        <v>9754</v>
      </c>
      <c r="E334" s="4">
        <f>IF(DatiOriginali!E334 &gt;= SogliaPicchi!$B$5,"",DatiOriginali!E334)</f>
        <v>47000</v>
      </c>
      <c r="F334" s="4">
        <v>208441</v>
      </c>
      <c r="G334" s="4">
        <f>IF(DatiOriginali!G334 &gt;= SogliaPicchi!$B$5,"",DatiOriginali!G334)</f>
        <v>91600</v>
      </c>
      <c r="H334" s="4">
        <v>251243</v>
      </c>
      <c r="I334" s="4">
        <f>IF(DatiOriginali!I334 &gt;= SogliaPicchi!$B$5,"",DatiOriginali!I334)</f>
        <v>24700</v>
      </c>
      <c r="J334" s="4">
        <v>251013</v>
      </c>
      <c r="K334" s="4">
        <f>IF(DatiOriginali!K334 &gt;= SogliaPicchi!$B$5,"",DatiOriginali!K334)</f>
        <v>30000</v>
      </c>
    </row>
    <row r="335" spans="1:11" x14ac:dyDescent="0.3">
      <c r="A335" s="4" t="s">
        <v>344</v>
      </c>
      <c r="B335" s="4">
        <v>19900</v>
      </c>
      <c r="C335" s="4">
        <f>IF(DatiOriginali!C335 &gt;= SogliaPicchi!$B$5,"",DatiOriginali!C335)</f>
        <v>115700</v>
      </c>
      <c r="D335" s="4">
        <v>9826</v>
      </c>
      <c r="E335" s="4">
        <f>IF(DatiOriginali!E335 &gt;= SogliaPicchi!$B$5,"",DatiOriginali!E335)</f>
        <v>45400</v>
      </c>
      <c r="F335" s="4">
        <v>209728</v>
      </c>
      <c r="G335" s="4">
        <f>IF(DatiOriginali!G335 &gt;= SogliaPicchi!$B$5,"",DatiOriginali!G335)</f>
        <v>91100</v>
      </c>
      <c r="H335" s="4">
        <v>252931</v>
      </c>
      <c r="I335" s="4">
        <f>IF(DatiOriginali!I335 &gt;= SogliaPicchi!$B$5,"",DatiOriginali!I335)</f>
        <v>24300</v>
      </c>
      <c r="J335" s="4">
        <v>252418</v>
      </c>
      <c r="K335" s="4">
        <f>IF(DatiOriginali!K335 &gt;= SogliaPicchi!$B$5,"",DatiOriginali!K335)</f>
        <v>33500</v>
      </c>
    </row>
    <row r="336" spans="1:11" x14ac:dyDescent="0.3">
      <c r="A336" s="4" t="s">
        <v>345</v>
      </c>
      <c r="B336" s="4">
        <v>19900</v>
      </c>
      <c r="C336" s="4">
        <f>IF(DatiOriginali!C336 &gt;= SogliaPicchi!$B$5,"",DatiOriginali!C336)</f>
        <v>128900</v>
      </c>
      <c r="D336" s="4">
        <v>9699</v>
      </c>
      <c r="E336" s="4">
        <f>IF(DatiOriginali!E336 &gt;= SogliaPicchi!$B$5,"",DatiOriginali!E336)</f>
        <v>36700</v>
      </c>
      <c r="F336" s="4">
        <v>210999</v>
      </c>
      <c r="G336" s="4">
        <f>IF(DatiOriginali!G336 &gt;= SogliaPicchi!$B$5,"",DatiOriginali!G336)</f>
        <v>72400</v>
      </c>
      <c r="H336" s="4">
        <v>254352</v>
      </c>
      <c r="I336" s="4">
        <f>IF(DatiOriginali!I336 &gt;= SogliaPicchi!$B$5,"",DatiOriginali!I336)</f>
        <v>19700</v>
      </c>
      <c r="J336" s="4">
        <v>254156</v>
      </c>
      <c r="K336" s="4">
        <f>IF(DatiOriginali!K336 &gt;= SogliaPicchi!$B$5,"",DatiOriginali!K336)</f>
        <v>25100</v>
      </c>
    </row>
    <row r="337" spans="1:11" x14ac:dyDescent="0.3">
      <c r="A337" s="4" t="s">
        <v>346</v>
      </c>
      <c r="B337" s="4">
        <v>19900</v>
      </c>
      <c r="C337" s="4">
        <f>IF(DatiOriginali!C337 &gt;= SogliaPicchi!$B$5,"",DatiOriginali!C337)</f>
        <v>135100</v>
      </c>
      <c r="D337" s="4">
        <v>10711</v>
      </c>
      <c r="E337" s="4">
        <f>IF(DatiOriginali!E337 &gt;= SogliaPicchi!$B$5,"",DatiOriginali!E337)</f>
        <v>69500</v>
      </c>
      <c r="F337" s="4">
        <v>212280</v>
      </c>
      <c r="G337" s="4">
        <f>IF(DatiOriginali!G337 &gt;= SogliaPicchi!$B$5,"",DatiOriginali!G337)</f>
        <v>114700</v>
      </c>
      <c r="H337" s="4">
        <v>256115</v>
      </c>
      <c r="I337" s="4">
        <f>IF(DatiOriginali!I337 &gt;= SogliaPicchi!$B$5,"",DatiOriginali!I337)</f>
        <v>21600</v>
      </c>
      <c r="J337" s="4">
        <v>255751</v>
      </c>
      <c r="K337" s="4">
        <f>IF(DatiOriginali!K337 &gt;= SogliaPicchi!$B$5,"",DatiOriginali!K337)</f>
        <v>27900</v>
      </c>
    </row>
    <row r="338" spans="1:11" x14ac:dyDescent="0.3">
      <c r="A338" s="4" t="s">
        <v>347</v>
      </c>
      <c r="B338" s="4">
        <v>19900</v>
      </c>
      <c r="C338" s="4">
        <f>IF(DatiOriginali!C338 &gt;= SogliaPicchi!$B$5,"",DatiOriginali!C338)</f>
        <v>132200</v>
      </c>
      <c r="D338" s="4">
        <v>9360</v>
      </c>
      <c r="E338" s="4">
        <f>IF(DatiOriginali!E338 &gt;= SogliaPicchi!$B$5,"",DatiOriginali!E338)</f>
        <v>36700</v>
      </c>
      <c r="F338" s="4">
        <v>213564</v>
      </c>
      <c r="G338" s="4">
        <f>IF(DatiOriginali!G338 &gt;= SogliaPicchi!$B$5,"",DatiOriginali!G338)</f>
        <v>63800</v>
      </c>
      <c r="H338" s="4">
        <v>257764</v>
      </c>
      <c r="I338" s="4">
        <f>IF(DatiOriginali!I338 &gt;= SogliaPicchi!$B$5,"",DatiOriginali!I338)</f>
        <v>20800</v>
      </c>
      <c r="J338" s="4">
        <v>257454</v>
      </c>
      <c r="K338" s="4">
        <f>IF(DatiOriginali!K338 &gt;= SogliaPicchi!$B$5,"",DatiOriginali!K338)</f>
        <v>25500</v>
      </c>
    </row>
    <row r="339" spans="1:11" x14ac:dyDescent="0.3">
      <c r="A339" s="4" t="s">
        <v>348</v>
      </c>
      <c r="B339" s="4">
        <v>19900</v>
      </c>
      <c r="C339" s="4">
        <f>IF(DatiOriginali!C339 &gt;= SogliaPicchi!$B$5,"",DatiOriginali!C339)</f>
        <v>126200</v>
      </c>
      <c r="D339" s="4">
        <v>10288</v>
      </c>
      <c r="E339" s="4">
        <f>IF(DatiOriginali!E339 &gt;= SogliaPicchi!$B$5,"",DatiOriginali!E339)</f>
        <v>38600</v>
      </c>
      <c r="F339" s="4">
        <v>214855</v>
      </c>
      <c r="G339" s="4">
        <f>IF(DatiOriginali!G339 &gt;= SogliaPicchi!$B$5,"",DatiOriginali!G339)</f>
        <v>61100</v>
      </c>
      <c r="H339" s="4">
        <v>259285</v>
      </c>
      <c r="I339" s="4">
        <f>IF(DatiOriginali!I339 &gt;= SogliaPicchi!$B$5,"",DatiOriginali!I339)</f>
        <v>19100</v>
      </c>
      <c r="J339" s="4">
        <v>258847</v>
      </c>
      <c r="K339" s="4">
        <f>IF(DatiOriginali!K339 &gt;= SogliaPicchi!$B$5,"",DatiOriginali!K339)</f>
        <v>24200</v>
      </c>
    </row>
    <row r="340" spans="1:11" x14ac:dyDescent="0.3">
      <c r="A340" s="4" t="s">
        <v>349</v>
      </c>
      <c r="B340" s="4">
        <v>19900</v>
      </c>
      <c r="C340" s="4">
        <f>IF(DatiOriginali!C340 &gt;= SogliaPicchi!$B$5,"",DatiOriginali!C340)</f>
        <v>160300</v>
      </c>
      <c r="D340" s="4">
        <v>10354</v>
      </c>
      <c r="E340" s="4">
        <f>IF(DatiOriginali!E340 &gt;= SogliaPicchi!$B$5,"",DatiOriginali!E340)</f>
        <v>40400</v>
      </c>
      <c r="F340" s="4">
        <v>216141</v>
      </c>
      <c r="G340" s="4">
        <f>IF(DatiOriginali!G340 &gt;= SogliaPicchi!$B$5,"",DatiOriginali!G340)</f>
        <v>65800</v>
      </c>
      <c r="H340" s="4">
        <v>261020</v>
      </c>
      <c r="I340" s="4">
        <f>IF(DatiOriginali!I340 &gt;= SogliaPicchi!$B$5,"",DatiOriginali!I340)</f>
        <v>21300</v>
      </c>
      <c r="J340" s="4">
        <v>260452</v>
      </c>
      <c r="K340" s="4">
        <f>IF(DatiOriginali!K340 &gt;= SogliaPicchi!$B$5,"",DatiOriginali!K340)</f>
        <v>34000</v>
      </c>
    </row>
    <row r="341" spans="1:11" x14ac:dyDescent="0.3">
      <c r="A341" s="4" t="s">
        <v>350</v>
      </c>
      <c r="B341" s="4">
        <v>19900</v>
      </c>
      <c r="C341" s="4">
        <f>IF(DatiOriginali!C341 &gt;= SogliaPicchi!$B$5,"",DatiOriginali!C341)</f>
        <v>153200</v>
      </c>
      <c r="D341" s="4">
        <v>10345</v>
      </c>
      <c r="E341" s="4">
        <f>IF(DatiOriginali!E341 &gt;= SogliaPicchi!$B$5,"",DatiOriginali!E341)</f>
        <v>47200</v>
      </c>
      <c r="F341" s="4">
        <v>217404</v>
      </c>
      <c r="G341" s="4">
        <f>IF(DatiOriginali!G341 &gt;= SogliaPicchi!$B$5,"",DatiOriginali!G341)</f>
        <v>79200</v>
      </c>
      <c r="H341" s="4">
        <v>262563</v>
      </c>
      <c r="I341" s="4">
        <f>IF(DatiOriginali!I341 &gt;= SogliaPicchi!$B$5,"",DatiOriginali!I341)</f>
        <v>25200</v>
      </c>
      <c r="J341" s="4">
        <v>262375</v>
      </c>
      <c r="K341" s="4">
        <f>IF(DatiOriginali!K341 &gt;= SogliaPicchi!$B$5,"",DatiOriginali!K341)</f>
        <v>32400</v>
      </c>
    </row>
    <row r="342" spans="1:11" x14ac:dyDescent="0.3">
      <c r="A342" s="4" t="s">
        <v>351</v>
      </c>
      <c r="B342" s="4">
        <v>19900</v>
      </c>
      <c r="C342" s="4">
        <f>IF(DatiOriginali!C342 &gt;= SogliaPicchi!$B$5,"",DatiOriginali!C342)</f>
        <v>137900</v>
      </c>
      <c r="D342" s="4">
        <v>11132</v>
      </c>
      <c r="E342" s="4">
        <f>IF(DatiOriginali!E342 &gt;= SogliaPicchi!$B$5,"",DatiOriginali!E342)</f>
        <v>41400</v>
      </c>
      <c r="F342" s="4">
        <v>218699</v>
      </c>
      <c r="G342" s="4">
        <f>IF(DatiOriginali!G342 &gt;= SogliaPicchi!$B$5,"",DatiOriginali!G342)</f>
        <v>72100</v>
      </c>
      <c r="H342" s="4">
        <v>264001</v>
      </c>
      <c r="I342" s="4">
        <f>IF(DatiOriginali!I342 &gt;= SogliaPicchi!$B$5,"",DatiOriginali!I342)</f>
        <v>19000</v>
      </c>
      <c r="J342" s="4">
        <v>263935</v>
      </c>
      <c r="K342" s="4">
        <f>IF(DatiOriginali!K342 &gt;= SogliaPicchi!$B$5,"",DatiOriginali!K342)</f>
        <v>25100</v>
      </c>
    </row>
    <row r="343" spans="1:11" x14ac:dyDescent="0.3">
      <c r="A343" s="4" t="s">
        <v>352</v>
      </c>
      <c r="B343" s="4">
        <v>19900</v>
      </c>
      <c r="C343" s="4">
        <f>IF(DatiOriginali!C343 &gt;= SogliaPicchi!$B$5,"",DatiOriginali!C343)</f>
        <v>178800</v>
      </c>
      <c r="D343" s="4">
        <v>10627</v>
      </c>
      <c r="E343" s="4">
        <f>IF(DatiOriginali!E343 &gt;= SogliaPicchi!$B$5,"",DatiOriginali!E343)</f>
        <v>63800</v>
      </c>
      <c r="F343" s="4">
        <v>219980</v>
      </c>
      <c r="G343" s="4">
        <f>IF(DatiOriginali!G343 &gt;= SogliaPicchi!$B$5,"",DatiOriginali!G343)</f>
        <v>122300</v>
      </c>
      <c r="H343" s="4">
        <v>265446</v>
      </c>
      <c r="I343" s="4">
        <f>IF(DatiOriginali!I343 &gt;= SogliaPicchi!$B$5,"",DatiOriginali!I343)</f>
        <v>27400</v>
      </c>
      <c r="J343" s="4">
        <v>265652</v>
      </c>
      <c r="K343" s="4">
        <f>IF(DatiOriginali!K343 &gt;= SogliaPicchi!$B$5,"",DatiOriginali!K343)</f>
        <v>35800</v>
      </c>
    </row>
    <row r="344" spans="1:11" x14ac:dyDescent="0.3">
      <c r="A344" s="4" t="s">
        <v>353</v>
      </c>
      <c r="B344" s="4">
        <v>19900</v>
      </c>
      <c r="C344" s="4">
        <f>IF(DatiOriginali!C344 &gt;= SogliaPicchi!$B$5,"",DatiOriginali!C344)</f>
        <v>169200</v>
      </c>
      <c r="D344" s="4">
        <v>10848</v>
      </c>
      <c r="E344" s="4">
        <f>IF(DatiOriginali!E344 &gt;= SogliaPicchi!$B$5,"",DatiOriginali!E344)</f>
        <v>50100</v>
      </c>
      <c r="F344" s="4">
        <v>221269</v>
      </c>
      <c r="G344" s="4">
        <f>IF(DatiOriginali!G344 &gt;= SogliaPicchi!$B$5,"",DatiOriginali!G344)</f>
        <v>92700</v>
      </c>
      <c r="H344" s="4">
        <v>267087</v>
      </c>
      <c r="I344" s="4">
        <f>IF(DatiOriginali!I344 &gt;= SogliaPicchi!$B$5,"",DatiOriginali!I344)</f>
        <v>25800</v>
      </c>
      <c r="J344" s="4">
        <v>267039</v>
      </c>
      <c r="K344" s="4">
        <f>IF(DatiOriginali!K344 &gt;= SogliaPicchi!$B$5,"",DatiOriginali!K344)</f>
        <v>30800</v>
      </c>
    </row>
    <row r="345" spans="1:11" x14ac:dyDescent="0.3">
      <c r="A345" s="4" t="s">
        <v>354</v>
      </c>
      <c r="B345" s="4">
        <v>19900</v>
      </c>
      <c r="C345" s="4">
        <f>IF(DatiOriginali!C345 &gt;= SogliaPicchi!$B$5,"",DatiOriginali!C345)</f>
        <v>134200</v>
      </c>
      <c r="D345" s="4">
        <v>10269</v>
      </c>
      <c r="E345" s="4">
        <f>IF(DatiOriginali!E345 &gt;= SogliaPicchi!$B$5,"",DatiOriginali!E345)</f>
        <v>38800</v>
      </c>
      <c r="F345" s="4">
        <v>222551</v>
      </c>
      <c r="G345" s="4">
        <f>IF(DatiOriginali!G345 &gt;= SogliaPicchi!$B$5,"",DatiOriginali!G345)</f>
        <v>94900</v>
      </c>
      <c r="H345" s="4">
        <v>268602</v>
      </c>
      <c r="I345" s="4">
        <f>IF(DatiOriginali!I345 &gt;= SogliaPicchi!$B$5,"",DatiOriginali!I345)</f>
        <v>28500</v>
      </c>
      <c r="J345" s="4">
        <v>268609</v>
      </c>
      <c r="K345" s="4">
        <f>IF(DatiOriginali!K345 &gt;= SogliaPicchi!$B$5,"",DatiOriginali!K345)</f>
        <v>27500</v>
      </c>
    </row>
    <row r="346" spans="1:11" x14ac:dyDescent="0.3">
      <c r="A346" s="4" t="s">
        <v>355</v>
      </c>
      <c r="B346" s="4">
        <v>19900</v>
      </c>
      <c r="C346" s="4">
        <f>IF(DatiOriginali!C346 &gt;= SogliaPicchi!$B$5,"",DatiOriginali!C346)</f>
        <v>132100</v>
      </c>
      <c r="D346" s="4">
        <v>10405</v>
      </c>
      <c r="E346" s="4">
        <f>IF(DatiOriginali!E346 &gt;= SogliaPicchi!$B$5,"",DatiOriginali!E346)</f>
        <v>40600</v>
      </c>
      <c r="F346" s="4">
        <v>223837</v>
      </c>
      <c r="G346" s="4">
        <f>IF(DatiOriginali!G346 &gt;= SogliaPicchi!$B$5,"",DatiOriginali!G346)</f>
        <v>75700</v>
      </c>
      <c r="H346" s="4">
        <v>270149</v>
      </c>
      <c r="I346" s="4">
        <f>IF(DatiOriginali!I346 &gt;= SogliaPicchi!$B$5,"",DatiOriginali!I346)</f>
        <v>21000</v>
      </c>
      <c r="J346" s="4">
        <v>270171</v>
      </c>
      <c r="K346" s="4">
        <f>IF(DatiOriginali!K346 &gt;= SogliaPicchi!$B$5,"",DatiOriginali!K346)</f>
        <v>26100</v>
      </c>
    </row>
    <row r="347" spans="1:11" x14ac:dyDescent="0.3">
      <c r="A347" s="4" t="s">
        <v>356</v>
      </c>
      <c r="B347" s="4">
        <v>19900</v>
      </c>
      <c r="C347" s="4">
        <f>IF(DatiOriginali!C347 &gt;= SogliaPicchi!$B$5,"",DatiOriginali!C347)</f>
        <v>137600</v>
      </c>
      <c r="D347" s="4">
        <v>10967</v>
      </c>
      <c r="E347" s="4">
        <f>IF(DatiOriginali!E347 &gt;= SogliaPicchi!$B$5,"",DatiOriginali!E347)</f>
        <v>41900</v>
      </c>
      <c r="F347" s="4">
        <v>225121</v>
      </c>
      <c r="G347" s="4">
        <f>IF(DatiOriginali!G347 &gt;= SogliaPicchi!$B$5,"",DatiOriginali!G347)</f>
        <v>62200</v>
      </c>
      <c r="H347" s="4">
        <v>271933</v>
      </c>
      <c r="I347" s="4">
        <f>IF(DatiOriginali!I347 &gt;= SogliaPicchi!$B$5,"",DatiOriginali!I347)</f>
        <v>19900</v>
      </c>
      <c r="J347" s="4">
        <v>271747</v>
      </c>
      <c r="K347" s="4">
        <f>IF(DatiOriginali!K347 &gt;= SogliaPicchi!$B$5,"",DatiOriginali!K347)</f>
        <v>33600</v>
      </c>
    </row>
    <row r="348" spans="1:11" x14ac:dyDescent="0.3">
      <c r="A348" s="4" t="s">
        <v>357</v>
      </c>
      <c r="B348" s="4">
        <v>19900</v>
      </c>
      <c r="C348" s="4">
        <f>IF(DatiOriginali!C348 &gt;= SogliaPicchi!$B$5,"",DatiOriginali!C348)</f>
        <v>126500</v>
      </c>
      <c r="D348" s="4">
        <v>10493</v>
      </c>
      <c r="E348" s="4">
        <f>IF(DatiOriginali!E348 &gt;= SogliaPicchi!$B$5,"",DatiOriginali!E348)</f>
        <v>40700</v>
      </c>
      <c r="F348" s="4">
        <v>226388</v>
      </c>
      <c r="G348" s="4">
        <f>IF(DatiOriginali!G348 &gt;= SogliaPicchi!$B$5,"",DatiOriginali!G348)</f>
        <v>63000</v>
      </c>
      <c r="H348" s="4">
        <v>273343</v>
      </c>
      <c r="I348" s="4">
        <f>IF(DatiOriginali!I348 &gt;= SogliaPicchi!$B$5,"",DatiOriginali!I348)</f>
        <v>20200</v>
      </c>
      <c r="J348" s="4">
        <v>273305</v>
      </c>
      <c r="K348" s="4">
        <f>IF(DatiOriginali!K348 &gt;= SogliaPicchi!$B$5,"",DatiOriginali!K348)</f>
        <v>25500</v>
      </c>
    </row>
    <row r="349" spans="1:11" x14ac:dyDescent="0.3">
      <c r="A349" s="4" t="s">
        <v>358</v>
      </c>
      <c r="B349" s="4">
        <v>19900</v>
      </c>
      <c r="C349" s="4">
        <f>IF(DatiOriginali!C349 &gt;= SogliaPicchi!$B$5,"",DatiOriginali!C349)</f>
        <v>163900</v>
      </c>
      <c r="D349" s="4">
        <v>10502</v>
      </c>
      <c r="E349" s="4">
        <f>IF(DatiOriginali!E349 &gt;= SogliaPicchi!$B$5,"",DatiOriginali!E349)</f>
        <v>68800</v>
      </c>
      <c r="F349" s="4">
        <v>227662</v>
      </c>
      <c r="G349" s="4">
        <f>IF(DatiOriginali!G349 &gt;= SogliaPicchi!$B$5,"",DatiOriginali!G349)</f>
        <v>100000</v>
      </c>
      <c r="H349" s="4">
        <v>274874</v>
      </c>
      <c r="I349" s="4">
        <f>IF(DatiOriginali!I349 &gt;= SogliaPicchi!$B$5,"",DatiOriginali!I349)</f>
        <v>27900</v>
      </c>
      <c r="J349" s="4">
        <v>274873</v>
      </c>
      <c r="K349" s="4">
        <f>IF(DatiOriginali!K349 &gt;= SogliaPicchi!$B$5,"",DatiOriginali!K349)</f>
        <v>33100</v>
      </c>
    </row>
    <row r="350" spans="1:11" x14ac:dyDescent="0.3">
      <c r="A350" s="4" t="s">
        <v>359</v>
      </c>
      <c r="B350" s="4">
        <v>19900</v>
      </c>
      <c r="C350" s="4">
        <f>IF(DatiOriginali!C350 &gt;= SogliaPicchi!$B$5,"",DatiOriginali!C350)</f>
        <v>169200</v>
      </c>
      <c r="D350" s="4">
        <v>10589</v>
      </c>
      <c r="E350" s="4">
        <f>IF(DatiOriginali!E350 &gt;= SogliaPicchi!$B$5,"",DatiOriginali!E350)</f>
        <v>48400</v>
      </c>
      <c r="F350" s="4">
        <v>228956</v>
      </c>
      <c r="G350" s="4">
        <f>IF(DatiOriginali!G350 &gt;= SogliaPicchi!$B$5,"",DatiOriginali!G350)</f>
        <v>78900</v>
      </c>
      <c r="H350" s="4">
        <v>276285</v>
      </c>
      <c r="I350" s="4">
        <f>IF(DatiOriginali!I350 &gt;= SogliaPicchi!$B$5,"",DatiOriginali!I350)</f>
        <v>23600</v>
      </c>
      <c r="J350" s="4">
        <v>276492</v>
      </c>
      <c r="K350" s="4">
        <f>IF(DatiOriginali!K350 &gt;= SogliaPicchi!$B$5,"",DatiOriginali!K350)</f>
        <v>30900</v>
      </c>
    </row>
    <row r="351" spans="1:11" x14ac:dyDescent="0.3">
      <c r="A351" s="4" t="s">
        <v>360</v>
      </c>
      <c r="B351" s="4">
        <v>19900</v>
      </c>
      <c r="C351" s="4">
        <f>IF(DatiOriginali!C351 &gt;= SogliaPicchi!$B$5,"",DatiOriginali!C351)</f>
        <v>177000</v>
      </c>
      <c r="D351" s="4">
        <v>9530</v>
      </c>
      <c r="E351" s="4">
        <f>IF(DatiOriginali!E351 &gt;= SogliaPicchi!$B$5,"",DatiOriginali!E351)</f>
        <v>64600</v>
      </c>
      <c r="F351" s="4">
        <v>230245</v>
      </c>
      <c r="G351" s="4">
        <f>IF(DatiOriginali!G351 &gt;= SogliaPicchi!$B$5,"",DatiOriginali!G351)</f>
        <v>113500</v>
      </c>
      <c r="H351" s="4">
        <v>277770</v>
      </c>
      <c r="I351" s="4">
        <f>IF(DatiOriginali!I351 &gt;= SogliaPicchi!$B$5,"",DatiOriginali!I351)</f>
        <v>26300</v>
      </c>
      <c r="J351" s="4">
        <v>278283</v>
      </c>
      <c r="K351" s="4">
        <f>IF(DatiOriginali!K351 &gt;= SogliaPicchi!$B$5,"",DatiOriginali!K351)</f>
        <v>27000</v>
      </c>
    </row>
    <row r="352" spans="1:11" x14ac:dyDescent="0.3">
      <c r="A352" s="4" t="s">
        <v>361</v>
      </c>
      <c r="B352" s="4">
        <v>19900</v>
      </c>
      <c r="C352" s="4">
        <f>IF(DatiOriginali!C352 &gt;= SogliaPicchi!$B$5,"",DatiOriginali!C352)</f>
        <v>125000</v>
      </c>
      <c r="D352" s="4">
        <v>10015</v>
      </c>
      <c r="E352" s="4">
        <f>IF(DatiOriginali!E352 &gt;= SogliaPicchi!$B$5,"",DatiOriginali!E352)</f>
        <v>38300</v>
      </c>
      <c r="F352" s="4">
        <v>231527</v>
      </c>
      <c r="G352" s="4">
        <f>IF(DatiOriginali!G352 &gt;= SogliaPicchi!$B$5,"",DatiOriginali!G352)</f>
        <v>73800</v>
      </c>
      <c r="H352" s="4">
        <v>279285</v>
      </c>
      <c r="I352" s="4">
        <f>IF(DatiOriginali!I352 &gt;= SogliaPicchi!$B$5,"",DatiOriginali!I352)</f>
        <v>19500</v>
      </c>
      <c r="J352" s="4">
        <v>279814</v>
      </c>
      <c r="K352" s="4">
        <f>IF(DatiOriginali!K352 &gt;= SogliaPicchi!$B$5,"",DatiOriginali!K352)</f>
        <v>25100</v>
      </c>
    </row>
    <row r="353" spans="1:11" x14ac:dyDescent="0.3">
      <c r="A353" s="4" t="s">
        <v>362</v>
      </c>
      <c r="B353" s="4">
        <v>19900</v>
      </c>
      <c r="C353" s="4">
        <f>IF(DatiOriginali!C353 &gt;= SogliaPicchi!$B$5,"",DatiOriginali!C353)</f>
        <v>119400</v>
      </c>
      <c r="D353" s="4">
        <v>9962</v>
      </c>
      <c r="E353" s="4">
        <f>IF(DatiOriginali!E353 &gt;= SogliaPicchi!$B$5,"",DatiOriginali!E353)</f>
        <v>37500</v>
      </c>
      <c r="F353" s="4">
        <v>232805</v>
      </c>
      <c r="G353" s="4">
        <f>IF(DatiOriginali!G353 &gt;= SogliaPicchi!$B$5,"",DatiOriginali!G353)</f>
        <v>74300</v>
      </c>
      <c r="H353" s="4">
        <v>280728</v>
      </c>
      <c r="I353" s="4">
        <f>IF(DatiOriginali!I353 &gt;= SogliaPicchi!$B$5,"",DatiOriginali!I353)</f>
        <v>20200</v>
      </c>
      <c r="J353" s="4">
        <v>281446</v>
      </c>
      <c r="K353" s="4">
        <f>IF(DatiOriginali!K353 &gt;= SogliaPicchi!$B$5,"",DatiOriginali!K353)</f>
        <v>24300</v>
      </c>
    </row>
    <row r="354" spans="1:11" x14ac:dyDescent="0.3">
      <c r="A354" s="4" t="s">
        <v>363</v>
      </c>
      <c r="B354" s="4">
        <v>19900</v>
      </c>
      <c r="C354" s="4">
        <f>IF(DatiOriginali!C354 &gt;= SogliaPicchi!$B$5,"",DatiOriginali!C354)</f>
        <v>124600</v>
      </c>
      <c r="D354" s="4">
        <v>10399</v>
      </c>
      <c r="E354" s="4">
        <f>IF(DatiOriginali!E354 &gt;= SogliaPicchi!$B$5,"",DatiOriginali!E354)</f>
        <v>39600</v>
      </c>
      <c r="F354" s="4">
        <v>234095</v>
      </c>
      <c r="G354" s="4">
        <f>IF(DatiOriginali!G354 &gt;= SogliaPicchi!$B$5,"",DatiOriginali!G354)</f>
        <v>85300</v>
      </c>
      <c r="H354" s="4">
        <v>282221</v>
      </c>
      <c r="I354" s="4">
        <f>IF(DatiOriginali!I354 &gt;= SogliaPicchi!$B$5,"",DatiOriginali!I354)</f>
        <v>21600</v>
      </c>
      <c r="J354" s="4">
        <v>283077</v>
      </c>
      <c r="K354" s="4">
        <f>IF(DatiOriginali!K354 &gt;= SogliaPicchi!$B$5,"",DatiOriginali!K354)</f>
        <v>30600</v>
      </c>
    </row>
    <row r="355" spans="1:11" x14ac:dyDescent="0.3">
      <c r="A355" s="4" t="s">
        <v>364</v>
      </c>
      <c r="B355" s="4">
        <v>19900</v>
      </c>
      <c r="C355" s="4">
        <f>IF(DatiOriginali!C355 &gt;= SogliaPicchi!$B$5,"",DatiOriginali!C355)</f>
        <v>113700</v>
      </c>
      <c r="D355" s="4">
        <v>10218</v>
      </c>
      <c r="E355" s="4">
        <f>IF(DatiOriginali!E355 &gt;= SogliaPicchi!$B$5,"",DatiOriginali!E355)</f>
        <v>40600</v>
      </c>
      <c r="F355" s="4">
        <v>235370</v>
      </c>
      <c r="G355" s="4">
        <f>IF(DatiOriginali!G355 &gt;= SogliaPicchi!$B$5,"",DatiOriginali!G355)</f>
        <v>71800</v>
      </c>
      <c r="H355" s="4">
        <v>283816</v>
      </c>
      <c r="I355" s="4">
        <f>IF(DatiOriginali!I355 &gt;= SogliaPicchi!$B$5,"",DatiOriginali!I355)</f>
        <v>20400</v>
      </c>
      <c r="J355" s="4">
        <v>284603</v>
      </c>
      <c r="K355" s="4">
        <f>IF(DatiOriginali!K355 &gt;= SogliaPicchi!$B$5,"",DatiOriginali!K355)</f>
        <v>23400</v>
      </c>
    </row>
    <row r="356" spans="1:11" x14ac:dyDescent="0.3">
      <c r="A356" s="4" t="s">
        <v>365</v>
      </c>
      <c r="B356" s="4">
        <v>19900</v>
      </c>
      <c r="C356" s="4">
        <f>IF(DatiOriginali!C356 &gt;= SogliaPicchi!$B$5,"",DatiOriginali!C356)</f>
        <v>163100</v>
      </c>
      <c r="D356" s="4">
        <v>10283</v>
      </c>
      <c r="E356" s="4">
        <f>IF(DatiOriginali!E356 &gt;= SogliaPicchi!$B$5,"",DatiOriginali!E356)</f>
        <v>66900</v>
      </c>
      <c r="F356" s="4">
        <v>236643</v>
      </c>
      <c r="G356" s="4">
        <f>IF(DatiOriginali!G356 &gt;= SogliaPicchi!$B$5,"",DatiOriginali!G356)</f>
        <v>95300</v>
      </c>
      <c r="H356" s="4">
        <v>285294</v>
      </c>
      <c r="I356" s="4">
        <f>IF(DatiOriginali!I356 &gt;= SogliaPicchi!$B$5,"",DatiOriginali!I356)</f>
        <v>25700</v>
      </c>
      <c r="J356" s="4">
        <v>286006</v>
      </c>
      <c r="K356" s="4">
        <f>IF(DatiOriginali!K356 &gt;= SogliaPicchi!$B$5,"",DatiOriginali!K356)</f>
        <v>32800</v>
      </c>
    </row>
    <row r="357" spans="1:11" x14ac:dyDescent="0.3">
      <c r="A357" s="4" t="s">
        <v>366</v>
      </c>
      <c r="B357" s="4">
        <v>19900</v>
      </c>
      <c r="C357" s="4">
        <f>IF(DatiOriginali!C357 &gt;= SogliaPicchi!$B$5,"",DatiOriginali!C357)</f>
        <v>158100</v>
      </c>
      <c r="D357" s="4">
        <v>10679</v>
      </c>
      <c r="E357" s="4">
        <f>IF(DatiOriginali!E357 &gt;= SogliaPicchi!$B$5,"",DatiOriginali!E357)</f>
        <v>68400</v>
      </c>
      <c r="F357" s="4">
        <v>237915</v>
      </c>
      <c r="G357" s="4">
        <f>IF(DatiOriginali!G357 &gt;= SogliaPicchi!$B$5,"",DatiOriginali!G357)</f>
        <v>93600</v>
      </c>
      <c r="H357" s="4">
        <v>286949</v>
      </c>
      <c r="I357" s="4">
        <f>IF(DatiOriginali!I357 &gt;= SogliaPicchi!$B$5,"",DatiOriginali!I357)</f>
        <v>28100</v>
      </c>
      <c r="J357" s="4">
        <v>287684</v>
      </c>
      <c r="K357" s="4">
        <f>IF(DatiOriginali!K357 &gt;= SogliaPicchi!$B$5,"",DatiOriginali!K357)</f>
        <v>34300</v>
      </c>
    </row>
    <row r="358" spans="1:11" x14ac:dyDescent="0.3">
      <c r="A358" s="4" t="s">
        <v>367</v>
      </c>
      <c r="B358" s="4">
        <v>19900</v>
      </c>
      <c r="C358" s="4">
        <f>IF(DatiOriginali!C358 &gt;= SogliaPicchi!$B$5,"",DatiOriginali!C358)</f>
        <v>194900</v>
      </c>
      <c r="D358" s="4">
        <v>10258</v>
      </c>
      <c r="E358" s="4">
        <f>IF(DatiOriginali!E358 &gt;= SogliaPicchi!$B$5,"",DatiOriginali!E358)</f>
        <v>79700</v>
      </c>
      <c r="F358" s="4">
        <v>239201</v>
      </c>
      <c r="G358" s="4">
        <f>IF(DatiOriginali!G358 &gt;= SogliaPicchi!$B$5,"",DatiOriginali!G358)</f>
        <v>149900</v>
      </c>
      <c r="H358" s="4">
        <v>288559</v>
      </c>
      <c r="I358" s="4">
        <f>IF(DatiOriginali!I358 &gt;= SogliaPicchi!$B$5,"",DatiOriginali!I358)</f>
        <v>33800</v>
      </c>
      <c r="J358" s="4">
        <v>289361</v>
      </c>
      <c r="K358" s="4">
        <f>IF(DatiOriginali!K358 &gt;= SogliaPicchi!$B$5,"",DatiOriginali!K358)</f>
        <v>40000</v>
      </c>
    </row>
    <row r="359" spans="1:11" x14ac:dyDescent="0.3">
      <c r="A359" s="4" t="s">
        <v>368</v>
      </c>
      <c r="B359" s="4">
        <v>19900</v>
      </c>
      <c r="C359" s="4">
        <f>IF(DatiOriginali!C359 &gt;= SogliaPicchi!$B$5,"",DatiOriginali!C359)</f>
        <v>136700</v>
      </c>
      <c r="D359" s="4">
        <v>9706</v>
      </c>
      <c r="E359" s="4">
        <f>IF(DatiOriginali!E359 &gt;= SogliaPicchi!$B$5,"",DatiOriginali!E359)</f>
        <v>37600</v>
      </c>
      <c r="F359" s="4">
        <v>240491</v>
      </c>
      <c r="G359" s="4">
        <f>IF(DatiOriginali!G359 &gt;= SogliaPicchi!$B$5,"",DatiOriginali!G359)</f>
        <v>64100</v>
      </c>
      <c r="H359" s="4">
        <v>290246</v>
      </c>
      <c r="I359" s="4">
        <f>IF(DatiOriginali!I359 &gt;= SogliaPicchi!$B$5,"",DatiOriginali!I359)</f>
        <v>20500</v>
      </c>
      <c r="J359" s="4">
        <v>290797</v>
      </c>
      <c r="K359" s="4">
        <f>IF(DatiOriginali!K359 &gt;= SogliaPicchi!$B$5,"",DatiOriginali!K359)</f>
        <v>29000</v>
      </c>
    </row>
    <row r="360" spans="1:11" x14ac:dyDescent="0.3">
      <c r="A360" s="4" t="s">
        <v>369</v>
      </c>
      <c r="B360" s="4">
        <v>19900</v>
      </c>
      <c r="C360" s="4">
        <f>IF(DatiOriginali!C360 &gt;= SogliaPicchi!$B$5,"",DatiOriginali!C360)</f>
        <v>146000</v>
      </c>
      <c r="D360" s="4">
        <v>10791</v>
      </c>
      <c r="E360" s="4">
        <f>IF(DatiOriginali!E360 &gt;= SogliaPicchi!$B$5,"",DatiOriginali!E360)</f>
        <v>40300</v>
      </c>
      <c r="F360" s="4">
        <v>241764</v>
      </c>
      <c r="G360" s="4">
        <f>IF(DatiOriginali!G360 &gt;= SogliaPicchi!$B$5,"",DatiOriginali!G360)</f>
        <v>64100</v>
      </c>
      <c r="H360" s="4">
        <v>291821</v>
      </c>
      <c r="I360" s="4">
        <f>IF(DatiOriginali!I360 &gt;= SogliaPicchi!$B$5,"",DatiOriginali!I360)</f>
        <v>20200</v>
      </c>
      <c r="J360" s="4">
        <v>292457</v>
      </c>
      <c r="K360" s="4">
        <f>IF(DatiOriginali!K360 &gt;= SogliaPicchi!$B$5,"",DatiOriginali!K360)</f>
        <v>25700</v>
      </c>
    </row>
    <row r="361" spans="1:11" x14ac:dyDescent="0.3">
      <c r="A361" s="4" t="s">
        <v>370</v>
      </c>
      <c r="B361" s="4">
        <v>19900</v>
      </c>
      <c r="C361" s="4">
        <f>IF(DatiOriginali!C361 &gt;= SogliaPicchi!$B$5,"",DatiOriginali!C361)</f>
        <v>165700</v>
      </c>
      <c r="D361" s="4">
        <v>9670</v>
      </c>
      <c r="E361" s="4">
        <f>IF(DatiOriginali!E361 &gt;= SogliaPicchi!$B$5,"",DatiOriginali!E361)</f>
        <v>63200</v>
      </c>
      <c r="F361" s="4">
        <v>243037</v>
      </c>
      <c r="G361" s="4">
        <f>IF(DatiOriginali!G361 &gt;= SogliaPicchi!$B$5,"",DatiOriginali!G361)</f>
        <v>112900</v>
      </c>
      <c r="H361" s="4">
        <v>293317</v>
      </c>
      <c r="I361" s="4">
        <f>IF(DatiOriginali!I361 &gt;= SogliaPicchi!$B$5,"",DatiOriginali!I361)</f>
        <v>27400</v>
      </c>
      <c r="J361" s="4">
        <v>293941</v>
      </c>
      <c r="K361" s="4">
        <f>IF(DatiOriginali!K361 &gt;= SogliaPicchi!$B$5,"",DatiOriginali!K361)</f>
        <v>32800</v>
      </c>
    </row>
    <row r="362" spans="1:11" x14ac:dyDescent="0.3">
      <c r="A362" s="4" t="s">
        <v>371</v>
      </c>
      <c r="B362" s="4">
        <v>19900</v>
      </c>
      <c r="C362" s="4">
        <f>IF(DatiOriginali!C362 &gt;= SogliaPicchi!$B$5,"",DatiOriginali!C362)</f>
        <v>176200</v>
      </c>
      <c r="D362" s="4">
        <v>10307</v>
      </c>
      <c r="E362" s="4">
        <f>IF(DatiOriginali!E362 &gt;= SogliaPicchi!$B$5,"",DatiOriginali!E362)</f>
        <v>65200</v>
      </c>
      <c r="F362" s="4">
        <v>244316</v>
      </c>
      <c r="G362" s="4">
        <f>IF(DatiOriginali!G362 &gt;= SogliaPicchi!$B$5,"",DatiOriginali!G362)</f>
        <v>109100</v>
      </c>
      <c r="H362" s="4">
        <v>294785</v>
      </c>
      <c r="I362" s="4">
        <f>IF(DatiOriginali!I362 &gt;= SogliaPicchi!$B$5,"",DatiOriginali!I362)</f>
        <v>26000</v>
      </c>
      <c r="J362" s="4">
        <v>295491</v>
      </c>
      <c r="K362" s="4">
        <f>IF(DatiOriginali!K362 &gt;= SogliaPicchi!$B$5,"",DatiOriginali!K362)</f>
        <v>32200</v>
      </c>
    </row>
    <row r="363" spans="1:11" x14ac:dyDescent="0.3">
      <c r="A363" s="4" t="s">
        <v>372</v>
      </c>
      <c r="B363" s="4">
        <v>19900</v>
      </c>
      <c r="C363" s="4">
        <f>IF(DatiOriginali!C363 &gt;= SogliaPicchi!$B$5,"",DatiOriginali!C363)</f>
        <v>168000</v>
      </c>
      <c r="D363" s="4">
        <v>10338</v>
      </c>
      <c r="E363" s="4">
        <f>IF(DatiOriginali!E363 &gt;= SogliaPicchi!$B$5,"",DatiOriginali!E363)</f>
        <v>66100</v>
      </c>
      <c r="F363" s="4">
        <v>245595</v>
      </c>
      <c r="G363" s="4">
        <f>IF(DatiOriginali!G363 &gt;= SogliaPicchi!$B$5,"",DatiOriginali!G363)</f>
        <v>106200</v>
      </c>
      <c r="H363" s="4">
        <v>296289</v>
      </c>
      <c r="I363" s="4">
        <f>IF(DatiOriginali!I363 &gt;= SogliaPicchi!$B$5,"",DatiOriginali!I363)</f>
        <v>27200</v>
      </c>
      <c r="J363" s="4">
        <v>297260</v>
      </c>
      <c r="K363" s="4">
        <f>IF(DatiOriginali!K363 &gt;= SogliaPicchi!$B$5,"",DatiOriginali!K363)</f>
        <v>56200</v>
      </c>
    </row>
    <row r="364" spans="1:11" x14ac:dyDescent="0.3">
      <c r="A364" s="4" t="s">
        <v>373</v>
      </c>
      <c r="B364" s="4">
        <v>19900</v>
      </c>
      <c r="C364" s="4">
        <f>IF(DatiOriginali!C364 &gt;= SogliaPicchi!$B$5,"",DatiOriginali!C364)</f>
        <v>171100</v>
      </c>
      <c r="D364" s="4">
        <v>9108</v>
      </c>
      <c r="E364" s="4">
        <f>IF(DatiOriginali!E364 &gt;= SogliaPicchi!$B$5,"",DatiOriginali!E364)</f>
        <v>57300</v>
      </c>
      <c r="F364" s="4">
        <v>246872</v>
      </c>
      <c r="G364" s="4">
        <f>IF(DatiOriginali!G364 &gt;= SogliaPicchi!$B$5,"",DatiOriginali!G364)</f>
        <v>107800</v>
      </c>
      <c r="H364" s="4">
        <v>297822</v>
      </c>
      <c r="I364" s="4">
        <f>IF(DatiOriginali!I364 &gt;= SogliaPicchi!$B$5,"",DatiOriginali!I364)</f>
        <v>26100</v>
      </c>
      <c r="J364" s="4">
        <v>298769</v>
      </c>
      <c r="K364" s="4">
        <f>IF(DatiOriginali!K364 &gt;= SogliaPicchi!$B$5,"",DatiOriginali!K364)</f>
        <v>32900</v>
      </c>
    </row>
    <row r="365" spans="1:11" x14ac:dyDescent="0.3">
      <c r="A365" s="4" t="s">
        <v>374</v>
      </c>
      <c r="B365" s="4">
        <v>19900</v>
      </c>
      <c r="C365" s="4">
        <f>IF(DatiOriginali!C365 &gt;= SogliaPicchi!$B$5,"",DatiOriginali!C365)</f>
        <v>121100</v>
      </c>
      <c r="D365" s="4">
        <v>9128</v>
      </c>
      <c r="E365" s="4">
        <f>IF(DatiOriginali!E365 &gt;= SogliaPicchi!$B$5,"",DatiOriginali!E365)</f>
        <v>34800</v>
      </c>
      <c r="F365" s="4">
        <v>248142</v>
      </c>
      <c r="G365" s="4">
        <f>IF(DatiOriginali!G365 &gt;= SogliaPicchi!$B$5,"",DatiOriginali!G365)</f>
        <v>63900</v>
      </c>
      <c r="H365" s="4">
        <v>299482</v>
      </c>
      <c r="I365" s="4">
        <f>IF(DatiOriginali!I365 &gt;= SogliaPicchi!$B$5,"",DatiOriginali!I365)</f>
        <v>20600</v>
      </c>
      <c r="J365" s="4">
        <v>300243</v>
      </c>
      <c r="K365" s="4">
        <f>IF(DatiOriginali!K365 &gt;= SogliaPicchi!$B$5,"",DatiOriginali!K365)</f>
        <v>25700</v>
      </c>
    </row>
    <row r="366" spans="1:11" x14ac:dyDescent="0.3">
      <c r="A366" s="4" t="s">
        <v>375</v>
      </c>
      <c r="B366" s="4">
        <v>19900</v>
      </c>
      <c r="C366" s="4">
        <f>IF(DatiOriginali!C366 &gt;= SogliaPicchi!$B$5,"",DatiOriginali!C366)</f>
        <v>128400</v>
      </c>
      <c r="D366" s="4">
        <v>10047</v>
      </c>
      <c r="E366" s="4">
        <f>IF(DatiOriginali!E366 &gt;= SogliaPicchi!$B$5,"",DatiOriginali!E366)</f>
        <v>38200</v>
      </c>
      <c r="F366" s="4">
        <v>249418</v>
      </c>
      <c r="G366" s="4">
        <f>IF(DatiOriginali!G366 &gt;= SogliaPicchi!$B$5,"",DatiOriginali!G366)</f>
        <v>62300</v>
      </c>
      <c r="H366" s="4">
        <v>300984</v>
      </c>
      <c r="I366" s="4">
        <f>IF(DatiOriginali!I366 &gt;= SogliaPicchi!$B$5,"",DatiOriginali!I366)</f>
        <v>20100</v>
      </c>
      <c r="J366" s="4">
        <v>301636</v>
      </c>
      <c r="K366" s="4">
        <f>IF(DatiOriginali!K366 &gt;= SogliaPicchi!$B$5,"",DatiOriginali!K366)</f>
        <v>24000</v>
      </c>
    </row>
    <row r="367" spans="1:11" x14ac:dyDescent="0.3">
      <c r="A367" s="4" t="s">
        <v>376</v>
      </c>
      <c r="B367" s="4">
        <v>19900</v>
      </c>
      <c r="C367" s="4">
        <f>IF(DatiOriginali!C367 &gt;= SogliaPicchi!$B$5,"",DatiOriginali!C367)</f>
        <v>148000</v>
      </c>
      <c r="D367" s="4">
        <v>9881</v>
      </c>
      <c r="E367" s="4">
        <f>IF(DatiOriginali!E367 &gt;= SogliaPicchi!$B$5,"",DatiOriginali!E367)</f>
        <v>37900</v>
      </c>
      <c r="F367" s="4">
        <v>250713</v>
      </c>
      <c r="G367" s="4">
        <f>IF(DatiOriginali!G367 &gt;= SogliaPicchi!$B$5,"",DatiOriginali!G367)</f>
        <v>63200</v>
      </c>
      <c r="H367" s="4">
        <v>302412</v>
      </c>
      <c r="I367" s="4">
        <f>IF(DatiOriginali!I367 &gt;= SogliaPicchi!$B$5,"",DatiOriginali!I367)</f>
        <v>19500</v>
      </c>
      <c r="J367" s="4">
        <v>303061</v>
      </c>
      <c r="K367" s="4">
        <f>IF(DatiOriginali!K367 &gt;= SogliaPicchi!$B$5,"",DatiOriginali!K367)</f>
        <v>22500</v>
      </c>
    </row>
    <row r="368" spans="1:11" x14ac:dyDescent="0.3">
      <c r="A368" s="4" t="s">
        <v>377</v>
      </c>
      <c r="B368" s="4">
        <v>19900</v>
      </c>
      <c r="C368" s="4">
        <f>IF(DatiOriginali!C368 &gt;= SogliaPicchi!$B$5,"",DatiOriginali!C368)</f>
        <v>140500</v>
      </c>
      <c r="D368" s="4">
        <v>9497</v>
      </c>
      <c r="E368" s="4">
        <f>IF(DatiOriginali!E368 &gt;= SogliaPicchi!$B$5,"",DatiOriginali!E368)</f>
        <v>36900</v>
      </c>
      <c r="F368" s="4">
        <v>251993</v>
      </c>
      <c r="G368" s="4">
        <f>IF(DatiOriginali!G368 &gt;= SogliaPicchi!$B$5,"",DatiOriginali!G368)</f>
        <v>62200</v>
      </c>
      <c r="H368" s="4">
        <v>303916</v>
      </c>
      <c r="I368" s="4">
        <f>IF(DatiOriginali!I368 &gt;= SogliaPicchi!$B$5,"",DatiOriginali!I368)</f>
        <v>19900</v>
      </c>
      <c r="J368" s="4">
        <v>304676</v>
      </c>
      <c r="K368" s="4">
        <f>IF(DatiOriginali!K368 &gt;= SogliaPicchi!$B$5,"",DatiOriginali!K368)</f>
        <v>23100</v>
      </c>
    </row>
    <row r="369" spans="1:11" x14ac:dyDescent="0.3">
      <c r="A369" s="4" t="s">
        <v>378</v>
      </c>
      <c r="B369" s="4">
        <v>19900</v>
      </c>
      <c r="C369" s="4">
        <f>IF(DatiOriginali!C369 &gt;= SogliaPicchi!$B$5,"",DatiOriginali!C369)</f>
        <v>133500</v>
      </c>
      <c r="D369" s="4">
        <v>10630</v>
      </c>
      <c r="E369" s="4">
        <f>IF(DatiOriginali!E369 &gt;= SogliaPicchi!$B$5,"",DatiOriginali!E369)</f>
        <v>40300</v>
      </c>
      <c r="F369" s="4">
        <v>253280</v>
      </c>
      <c r="G369" s="4">
        <f>IF(DatiOriginali!G369 &gt;= SogliaPicchi!$B$5,"",DatiOriginali!G369)</f>
        <v>64900</v>
      </c>
      <c r="H369" s="4">
        <v>305548</v>
      </c>
      <c r="I369" s="4">
        <f>IF(DatiOriginali!I369 &gt;= SogliaPicchi!$B$5,"",DatiOriginali!I369)</f>
        <v>21100</v>
      </c>
      <c r="J369" s="4">
        <v>306057</v>
      </c>
      <c r="K369" s="4">
        <f>IF(DatiOriginali!K369 &gt;= SogliaPicchi!$B$5,"",DatiOriginali!K369)</f>
        <v>25200</v>
      </c>
    </row>
    <row r="370" spans="1:11" x14ac:dyDescent="0.3">
      <c r="A370" s="4" t="s">
        <v>379</v>
      </c>
      <c r="B370" s="4">
        <v>19900</v>
      </c>
      <c r="C370" s="4">
        <f>IF(DatiOriginali!C370 &gt;= SogliaPicchi!$B$5,"",DatiOriginali!C370)</f>
        <v>121800</v>
      </c>
      <c r="D370" s="4">
        <v>10072</v>
      </c>
      <c r="E370" s="4">
        <f>IF(DatiOriginali!E370 &gt;= SogliaPicchi!$B$5,"",DatiOriginali!E370)</f>
        <v>39400</v>
      </c>
      <c r="F370" s="4">
        <v>254552</v>
      </c>
      <c r="G370" s="4">
        <f>IF(DatiOriginali!G370 &gt;= SogliaPicchi!$B$5,"",DatiOriginali!G370)</f>
        <v>74100</v>
      </c>
      <c r="H370" s="4">
        <v>306987</v>
      </c>
      <c r="I370" s="4">
        <f>IF(DatiOriginali!I370 &gt;= SogliaPicchi!$B$5,"",DatiOriginali!I370)</f>
        <v>20200</v>
      </c>
      <c r="J370" s="4">
        <v>307517</v>
      </c>
      <c r="K370" s="4">
        <f>IF(DatiOriginali!K370 &gt;= SogliaPicchi!$B$5,"",DatiOriginali!K370)</f>
        <v>29600</v>
      </c>
    </row>
    <row r="371" spans="1:11" x14ac:dyDescent="0.3">
      <c r="A371" s="4" t="s">
        <v>380</v>
      </c>
      <c r="B371" s="4">
        <v>19900</v>
      </c>
      <c r="C371" s="4">
        <f>IF(DatiOriginali!C371 &gt;= SogliaPicchi!$B$5,"",DatiOriginali!C371)</f>
        <v>134400</v>
      </c>
      <c r="D371" s="4">
        <v>10733</v>
      </c>
      <c r="E371" s="4">
        <f>IF(DatiOriginali!E371 &gt;= SogliaPicchi!$B$5,"",DatiOriginali!E371)</f>
        <v>40100</v>
      </c>
      <c r="F371" s="4">
        <v>255827</v>
      </c>
      <c r="G371" s="4">
        <f>IF(DatiOriginali!G371 &gt;= SogliaPicchi!$B$5,"",DatiOriginali!G371)</f>
        <v>73300</v>
      </c>
      <c r="H371" s="4">
        <v>308779</v>
      </c>
      <c r="I371" s="4">
        <f>IF(DatiOriginali!I371 &gt;= SogliaPicchi!$B$5,"",DatiOriginali!I371)</f>
        <v>19900</v>
      </c>
      <c r="J371" s="4">
        <v>308987</v>
      </c>
      <c r="K371" s="4">
        <f>IF(DatiOriginali!K371 &gt;= SogliaPicchi!$B$5,"",DatiOriginali!K371)</f>
        <v>24400</v>
      </c>
    </row>
    <row r="372" spans="1:11" x14ac:dyDescent="0.3">
      <c r="A372" s="4" t="s">
        <v>381</v>
      </c>
      <c r="B372" s="4">
        <v>19900</v>
      </c>
      <c r="C372" s="4">
        <f>IF(DatiOriginali!C372 &gt;= SogliaPicchi!$B$5,"",DatiOriginali!C372)</f>
        <v>131500</v>
      </c>
      <c r="D372" s="4">
        <v>10017</v>
      </c>
      <c r="E372" s="4">
        <f>IF(DatiOriginali!E372 &gt;= SogliaPicchi!$B$5,"",DatiOriginali!E372)</f>
        <v>38100</v>
      </c>
      <c r="F372" s="4">
        <v>257114</v>
      </c>
      <c r="G372" s="4">
        <f>IF(DatiOriginali!G372 &gt;= SogliaPicchi!$B$5,"",DatiOriginali!G372)</f>
        <v>71500</v>
      </c>
      <c r="H372" s="4">
        <v>310283</v>
      </c>
      <c r="I372" s="4">
        <f>IF(DatiOriginali!I372 &gt;= SogliaPicchi!$B$5,"",DatiOriginali!I372)</f>
        <v>20300</v>
      </c>
      <c r="J372" s="4">
        <v>310631</v>
      </c>
      <c r="K372" s="4">
        <f>IF(DatiOriginali!K372 &gt;= SogliaPicchi!$B$5,"",DatiOriginali!K372)</f>
        <v>25300</v>
      </c>
    </row>
    <row r="373" spans="1:11" x14ac:dyDescent="0.3">
      <c r="A373" s="4" t="s">
        <v>382</v>
      </c>
      <c r="B373" s="4">
        <v>19900</v>
      </c>
      <c r="C373" s="4">
        <f>IF(DatiOriginali!C373 &gt;= SogliaPicchi!$B$5,"",DatiOriginali!C373)</f>
        <v>133200</v>
      </c>
      <c r="D373" s="4">
        <v>10334</v>
      </c>
      <c r="E373" s="4">
        <f>IF(DatiOriginali!E373 &gt;= SogliaPicchi!$B$5,"",DatiOriginali!E373)</f>
        <v>39200</v>
      </c>
      <c r="F373" s="4">
        <v>258394</v>
      </c>
      <c r="G373" s="4">
        <f>IF(DatiOriginali!G373 &gt;= SogliaPicchi!$B$5,"",DatiOriginali!G373)</f>
        <v>72200</v>
      </c>
      <c r="H373" s="4">
        <v>311841</v>
      </c>
      <c r="I373" s="4">
        <f>IF(DatiOriginali!I373 &gt;= SogliaPicchi!$B$5,"",DatiOriginali!I373)</f>
        <v>19600</v>
      </c>
      <c r="J373" s="4">
        <v>312288</v>
      </c>
      <c r="K373" s="4">
        <f>IF(DatiOriginali!K373 &gt;= SogliaPicchi!$B$5,"",DatiOriginali!K373)</f>
        <v>23600</v>
      </c>
    </row>
    <row r="374" spans="1:11" x14ac:dyDescent="0.3">
      <c r="A374" s="4" t="s">
        <v>383</v>
      </c>
      <c r="B374" s="4">
        <v>19900</v>
      </c>
      <c r="C374" s="4">
        <f>IF(DatiOriginali!C374 &gt;= SogliaPicchi!$B$5,"",DatiOriginali!C374)</f>
        <v>172300</v>
      </c>
      <c r="D374" s="4">
        <v>9746</v>
      </c>
      <c r="E374" s="4">
        <f>IF(DatiOriginali!E374 &gt;= SogliaPicchi!$B$5,"",DatiOriginali!E374)</f>
        <v>54000</v>
      </c>
      <c r="F374" s="4">
        <v>259690</v>
      </c>
      <c r="G374" s="4">
        <f>IF(DatiOriginali!G374 &gt;= SogliaPicchi!$B$5,"",DatiOriginali!G374)</f>
        <v>93100</v>
      </c>
      <c r="H374" s="4">
        <v>313362</v>
      </c>
      <c r="I374" s="4">
        <f>IF(DatiOriginali!I374 &gt;= SogliaPicchi!$B$5,"",DatiOriginali!I374)</f>
        <v>24700</v>
      </c>
      <c r="J374" s="4">
        <v>313764</v>
      </c>
      <c r="K374" s="4">
        <f>IF(DatiOriginali!K374 &gt;= SogliaPicchi!$B$5,"",DatiOriginali!K374)</f>
        <v>31800</v>
      </c>
    </row>
    <row r="375" spans="1:11" x14ac:dyDescent="0.3">
      <c r="A375" s="4" t="s">
        <v>384</v>
      </c>
      <c r="B375" s="4">
        <v>19900</v>
      </c>
      <c r="C375" s="4">
        <f>IF(DatiOriginali!C375 &gt;= SogliaPicchi!$B$5,"",DatiOriginali!C375)</f>
        <v>174800</v>
      </c>
      <c r="D375" s="4">
        <v>10111</v>
      </c>
      <c r="E375" s="4">
        <f>IF(DatiOriginali!E375 &gt;= SogliaPicchi!$B$5,"",DatiOriginali!E375)</f>
        <v>55800</v>
      </c>
      <c r="F375" s="4">
        <v>260961</v>
      </c>
      <c r="G375" s="4">
        <f>IF(DatiOriginali!G375 &gt;= SogliaPicchi!$B$5,"",DatiOriginali!G375)</f>
        <v>87000</v>
      </c>
      <c r="H375" s="4">
        <v>314823</v>
      </c>
      <c r="I375" s="4">
        <f>IF(DatiOriginali!I375 &gt;= SogliaPicchi!$B$5,"",DatiOriginali!I375)</f>
        <v>27200</v>
      </c>
      <c r="J375" s="4">
        <v>315271</v>
      </c>
      <c r="K375" s="4">
        <f>IF(DatiOriginali!K375 &gt;= SogliaPicchi!$B$5,"",DatiOriginali!K375)</f>
        <v>30500</v>
      </c>
    </row>
    <row r="376" spans="1:11" x14ac:dyDescent="0.3">
      <c r="A376" s="4" t="s">
        <v>385</v>
      </c>
      <c r="B376" s="4">
        <v>19900</v>
      </c>
      <c r="C376" s="4">
        <f>IF(DatiOriginali!C376 &gt;= SogliaPicchi!$B$5,"",DatiOriginali!C376)</f>
        <v>145600</v>
      </c>
      <c r="D376" s="4">
        <v>9917</v>
      </c>
      <c r="E376" s="4">
        <f>IF(DatiOriginali!E376 &gt;= SogliaPicchi!$B$5,"",DatiOriginali!E376)</f>
        <v>45900</v>
      </c>
      <c r="F376" s="4">
        <v>262239</v>
      </c>
      <c r="G376" s="4">
        <f>IF(DatiOriginali!G376 &gt;= SogliaPicchi!$B$5,"",DatiOriginali!G376)</f>
        <v>83500</v>
      </c>
      <c r="H376" s="4">
        <v>316312</v>
      </c>
      <c r="I376" s="4">
        <f>IF(DatiOriginali!I376 &gt;= SogliaPicchi!$B$5,"",DatiOriginali!I376)</f>
        <v>24500</v>
      </c>
      <c r="J376" s="4">
        <v>316676</v>
      </c>
      <c r="K376" s="4">
        <f>IF(DatiOriginali!K376 &gt;= SogliaPicchi!$B$5,"",DatiOriginali!K376)</f>
        <v>30600</v>
      </c>
    </row>
    <row r="377" spans="1:11" x14ac:dyDescent="0.3">
      <c r="A377" s="4" t="s">
        <v>386</v>
      </c>
      <c r="B377" s="4">
        <v>19900</v>
      </c>
      <c r="C377" s="4">
        <f>IF(DatiOriginali!C377 &gt;= SogliaPicchi!$B$5,"",DatiOriginali!C377)</f>
        <v>166500</v>
      </c>
      <c r="D377" s="4">
        <v>10750</v>
      </c>
      <c r="E377" s="4">
        <f>IF(DatiOriginali!E377 &gt;= SogliaPicchi!$B$5,"",DatiOriginali!E377)</f>
        <v>59300</v>
      </c>
      <c r="F377" s="4">
        <v>263517</v>
      </c>
      <c r="G377" s="4">
        <f>IF(DatiOriginali!G377 &gt;= SogliaPicchi!$B$5,"",DatiOriginali!G377)</f>
        <v>87700</v>
      </c>
      <c r="H377" s="4">
        <v>318090</v>
      </c>
      <c r="I377" s="4">
        <f>IF(DatiOriginali!I377 &gt;= SogliaPicchi!$B$5,"",DatiOriginali!I377)</f>
        <v>25100</v>
      </c>
      <c r="J377" s="4">
        <v>318269</v>
      </c>
      <c r="K377" s="4">
        <f>IF(DatiOriginali!K377 &gt;= SogliaPicchi!$B$5,"",DatiOriginali!K377)</f>
        <v>31500</v>
      </c>
    </row>
    <row r="378" spans="1:11" x14ac:dyDescent="0.3">
      <c r="A378" s="4" t="s">
        <v>387</v>
      </c>
      <c r="B378" s="4">
        <v>19900</v>
      </c>
      <c r="C378" s="4">
        <f>IF(DatiOriginali!C378 &gt;= SogliaPicchi!$B$5,"",DatiOriginali!C378)</f>
        <v>171200</v>
      </c>
      <c r="D378" s="4">
        <v>9734</v>
      </c>
      <c r="E378" s="4">
        <f>IF(DatiOriginali!E378 &gt;= SogliaPicchi!$B$5,"",DatiOriginali!E378)</f>
        <v>44900</v>
      </c>
      <c r="F378" s="4">
        <v>264795</v>
      </c>
      <c r="G378" s="4">
        <f>IF(DatiOriginali!G378 &gt;= SogliaPicchi!$B$5,"",DatiOriginali!G378)</f>
        <v>77900</v>
      </c>
      <c r="H378" s="4">
        <v>319678</v>
      </c>
      <c r="I378" s="4">
        <f>IF(DatiOriginali!I378 &gt;= SogliaPicchi!$B$5,"",DatiOriginali!I378)</f>
        <v>24800</v>
      </c>
      <c r="J378" s="4">
        <v>320028</v>
      </c>
      <c r="K378" s="4">
        <f>IF(DatiOriginali!K378 &gt;= SogliaPicchi!$B$5,"",DatiOriginali!K378)</f>
        <v>31800</v>
      </c>
    </row>
    <row r="379" spans="1:11" x14ac:dyDescent="0.3">
      <c r="A379" s="4" t="s">
        <v>388</v>
      </c>
      <c r="B379" s="4">
        <v>19900</v>
      </c>
      <c r="C379" s="4">
        <f>IF(DatiOriginali!C379 &gt;= SogliaPicchi!$B$5,"",DatiOriginali!C379)</f>
        <v>177100</v>
      </c>
      <c r="D379" s="4">
        <v>10785</v>
      </c>
      <c r="E379" s="4">
        <f>IF(DatiOriginali!E379 &gt;= SogliaPicchi!$B$5,"",DatiOriginali!E379)</f>
        <v>58600</v>
      </c>
      <c r="F379" s="4">
        <v>266083</v>
      </c>
      <c r="G379" s="4">
        <f>IF(DatiOriginali!G379 &gt;= SogliaPicchi!$B$5,"",DatiOriginali!G379)</f>
        <v>98400</v>
      </c>
      <c r="H379" s="4">
        <v>321379</v>
      </c>
      <c r="I379" s="4">
        <f>IF(DatiOriginali!I379 &gt;= SogliaPicchi!$B$5,"",DatiOriginali!I379)</f>
        <v>24500</v>
      </c>
      <c r="J379" s="4">
        <v>321611</v>
      </c>
      <c r="K379" s="4">
        <f>IF(DatiOriginali!K379 &gt;= SogliaPicchi!$B$5,"",DatiOriginali!K379)</f>
        <v>29600</v>
      </c>
    </row>
    <row r="380" spans="1:11" x14ac:dyDescent="0.3">
      <c r="A380" s="4" t="s">
        <v>389</v>
      </c>
      <c r="B380" s="4">
        <v>19900</v>
      </c>
      <c r="C380" s="4">
        <f>IF(DatiOriginali!C380 &gt;= SogliaPicchi!$B$5,"",DatiOriginali!C380)</f>
        <v>136600</v>
      </c>
      <c r="D380" s="4">
        <v>10237</v>
      </c>
      <c r="E380" s="4">
        <f>IF(DatiOriginali!E380 &gt;= SogliaPicchi!$B$5,"",DatiOriginali!E380)</f>
        <v>39000</v>
      </c>
      <c r="F380" s="4">
        <v>267373</v>
      </c>
      <c r="G380" s="4">
        <f>IF(DatiOriginali!G380 &gt;= SogliaPicchi!$B$5,"",DatiOriginali!G380)</f>
        <v>83000</v>
      </c>
      <c r="H380" s="4">
        <v>322758</v>
      </c>
      <c r="I380" s="4">
        <f>IF(DatiOriginali!I380 &gt;= SogliaPicchi!$B$5,"",DatiOriginali!I380)</f>
        <v>20200</v>
      </c>
      <c r="J380" s="4">
        <v>323081</v>
      </c>
      <c r="K380" s="4">
        <f>IF(DatiOriginali!K380 &gt;= SogliaPicchi!$B$5,"",DatiOriginali!K380)</f>
        <v>27400</v>
      </c>
    </row>
    <row r="381" spans="1:11" x14ac:dyDescent="0.3">
      <c r="A381" s="4" t="s">
        <v>390</v>
      </c>
      <c r="B381" s="4">
        <v>19900</v>
      </c>
      <c r="C381" s="4">
        <f>IF(DatiOriginali!C381 &gt;= SogliaPicchi!$B$5,"",DatiOriginali!C381)</f>
        <v>134400</v>
      </c>
      <c r="D381" s="4">
        <v>10867</v>
      </c>
      <c r="E381" s="4">
        <f>IF(DatiOriginali!E381 &gt;= SogliaPicchi!$B$5,"",DatiOriginali!E381)</f>
        <v>40400</v>
      </c>
      <c r="F381" s="4">
        <v>268664</v>
      </c>
      <c r="G381" s="4">
        <f>IF(DatiOriginali!G381 &gt;= SogliaPicchi!$B$5,"",DatiOriginali!G381)</f>
        <v>73500</v>
      </c>
      <c r="H381" s="4">
        <v>324307</v>
      </c>
      <c r="I381" s="4">
        <f>IF(DatiOriginali!I381 &gt;= SogliaPicchi!$B$5,"",DatiOriginali!I381)</f>
        <v>20100</v>
      </c>
      <c r="J381" s="4">
        <v>324675</v>
      </c>
      <c r="K381" s="4">
        <f>IF(DatiOriginali!K381 &gt;= SogliaPicchi!$B$5,"",DatiOriginali!K381)</f>
        <v>24800</v>
      </c>
    </row>
    <row r="382" spans="1:11" x14ac:dyDescent="0.3">
      <c r="A382" s="4" t="s">
        <v>391</v>
      </c>
      <c r="B382" s="4">
        <v>19900</v>
      </c>
      <c r="C382" s="4">
        <f>IF(DatiOriginali!C382 &gt;= SogliaPicchi!$B$5,"",DatiOriginali!C382)</f>
        <v>132800</v>
      </c>
      <c r="D382" s="4">
        <v>10599</v>
      </c>
      <c r="E382" s="4">
        <f>IF(DatiOriginali!E382 &gt;= SogliaPicchi!$B$5,"",DatiOriginali!E382)</f>
        <v>39700</v>
      </c>
      <c r="F382" s="4">
        <v>269933</v>
      </c>
      <c r="G382" s="4">
        <f>IF(DatiOriginali!G382 &gt;= SogliaPicchi!$B$5,"",DatiOriginali!G382)</f>
        <v>74600</v>
      </c>
      <c r="H382" s="4">
        <v>325793</v>
      </c>
      <c r="I382" s="4">
        <f>IF(DatiOriginali!I382 &gt;= SogliaPicchi!$B$5,"",DatiOriginali!I382)</f>
        <v>19700</v>
      </c>
      <c r="J382" s="4">
        <v>326110</v>
      </c>
      <c r="K382" s="4">
        <f>IF(DatiOriginali!K382 &gt;= SogliaPicchi!$B$5,"",DatiOriginali!K382)</f>
        <v>24200</v>
      </c>
    </row>
    <row r="383" spans="1:11" x14ac:dyDescent="0.3">
      <c r="A383" s="4" t="s">
        <v>392</v>
      </c>
      <c r="B383" s="4">
        <v>19900</v>
      </c>
      <c r="C383" s="4">
        <f>IF(DatiOriginali!C383 &gt;= SogliaPicchi!$B$5,"",DatiOriginali!C383)</f>
        <v>167300</v>
      </c>
      <c r="D383" s="4">
        <v>10691</v>
      </c>
      <c r="E383" s="4">
        <f>IF(DatiOriginali!E383 &gt;= SogliaPicchi!$B$5,"",DatiOriginali!E383)</f>
        <v>48900</v>
      </c>
      <c r="F383" s="4">
        <v>271218</v>
      </c>
      <c r="G383" s="4">
        <f>IF(DatiOriginali!G383 &gt;= SogliaPicchi!$B$5,"",DatiOriginali!G383)</f>
        <v>77800</v>
      </c>
      <c r="H383" s="4">
        <v>327379</v>
      </c>
      <c r="I383" s="4">
        <f>IF(DatiOriginali!I383 &gt;= SogliaPicchi!$B$5,"",DatiOriginali!I383)</f>
        <v>25100</v>
      </c>
      <c r="J383" s="4">
        <v>327772</v>
      </c>
      <c r="K383" s="4">
        <f>IF(DatiOriginali!K383 &gt;= SogliaPicchi!$B$5,"",DatiOriginali!K383)</f>
        <v>31000</v>
      </c>
    </row>
    <row r="384" spans="1:11" x14ac:dyDescent="0.3">
      <c r="A384" s="4" t="s">
        <v>393</v>
      </c>
      <c r="B384" s="4">
        <v>19900</v>
      </c>
      <c r="C384" s="4">
        <f>IF(DatiOriginali!C384 &gt;= SogliaPicchi!$B$5,"",DatiOriginali!C384)</f>
        <v>135700</v>
      </c>
      <c r="D384" s="4">
        <v>10260</v>
      </c>
      <c r="E384" s="4">
        <f>IF(DatiOriginali!E384 &gt;= SogliaPicchi!$B$5,"",DatiOriginali!E384)</f>
        <v>38800</v>
      </c>
      <c r="F384" s="4">
        <v>272519</v>
      </c>
      <c r="G384" s="4">
        <f>IF(DatiOriginali!G384 &gt;= SogliaPicchi!$B$5,"",DatiOriginali!G384)</f>
        <v>61600</v>
      </c>
      <c r="H384" s="4">
        <v>328864</v>
      </c>
      <c r="I384" s="4">
        <f>IF(DatiOriginali!I384 &gt;= SogliaPicchi!$B$5,"",DatiOriginali!I384)</f>
        <v>19400</v>
      </c>
      <c r="J384" s="4">
        <v>329358</v>
      </c>
      <c r="K384" s="4">
        <f>IF(DatiOriginali!K384 &gt;= SogliaPicchi!$B$5,"",DatiOriginali!K384)</f>
        <v>23800</v>
      </c>
    </row>
    <row r="385" spans="1:11" x14ac:dyDescent="0.3">
      <c r="A385" s="4" t="s">
        <v>394</v>
      </c>
      <c r="B385" s="4">
        <v>19900</v>
      </c>
      <c r="C385" s="4">
        <f>IF(DatiOriginali!C385 &gt;= SogliaPicchi!$B$5,"",DatiOriginali!C385)</f>
        <v>127100</v>
      </c>
      <c r="D385" s="4">
        <v>9894</v>
      </c>
      <c r="E385" s="4">
        <f>IF(DatiOriginali!E385 &gt;= SogliaPicchi!$B$5,"",DatiOriginali!E385)</f>
        <v>38100</v>
      </c>
      <c r="F385" s="4">
        <v>273798</v>
      </c>
      <c r="G385" s="4">
        <f>IF(DatiOriginali!G385 &gt;= SogliaPicchi!$B$5,"",DatiOriginali!G385)</f>
        <v>63300</v>
      </c>
      <c r="H385" s="4">
        <v>330410</v>
      </c>
      <c r="I385" s="4">
        <f>IF(DatiOriginali!I385 &gt;= SogliaPicchi!$B$5,"",DatiOriginali!I385)</f>
        <v>20000</v>
      </c>
      <c r="J385" s="4">
        <v>331016</v>
      </c>
      <c r="K385" s="4">
        <f>IF(DatiOriginali!K385 &gt;= SogliaPicchi!$B$5,"",DatiOriginali!K385)</f>
        <v>47200</v>
      </c>
    </row>
    <row r="386" spans="1:11" x14ac:dyDescent="0.3">
      <c r="A386" s="4" t="s">
        <v>395</v>
      </c>
      <c r="B386" s="4">
        <v>19900</v>
      </c>
      <c r="C386" s="4">
        <f>IF(DatiOriginali!C386 &gt;= SogliaPicchi!$B$5,"",DatiOriginali!C386)</f>
        <v>165500</v>
      </c>
      <c r="D386" s="4">
        <v>10249</v>
      </c>
      <c r="E386" s="4">
        <f>IF(DatiOriginali!E386 &gt;= SogliaPicchi!$B$5,"",DatiOriginali!E386)</f>
        <v>66900</v>
      </c>
      <c r="F386" s="4">
        <v>275080</v>
      </c>
      <c r="G386" s="4">
        <f>IF(DatiOriginali!G386 &gt;= SogliaPicchi!$B$5,"",DatiOriginali!G386)</f>
        <v>64800</v>
      </c>
      <c r="H386" s="4">
        <v>331928</v>
      </c>
      <c r="I386" s="4">
        <f>IF(DatiOriginali!I386 &gt;= SogliaPicchi!$B$5,"",DatiOriginali!I386)</f>
        <v>22000</v>
      </c>
      <c r="J386" s="4">
        <v>332528</v>
      </c>
      <c r="K386" s="4">
        <f>IF(DatiOriginali!K386 &gt;= SogliaPicchi!$B$5,"",DatiOriginali!K386)</f>
        <v>83300</v>
      </c>
    </row>
    <row r="387" spans="1:11" x14ac:dyDescent="0.3">
      <c r="A387" s="4" t="s">
        <v>396</v>
      </c>
      <c r="B387" s="4">
        <v>19900</v>
      </c>
      <c r="C387" s="4">
        <f>IF(DatiOriginali!C387 &gt;= SogliaPicchi!$B$5,"",DatiOriginali!C387)</f>
        <v>137200</v>
      </c>
      <c r="D387" s="4">
        <v>10251</v>
      </c>
      <c r="E387" s="4">
        <f>IF(DatiOriginali!E387 &gt;= SogliaPicchi!$B$5,"",DatiOriginali!E387)</f>
        <v>39100</v>
      </c>
      <c r="F387" s="4">
        <v>276367</v>
      </c>
      <c r="G387" s="4">
        <f>IF(DatiOriginali!G387 &gt;= SogliaPicchi!$B$5,"",DatiOriginali!G387)</f>
        <v>79500</v>
      </c>
      <c r="H387" s="4">
        <v>333593</v>
      </c>
      <c r="I387" s="4">
        <f>IF(DatiOriginali!I387 &gt;= SogliaPicchi!$B$5,"",DatiOriginali!I387)</f>
        <v>20300</v>
      </c>
      <c r="J387" s="4">
        <v>334098</v>
      </c>
      <c r="K387" s="4">
        <f>IF(DatiOriginali!K387 &gt;= SogliaPicchi!$B$5,"",DatiOriginali!K387)</f>
        <v>23300</v>
      </c>
    </row>
    <row r="388" spans="1:11" x14ac:dyDescent="0.3">
      <c r="A388" s="4" t="s">
        <v>397</v>
      </c>
      <c r="B388" s="4">
        <v>19900</v>
      </c>
      <c r="C388" s="4">
        <f>IF(DatiOriginali!C388 &gt;= SogliaPicchi!$B$5,"",DatiOriginali!C388)</f>
        <v>137600</v>
      </c>
      <c r="D388" s="4">
        <v>10475</v>
      </c>
      <c r="E388" s="4">
        <f>IF(DatiOriginali!E388 &gt;= SogliaPicchi!$B$5,"",DatiOriginali!E388)</f>
        <v>39400</v>
      </c>
      <c r="F388" s="4">
        <v>277648</v>
      </c>
      <c r="G388" s="4">
        <f>IF(DatiOriginali!G388 &gt;= SogliaPicchi!$B$5,"",DatiOriginali!G388)</f>
        <v>70600</v>
      </c>
      <c r="H388" s="4">
        <v>335140</v>
      </c>
      <c r="I388" s="4">
        <f>IF(DatiOriginali!I388 &gt;= SogliaPicchi!$B$5,"",DatiOriginali!I388)</f>
        <v>19900</v>
      </c>
      <c r="J388" s="4">
        <v>335631</v>
      </c>
      <c r="K388" s="4">
        <f>IF(DatiOriginali!K388 &gt;= SogliaPicchi!$B$5,"",DatiOriginali!K388)</f>
        <v>23900</v>
      </c>
    </row>
    <row r="389" spans="1:11" x14ac:dyDescent="0.3">
      <c r="A389" s="4" t="s">
        <v>398</v>
      </c>
      <c r="B389" s="4">
        <v>19900</v>
      </c>
      <c r="C389" s="4">
        <f>IF(DatiOriginali!C389 &gt;= SogliaPicchi!$B$5,"",DatiOriginali!C389)</f>
        <v>136800</v>
      </c>
      <c r="D389" s="4">
        <v>9931</v>
      </c>
      <c r="E389" s="4">
        <f>IF(DatiOriginali!E389 &gt;= SogliaPicchi!$B$5,"",DatiOriginali!E389)</f>
        <v>37700</v>
      </c>
      <c r="F389" s="4">
        <v>278926</v>
      </c>
      <c r="G389" s="4">
        <f>IF(DatiOriginali!G389 &gt;= SogliaPicchi!$B$5,"",DatiOriginali!G389)</f>
        <v>73500</v>
      </c>
      <c r="H389" s="4">
        <v>336719</v>
      </c>
      <c r="I389" s="4">
        <f>IF(DatiOriginali!I389 &gt;= SogliaPicchi!$B$5,"",DatiOriginali!I389)</f>
        <v>20300</v>
      </c>
      <c r="J389" s="4">
        <v>337094</v>
      </c>
      <c r="K389" s="4">
        <f>IF(DatiOriginali!K389 &gt;= SogliaPicchi!$B$5,"",DatiOriginali!K389)</f>
        <v>30600</v>
      </c>
    </row>
    <row r="390" spans="1:11" x14ac:dyDescent="0.3">
      <c r="A390" s="4" t="s">
        <v>399</v>
      </c>
      <c r="B390" s="4">
        <v>19900</v>
      </c>
      <c r="C390" s="4">
        <f>IF(DatiOriginali!C390 &gt;= SogliaPicchi!$B$5,"",DatiOriginali!C390)</f>
        <v>132400</v>
      </c>
      <c r="D390" s="4">
        <v>10214</v>
      </c>
      <c r="E390" s="4">
        <f>IF(DatiOriginali!E390 &gt;= SogliaPicchi!$B$5,"",DatiOriginali!E390)</f>
        <v>38600</v>
      </c>
      <c r="F390" s="4">
        <v>280214</v>
      </c>
      <c r="G390" s="4">
        <f>IF(DatiOriginali!G390 &gt;= SogliaPicchi!$B$5,"",DatiOriginali!G390)</f>
        <v>72400</v>
      </c>
      <c r="H390" s="4">
        <v>338300</v>
      </c>
      <c r="I390" s="4">
        <f>IF(DatiOriginali!I390 &gt;= SogliaPicchi!$B$5,"",DatiOriginali!I390)</f>
        <v>20200</v>
      </c>
      <c r="J390" s="4">
        <v>338723</v>
      </c>
      <c r="K390" s="4">
        <f>IF(DatiOriginali!K390 &gt;= SogliaPicchi!$B$5,"",DatiOriginali!K390)</f>
        <v>21900</v>
      </c>
    </row>
    <row r="391" spans="1:11" x14ac:dyDescent="0.3">
      <c r="A391" s="4" t="s">
        <v>400</v>
      </c>
      <c r="B391" s="4">
        <v>19900</v>
      </c>
      <c r="C391" s="4">
        <f>IF(DatiOriginali!C391 &gt;= SogliaPicchi!$B$5,"",DatiOriginali!C391)</f>
        <v>166100</v>
      </c>
      <c r="D391" s="4">
        <v>10251</v>
      </c>
      <c r="E391" s="4">
        <f>IF(DatiOriginali!E391 &gt;= SogliaPicchi!$B$5,"",DatiOriginali!E391)</f>
        <v>56800</v>
      </c>
      <c r="F391" s="4">
        <v>281508</v>
      </c>
      <c r="G391" s="4">
        <f>IF(DatiOriginali!G391 &gt;= SogliaPicchi!$B$5,"",DatiOriginali!G391)</f>
        <v>101200</v>
      </c>
      <c r="H391" s="4">
        <v>339775</v>
      </c>
      <c r="I391" s="4">
        <f>IF(DatiOriginali!I391 &gt;= SogliaPicchi!$B$5,"",DatiOriginali!I391)</f>
        <v>25600</v>
      </c>
      <c r="J391" s="4">
        <v>340337</v>
      </c>
      <c r="K391" s="4">
        <f>IF(DatiOriginali!K391 &gt;= SogliaPicchi!$B$5,"",DatiOriginali!K391)</f>
        <v>34200</v>
      </c>
    </row>
    <row r="392" spans="1:11" x14ac:dyDescent="0.3">
      <c r="A392" s="4" t="s">
        <v>401</v>
      </c>
      <c r="B392" s="4">
        <v>19900</v>
      </c>
      <c r="C392" s="4">
        <f>IF(DatiOriginali!C392 &gt;= SogliaPicchi!$B$5,"",DatiOriginali!C392)</f>
        <v>179100</v>
      </c>
      <c r="D392" s="4">
        <v>10412</v>
      </c>
      <c r="E392" s="4">
        <f>IF(DatiOriginali!E392 &gt;= SogliaPicchi!$B$5,"",DatiOriginali!E392)</f>
        <v>59200</v>
      </c>
      <c r="F392" s="4">
        <v>282791</v>
      </c>
      <c r="G392" s="4">
        <f>IF(DatiOriginali!G392 &gt;= SogliaPicchi!$B$5,"",DatiOriginali!G392)</f>
        <v>87100</v>
      </c>
      <c r="H392" s="4">
        <v>341497</v>
      </c>
      <c r="I392" s="4">
        <f>IF(DatiOriginali!I392 &gt;= SogliaPicchi!$B$5,"",DatiOriginali!I392)</f>
        <v>25900</v>
      </c>
      <c r="J392" s="4">
        <v>341891</v>
      </c>
      <c r="K392" s="4">
        <f>IF(DatiOriginali!K392 &gt;= SogliaPicchi!$B$5,"",DatiOriginali!K392)</f>
        <v>28100</v>
      </c>
    </row>
    <row r="393" spans="1:11" x14ac:dyDescent="0.3">
      <c r="A393" s="4" t="s">
        <v>402</v>
      </c>
      <c r="B393" s="4">
        <v>19900</v>
      </c>
      <c r="C393" s="4">
        <f>IF(DatiOriginali!C393 &gt;= SogliaPicchi!$B$5,"",DatiOriginali!C393)</f>
        <v>151400</v>
      </c>
      <c r="D393" s="4">
        <v>11203</v>
      </c>
      <c r="E393" s="4">
        <f>IF(DatiOriginali!E393 &gt;= SogliaPicchi!$B$5,"",DatiOriginali!E393)</f>
        <v>51100</v>
      </c>
      <c r="F393" s="4">
        <v>284062</v>
      </c>
      <c r="G393" s="4">
        <f>IF(DatiOriginali!G393 &gt;= SogliaPicchi!$B$5,"",DatiOriginali!G393)</f>
        <v>77000</v>
      </c>
      <c r="H393" s="4">
        <v>343065</v>
      </c>
      <c r="I393" s="4">
        <f>IF(DatiOriginali!I393 &gt;= SogliaPicchi!$B$5,"",DatiOriginali!I393)</f>
        <v>25100</v>
      </c>
      <c r="J393" s="4">
        <v>343411</v>
      </c>
      <c r="K393" s="4">
        <f>IF(DatiOriginali!K393 &gt;= SogliaPicchi!$B$5,"",DatiOriginali!K393)</f>
        <v>28200</v>
      </c>
    </row>
    <row r="394" spans="1:11" x14ac:dyDescent="0.3">
      <c r="A394" s="4" t="s">
        <v>403</v>
      </c>
      <c r="B394" s="4">
        <v>19900</v>
      </c>
      <c r="C394" s="4">
        <f>IF(DatiOriginali!C394 &gt;= SogliaPicchi!$B$5,"",DatiOriginali!C394)</f>
        <v>168600</v>
      </c>
      <c r="D394" s="4">
        <v>9479</v>
      </c>
      <c r="E394" s="4">
        <f>IF(DatiOriginali!E394 &gt;= SogliaPicchi!$B$5,"",DatiOriginali!E394)</f>
        <v>52700</v>
      </c>
      <c r="F394" s="4">
        <v>285335</v>
      </c>
      <c r="G394" s="4">
        <f>IF(DatiOriginali!G394 &gt;= SogliaPicchi!$B$5,"",DatiOriginali!G394)</f>
        <v>86900</v>
      </c>
      <c r="H394" s="4">
        <v>344677</v>
      </c>
      <c r="I394" s="4">
        <f>IF(DatiOriginali!I394 &gt;= SogliaPicchi!$B$5,"",DatiOriginali!I394)</f>
        <v>24300</v>
      </c>
      <c r="J394" s="4">
        <v>345168</v>
      </c>
      <c r="K394" s="4">
        <f>IF(DatiOriginali!K394 &gt;= SogliaPicchi!$B$5,"",DatiOriginali!K394)</f>
        <v>29200</v>
      </c>
    </row>
    <row r="395" spans="1:11" x14ac:dyDescent="0.3">
      <c r="A395" s="4" t="s">
        <v>404</v>
      </c>
      <c r="B395" s="4">
        <v>19900</v>
      </c>
      <c r="C395" s="4">
        <f>IF(DatiOriginali!C395 &gt;= SogliaPicchi!$B$5,"",DatiOriginali!C395)</f>
        <v>146900</v>
      </c>
      <c r="D395" s="4">
        <v>9943</v>
      </c>
      <c r="E395" s="4">
        <f>IF(DatiOriginali!E395 &gt;= SogliaPicchi!$B$5,"",DatiOriginali!E395)</f>
        <v>46700</v>
      </c>
      <c r="F395" s="4">
        <v>286611</v>
      </c>
      <c r="G395" s="4">
        <f>IF(DatiOriginali!G395 &gt;= SogliaPicchi!$B$5,"",DatiOriginali!G395)</f>
        <v>94900</v>
      </c>
      <c r="H395" s="4">
        <v>346300</v>
      </c>
      <c r="I395" s="4">
        <f>IF(DatiOriginali!I395 &gt;= SogliaPicchi!$B$5,"",DatiOriginali!I395)</f>
        <v>26700</v>
      </c>
      <c r="J395" s="4">
        <v>346579</v>
      </c>
      <c r="K395" s="4">
        <f>IF(DatiOriginali!K395 &gt;= SogliaPicchi!$B$5,"",DatiOriginali!K395)</f>
        <v>28100</v>
      </c>
    </row>
    <row r="396" spans="1:11" x14ac:dyDescent="0.3">
      <c r="A396" s="4" t="s">
        <v>405</v>
      </c>
      <c r="B396" s="4">
        <v>19900</v>
      </c>
      <c r="C396" s="4">
        <f>IF(DatiOriginali!C396 &gt;= SogliaPicchi!$B$5,"",DatiOriginali!C396)</f>
        <v>146500</v>
      </c>
      <c r="D396" s="4">
        <v>10078</v>
      </c>
      <c r="E396" s="4">
        <f>IF(DatiOriginali!E396 &gt;= SogliaPicchi!$B$5,"",DatiOriginali!E396)</f>
        <v>38200</v>
      </c>
      <c r="F396" s="4">
        <v>287887</v>
      </c>
      <c r="G396" s="4">
        <f>IF(DatiOriginali!G396 &gt;= SogliaPicchi!$B$5,"",DatiOriginali!G396)</f>
        <v>80000</v>
      </c>
      <c r="H396" s="4">
        <v>348250</v>
      </c>
      <c r="I396" s="4">
        <f>IF(DatiOriginali!I396 &gt;= SogliaPicchi!$B$5,"",DatiOriginali!I396)</f>
        <v>22200</v>
      </c>
      <c r="J396" s="4">
        <v>348248</v>
      </c>
      <c r="K396" s="4">
        <f>IF(DatiOriginali!K396 &gt;= SogliaPicchi!$B$5,"",DatiOriginali!K396)</f>
        <v>25100</v>
      </c>
    </row>
    <row r="397" spans="1:11" x14ac:dyDescent="0.3">
      <c r="A397" s="4" t="s">
        <v>406</v>
      </c>
      <c r="B397" s="4">
        <v>19900</v>
      </c>
      <c r="C397" s="4">
        <f>IF(DatiOriginali!C397 &gt;= SogliaPicchi!$B$5,"",DatiOriginali!C397)</f>
        <v>129600</v>
      </c>
      <c r="D397" s="4">
        <v>10713</v>
      </c>
      <c r="E397" s="4">
        <f>IF(DatiOriginali!E397 &gt;= SogliaPicchi!$B$5,"",DatiOriginali!E397)</f>
        <v>40800</v>
      </c>
      <c r="F397" s="4">
        <v>289165</v>
      </c>
      <c r="G397" s="4">
        <f>IF(DatiOriginali!G397 &gt;= SogliaPicchi!$B$5,"",DatiOriginali!G397)</f>
        <v>77100</v>
      </c>
      <c r="H397" s="4">
        <v>350135</v>
      </c>
      <c r="I397" s="4">
        <f>IF(DatiOriginali!I397 &gt;= SogliaPicchi!$B$5,"",DatiOriginali!I397)</f>
        <v>25100</v>
      </c>
      <c r="J397" s="4">
        <v>350363</v>
      </c>
      <c r="K397" s="4">
        <f>IF(DatiOriginali!K397 &gt;= SogliaPicchi!$B$5,"",DatiOriginali!K397)</f>
        <v>30500</v>
      </c>
    </row>
    <row r="398" spans="1:11" x14ac:dyDescent="0.3">
      <c r="A398" s="4" t="s">
        <v>407</v>
      </c>
      <c r="B398" s="4">
        <v>19900</v>
      </c>
      <c r="C398" s="4">
        <f>IF(DatiOriginali!C398 &gt;= SogliaPicchi!$B$5,"",DatiOriginali!C398)</f>
        <v>125100</v>
      </c>
      <c r="D398" s="4">
        <v>9375</v>
      </c>
      <c r="E398" s="4">
        <f>IF(DatiOriginali!E398 &gt;= SogliaPicchi!$B$5,"",DatiOriginali!E398)</f>
        <v>35800</v>
      </c>
      <c r="F398" s="4">
        <v>290449</v>
      </c>
      <c r="G398" s="4">
        <f>IF(DatiOriginali!G398 &gt;= SogliaPicchi!$B$5,"",DatiOriginali!G398)</f>
        <v>73300</v>
      </c>
      <c r="H398" s="4">
        <v>351923</v>
      </c>
      <c r="I398" s="4">
        <f>IF(DatiOriginali!I398 &gt;= SogliaPicchi!$B$5,"",DatiOriginali!I398)</f>
        <v>20300</v>
      </c>
      <c r="J398" s="4">
        <v>352024</v>
      </c>
      <c r="K398" s="4">
        <f>IF(DatiOriginali!K398 &gt;= SogliaPicchi!$B$5,"",DatiOriginali!K398)</f>
        <v>22900</v>
      </c>
    </row>
    <row r="399" spans="1:11" x14ac:dyDescent="0.3">
      <c r="A399" s="4" t="s">
        <v>408</v>
      </c>
      <c r="B399" s="4">
        <v>19900</v>
      </c>
      <c r="C399" s="4">
        <f>IF(DatiOriginali!C399 &gt;= SogliaPicchi!$B$5,"",DatiOriginali!C399)</f>
        <v>135600</v>
      </c>
      <c r="D399" s="4">
        <v>10825</v>
      </c>
      <c r="E399" s="4">
        <f>IF(DatiOriginali!E399 &gt;= SogliaPicchi!$B$5,"",DatiOriginali!E399)</f>
        <v>48300</v>
      </c>
      <c r="F399" s="4">
        <v>291738</v>
      </c>
      <c r="G399" s="4">
        <f>IF(DatiOriginali!G399 &gt;= SogliaPicchi!$B$5,"",DatiOriginali!G399)</f>
        <v>84500</v>
      </c>
      <c r="H399" s="4">
        <v>353539</v>
      </c>
      <c r="I399" s="4">
        <f>IF(DatiOriginali!I399 &gt;= SogliaPicchi!$B$5,"",DatiOriginali!I399)</f>
        <v>23400</v>
      </c>
      <c r="J399" s="4">
        <v>353777</v>
      </c>
      <c r="K399" s="4">
        <f>IF(DatiOriginali!K399 &gt;= SogliaPicchi!$B$5,"",DatiOriginali!K399)</f>
        <v>26300</v>
      </c>
    </row>
    <row r="400" spans="1:11" x14ac:dyDescent="0.3">
      <c r="A400" s="4" t="s">
        <v>409</v>
      </c>
      <c r="B400" s="4">
        <v>19900</v>
      </c>
      <c r="C400" s="4">
        <f>IF(DatiOriginali!C400 &gt;= SogliaPicchi!$B$5,"",DatiOriginali!C400)</f>
        <v>127900</v>
      </c>
      <c r="D400" s="4">
        <v>9889</v>
      </c>
      <c r="E400" s="4">
        <f>IF(DatiOriginali!E400 &gt;= SogliaPicchi!$B$5,"",DatiOriginali!E400)</f>
        <v>38200</v>
      </c>
      <c r="F400" s="4">
        <v>293006</v>
      </c>
      <c r="G400" s="4">
        <f>IF(DatiOriginali!G400 &gt;= SogliaPicchi!$B$5,"",DatiOriginali!G400)</f>
        <v>71000</v>
      </c>
      <c r="H400" s="4">
        <v>355056</v>
      </c>
      <c r="I400" s="4">
        <f>IF(DatiOriginali!I400 &gt;= SogliaPicchi!$B$5,"",DatiOriginali!I400)</f>
        <v>19800</v>
      </c>
      <c r="J400" s="4">
        <v>355630</v>
      </c>
      <c r="K400" s="4">
        <f>IF(DatiOriginali!K400 &gt;= SogliaPicchi!$B$5,"",DatiOriginali!K400)</f>
        <v>29000</v>
      </c>
    </row>
    <row r="401" spans="1:11" x14ac:dyDescent="0.3">
      <c r="A401" s="4" t="s">
        <v>410</v>
      </c>
      <c r="B401" s="4">
        <v>19900</v>
      </c>
      <c r="C401" s="4">
        <f>IF(DatiOriginali!C401 &gt;= SogliaPicchi!$B$5,"",DatiOriginali!C401)</f>
        <v>138800</v>
      </c>
      <c r="D401" s="4">
        <v>9615</v>
      </c>
      <c r="E401" s="4">
        <f>IF(DatiOriginali!E401 &gt;= SogliaPicchi!$B$5,"",DatiOriginali!E401)</f>
        <v>36700</v>
      </c>
      <c r="F401" s="4">
        <v>294277</v>
      </c>
      <c r="G401" s="4">
        <f>IF(DatiOriginali!G401 &gt;= SogliaPicchi!$B$6,"",DatiOriginali!G401)</f>
        <v>62400</v>
      </c>
      <c r="H401" s="4">
        <v>356749</v>
      </c>
      <c r="I401" s="4">
        <f>IF(DatiOriginali!I401 &gt;= SogliaPicchi!$B$6,"",DatiOriginali!I401)</f>
        <v>20800</v>
      </c>
      <c r="J401" s="4">
        <v>357105</v>
      </c>
      <c r="K401" s="4">
        <f>IF(DatiOriginali!K401 &gt;= SogliaPicchi!$B$6,"",DatiOriginali!K401)</f>
        <v>23200</v>
      </c>
    </row>
    <row r="402" spans="1:11" x14ac:dyDescent="0.3">
      <c r="A402" s="4" t="s">
        <v>411</v>
      </c>
      <c r="B402" s="4">
        <v>31125</v>
      </c>
      <c r="C402" s="4">
        <f>IF(DatiOriginali!C402 &gt;= SogliaPicchi!$B$6,"",DatiOriginali!C402)</f>
        <v>246500</v>
      </c>
      <c r="D402" s="4">
        <v>15435</v>
      </c>
      <c r="E402" s="4">
        <f>IF(DatiOriginali!E402 &gt;= SogliaPicchi!$B$6,"",DatiOriginali!E402)</f>
        <v>69000</v>
      </c>
      <c r="F402" s="4">
        <v>295965</v>
      </c>
      <c r="G402" s="4">
        <f>IF(DatiOriginali!G402 &gt;= SogliaPicchi!$B$6,"",DatiOriginali!G402)</f>
        <v>116600</v>
      </c>
      <c r="H402" s="4">
        <v>358596</v>
      </c>
      <c r="I402" s="4">
        <f>IF(DatiOriginali!I402 &gt;= SogliaPicchi!$B$6,"",DatiOriginali!I402)</f>
        <v>38200</v>
      </c>
      <c r="J402" s="4">
        <v>359095</v>
      </c>
      <c r="K402" s="4">
        <f>IF(DatiOriginali!K402 &gt;= SogliaPicchi!$B$6,"",DatiOriginali!K402)</f>
        <v>31400</v>
      </c>
    </row>
    <row r="403" spans="1:11" x14ac:dyDescent="0.3">
      <c r="A403" s="4" t="s">
        <v>412</v>
      </c>
      <c r="B403" s="4">
        <v>31125</v>
      </c>
      <c r="C403" s="4">
        <f>IF(DatiOriginali!C403 &gt;= SogliaPicchi!$B$6,"",DatiOriginali!C403)</f>
        <v>197900</v>
      </c>
      <c r="D403" s="4">
        <v>15465</v>
      </c>
      <c r="E403" s="4">
        <f>IF(DatiOriginali!E403 &gt;= SogliaPicchi!$B$6,"",DatiOriginali!E403)</f>
        <v>56700</v>
      </c>
      <c r="F403" s="4">
        <v>297649</v>
      </c>
      <c r="G403" s="4">
        <f>IF(DatiOriginali!G403 &gt;= SogliaPicchi!$B$6,"",DatiOriginali!G403)</f>
        <v>91100</v>
      </c>
      <c r="H403" s="4">
        <v>360523</v>
      </c>
      <c r="I403" s="4">
        <f>IF(DatiOriginali!I403 &gt;= SogliaPicchi!$B$6,"",DatiOriginali!I403)</f>
        <v>25900</v>
      </c>
      <c r="J403" s="4">
        <v>361431</v>
      </c>
      <c r="K403" s="4">
        <f>IF(DatiOriginali!K403 &gt;= SogliaPicchi!$B$6,"",DatiOriginali!K403)</f>
        <v>29500</v>
      </c>
    </row>
    <row r="404" spans="1:11" x14ac:dyDescent="0.3">
      <c r="A404" s="4" t="s">
        <v>413</v>
      </c>
      <c r="B404" s="4">
        <v>31125</v>
      </c>
      <c r="C404" s="4">
        <f>IF(DatiOriginali!C404 &gt;= SogliaPicchi!$B$6,"",DatiOriginali!C404)</f>
        <v>270600</v>
      </c>
      <c r="D404" s="4">
        <v>16012</v>
      </c>
      <c r="E404" s="4">
        <f>IF(DatiOriginali!E404 &gt;= SogliaPicchi!$B$6,"",DatiOriginali!E404)</f>
        <v>85900</v>
      </c>
      <c r="F404" s="4">
        <v>299332</v>
      </c>
      <c r="G404" s="4">
        <f>IF(DatiOriginali!G404 &gt;= SogliaPicchi!$B$6,"",DatiOriginali!G404)</f>
        <v>114000</v>
      </c>
      <c r="H404" s="4">
        <v>362809</v>
      </c>
      <c r="I404" s="4">
        <f>IF(DatiOriginali!I404 &gt;= SogliaPicchi!$B$6,"",DatiOriginali!I404)</f>
        <v>31400</v>
      </c>
      <c r="J404" s="4">
        <v>363293</v>
      </c>
      <c r="K404" s="4">
        <f>IF(DatiOriginali!K404 &gt;= SogliaPicchi!$B$6,"",DatiOriginali!K404)</f>
        <v>37700</v>
      </c>
    </row>
    <row r="405" spans="1:11" x14ac:dyDescent="0.3">
      <c r="A405" s="4" t="s">
        <v>414</v>
      </c>
      <c r="B405" s="4">
        <v>31125</v>
      </c>
      <c r="C405" s="4">
        <f>IF(DatiOriginali!C405 &gt;= SogliaPicchi!$B$6,"",DatiOriginali!C405)</f>
        <v>271000</v>
      </c>
      <c r="D405" s="4">
        <v>16018</v>
      </c>
      <c r="E405" s="4">
        <f>IF(DatiOriginali!E405 &gt;= SogliaPicchi!$B$6,"",DatiOriginali!E405)</f>
        <v>59600</v>
      </c>
      <c r="F405" s="4">
        <v>301014</v>
      </c>
      <c r="G405" s="4">
        <f>IF(DatiOriginali!G405 &gt;= SogliaPicchi!$B$6,"",DatiOriginali!G405)</f>
        <v>115100</v>
      </c>
      <c r="H405" s="4">
        <v>364794</v>
      </c>
      <c r="I405" s="4">
        <f>IF(DatiOriginali!I405 &gt;= SogliaPicchi!$B$6,"",DatiOriginali!I405)</f>
        <v>26100</v>
      </c>
      <c r="J405" s="4">
        <v>365320</v>
      </c>
      <c r="K405" s="4">
        <f>IF(DatiOriginali!K405 &gt;= SogliaPicchi!$B$6,"",DatiOriginali!K405)</f>
        <v>29700</v>
      </c>
    </row>
    <row r="406" spans="1:11" x14ac:dyDescent="0.3">
      <c r="A406" s="4" t="s">
        <v>415</v>
      </c>
      <c r="B406" s="4">
        <v>31125</v>
      </c>
      <c r="C406" s="4">
        <f>IF(DatiOriginali!C406 &gt;= SogliaPicchi!$B$6,"",DatiOriginali!C406)</f>
        <v>209600</v>
      </c>
      <c r="D406" s="4">
        <v>15035</v>
      </c>
      <c r="E406" s="4">
        <f>IF(DatiOriginali!E406 &gt;= SogliaPicchi!$B$6,"",DatiOriginali!E406)</f>
        <v>57100</v>
      </c>
      <c r="F406" s="4">
        <v>302693</v>
      </c>
      <c r="G406" s="4">
        <f>IF(DatiOriginali!G406 &gt;= SogliaPicchi!$B$6,"",DatiOriginali!G406)</f>
        <v>98800</v>
      </c>
      <c r="H406" s="4">
        <v>367056</v>
      </c>
      <c r="I406" s="4">
        <f>IF(DatiOriginali!I406 &gt;= SogliaPicchi!$B$6,"",DatiOriginali!I406)</f>
        <v>36300</v>
      </c>
      <c r="J406" s="4">
        <v>367286</v>
      </c>
      <c r="K406" s="4">
        <f>IF(DatiOriginali!K406 &gt;= SogliaPicchi!$B$6,"",DatiOriginali!K406)</f>
        <v>31500</v>
      </c>
    </row>
    <row r="407" spans="1:11" x14ac:dyDescent="0.3">
      <c r="A407" s="4" t="s">
        <v>416</v>
      </c>
      <c r="B407" s="4">
        <v>31125</v>
      </c>
      <c r="C407" s="4">
        <f>IF(DatiOriginali!C407 &gt;= SogliaPicchi!$B$6,"",DatiOriginali!C407)</f>
        <v>186000</v>
      </c>
      <c r="D407" s="4">
        <v>16132</v>
      </c>
      <c r="E407" s="4">
        <f>IF(DatiOriginali!E407 &gt;= SogliaPicchi!$B$6,"",DatiOriginali!E407)</f>
        <v>61000</v>
      </c>
      <c r="F407" s="4">
        <v>304379</v>
      </c>
      <c r="G407" s="4">
        <f>IF(DatiOriginali!G407 &gt;= SogliaPicchi!$B$6,"",DatiOriginali!G407)</f>
        <v>82300</v>
      </c>
      <c r="H407" s="4">
        <v>369297</v>
      </c>
      <c r="I407" s="4">
        <f>IF(DatiOriginali!I407 &gt;= SogliaPicchi!$B$6,"",DatiOriginali!I407)</f>
        <v>26300</v>
      </c>
      <c r="J407" s="4">
        <v>369342</v>
      </c>
      <c r="K407" s="4">
        <f>IF(DatiOriginali!K407 &gt;= SogliaPicchi!$B$6,"",DatiOriginali!K407)</f>
        <v>30700</v>
      </c>
    </row>
    <row r="408" spans="1:11" x14ac:dyDescent="0.3">
      <c r="A408" s="4" t="s">
        <v>417</v>
      </c>
      <c r="B408" s="4">
        <v>31125</v>
      </c>
      <c r="C408" s="4">
        <f>IF(DatiOriginali!C408 &gt;= SogliaPicchi!$B$6,"",DatiOriginali!C408)</f>
        <v>249300</v>
      </c>
      <c r="D408" s="4">
        <v>16365</v>
      </c>
      <c r="E408" s="4">
        <f>IF(DatiOriginali!E408 &gt;= SogliaPicchi!$B$6,"",DatiOriginali!E408)</f>
        <v>87800</v>
      </c>
      <c r="F408" s="4">
        <v>306050</v>
      </c>
      <c r="G408" s="4">
        <f>IF(DatiOriginali!G408 &gt;= SogliaPicchi!$B$6,"",DatiOriginali!G408)</f>
        <v>127000</v>
      </c>
      <c r="H408" s="4">
        <v>371620</v>
      </c>
      <c r="I408" s="4">
        <f>IF(DatiOriginali!I408 &gt;= SogliaPicchi!$B$6,"",DatiOriginali!I408)</f>
        <v>33300</v>
      </c>
      <c r="J408" s="4">
        <v>371588</v>
      </c>
      <c r="K408" s="4">
        <f>IF(DatiOriginali!K408 &gt;= SogliaPicchi!$B$6,"",DatiOriginali!K408)</f>
        <v>38000</v>
      </c>
    </row>
    <row r="409" spans="1:11" x14ac:dyDescent="0.3">
      <c r="A409" s="4" t="s">
        <v>418</v>
      </c>
      <c r="B409" s="4">
        <v>31125</v>
      </c>
      <c r="C409" s="4">
        <f>IF(DatiOriginali!C409 &gt;= SogliaPicchi!$B$6,"",DatiOriginali!C409)</f>
        <v>295000</v>
      </c>
      <c r="D409" s="4">
        <v>14996</v>
      </c>
      <c r="E409" s="4">
        <f>IF(DatiOriginali!E409 &gt;= SogliaPicchi!$B$6,"",DatiOriginali!E409)</f>
        <v>89100</v>
      </c>
      <c r="F409" s="4">
        <v>307711</v>
      </c>
      <c r="G409" s="4">
        <f>IF(DatiOriginali!G409 &gt;= SogliaPicchi!$B$6,"",DatiOriginali!G409)</f>
        <v>138100</v>
      </c>
      <c r="H409" s="4">
        <v>373602</v>
      </c>
      <c r="I409" s="4">
        <f>IF(DatiOriginali!I409 &gt;= SogliaPicchi!$B$6,"",DatiOriginali!I409)</f>
        <v>31400</v>
      </c>
      <c r="J409" s="4">
        <v>373763</v>
      </c>
      <c r="K409" s="4">
        <f>IF(DatiOriginali!K409 &gt;= SogliaPicchi!$B$6,"",DatiOriginali!K409)</f>
        <v>37500</v>
      </c>
    </row>
    <row r="410" spans="1:11" x14ac:dyDescent="0.3">
      <c r="A410" s="4" t="s">
        <v>419</v>
      </c>
      <c r="B410" s="4">
        <v>31125</v>
      </c>
      <c r="C410" s="4">
        <f>IF(DatiOriginali!C410 &gt;= SogliaPicchi!$B$6,"",DatiOriginali!C410)</f>
        <v>255400</v>
      </c>
      <c r="D410" s="4">
        <v>15589</v>
      </c>
      <c r="E410" s="4">
        <f>IF(DatiOriginali!E410 &gt;= SogliaPicchi!$B$6,"",DatiOriginali!E410)</f>
        <v>70000</v>
      </c>
      <c r="F410" s="4">
        <v>309392</v>
      </c>
      <c r="G410" s="4">
        <f>IF(DatiOriginali!G410 &gt;= SogliaPicchi!$B$6,"",DatiOriginali!G410)</f>
        <v>160300</v>
      </c>
      <c r="H410" s="4">
        <v>375565</v>
      </c>
      <c r="I410" s="4">
        <f>IF(DatiOriginali!I410 &gt;= SogliaPicchi!$B$6,"",DatiOriginali!I410)</f>
        <v>41100</v>
      </c>
      <c r="J410" s="4">
        <v>375739</v>
      </c>
      <c r="K410" s="4">
        <f>IF(DatiOriginali!K410 &gt;= SogliaPicchi!$B$6,"",DatiOriginali!K410)</f>
        <v>48000</v>
      </c>
    </row>
    <row r="411" spans="1:11" x14ac:dyDescent="0.3">
      <c r="A411" s="4" t="s">
        <v>420</v>
      </c>
      <c r="B411" s="4">
        <v>31125</v>
      </c>
      <c r="C411" s="4">
        <f>IF(DatiOriginali!C411 &gt;= SogliaPicchi!$B$6,"",DatiOriginali!C411)</f>
        <v>201400</v>
      </c>
      <c r="D411" s="4">
        <v>14970</v>
      </c>
      <c r="E411" s="4">
        <f>IF(DatiOriginali!E411 &gt;= SogliaPicchi!$B$6,"",DatiOriginali!E411)</f>
        <v>57000</v>
      </c>
      <c r="F411" s="4">
        <v>311063</v>
      </c>
      <c r="G411" s="4">
        <f>IF(DatiOriginali!G411 &gt;= SogliaPicchi!$B$6,"",DatiOriginali!G411)</f>
        <v>93400</v>
      </c>
      <c r="H411" s="4">
        <v>377546</v>
      </c>
      <c r="I411" s="4">
        <f>IF(DatiOriginali!I411 &gt;= SogliaPicchi!$B$6,"",DatiOriginali!I411)</f>
        <v>32600</v>
      </c>
      <c r="J411" s="4">
        <v>377836</v>
      </c>
      <c r="K411" s="4">
        <f>IF(DatiOriginali!K411 &gt;= SogliaPicchi!$B$6,"",DatiOriginali!K411)</f>
        <v>30700</v>
      </c>
    </row>
    <row r="412" spans="1:11" x14ac:dyDescent="0.3">
      <c r="A412" s="4" t="s">
        <v>421</v>
      </c>
      <c r="B412" s="4">
        <v>31125</v>
      </c>
      <c r="C412" s="4">
        <f>IF(DatiOriginali!C412 &gt;= SogliaPicchi!$B$6,"",DatiOriginali!C412)</f>
        <v>221100</v>
      </c>
      <c r="D412" s="4">
        <v>16217</v>
      </c>
      <c r="E412" s="4">
        <f>IF(DatiOriginali!E412 &gt;= SogliaPicchi!$B$6,"",DatiOriginali!E412)</f>
        <v>59100</v>
      </c>
      <c r="F412" s="4">
        <v>312737</v>
      </c>
      <c r="G412" s="4">
        <f>IF(DatiOriginali!G412 &gt;= SogliaPicchi!$B$6,"",DatiOriginali!G412)</f>
        <v>82300</v>
      </c>
      <c r="H412" s="4">
        <v>379548</v>
      </c>
      <c r="I412" s="4">
        <f>IF(DatiOriginali!I412 &gt;= SogliaPicchi!$B$6,"",DatiOriginali!I412)</f>
        <v>25200</v>
      </c>
      <c r="J412" s="4">
        <v>379779</v>
      </c>
      <c r="K412" s="4">
        <f>IF(DatiOriginali!K412 &gt;= SogliaPicchi!$B$6,"",DatiOriginali!K412)</f>
        <v>30200</v>
      </c>
    </row>
    <row r="413" spans="1:11" x14ac:dyDescent="0.3">
      <c r="A413" s="4" t="s">
        <v>422</v>
      </c>
      <c r="B413" s="4">
        <v>31125</v>
      </c>
      <c r="C413" s="4">
        <f>IF(DatiOriginali!C413 &gt;= SogliaPicchi!$B$6,"",DatiOriginali!C413)</f>
        <v>272600</v>
      </c>
      <c r="D413" s="4">
        <v>15604</v>
      </c>
      <c r="E413" s="4">
        <f>IF(DatiOriginali!E413 &gt;= SogliaPicchi!$B$6,"",DatiOriginali!E413)</f>
        <v>86700</v>
      </c>
      <c r="F413" s="4">
        <v>314415</v>
      </c>
      <c r="G413" s="4">
        <f>IF(DatiOriginali!G413 &gt;= SogliaPicchi!$B$6,"",DatiOriginali!G413)</f>
        <v>152300</v>
      </c>
      <c r="H413" s="4">
        <v>381789</v>
      </c>
      <c r="I413" s="4">
        <f>IF(DatiOriginali!I413 &gt;= SogliaPicchi!$B$6,"",DatiOriginali!I413)</f>
        <v>37000</v>
      </c>
      <c r="J413" s="4">
        <v>381760</v>
      </c>
      <c r="K413" s="4">
        <f>IF(DatiOriginali!K413 &gt;= SogliaPicchi!$B$6,"",DatiOriginali!K413)</f>
        <v>40200</v>
      </c>
    </row>
    <row r="414" spans="1:11" x14ac:dyDescent="0.3">
      <c r="A414" s="4" t="s">
        <v>423</v>
      </c>
      <c r="B414" s="4">
        <v>31125</v>
      </c>
      <c r="C414" s="4">
        <f>IF(DatiOriginali!C414 &gt;= SogliaPicchi!$B$6,"",DatiOriginali!C414)</f>
        <v>238400</v>
      </c>
      <c r="D414" s="4">
        <v>14948</v>
      </c>
      <c r="E414" s="4">
        <f>IF(DatiOriginali!E414 &gt;= SogliaPicchi!$B$6,"",DatiOriginali!E414)</f>
        <v>66700</v>
      </c>
      <c r="F414" s="4">
        <v>316075</v>
      </c>
      <c r="G414" s="4">
        <f>IF(DatiOriginali!G414 &gt;= SogliaPicchi!$B$6,"",DatiOriginali!G414)</f>
        <v>112900</v>
      </c>
      <c r="H414" s="4">
        <v>383921</v>
      </c>
      <c r="I414" s="4">
        <f>IF(DatiOriginali!I414 &gt;= SogliaPicchi!$B$6,"",DatiOriginali!I414)</f>
        <v>31400</v>
      </c>
      <c r="J414" s="4">
        <v>383889</v>
      </c>
      <c r="K414" s="4">
        <f>IF(DatiOriginali!K414 &gt;= SogliaPicchi!$B$6,"",DatiOriginali!K414)</f>
        <v>36700</v>
      </c>
    </row>
    <row r="415" spans="1:11" x14ac:dyDescent="0.3">
      <c r="A415" s="4" t="s">
        <v>424</v>
      </c>
      <c r="B415" s="4">
        <v>31125</v>
      </c>
      <c r="C415" s="4">
        <f>IF(DatiOriginali!C415 &gt;= SogliaPicchi!$B$6,"",DatiOriginali!C415)</f>
        <v>274700</v>
      </c>
      <c r="D415" s="4">
        <v>15031</v>
      </c>
      <c r="E415" s="4">
        <f>IF(DatiOriginali!E415 &gt;= SogliaPicchi!$B$6,"",DatiOriginali!E415)</f>
        <v>84500</v>
      </c>
      <c r="F415" s="4">
        <v>317739</v>
      </c>
      <c r="G415" s="4">
        <f>IF(DatiOriginali!G415 &gt;= SogliaPicchi!$B$6,"",DatiOriginali!G415)</f>
        <v>118000</v>
      </c>
      <c r="H415" s="4">
        <v>386006</v>
      </c>
      <c r="I415" s="4">
        <f>IF(DatiOriginali!I415 &gt;= SogliaPicchi!$B$6,"",DatiOriginali!I415)</f>
        <v>34600</v>
      </c>
      <c r="J415" s="4">
        <v>385842</v>
      </c>
      <c r="K415" s="4">
        <f>IF(DatiOriginali!K415 &gt;= SogliaPicchi!$B$6,"",DatiOriginali!K415)</f>
        <v>38400</v>
      </c>
    </row>
    <row r="416" spans="1:11" x14ac:dyDescent="0.3">
      <c r="A416" s="4" t="s">
        <v>425</v>
      </c>
      <c r="B416" s="4">
        <v>31125</v>
      </c>
      <c r="C416" s="4">
        <f>IF(DatiOriginali!C416 &gt;= SogliaPicchi!$B$6,"",DatiOriginali!C416)</f>
        <v>248400</v>
      </c>
      <c r="D416" s="4">
        <v>15593</v>
      </c>
      <c r="E416" s="4">
        <f>IF(DatiOriginali!E416 &gt;= SogliaPicchi!$B$6,"",DatiOriginali!E416)</f>
        <v>69100</v>
      </c>
      <c r="F416" s="4">
        <v>319405</v>
      </c>
      <c r="G416" s="4">
        <f>IF(DatiOriginali!G416 &gt;= SogliaPicchi!$B$6,"",DatiOriginali!G416)</f>
        <v>112300</v>
      </c>
      <c r="H416" s="4">
        <v>388065</v>
      </c>
      <c r="I416" s="4">
        <f>IF(DatiOriginali!I416 &gt;= SogliaPicchi!$B$6,"",DatiOriginali!I416)</f>
        <v>30600</v>
      </c>
      <c r="J416" s="4">
        <v>387845</v>
      </c>
      <c r="K416" s="4">
        <f>IF(DatiOriginali!K416 &gt;= SogliaPicchi!$B$6,"",DatiOriginali!K416)</f>
        <v>36000</v>
      </c>
    </row>
    <row r="417" spans="1:11" x14ac:dyDescent="0.3">
      <c r="A417" s="4" t="s">
        <v>426</v>
      </c>
      <c r="B417" s="4">
        <v>31125</v>
      </c>
      <c r="C417" s="4">
        <f>IF(DatiOriginali!C417 &gt;= SogliaPicchi!$B$6,"",DatiOriginali!C417)</f>
        <v>192800</v>
      </c>
      <c r="D417" s="4">
        <v>15085</v>
      </c>
      <c r="E417" s="4">
        <f>IF(DatiOriginali!E417 &gt;= SogliaPicchi!$B$6,"",DatiOriginali!E417)</f>
        <v>55900</v>
      </c>
      <c r="F417" s="4">
        <v>321101</v>
      </c>
      <c r="G417" s="4">
        <f>IF(DatiOriginali!G417 &gt;= SogliaPicchi!$B$6,"",DatiOriginali!G417)</f>
        <v>82600</v>
      </c>
      <c r="H417" s="4">
        <v>389894</v>
      </c>
      <c r="I417" s="4">
        <f>IF(DatiOriginali!I417 &gt;= SogliaPicchi!$B$6,"",DatiOriginali!I417)</f>
        <v>25500</v>
      </c>
      <c r="J417" s="4">
        <v>389774</v>
      </c>
      <c r="K417" s="4">
        <f>IF(DatiOriginali!K417 &gt;= SogliaPicchi!$B$6,"",DatiOriginali!K417)</f>
        <v>32600</v>
      </c>
    </row>
    <row r="418" spans="1:11" x14ac:dyDescent="0.3">
      <c r="A418" s="4" t="s">
        <v>427</v>
      </c>
      <c r="B418" s="4">
        <v>31125</v>
      </c>
      <c r="C418" s="4">
        <f>IF(DatiOriginali!C418 &gt;= SogliaPicchi!$B$6,"",DatiOriginali!C418)</f>
        <v>218400</v>
      </c>
      <c r="D418" s="4">
        <v>15943</v>
      </c>
      <c r="E418" s="4">
        <f>IF(DatiOriginali!E418 &gt;= SogliaPicchi!$B$6,"",DatiOriginali!E418)</f>
        <v>59200</v>
      </c>
      <c r="F418" s="4">
        <v>322777</v>
      </c>
      <c r="G418" s="4">
        <f>IF(DatiOriginali!G418 &gt;= SogliaPicchi!$B$6,"",DatiOriginali!G418)</f>
        <v>88800</v>
      </c>
      <c r="H418" s="4">
        <v>391897</v>
      </c>
      <c r="I418" s="4">
        <f>IF(DatiOriginali!I418 &gt;= SogliaPicchi!$B$6,"",DatiOriginali!I418)</f>
        <v>26300</v>
      </c>
      <c r="J418" s="4">
        <v>391795</v>
      </c>
      <c r="K418" s="4">
        <f>IF(DatiOriginali!K418 &gt;= SogliaPicchi!$B$6,"",DatiOriginali!K418)</f>
        <v>28500</v>
      </c>
    </row>
    <row r="419" spans="1:11" x14ac:dyDescent="0.3">
      <c r="A419" s="4" t="s">
        <v>428</v>
      </c>
      <c r="B419" s="4">
        <v>31125</v>
      </c>
      <c r="C419" s="4">
        <f>IF(DatiOriginali!C419 &gt;= SogliaPicchi!$B$6,"",DatiOriginali!C419)</f>
        <v>235700</v>
      </c>
      <c r="D419" s="4">
        <v>16535</v>
      </c>
      <c r="E419" s="4">
        <f>IF(DatiOriginali!E419 &gt;= SogliaPicchi!$B$6,"",DatiOriginali!E419)</f>
        <v>61900</v>
      </c>
      <c r="F419" s="4">
        <v>324459</v>
      </c>
      <c r="G419" s="4">
        <f>IF(DatiOriginali!G419 &gt;= SogliaPicchi!$B$6,"",DatiOriginali!G419)</f>
        <v>95200</v>
      </c>
      <c r="H419" s="4">
        <v>393953</v>
      </c>
      <c r="I419" s="4">
        <f>IF(DatiOriginali!I419 &gt;= SogliaPicchi!$B$6,"",DatiOriginali!I419)</f>
        <v>26200</v>
      </c>
      <c r="J419" s="4">
        <v>393859</v>
      </c>
      <c r="K419" s="4">
        <f>IF(DatiOriginali!K419 &gt;= SogliaPicchi!$B$6,"",DatiOriginali!K419)</f>
        <v>29600</v>
      </c>
    </row>
    <row r="420" spans="1:11" x14ac:dyDescent="0.3">
      <c r="A420" s="4" t="s">
        <v>429</v>
      </c>
      <c r="B420" s="4">
        <v>31125</v>
      </c>
      <c r="C420" s="4">
        <f>IF(DatiOriginali!C420 &gt;= SogliaPicchi!$B$6,"",DatiOriginali!C420)</f>
        <v>263400</v>
      </c>
      <c r="D420" s="4">
        <v>16058</v>
      </c>
      <c r="E420" s="4">
        <f>IF(DatiOriginali!E420 &gt;= SogliaPicchi!$B$6,"",DatiOriginali!E420)</f>
        <v>88900</v>
      </c>
      <c r="F420" s="4">
        <v>326121</v>
      </c>
      <c r="G420" s="4">
        <f>IF(DatiOriginali!G420 &gt;= SogliaPicchi!$B$6,"",DatiOriginali!G420)</f>
        <v>115500</v>
      </c>
      <c r="H420" s="4">
        <v>396035</v>
      </c>
      <c r="I420" s="4">
        <f>IF(DatiOriginali!I420 &gt;= SogliaPicchi!$B$6,"",DatiOriginali!I420)</f>
        <v>32600</v>
      </c>
      <c r="J420" s="4">
        <v>395814</v>
      </c>
      <c r="K420" s="4">
        <f>IF(DatiOriginali!K420 &gt;= SogliaPicchi!$B$6,"",DatiOriginali!K420)</f>
        <v>37800</v>
      </c>
    </row>
    <row r="421" spans="1:11" x14ac:dyDescent="0.3">
      <c r="A421" s="4" t="s">
        <v>430</v>
      </c>
      <c r="B421" s="4">
        <v>31125</v>
      </c>
      <c r="C421" s="4">
        <f>IF(DatiOriginali!C421 &gt;= SogliaPicchi!$B$6,"",DatiOriginali!C421)</f>
        <v>277300</v>
      </c>
      <c r="D421" s="4">
        <v>15825</v>
      </c>
      <c r="E421" s="4">
        <f>IF(DatiOriginali!E421 &gt;= SogliaPicchi!$B$6,"",DatiOriginali!E421)</f>
        <v>69900</v>
      </c>
      <c r="F421" s="4">
        <v>327808</v>
      </c>
      <c r="G421" s="4">
        <f>IF(DatiOriginali!G421 &gt;= SogliaPicchi!$B$6,"",DatiOriginali!G421)</f>
        <v>119400</v>
      </c>
      <c r="H421" s="4">
        <v>398393</v>
      </c>
      <c r="I421" s="4">
        <f>IF(DatiOriginali!I421 &gt;= SogliaPicchi!$B$6,"",DatiOriginali!I421)</f>
        <v>32400</v>
      </c>
      <c r="J421" s="4">
        <v>397736</v>
      </c>
      <c r="K421" s="4">
        <f>IF(DatiOriginali!K421 &gt;= SogliaPicchi!$B$6,"",DatiOriginali!K421)</f>
        <v>34600</v>
      </c>
    </row>
    <row r="422" spans="1:11" x14ac:dyDescent="0.3">
      <c r="A422" s="4" t="s">
        <v>431</v>
      </c>
      <c r="B422" s="4">
        <v>31125</v>
      </c>
      <c r="C422" s="4">
        <f>IF(DatiOriginali!C422 &gt;= SogliaPicchi!$B$6,"",DatiOriginali!C422)</f>
        <v>241600</v>
      </c>
      <c r="D422" s="4">
        <v>15711</v>
      </c>
      <c r="E422" s="4">
        <f>IF(DatiOriginali!E422 &gt;= SogliaPicchi!$B$6,"",DatiOriginali!E422)</f>
        <v>70800</v>
      </c>
      <c r="F422" s="4">
        <v>329482</v>
      </c>
      <c r="G422" s="4">
        <f>IF(DatiOriginali!G422 &gt;= SogliaPicchi!$B$6,"",DatiOriginali!G422)</f>
        <v>111600</v>
      </c>
      <c r="H422" s="4">
        <v>400277</v>
      </c>
      <c r="I422" s="4">
        <f>IF(DatiOriginali!I422 &gt;= SogliaPicchi!$B$6,"",DatiOriginali!I422)</f>
        <v>31500</v>
      </c>
      <c r="J422" s="4">
        <v>399644</v>
      </c>
      <c r="K422" s="4">
        <f>IF(DatiOriginali!K422 &gt;= SogliaPicchi!$B$6,"",DatiOriginali!K422)</f>
        <v>36400</v>
      </c>
    </row>
    <row r="423" spans="1:11" x14ac:dyDescent="0.3">
      <c r="A423" s="4" t="s">
        <v>432</v>
      </c>
      <c r="B423" s="4">
        <v>31125</v>
      </c>
      <c r="C423" s="4">
        <f>IF(DatiOriginali!C423 &gt;= SogliaPicchi!$B$6,"",DatiOriginali!C423)</f>
        <v>242900</v>
      </c>
      <c r="D423" s="4">
        <v>15202</v>
      </c>
      <c r="E423" s="4">
        <f>IF(DatiOriginali!E423 &gt;= SogliaPicchi!$B$6,"",DatiOriginali!E423)</f>
        <v>85600</v>
      </c>
      <c r="F423" s="4">
        <v>331157</v>
      </c>
      <c r="G423" s="4">
        <f>IF(DatiOriginali!G423 &gt;= SogliaPicchi!$B$6,"",DatiOriginali!G423)</f>
        <v>115100</v>
      </c>
      <c r="H423" s="4">
        <v>402255</v>
      </c>
      <c r="I423" s="4">
        <f>IF(DatiOriginali!I423 &gt;= SogliaPicchi!$B$6,"",DatiOriginali!I423)</f>
        <v>32000</v>
      </c>
      <c r="J423" s="4">
        <v>401563</v>
      </c>
      <c r="K423" s="4">
        <f>IF(DatiOriginali!K423 &gt;= SogliaPicchi!$B$6,"",DatiOriginali!K423)</f>
        <v>46900</v>
      </c>
    </row>
    <row r="424" spans="1:11" x14ac:dyDescent="0.3">
      <c r="A424" s="4" t="s">
        <v>433</v>
      </c>
      <c r="B424" s="4">
        <v>31125</v>
      </c>
      <c r="C424" s="4">
        <f>IF(DatiOriginali!C424 &gt;= SogliaPicchi!$B$6,"",DatiOriginali!C424)</f>
        <v>228400</v>
      </c>
      <c r="D424" s="4">
        <v>15728</v>
      </c>
      <c r="E424" s="4">
        <f>IF(DatiOriginali!E424 &gt;= SogliaPicchi!$B$6,"",DatiOriginali!E424)</f>
        <v>69400</v>
      </c>
      <c r="F424" s="4">
        <v>332833</v>
      </c>
      <c r="G424" s="4">
        <f>IF(DatiOriginali!G424 &gt;= SogliaPicchi!$B$6,"",DatiOriginali!G424)</f>
        <v>114100</v>
      </c>
      <c r="H424" s="4">
        <v>404433</v>
      </c>
      <c r="I424" s="4">
        <f>IF(DatiOriginali!I424 &gt;= SogliaPicchi!$B$6,"",DatiOriginali!I424)</f>
        <v>31200</v>
      </c>
      <c r="J424" s="4">
        <v>403666</v>
      </c>
      <c r="K424" s="4">
        <f>IF(DatiOriginali!K424 &gt;= SogliaPicchi!$B$6,"",DatiOriginali!K424)</f>
        <v>36300</v>
      </c>
    </row>
    <row r="425" spans="1:11" x14ac:dyDescent="0.3">
      <c r="A425" s="4" t="s">
        <v>434</v>
      </c>
      <c r="B425" s="4">
        <v>31125</v>
      </c>
      <c r="C425" s="4">
        <f>IF(DatiOriginali!C425 &gt;= SogliaPicchi!$B$6,"",DatiOriginali!C425)</f>
        <v>197500</v>
      </c>
      <c r="D425" s="4">
        <v>16647</v>
      </c>
      <c r="E425" s="4">
        <f>IF(DatiOriginali!E425 &gt;= SogliaPicchi!$B$6,"",DatiOriginali!E425)</f>
        <v>60900</v>
      </c>
      <c r="F425" s="4">
        <v>334514</v>
      </c>
      <c r="G425" s="4">
        <f>IF(DatiOriginali!G425 &gt;= SogliaPicchi!$B$6,"",DatiOriginali!G425)</f>
        <v>79700</v>
      </c>
      <c r="H425" s="4">
        <v>406313</v>
      </c>
      <c r="I425" s="4">
        <f>IF(DatiOriginali!I425 &gt;= SogliaPicchi!$B$6,"",DatiOriginali!I425)</f>
        <v>26100</v>
      </c>
      <c r="J425" s="4">
        <v>405483</v>
      </c>
      <c r="K425" s="4">
        <f>IF(DatiOriginali!K425 &gt;= SogliaPicchi!$B$6,"",DatiOriginali!K425)</f>
        <v>29300</v>
      </c>
    </row>
    <row r="426" spans="1:11" x14ac:dyDescent="0.3">
      <c r="A426" s="4" t="s">
        <v>435</v>
      </c>
      <c r="B426" s="4">
        <v>31125</v>
      </c>
      <c r="C426" s="4">
        <f>IF(DatiOriginali!C426 &gt;= SogliaPicchi!$B$6,"",DatiOriginali!C426)</f>
        <v>224400</v>
      </c>
      <c r="D426" s="4">
        <v>16042</v>
      </c>
      <c r="E426" s="4">
        <f>IF(DatiOriginali!E426 &gt;= SogliaPicchi!$B$6,"",DatiOriginali!E426)</f>
        <v>60700</v>
      </c>
      <c r="F426" s="4">
        <v>336191</v>
      </c>
      <c r="G426" s="4">
        <f>IF(DatiOriginali!G426 &gt;= SogliaPicchi!$B$6,"",DatiOriginali!G426)</f>
        <v>93600</v>
      </c>
      <c r="H426" s="4">
        <v>408420</v>
      </c>
      <c r="I426" s="4">
        <f>IF(DatiOriginali!I426 &gt;= SogliaPicchi!$B$6,"",DatiOriginali!I426)</f>
        <v>25500</v>
      </c>
      <c r="J426" s="4">
        <v>407370</v>
      </c>
      <c r="K426" s="4">
        <f>IF(DatiOriginali!K426 &gt;= SogliaPicchi!$B$6,"",DatiOriginali!K426)</f>
        <v>29300</v>
      </c>
    </row>
    <row r="427" spans="1:11" x14ac:dyDescent="0.3">
      <c r="A427" s="4" t="s">
        <v>436</v>
      </c>
      <c r="B427" s="4">
        <v>31125</v>
      </c>
      <c r="C427" s="4">
        <f>IF(DatiOriginali!C427 &gt;= SogliaPicchi!$B$6,"",DatiOriginali!C427)</f>
        <v>266600</v>
      </c>
      <c r="D427" s="4">
        <v>16582</v>
      </c>
      <c r="E427" s="4">
        <f>IF(DatiOriginali!E427 &gt;= SogliaPicchi!$B$6,"",DatiOriginali!E427)</f>
        <v>75500</v>
      </c>
      <c r="F427" s="4">
        <v>337878</v>
      </c>
      <c r="G427" s="4">
        <f>IF(DatiOriginali!G427 &gt;= SogliaPicchi!$B$6,"",DatiOriginali!G427)</f>
        <v>124600</v>
      </c>
      <c r="H427" s="4">
        <v>410392</v>
      </c>
      <c r="I427" s="4">
        <f>IF(DatiOriginali!I427 &gt;= SogliaPicchi!$B$6,"",DatiOriginali!I427)</f>
        <v>31800</v>
      </c>
      <c r="J427" s="4">
        <v>409263</v>
      </c>
      <c r="K427" s="4">
        <f>IF(DatiOriginali!K427 &gt;= SogliaPicchi!$B$6,"",DatiOriginali!K427)</f>
        <v>36900</v>
      </c>
    </row>
    <row r="428" spans="1:11" x14ac:dyDescent="0.3">
      <c r="A428" s="4" t="s">
        <v>437</v>
      </c>
      <c r="B428" s="4">
        <v>31125</v>
      </c>
      <c r="C428" s="4">
        <f>IF(DatiOriginali!C428 &gt;= SogliaPicchi!$B$6,"",DatiOriginali!C428)</f>
        <v>225300</v>
      </c>
      <c r="D428" s="4">
        <v>15537</v>
      </c>
      <c r="E428" s="4">
        <f>IF(DatiOriginali!E428 &gt;= SogliaPicchi!$B$6,"",DatiOriginali!E428)</f>
        <v>69300</v>
      </c>
      <c r="F428" s="4">
        <v>339549</v>
      </c>
      <c r="G428" s="4">
        <f>IF(DatiOriginali!G428 &gt;= SogliaPicchi!$B$6,"",DatiOriginali!G428)</f>
        <v>98900</v>
      </c>
      <c r="H428" s="4">
        <v>412414</v>
      </c>
      <c r="I428" s="4">
        <f>IF(DatiOriginali!I428 &gt;= SogliaPicchi!$B$6,"",DatiOriginali!I428)</f>
        <v>30900</v>
      </c>
      <c r="J428" s="4">
        <v>411215</v>
      </c>
      <c r="K428" s="4">
        <f>IF(DatiOriginali!K428 &gt;= SogliaPicchi!$B$6,"",DatiOriginali!K428)</f>
        <v>36000</v>
      </c>
    </row>
    <row r="429" spans="1:11" x14ac:dyDescent="0.3">
      <c r="A429" s="4" t="s">
        <v>438</v>
      </c>
      <c r="B429" s="4">
        <v>31125</v>
      </c>
      <c r="C429" s="4">
        <f>IF(DatiOriginali!C429 &gt;= SogliaPicchi!$B$6,"",DatiOriginali!C429)</f>
        <v>266900</v>
      </c>
      <c r="D429" s="4">
        <v>16512</v>
      </c>
      <c r="E429" s="4">
        <f>IF(DatiOriginali!E429 &gt;= SogliaPicchi!$B$6,"",DatiOriginali!E429)</f>
        <v>88300</v>
      </c>
      <c r="F429" s="4">
        <v>341226</v>
      </c>
      <c r="G429" s="4">
        <f>IF(DatiOriginali!G429 &gt;= SogliaPicchi!$B$6,"",DatiOriginali!G429)</f>
        <v>132700</v>
      </c>
      <c r="H429" s="4">
        <v>414399</v>
      </c>
      <c r="I429" s="4">
        <f>IF(DatiOriginali!I429 &gt;= SogliaPicchi!$B$6,"",DatiOriginali!I429)</f>
        <v>32600</v>
      </c>
      <c r="J429" s="4">
        <v>413246</v>
      </c>
      <c r="K429" s="4">
        <f>IF(DatiOriginali!K429 &gt;= SogliaPicchi!$B$6,"",DatiOriginali!K429)</f>
        <v>37200</v>
      </c>
    </row>
    <row r="430" spans="1:11" x14ac:dyDescent="0.3">
      <c r="A430" s="4" t="s">
        <v>439</v>
      </c>
      <c r="B430" s="4">
        <v>31125</v>
      </c>
      <c r="C430" s="4">
        <f>IF(DatiOriginali!C430 &gt;= SogliaPicchi!$B$6,"",DatiOriginali!C430)</f>
        <v>253300</v>
      </c>
      <c r="D430" s="4">
        <v>14963</v>
      </c>
      <c r="E430" s="4">
        <f>IF(DatiOriginali!E430 &gt;= SogliaPicchi!$B$6,"",DatiOriginali!E430)</f>
        <v>66800</v>
      </c>
      <c r="F430" s="4">
        <v>342907</v>
      </c>
      <c r="G430" s="4">
        <f>IF(DatiOriginali!G430 &gt;= SogliaPicchi!$B$6,"",DatiOriginali!G430)</f>
        <v>98800</v>
      </c>
      <c r="H430" s="4">
        <v>416720</v>
      </c>
      <c r="I430" s="4">
        <f>IF(DatiOriginali!I430 &gt;= SogliaPicchi!$B$6,"",DatiOriginali!I430)</f>
        <v>33400</v>
      </c>
      <c r="J430" s="4">
        <v>415171</v>
      </c>
      <c r="K430" s="4">
        <f>IF(DatiOriginali!K430 &gt;= SogliaPicchi!$B$6,"",DatiOriginali!K430)</f>
        <v>36200</v>
      </c>
    </row>
    <row r="431" spans="1:11" x14ac:dyDescent="0.3">
      <c r="A431" s="4" t="s">
        <v>440</v>
      </c>
      <c r="B431" s="4">
        <v>31125</v>
      </c>
      <c r="C431" s="4">
        <f>IF(DatiOriginali!C431 &gt;= SogliaPicchi!$B$6,"",DatiOriginali!C431)</f>
        <v>253400</v>
      </c>
      <c r="D431" s="4">
        <v>14401</v>
      </c>
      <c r="E431" s="4">
        <f>IF(DatiOriginali!E431 &gt;= SogliaPicchi!$B$6,"",DatiOriginali!E431)</f>
        <v>77300</v>
      </c>
      <c r="F431" s="4">
        <v>344578</v>
      </c>
      <c r="G431" s="4">
        <f>IF(DatiOriginali!G431 &gt;= SogliaPicchi!$B$6,"",DatiOriginali!G431)</f>
        <v>110700</v>
      </c>
      <c r="H431" s="4">
        <v>419138</v>
      </c>
      <c r="I431" s="4">
        <f>IF(DatiOriginali!I431 &gt;= SogliaPicchi!$B$6,"",DatiOriginali!I431)</f>
        <v>35100</v>
      </c>
      <c r="J431" s="4">
        <v>417207</v>
      </c>
      <c r="K431" s="4">
        <f>IF(DatiOriginali!K431 &gt;= SogliaPicchi!$B$6,"",DatiOriginali!K431)</f>
        <v>36500</v>
      </c>
    </row>
    <row r="432" spans="1:11" x14ac:dyDescent="0.3">
      <c r="A432" s="4" t="s">
        <v>441</v>
      </c>
      <c r="B432" s="4">
        <v>31125</v>
      </c>
      <c r="C432" s="4">
        <f>IF(DatiOriginali!C432 &gt;= SogliaPicchi!$B$6,"",DatiOriginali!C432)</f>
        <v>192300</v>
      </c>
      <c r="D432" s="4">
        <v>15509</v>
      </c>
      <c r="E432" s="4">
        <f>IF(DatiOriginali!E432 &gt;= SogliaPicchi!$B$6,"",DatiOriginali!E432)</f>
        <v>57000</v>
      </c>
      <c r="F432" s="4">
        <v>346251</v>
      </c>
      <c r="G432" s="4">
        <f>IF(DatiOriginali!G432 &gt;= SogliaPicchi!$B$6,"",DatiOriginali!G432)</f>
        <v>93500</v>
      </c>
      <c r="H432" s="4">
        <v>421443</v>
      </c>
      <c r="I432" s="4">
        <f>IF(DatiOriginali!I432 &gt;= SogliaPicchi!$B$6,"",DatiOriginali!I432)</f>
        <v>25600</v>
      </c>
      <c r="J432" s="4">
        <v>419058</v>
      </c>
      <c r="K432" s="4">
        <f>IF(DatiOriginali!K432 &gt;= SogliaPicchi!$B$6,"",DatiOriginali!K432)</f>
        <v>30700</v>
      </c>
    </row>
    <row r="433" spans="1:11" x14ac:dyDescent="0.3">
      <c r="A433" s="4" t="s">
        <v>442</v>
      </c>
      <c r="B433" s="4">
        <v>31125</v>
      </c>
      <c r="C433" s="4">
        <f>IF(DatiOriginali!C433 &gt;= SogliaPicchi!$B$6,"",DatiOriginali!C433)</f>
        <v>254900</v>
      </c>
      <c r="D433" s="4">
        <v>16721</v>
      </c>
      <c r="E433" s="4">
        <f>IF(DatiOriginali!E433 &gt;= SogliaPicchi!$B$6,"",DatiOriginali!E433)</f>
        <v>90000</v>
      </c>
      <c r="F433" s="4">
        <v>347934</v>
      </c>
      <c r="G433" s="4">
        <f>IF(DatiOriginali!G433 &gt;= SogliaPicchi!$B$6,"",DatiOriginali!G433)</f>
        <v>112700</v>
      </c>
      <c r="H433" s="4">
        <v>423410</v>
      </c>
      <c r="I433" s="4">
        <f>IF(DatiOriginali!I433 &gt;= SogliaPicchi!$B$6,"",DatiOriginali!I433)</f>
        <v>30400</v>
      </c>
      <c r="J433" s="4">
        <v>421194</v>
      </c>
      <c r="K433" s="4">
        <f>IF(DatiOriginali!K433 &gt;= SogliaPicchi!$B$6,"",DatiOriginali!K433)</f>
        <v>37600</v>
      </c>
    </row>
    <row r="434" spans="1:11" x14ac:dyDescent="0.3">
      <c r="A434" s="4" t="s">
        <v>443</v>
      </c>
      <c r="B434" s="4">
        <v>31125</v>
      </c>
      <c r="C434" s="4">
        <f>IF(DatiOriginali!C434 &gt;= SogliaPicchi!$B$6,"",DatiOriginali!C434)</f>
        <v>298800</v>
      </c>
      <c r="D434" s="4">
        <v>15741</v>
      </c>
      <c r="E434" s="4">
        <f>IF(DatiOriginali!E434 &gt;= SogliaPicchi!$B$6,"",DatiOriginali!E434)</f>
        <v>70500</v>
      </c>
      <c r="F434" s="4">
        <v>349621</v>
      </c>
      <c r="G434" s="4">
        <f>IF(DatiOriginali!G434 &gt;= SogliaPicchi!$B$6,"",DatiOriginali!G434)</f>
        <v>111700</v>
      </c>
      <c r="H434" s="4">
        <v>425359</v>
      </c>
      <c r="I434" s="4">
        <f>IF(DatiOriginali!I434 &gt;= SogliaPicchi!$B$6,"",DatiOriginali!I434)</f>
        <v>32400</v>
      </c>
      <c r="J434" s="4">
        <v>423149</v>
      </c>
      <c r="K434" s="4">
        <f>IF(DatiOriginali!K434 &gt;= SogliaPicchi!$B$6,"",DatiOriginali!K434)</f>
        <v>35500</v>
      </c>
    </row>
    <row r="435" spans="1:11" x14ac:dyDescent="0.3">
      <c r="A435" s="4" t="s">
        <v>444</v>
      </c>
      <c r="B435" s="4">
        <v>31125</v>
      </c>
      <c r="C435" s="4">
        <f>IF(DatiOriginali!C435 &gt;= SogliaPicchi!$B$6,"",DatiOriginali!C435)</f>
        <v>257300</v>
      </c>
      <c r="D435" s="4">
        <v>16448</v>
      </c>
      <c r="E435" s="4">
        <f>IF(DatiOriginali!E435 &gt;= SogliaPicchi!$B$6,"",DatiOriginali!E435)</f>
        <v>90200</v>
      </c>
      <c r="F435" s="4">
        <v>351293</v>
      </c>
      <c r="G435" s="4">
        <f>IF(DatiOriginali!G435 &gt;= SogliaPicchi!$B$6,"",DatiOriginali!G435)</f>
        <v>135800</v>
      </c>
      <c r="H435" s="4">
        <v>427307</v>
      </c>
      <c r="I435" s="4">
        <f>IF(DatiOriginali!I435 &gt;= SogliaPicchi!$B$6,"",DatiOriginali!I435)</f>
        <v>31700</v>
      </c>
      <c r="J435" s="4">
        <v>425011</v>
      </c>
      <c r="K435" s="4">
        <f>IF(DatiOriginali!K435 &gt;= SogliaPicchi!$B$6,"",DatiOriginali!K435)</f>
        <v>36000</v>
      </c>
    </row>
    <row r="436" spans="1:11" x14ac:dyDescent="0.3">
      <c r="A436" s="4" t="s">
        <v>445</v>
      </c>
      <c r="B436" s="4">
        <v>31125</v>
      </c>
      <c r="C436" s="4">
        <f>IF(DatiOriginali!C436 &gt;= SogliaPicchi!$B$6,"",DatiOriginali!C436)</f>
        <v>249000</v>
      </c>
      <c r="D436" s="4">
        <v>16195</v>
      </c>
      <c r="E436" s="4">
        <f>IF(DatiOriginali!E436 &gt;= SogliaPicchi!$B$6,"",DatiOriginali!E436)</f>
        <v>87300</v>
      </c>
      <c r="F436" s="4">
        <v>352967</v>
      </c>
      <c r="G436" s="4">
        <f>IF(DatiOriginali!G436 &gt;= SogliaPicchi!$B$6,"",DatiOriginali!G436)</f>
        <v>151500</v>
      </c>
      <c r="H436" s="4">
        <v>429432</v>
      </c>
      <c r="I436" s="4">
        <f>IF(DatiOriginali!I436 &gt;= SogliaPicchi!$B$6,"",DatiOriginali!I436)</f>
        <v>33400</v>
      </c>
      <c r="J436" s="4">
        <v>427091</v>
      </c>
      <c r="K436" s="4">
        <f>IF(DatiOriginali!K436 &gt;= SogliaPicchi!$B$6,"",DatiOriginali!K436)</f>
        <v>37200</v>
      </c>
    </row>
    <row r="437" spans="1:11" x14ac:dyDescent="0.3">
      <c r="A437" s="4" t="s">
        <v>446</v>
      </c>
      <c r="B437" s="4">
        <v>31125</v>
      </c>
      <c r="C437" s="4">
        <f>IF(DatiOriginali!C437 &gt;= SogliaPicchi!$B$6,"",DatiOriginali!C437)</f>
        <v>282400</v>
      </c>
      <c r="D437" s="4">
        <v>16103</v>
      </c>
      <c r="E437" s="4">
        <f>IF(DatiOriginali!E437 &gt;= SogliaPicchi!$B$6,"",DatiOriginali!E437)</f>
        <v>88400</v>
      </c>
      <c r="F437" s="4">
        <v>354661</v>
      </c>
      <c r="G437" s="4">
        <f>IF(DatiOriginali!G437 &gt;= SogliaPicchi!$B$6,"",DatiOriginali!G437)</f>
        <v>125800</v>
      </c>
      <c r="H437" s="4">
        <v>431335</v>
      </c>
      <c r="I437" s="4">
        <f>IF(DatiOriginali!I437 &gt;= SogliaPicchi!$B$6,"",DatiOriginali!I437)</f>
        <v>30700</v>
      </c>
      <c r="J437" s="4">
        <v>429422</v>
      </c>
      <c r="K437" s="4">
        <f>IF(DatiOriginali!K437 &gt;= SogliaPicchi!$B$6,"",DatiOriginali!K437)</f>
        <v>37200</v>
      </c>
    </row>
    <row r="438" spans="1:11" x14ac:dyDescent="0.3">
      <c r="A438" s="4" t="s">
        <v>447</v>
      </c>
      <c r="B438" s="4">
        <v>31125</v>
      </c>
      <c r="C438" s="4">
        <f>IF(DatiOriginali!C438 &gt;= SogliaPicchi!$B$6,"",DatiOriginali!C438)</f>
        <v>320000</v>
      </c>
      <c r="D438" s="4">
        <v>16733</v>
      </c>
      <c r="E438" s="4">
        <f>IF(DatiOriginali!E438 &gt;= SogliaPicchi!$B$6,"",DatiOriginali!E438)</f>
        <v>107400</v>
      </c>
      <c r="F438" s="4">
        <v>356337</v>
      </c>
      <c r="G438" s="4">
        <f>IF(DatiOriginali!G438 &gt;= SogliaPicchi!$B$6,"",DatiOriginali!G438)</f>
        <v>137300</v>
      </c>
      <c r="H438" s="4">
        <v>433596</v>
      </c>
      <c r="I438" s="4">
        <f>IF(DatiOriginali!I438 &gt;= SogliaPicchi!$B$6,"",DatiOriginali!I438)</f>
        <v>40500</v>
      </c>
      <c r="J438" s="4">
        <v>431414</v>
      </c>
      <c r="K438" s="4">
        <f>IF(DatiOriginali!K438 &gt;= SogliaPicchi!$B$6,"",DatiOriginali!K438)</f>
        <v>44100</v>
      </c>
    </row>
    <row r="439" spans="1:11" x14ac:dyDescent="0.3">
      <c r="A439" s="4" t="s">
        <v>448</v>
      </c>
      <c r="B439" s="4">
        <v>31125</v>
      </c>
      <c r="C439" s="4">
        <f>IF(DatiOriginali!C439 &gt;= SogliaPicchi!$B$6,"",DatiOriginali!C439)</f>
        <v>246700</v>
      </c>
      <c r="D439" s="4">
        <v>15726</v>
      </c>
      <c r="E439" s="4">
        <f>IF(DatiOriginali!E439 &gt;= SogliaPicchi!$B$6,"",DatiOriginali!E439)</f>
        <v>70000</v>
      </c>
      <c r="F439" s="4">
        <v>358008</v>
      </c>
      <c r="G439" s="4">
        <f>IF(DatiOriginali!G439 &gt;= SogliaPicchi!$B$6,"",DatiOriginali!G439)</f>
        <v>92700</v>
      </c>
      <c r="H439" s="4">
        <v>435603</v>
      </c>
      <c r="I439" s="4">
        <f>IF(DatiOriginali!I439 &gt;= SogliaPicchi!$B$6,"",DatiOriginali!I439)</f>
        <v>25200</v>
      </c>
      <c r="J439" s="4">
        <v>433547</v>
      </c>
      <c r="K439" s="4">
        <f>IF(DatiOriginali!K439 &gt;= SogliaPicchi!$B$6,"",DatiOriginali!K439)</f>
        <v>29500</v>
      </c>
    </row>
    <row r="440" spans="1:11" x14ac:dyDescent="0.3">
      <c r="A440" s="4" t="s">
        <v>449</v>
      </c>
      <c r="B440" s="4">
        <v>31125</v>
      </c>
      <c r="C440" s="4">
        <f>IF(DatiOriginali!C440 &gt;= SogliaPicchi!$B$6,"",DatiOriginali!C440)</f>
        <v>201700</v>
      </c>
      <c r="D440" s="4">
        <v>15080</v>
      </c>
      <c r="E440" s="4">
        <f>IF(DatiOriginali!E440 &gt;= SogliaPicchi!$B$6,"",DatiOriginali!E440)</f>
        <v>59300</v>
      </c>
      <c r="F440" s="4">
        <v>359680</v>
      </c>
      <c r="G440" s="4">
        <f>IF(DatiOriginali!G440 &gt;= SogliaPicchi!$B$6,"",DatiOriginali!G440)</f>
        <v>91900</v>
      </c>
      <c r="H440" s="4">
        <v>437783</v>
      </c>
      <c r="I440" s="4">
        <f>IF(DatiOriginali!I440 &gt;= SogliaPicchi!$B$6,"",DatiOriginali!I440)</f>
        <v>26700</v>
      </c>
      <c r="J440" s="4">
        <v>435554</v>
      </c>
      <c r="K440" s="4">
        <f>IF(DatiOriginali!K440 &gt;= SogliaPicchi!$B$6,"",DatiOriginali!K440)</f>
        <v>28800</v>
      </c>
    </row>
    <row r="441" spans="1:11" x14ac:dyDescent="0.3">
      <c r="A441" s="4" t="s">
        <v>450</v>
      </c>
      <c r="B441" s="4">
        <v>31125</v>
      </c>
      <c r="C441" s="4">
        <f>IF(DatiOriginali!C441 &gt;= SogliaPicchi!$B$6,"",DatiOriginali!C441)</f>
        <v>204200</v>
      </c>
      <c r="D441" s="4">
        <v>15692</v>
      </c>
      <c r="E441" s="4">
        <f>IF(DatiOriginali!E441 &gt;= SogliaPicchi!$B$6,"",DatiOriginali!E441)</f>
        <v>57900</v>
      </c>
      <c r="F441" s="4">
        <v>361364</v>
      </c>
      <c r="G441" s="4">
        <f>IF(DatiOriginali!G441 &gt;= SogliaPicchi!$B$6,"",DatiOriginali!G441)</f>
        <v>79000</v>
      </c>
      <c r="H441" s="4">
        <v>439918</v>
      </c>
      <c r="I441" s="4">
        <f>IF(DatiOriginali!I441 &gt;= SogliaPicchi!$B$6,"",DatiOriginali!I441)</f>
        <v>26100</v>
      </c>
      <c r="J441" s="4">
        <v>437693</v>
      </c>
      <c r="K441" s="4">
        <f>IF(DatiOriginali!K441 &gt;= SogliaPicchi!$B$6,"",DatiOriginali!K441)</f>
        <v>29500</v>
      </c>
    </row>
    <row r="442" spans="1:11" x14ac:dyDescent="0.3">
      <c r="A442" s="4" t="s">
        <v>451</v>
      </c>
      <c r="B442" s="4">
        <v>31125</v>
      </c>
      <c r="C442" s="4">
        <f>IF(DatiOriginali!C442 &gt;= SogliaPicchi!$B$6,"",DatiOriginali!C442)</f>
        <v>239000</v>
      </c>
      <c r="D442" s="4">
        <v>16094</v>
      </c>
      <c r="E442" s="4">
        <f>IF(DatiOriginali!E442 &gt;= SogliaPicchi!$B$6,"",DatiOriginali!E442)</f>
        <v>70700</v>
      </c>
      <c r="F442" s="4">
        <v>363051</v>
      </c>
      <c r="G442" s="4">
        <f>IF(DatiOriginali!G442 &gt;= SogliaPicchi!$B$6,"",DatiOriginali!G442)</f>
        <v>117600</v>
      </c>
      <c r="H442" s="4">
        <v>441758</v>
      </c>
      <c r="I442" s="4">
        <f>IF(DatiOriginali!I442 &gt;= SogliaPicchi!$B$6,"",DatiOriginali!I442)</f>
        <v>29900</v>
      </c>
      <c r="J442" s="4">
        <v>439558</v>
      </c>
      <c r="K442" s="4">
        <f>IF(DatiOriginali!K442 &gt;= SogliaPicchi!$B$6,"",DatiOriginali!K442)</f>
        <v>34600</v>
      </c>
    </row>
    <row r="443" spans="1:11" x14ac:dyDescent="0.3">
      <c r="A443" s="4" t="s">
        <v>452</v>
      </c>
      <c r="B443" s="4">
        <v>31125</v>
      </c>
      <c r="C443" s="4">
        <f>IF(DatiOriginali!C443 &gt;= SogliaPicchi!$B$6,"",DatiOriginali!C443)</f>
        <v>251300</v>
      </c>
      <c r="D443" s="4">
        <v>15792</v>
      </c>
      <c r="E443" s="4">
        <f>IF(DatiOriginali!E443 &gt;= SogliaPicchi!$B$6,"",DatiOriginali!E443)</f>
        <v>87000</v>
      </c>
      <c r="F443" s="4">
        <v>364729</v>
      </c>
      <c r="G443" s="4">
        <f>IF(DatiOriginali!G443 &gt;= SogliaPicchi!$B$6,"",DatiOriginali!G443)</f>
        <v>114900</v>
      </c>
      <c r="H443" s="4">
        <v>444166</v>
      </c>
      <c r="I443" s="4">
        <f>IF(DatiOriginali!I443 &gt;= SogliaPicchi!$B$6,"",DatiOriginali!I443)</f>
        <v>33300</v>
      </c>
      <c r="J443" s="4">
        <v>441834</v>
      </c>
      <c r="K443" s="4">
        <f>IF(DatiOriginali!K443 &gt;= SogliaPicchi!$B$6,"",DatiOriginali!K443)</f>
        <v>37700</v>
      </c>
    </row>
    <row r="444" spans="1:11" x14ac:dyDescent="0.3">
      <c r="A444" s="4" t="s">
        <v>453</v>
      </c>
      <c r="B444" s="4">
        <v>31125</v>
      </c>
      <c r="C444" s="4">
        <f>IF(DatiOriginali!C444 &gt;= SogliaPicchi!$B$6,"",DatiOriginali!C444)</f>
        <v>210400</v>
      </c>
      <c r="D444" s="4">
        <v>16884</v>
      </c>
      <c r="E444" s="4">
        <f>IF(DatiOriginali!E444 &gt;= SogliaPicchi!$B$6,"",DatiOriginali!E444)</f>
        <v>62200</v>
      </c>
      <c r="F444" s="4">
        <v>366408</v>
      </c>
      <c r="G444" s="4">
        <f>IF(DatiOriginali!G444 &gt;= SogliaPicchi!$B$6,"",DatiOriginali!G444)</f>
        <v>111200</v>
      </c>
      <c r="H444" s="4">
        <v>446149</v>
      </c>
      <c r="I444" s="4">
        <f>IF(DatiOriginali!I444 &gt;= SogliaPicchi!$B$6,"",DatiOriginali!I444)</f>
        <v>26000</v>
      </c>
      <c r="J444" s="4">
        <v>443722</v>
      </c>
      <c r="K444" s="4">
        <f>IF(DatiOriginali!K444 &gt;= SogliaPicchi!$B$6,"",DatiOriginali!K444)</f>
        <v>30000</v>
      </c>
    </row>
    <row r="445" spans="1:11" x14ac:dyDescent="0.3">
      <c r="A445" s="4" t="s">
        <v>454</v>
      </c>
      <c r="B445" s="4">
        <v>31125</v>
      </c>
      <c r="C445" s="4">
        <f>IF(DatiOriginali!C445 &gt;= SogliaPicchi!$B$6,"",DatiOriginali!C445)</f>
        <v>203900</v>
      </c>
      <c r="D445" s="4">
        <v>16616</v>
      </c>
      <c r="E445" s="4">
        <f>IF(DatiOriginali!E445 &gt;= SogliaPicchi!$B$6,"",DatiOriginali!E445)</f>
        <v>61200</v>
      </c>
      <c r="F445" s="4">
        <v>368079</v>
      </c>
      <c r="G445" s="4">
        <f>IF(DatiOriginali!G445 &gt;= SogliaPicchi!$B$6,"",DatiOriginali!G445)</f>
        <v>117200</v>
      </c>
      <c r="H445" s="4">
        <v>448173</v>
      </c>
      <c r="I445" s="4">
        <f>IF(DatiOriginali!I445 &gt;= SogliaPicchi!$B$6,"",DatiOriginali!I445)</f>
        <v>26500</v>
      </c>
      <c r="J445" s="4">
        <v>446085</v>
      </c>
      <c r="K445" s="4">
        <f>IF(DatiOriginali!K445 &gt;= SogliaPicchi!$B$6,"",DatiOriginali!K445)</f>
        <v>30700</v>
      </c>
    </row>
    <row r="446" spans="1:11" x14ac:dyDescent="0.3">
      <c r="A446" s="4" t="s">
        <v>455</v>
      </c>
      <c r="B446" s="4">
        <v>31125</v>
      </c>
      <c r="C446" s="4">
        <f>IF(DatiOriginali!C446 &gt;= SogliaPicchi!$B$6,"",DatiOriginali!C446)</f>
        <v>194400</v>
      </c>
      <c r="D446" s="4">
        <v>17070</v>
      </c>
      <c r="E446" s="4">
        <f>IF(DatiOriginali!E446 &gt;= SogliaPicchi!$B$6,"",DatiOriginali!E446)</f>
        <v>62800</v>
      </c>
      <c r="F446" s="4">
        <v>369743</v>
      </c>
      <c r="G446" s="4">
        <f>IF(DatiOriginali!G446 &gt;= SogliaPicchi!$B$6,"",DatiOriginali!G446)</f>
        <v>81400</v>
      </c>
      <c r="H446" s="4">
        <v>450248</v>
      </c>
      <c r="I446" s="4">
        <f>IF(DatiOriginali!I446 &gt;= SogliaPicchi!$B$6,"",DatiOriginali!I446)</f>
        <v>24800</v>
      </c>
      <c r="J446" s="4">
        <v>448476</v>
      </c>
      <c r="K446" s="4">
        <f>IF(DatiOriginali!K446 &gt;= SogliaPicchi!$B$6,"",DatiOriginali!K446)</f>
        <v>29500</v>
      </c>
    </row>
    <row r="447" spans="1:11" x14ac:dyDescent="0.3">
      <c r="A447" s="4" t="s">
        <v>456</v>
      </c>
      <c r="B447" s="4">
        <v>31125</v>
      </c>
      <c r="C447" s="4">
        <f>IF(DatiOriginali!C447 &gt;= SogliaPicchi!$B$6,"",DatiOriginali!C447)</f>
        <v>181800</v>
      </c>
      <c r="D447" s="4">
        <v>15079</v>
      </c>
      <c r="E447" s="4">
        <f>IF(DatiOriginali!E447 &gt;= SogliaPicchi!$B$6,"",DatiOriginali!E447)</f>
        <v>57000</v>
      </c>
      <c r="F447" s="4">
        <v>371424</v>
      </c>
      <c r="G447" s="4">
        <f>IF(DatiOriginali!G447 &gt;= SogliaPicchi!$B$6,"",DatiOriginali!G447)</f>
        <v>89200</v>
      </c>
      <c r="H447" s="4">
        <v>452567</v>
      </c>
      <c r="I447" s="4">
        <f>IF(DatiOriginali!I447 &gt;= SogliaPicchi!$B$6,"",DatiOriginali!I447)</f>
        <v>24000</v>
      </c>
      <c r="J447" s="4">
        <v>450733</v>
      </c>
      <c r="K447" s="4">
        <f>IF(DatiOriginali!K447 &gt;= SogliaPicchi!$B$6,"",DatiOriginali!K447)</f>
        <v>29300</v>
      </c>
    </row>
    <row r="448" spans="1:11" x14ac:dyDescent="0.3">
      <c r="A448" s="4" t="s">
        <v>457</v>
      </c>
      <c r="B448" s="4">
        <v>31125</v>
      </c>
      <c r="C448" s="4">
        <f>IF(DatiOriginali!C448 &gt;= SogliaPicchi!$B$6,"",DatiOriginali!C448)</f>
        <v>272900</v>
      </c>
      <c r="D448" s="4">
        <v>15734</v>
      </c>
      <c r="E448" s="4">
        <f>IF(DatiOriginali!E448 &gt;= SogliaPicchi!$B$6,"",DatiOriginali!E448)</f>
        <v>88000</v>
      </c>
      <c r="F448" s="4">
        <v>373091</v>
      </c>
      <c r="G448" s="4">
        <f>IF(DatiOriginali!G448 &gt;= SogliaPicchi!$B$6,"",DatiOriginali!G448)</f>
        <v>125400</v>
      </c>
      <c r="H448" s="4">
        <v>454617</v>
      </c>
      <c r="I448" s="4">
        <f>IF(DatiOriginali!I448 &gt;= SogliaPicchi!$B$6,"",DatiOriginali!I448)</f>
        <v>32200</v>
      </c>
      <c r="J448" s="4">
        <v>452515</v>
      </c>
      <c r="K448" s="4">
        <f>IF(DatiOriginali!K448 &gt;= SogliaPicchi!$B$6,"",DatiOriginali!K448)</f>
        <v>36000</v>
      </c>
    </row>
    <row r="449" spans="1:11" x14ac:dyDescent="0.3">
      <c r="A449" s="4" t="s">
        <v>458</v>
      </c>
      <c r="B449" s="4">
        <v>31125</v>
      </c>
      <c r="C449" s="4">
        <f>IF(DatiOriginali!C449 &gt;= SogliaPicchi!$B$6,"",DatiOriginali!C449)</f>
        <v>291100</v>
      </c>
      <c r="D449" s="4">
        <v>15443</v>
      </c>
      <c r="E449" s="4">
        <f>IF(DatiOriginali!E449 &gt;= SogliaPicchi!$B$6,"",DatiOriginali!E449)</f>
        <v>69000</v>
      </c>
      <c r="F449" s="4">
        <v>374763</v>
      </c>
      <c r="G449" s="4">
        <f>IF(DatiOriginali!G449 &gt;= SogliaPicchi!$B$6,"",DatiOriginali!G449)</f>
        <v>85000</v>
      </c>
      <c r="H449" s="4">
        <v>456556</v>
      </c>
      <c r="I449" s="4">
        <f>IF(DatiOriginali!I449 &gt;= SogliaPicchi!$B$6,"",DatiOriginali!I449)</f>
        <v>26100</v>
      </c>
      <c r="J449" s="4">
        <v>454741</v>
      </c>
      <c r="K449" s="4">
        <f>IF(DatiOriginali!K449 &gt;= SogliaPicchi!$B$6,"",DatiOriginali!K449)</f>
        <v>31100</v>
      </c>
    </row>
    <row r="450" spans="1:11" x14ac:dyDescent="0.3">
      <c r="A450" s="4" t="s">
        <v>459</v>
      </c>
      <c r="B450" s="4">
        <v>31125</v>
      </c>
      <c r="C450" s="4">
        <f>IF(DatiOriginali!C450 &gt;= SogliaPicchi!$B$6,"",DatiOriginali!C450)</f>
        <v>247800</v>
      </c>
      <c r="D450" s="4">
        <v>16035</v>
      </c>
      <c r="E450" s="4">
        <f>IF(DatiOriginali!E450 &gt;= SogliaPicchi!$B$6,"",DatiOriginali!E450)</f>
        <v>78500</v>
      </c>
      <c r="F450" s="4">
        <v>376442</v>
      </c>
      <c r="G450" s="4">
        <f>IF(DatiOriginali!G450 &gt;= SogliaPicchi!$B$6,"",DatiOriginali!G450)</f>
        <v>97200</v>
      </c>
      <c r="H450" s="4">
        <v>458588</v>
      </c>
      <c r="I450" s="4">
        <f>IF(DatiOriginali!I450 &gt;= SogliaPicchi!$B$6,"",DatiOriginali!I450)</f>
        <v>27200</v>
      </c>
      <c r="J450" s="4">
        <v>457007</v>
      </c>
      <c r="K450" s="4">
        <f>IF(DatiOriginali!K450 &gt;= SogliaPicchi!$B$6,"",DatiOriginali!K450)</f>
        <v>30700</v>
      </c>
    </row>
    <row r="451" spans="1:11" x14ac:dyDescent="0.3">
      <c r="A451" s="4" t="s">
        <v>460</v>
      </c>
      <c r="B451" s="4">
        <v>31125</v>
      </c>
      <c r="C451" s="4">
        <f>IF(DatiOriginali!C451 &gt;= SogliaPicchi!$B$6,"",DatiOriginali!C451)</f>
        <v>265500</v>
      </c>
      <c r="D451" s="4">
        <v>16735</v>
      </c>
      <c r="E451" s="4">
        <f>IF(DatiOriginali!E451 &gt;= SogliaPicchi!$B$6,"",DatiOriginali!E451)</f>
        <v>61800</v>
      </c>
      <c r="F451" s="4">
        <v>378114</v>
      </c>
      <c r="G451" s="4">
        <f>IF(DatiOriginali!G451 &gt;= SogliaPicchi!$B$6,"",DatiOriginali!G451)</f>
        <v>80400</v>
      </c>
      <c r="H451" s="4">
        <v>460390</v>
      </c>
      <c r="I451" s="4">
        <f>IF(DatiOriginali!I451 &gt;= SogliaPicchi!$B$6,"",DatiOriginali!I451)</f>
        <v>25900</v>
      </c>
      <c r="J451" s="4">
        <v>459032</v>
      </c>
      <c r="K451" s="4">
        <f>IF(DatiOriginali!K451 &gt;= SogliaPicchi!$B$6,"",DatiOriginali!K451)</f>
        <v>28700</v>
      </c>
    </row>
    <row r="452" spans="1:11" x14ac:dyDescent="0.3">
      <c r="A452" s="4" t="s">
        <v>461</v>
      </c>
      <c r="B452" s="4">
        <v>31125</v>
      </c>
      <c r="C452" s="4">
        <f>IF(DatiOriginali!C452 &gt;= SogliaPicchi!$B$6,"",DatiOriginali!C452)</f>
        <v>201200</v>
      </c>
      <c r="D452" s="4">
        <v>15173</v>
      </c>
      <c r="E452" s="4">
        <f>IF(DatiOriginali!E452 &gt;= SogliaPicchi!$B$6,"",DatiOriginali!E452)</f>
        <v>56100</v>
      </c>
      <c r="F452" s="4">
        <v>379795</v>
      </c>
      <c r="G452" s="4">
        <f>IF(DatiOriginali!G452 &gt;= SogliaPicchi!$B$6,"",DatiOriginali!G452)</f>
        <v>90800</v>
      </c>
      <c r="H452" s="4">
        <v>462395</v>
      </c>
      <c r="I452" s="4">
        <f>IF(DatiOriginali!I452 &gt;= SogliaPicchi!$B$6,"",DatiOriginali!I452)</f>
        <v>24900</v>
      </c>
      <c r="J452" s="4">
        <v>460928</v>
      </c>
      <c r="K452" s="4">
        <f>IF(DatiOriginali!K452 &gt;= SogliaPicchi!$B$6,"",DatiOriginali!K452)</f>
        <v>29600</v>
      </c>
    </row>
    <row r="453" spans="1:11" x14ac:dyDescent="0.3">
      <c r="A453" s="4" t="s">
        <v>462</v>
      </c>
      <c r="B453" s="4">
        <v>31125</v>
      </c>
      <c r="C453" s="4">
        <f>IF(DatiOriginali!C453 &gt;= SogliaPicchi!$B$6,"",DatiOriginali!C453)</f>
        <v>393100</v>
      </c>
      <c r="D453" s="4">
        <v>16410</v>
      </c>
      <c r="E453" s="4">
        <f>IF(DatiOriginali!E453 &gt;= SogliaPicchi!$B$6,"",DatiOriginali!E453)</f>
        <v>92000</v>
      </c>
      <c r="F453" s="4">
        <v>381472</v>
      </c>
      <c r="G453" s="4">
        <f>IF(DatiOriginali!G453 &gt;= SogliaPicchi!$B$6,"",DatiOriginali!G453)</f>
        <v>126800</v>
      </c>
      <c r="H453" s="4">
        <v>464747</v>
      </c>
      <c r="I453" s="4">
        <f>IF(DatiOriginali!I453 &gt;= SogliaPicchi!$B$6,"",DatiOriginali!I453)</f>
        <v>56600</v>
      </c>
      <c r="J453" s="4">
        <v>462884</v>
      </c>
      <c r="K453" s="4">
        <f>IF(DatiOriginali!K453 &gt;= SogliaPicchi!$B$6,"",DatiOriginali!K453)</f>
        <v>40000</v>
      </c>
    </row>
    <row r="454" spans="1:11" x14ac:dyDescent="0.3">
      <c r="A454" s="4" t="s">
        <v>463</v>
      </c>
      <c r="B454" s="4">
        <v>31125</v>
      </c>
      <c r="C454" s="4">
        <f>IF(DatiOriginali!C454 &gt;= SogliaPicchi!$B$6,"",DatiOriginali!C454)</f>
        <v>207400</v>
      </c>
      <c r="D454" s="4">
        <v>15482</v>
      </c>
      <c r="E454" s="4">
        <f>IF(DatiOriginali!E454 &gt;= SogliaPicchi!$B$6,"",DatiOriginali!E454)</f>
        <v>59000</v>
      </c>
      <c r="F454" s="4">
        <v>383148</v>
      </c>
      <c r="G454" s="4">
        <f>IF(DatiOriginali!G454 &gt;= SogliaPicchi!$B$6,"",DatiOriginali!G454)</f>
        <v>81700</v>
      </c>
      <c r="H454" s="4">
        <v>466740</v>
      </c>
      <c r="I454" s="4">
        <f>IF(DatiOriginali!I454 &gt;= SogliaPicchi!$B$6,"",DatiOriginali!I454)</f>
        <v>26200</v>
      </c>
      <c r="J454" s="4">
        <v>464856</v>
      </c>
      <c r="K454" s="4">
        <f>IF(DatiOriginali!K454 &gt;= SogliaPicchi!$B$6,"",DatiOriginali!K454)</f>
        <v>30900</v>
      </c>
    </row>
    <row r="455" spans="1:11" x14ac:dyDescent="0.3">
      <c r="A455" s="4" t="s">
        <v>464</v>
      </c>
      <c r="B455" s="4">
        <v>31125</v>
      </c>
      <c r="C455" s="4">
        <f>IF(DatiOriginali!C455 &gt;= SogliaPicchi!$B$6,"",DatiOriginali!C455)</f>
        <v>247600</v>
      </c>
      <c r="D455" s="4">
        <v>14608</v>
      </c>
      <c r="E455" s="4">
        <f>IF(DatiOriginali!E455 &gt;= SogliaPicchi!$B$6,"",DatiOriginali!E455)</f>
        <v>91100</v>
      </c>
      <c r="F455" s="4">
        <v>384833</v>
      </c>
      <c r="G455" s="4">
        <f>IF(DatiOriginali!G455 &gt;= SogliaPicchi!$B$6,"",DatiOriginali!G455)</f>
        <v>130900</v>
      </c>
      <c r="H455" s="4">
        <v>468737</v>
      </c>
      <c r="I455" s="4">
        <f>IF(DatiOriginali!I455 &gt;= SogliaPicchi!$B$6,"",DatiOriginali!I455)</f>
        <v>32700</v>
      </c>
      <c r="J455" s="4">
        <v>466818</v>
      </c>
      <c r="K455" s="4">
        <f>IF(DatiOriginali!K455 &gt;= SogliaPicchi!$B$6,"",DatiOriginali!K455)</f>
        <v>37500</v>
      </c>
    </row>
    <row r="456" spans="1:11" x14ac:dyDescent="0.3">
      <c r="A456" s="4" t="s">
        <v>465</v>
      </c>
      <c r="B456" s="4">
        <v>31125</v>
      </c>
      <c r="C456" s="4">
        <f>IF(DatiOriginali!C456 &gt;= SogliaPicchi!$B$6,"",DatiOriginali!C456)</f>
        <v>306000</v>
      </c>
      <c r="D456" s="4">
        <v>15820</v>
      </c>
      <c r="E456" s="4">
        <f>IF(DatiOriginali!E456 &gt;= SogliaPicchi!$B$6,"",DatiOriginali!E456)</f>
        <v>101600</v>
      </c>
      <c r="F456" s="4">
        <v>386501</v>
      </c>
      <c r="G456" s="4">
        <f>IF(DatiOriginali!G456 &gt;= SogliaPicchi!$B$6,"",DatiOriginali!G456)</f>
        <v>147200</v>
      </c>
      <c r="H456" s="4">
        <v>471072</v>
      </c>
      <c r="I456" s="4">
        <f>IF(DatiOriginali!I456 &gt;= SogliaPicchi!$B$6,"",DatiOriginali!I456)</f>
        <v>38500</v>
      </c>
      <c r="J456" s="4">
        <v>468781</v>
      </c>
      <c r="K456" s="4">
        <f>IF(DatiOriginali!K456 &gt;= SogliaPicchi!$B$6,"",DatiOriginali!K456)</f>
        <v>44600</v>
      </c>
    </row>
    <row r="457" spans="1:11" x14ac:dyDescent="0.3">
      <c r="A457" s="4" t="s">
        <v>466</v>
      </c>
      <c r="B457" s="4">
        <v>31125</v>
      </c>
      <c r="C457" s="4">
        <f>IF(DatiOriginali!C457 &gt;= SogliaPicchi!$B$6,"",DatiOriginali!C457)</f>
        <v>214500</v>
      </c>
      <c r="D457" s="4">
        <v>15839</v>
      </c>
      <c r="E457" s="4">
        <f>IF(DatiOriginali!E457 &gt;= SogliaPicchi!$B$6,"",DatiOriginali!E457)</f>
        <v>71700</v>
      </c>
      <c r="F457" s="4">
        <v>388169</v>
      </c>
      <c r="G457" s="4">
        <f>IF(DatiOriginali!G457 &gt;= SogliaPicchi!$B$6,"",DatiOriginali!G457)</f>
        <v>98500</v>
      </c>
      <c r="H457" s="4">
        <v>473678</v>
      </c>
      <c r="I457" s="4">
        <f>IF(DatiOriginali!I457 &gt;= SogliaPicchi!$B$6,"",DatiOriginali!I457)</f>
        <v>34200</v>
      </c>
      <c r="J457" s="4">
        <v>471154</v>
      </c>
      <c r="K457" s="4">
        <f>IF(DatiOriginali!K457 &gt;= SogliaPicchi!$B$6,"",DatiOriginali!K457)</f>
        <v>37500</v>
      </c>
    </row>
    <row r="458" spans="1:11" x14ac:dyDescent="0.3">
      <c r="A458" s="4" t="s">
        <v>467</v>
      </c>
      <c r="B458" s="4">
        <v>31125</v>
      </c>
      <c r="C458" s="4">
        <f>IF(DatiOriginali!C458 &gt;= SogliaPicchi!$B$6,"",DatiOriginali!C458)</f>
        <v>210200</v>
      </c>
      <c r="D458" s="4">
        <v>16137</v>
      </c>
      <c r="E458" s="4">
        <f>IF(DatiOriginali!E458 &gt;= SogliaPicchi!$B$6,"",DatiOriginali!E458)</f>
        <v>59900</v>
      </c>
      <c r="F458" s="4">
        <v>389857</v>
      </c>
      <c r="G458" s="4">
        <f>IF(DatiOriginali!G458 &gt;= SogliaPicchi!$B$6,"",DatiOriginali!G458)</f>
        <v>93700</v>
      </c>
      <c r="H458" s="4">
        <v>475709</v>
      </c>
      <c r="I458" s="4">
        <f>IF(DatiOriginali!I458 &gt;= SogliaPicchi!$B$6,"",DatiOriginali!I458)</f>
        <v>25900</v>
      </c>
      <c r="J458" s="4">
        <v>473355</v>
      </c>
      <c r="K458" s="4">
        <f>IF(DatiOriginali!K458 &gt;= SogliaPicchi!$B$6,"",DatiOriginali!K458)</f>
        <v>30200</v>
      </c>
    </row>
    <row r="459" spans="1:11" x14ac:dyDescent="0.3">
      <c r="A459" s="4" t="s">
        <v>468</v>
      </c>
      <c r="B459" s="4">
        <v>31125</v>
      </c>
      <c r="C459" s="4">
        <f>IF(DatiOriginali!C459 &gt;= SogliaPicchi!$B$6,"",DatiOriginali!C459)</f>
        <v>277800</v>
      </c>
      <c r="D459" s="4">
        <v>14984</v>
      </c>
      <c r="E459" s="4">
        <f>IF(DatiOriginali!E459 &gt;= SogliaPicchi!$B$6,"",DatiOriginali!E459)</f>
        <v>82900</v>
      </c>
      <c r="F459" s="4">
        <v>391534</v>
      </c>
      <c r="G459" s="4">
        <f>IF(DatiOriginali!G459 &gt;= SogliaPicchi!$B$6,"",DatiOriginali!G459)</f>
        <v>145500</v>
      </c>
      <c r="H459" s="4">
        <v>477635</v>
      </c>
      <c r="I459" s="4">
        <f>IF(DatiOriginali!I459 &gt;= SogliaPicchi!$B$6,"",DatiOriginali!I459)</f>
        <v>30900</v>
      </c>
      <c r="J459" s="4">
        <v>475314</v>
      </c>
      <c r="K459" s="4">
        <f>IF(DatiOriginali!K459 &gt;= SogliaPicchi!$B$6,"",DatiOriginali!K459)</f>
        <v>35000</v>
      </c>
    </row>
    <row r="460" spans="1:11" x14ac:dyDescent="0.3">
      <c r="A460" s="4" t="s">
        <v>469</v>
      </c>
      <c r="B460" s="4">
        <v>31125</v>
      </c>
      <c r="C460" s="4">
        <f>IF(DatiOriginali!C460 &gt;= SogliaPicchi!$B$6,"",DatiOriginali!C460)</f>
        <v>274800</v>
      </c>
      <c r="D460" s="4">
        <v>15590</v>
      </c>
      <c r="E460" s="4">
        <f>IF(DatiOriginali!E460 &gt;= SogliaPicchi!$B$6,"",DatiOriginali!E460)</f>
        <v>83300</v>
      </c>
      <c r="F460" s="4">
        <v>393221</v>
      </c>
      <c r="G460" s="4">
        <f>IF(DatiOriginali!G460 &gt;= SogliaPicchi!$B$6,"",DatiOriginali!G460)</f>
        <v>122400</v>
      </c>
      <c r="H460" s="4">
        <v>479740</v>
      </c>
      <c r="I460" s="4">
        <f>IF(DatiOriginali!I460 &gt;= SogliaPicchi!$B$6,"",DatiOriginali!I460)</f>
        <v>33000</v>
      </c>
      <c r="J460" s="4">
        <v>477313</v>
      </c>
      <c r="K460" s="4">
        <f>IF(DatiOriginali!K460 &gt;= SogliaPicchi!$B$6,"",DatiOriginali!K460)</f>
        <v>37500</v>
      </c>
    </row>
    <row r="461" spans="1:11" x14ac:dyDescent="0.3">
      <c r="A461" s="4" t="s">
        <v>470</v>
      </c>
      <c r="B461" s="4">
        <v>31125</v>
      </c>
      <c r="C461" s="4">
        <f>IF(DatiOriginali!C461 &gt;= SogliaPicchi!$B$6,"",DatiOriginali!C461)</f>
        <v>258000</v>
      </c>
      <c r="D461" s="4">
        <v>16744</v>
      </c>
      <c r="E461" s="4">
        <f>IF(DatiOriginali!E461 &gt;= SogliaPicchi!$B$6,"",DatiOriginali!E461)</f>
        <v>89400</v>
      </c>
      <c r="F461" s="4">
        <v>394904</v>
      </c>
      <c r="G461" s="4">
        <f>IF(DatiOriginali!G461 &gt;= SogliaPicchi!$B$6,"",DatiOriginali!G461)</f>
        <v>122600</v>
      </c>
      <c r="H461" s="4">
        <v>481955</v>
      </c>
      <c r="I461" s="4">
        <f>IF(DatiOriginali!I461 &gt;= SogliaPicchi!$B$6,"",DatiOriginali!I461)</f>
        <v>33700</v>
      </c>
      <c r="J461" s="4">
        <v>479439</v>
      </c>
      <c r="K461" s="4">
        <f>IF(DatiOriginali!K461 &gt;= SogliaPicchi!$B$6,"",DatiOriginali!K461)</f>
        <v>35900</v>
      </c>
    </row>
    <row r="462" spans="1:11" x14ac:dyDescent="0.3">
      <c r="A462" s="4" t="s">
        <v>471</v>
      </c>
      <c r="B462" s="4">
        <v>31125</v>
      </c>
      <c r="C462" s="4">
        <f>IF(DatiOriginali!C462 &gt;= SogliaPicchi!$B$6,"",DatiOriginali!C462)</f>
        <v>189000</v>
      </c>
      <c r="D462" s="4">
        <v>16082</v>
      </c>
      <c r="E462" s="4">
        <f>IF(DatiOriginali!E462 &gt;= SogliaPicchi!$B$6,"",DatiOriginali!E462)</f>
        <v>59900</v>
      </c>
      <c r="F462" s="4">
        <v>396585</v>
      </c>
      <c r="G462" s="4">
        <f>IF(DatiOriginali!G462 &gt;= SogliaPicchi!$B$6,"",DatiOriginali!G462)</f>
        <v>84600</v>
      </c>
      <c r="H462" s="4">
        <v>483968</v>
      </c>
      <c r="I462" s="4">
        <f>IF(DatiOriginali!I462 &gt;= SogliaPicchi!$B$6,"",DatiOriginali!I462)</f>
        <v>25700</v>
      </c>
      <c r="J462" s="4">
        <v>481461</v>
      </c>
      <c r="K462" s="4">
        <f>IF(DatiOriginali!K462 &gt;= SogliaPicchi!$B$6,"",DatiOriginali!K462)</f>
        <v>30700</v>
      </c>
    </row>
    <row r="463" spans="1:11" x14ac:dyDescent="0.3">
      <c r="A463" s="4" t="s">
        <v>472</v>
      </c>
      <c r="B463" s="4">
        <v>31125</v>
      </c>
      <c r="C463" s="4">
        <f>IF(DatiOriginali!C463 &gt;= SogliaPicchi!$B$6,"",DatiOriginali!C463)</f>
        <v>276000</v>
      </c>
      <c r="D463" s="4">
        <v>15732</v>
      </c>
      <c r="E463" s="4">
        <f>IF(DatiOriginali!E463 &gt;= SogliaPicchi!$B$6,"",DatiOriginali!E463)</f>
        <v>84100</v>
      </c>
      <c r="F463" s="4">
        <v>398269</v>
      </c>
      <c r="G463" s="4">
        <f>IF(DatiOriginali!G463 &gt;= SogliaPicchi!$B$6,"",DatiOriginali!G463)</f>
        <v>129800</v>
      </c>
      <c r="H463" s="4">
        <v>486005</v>
      </c>
      <c r="I463" s="4">
        <f>IF(DatiOriginali!I463 &gt;= SogliaPicchi!$B$6,"",DatiOriginali!I463)</f>
        <v>33100</v>
      </c>
      <c r="J463" s="4">
        <v>483382</v>
      </c>
      <c r="K463" s="4">
        <f>IF(DatiOriginali!K463 &gt;= SogliaPicchi!$B$6,"",DatiOriginali!K463)</f>
        <v>36600</v>
      </c>
    </row>
    <row r="464" spans="1:11" x14ac:dyDescent="0.3">
      <c r="A464" s="4" t="s">
        <v>473</v>
      </c>
      <c r="B464" s="4">
        <v>31125</v>
      </c>
      <c r="C464" s="4">
        <f>IF(DatiOriginali!C464 &gt;= SogliaPicchi!$B$6,"",DatiOriginali!C464)</f>
        <v>262400</v>
      </c>
      <c r="D464" s="4">
        <v>14807</v>
      </c>
      <c r="E464" s="4">
        <f>IF(DatiOriginali!E464 &gt;= SogliaPicchi!$B$6,"",DatiOriginali!E464)</f>
        <v>80200</v>
      </c>
      <c r="F464" s="4">
        <v>399959</v>
      </c>
      <c r="G464" s="4">
        <f>IF(DatiOriginali!G464 &gt;= SogliaPicchi!$B$6,"",DatiOriginali!G464)</f>
        <v>111000</v>
      </c>
      <c r="H464" s="4">
        <v>487940</v>
      </c>
      <c r="I464" s="4">
        <f>IF(DatiOriginali!I464 &gt;= SogliaPicchi!$B$6,"",DatiOriginali!I464)</f>
        <v>31200</v>
      </c>
      <c r="J464" s="4">
        <v>485670</v>
      </c>
      <c r="K464" s="4">
        <f>IF(DatiOriginali!K464 &gt;= SogliaPicchi!$B$6,"",DatiOriginali!K464)</f>
        <v>38200</v>
      </c>
    </row>
    <row r="465" spans="1:11" x14ac:dyDescent="0.3">
      <c r="A465" s="4" t="s">
        <v>474</v>
      </c>
      <c r="B465" s="4">
        <v>31125</v>
      </c>
      <c r="C465" s="4">
        <f>IF(DatiOriginali!C465 &gt;= SogliaPicchi!$B$6,"",DatiOriginali!C465)</f>
        <v>259300</v>
      </c>
      <c r="D465" s="4">
        <v>15976</v>
      </c>
      <c r="E465" s="4">
        <f>IF(DatiOriginali!E465 &gt;= SogliaPicchi!$B$6,"",DatiOriginali!E465)</f>
        <v>88100</v>
      </c>
      <c r="F465" s="4">
        <v>401644</v>
      </c>
      <c r="G465" s="4">
        <f>IF(DatiOriginali!G465 &gt;= SogliaPicchi!$B$6,"",DatiOriginali!G465)</f>
        <v>125700</v>
      </c>
      <c r="H465" s="4">
        <v>489853</v>
      </c>
      <c r="I465" s="4">
        <f>IF(DatiOriginali!I465 &gt;= SogliaPicchi!$B$6,"",DatiOriginali!I465)</f>
        <v>31800</v>
      </c>
      <c r="J465" s="4">
        <v>487794</v>
      </c>
      <c r="K465" s="4">
        <f>IF(DatiOriginali!K465 &gt;= SogliaPicchi!$B$6,"",DatiOriginali!K465)</f>
        <v>36900</v>
      </c>
    </row>
    <row r="466" spans="1:11" x14ac:dyDescent="0.3">
      <c r="A466" s="4" t="s">
        <v>475</v>
      </c>
      <c r="B466" s="4">
        <v>31125</v>
      </c>
      <c r="C466" s="4">
        <f>IF(DatiOriginali!C466 &gt;= SogliaPicchi!$B$6,"",DatiOriginali!C466)</f>
        <v>246700</v>
      </c>
      <c r="D466" s="4">
        <v>15995</v>
      </c>
      <c r="E466" s="4">
        <f>IF(DatiOriginali!E466 &gt;= SogliaPicchi!$B$6,"",DatiOriginali!E466)</f>
        <v>71100</v>
      </c>
      <c r="F466" s="4">
        <v>403331</v>
      </c>
      <c r="G466" s="4">
        <f>IF(DatiOriginali!G466 &gt;= SogliaPicchi!$B$6,"",DatiOriginali!G466)</f>
        <v>113000</v>
      </c>
      <c r="H466" s="4">
        <v>491800</v>
      </c>
      <c r="I466" s="4">
        <f>IF(DatiOriginali!I466 &gt;= SogliaPicchi!$B$6,"",DatiOriginali!I466)</f>
        <v>31600</v>
      </c>
      <c r="J466" s="4">
        <v>489678</v>
      </c>
      <c r="K466" s="4">
        <f>IF(DatiOriginali!K466 &gt;= SogliaPicchi!$B$6,"",DatiOriginali!K466)</f>
        <v>36100</v>
      </c>
    </row>
    <row r="467" spans="1:11" x14ac:dyDescent="0.3">
      <c r="A467" s="4" t="s">
        <v>476</v>
      </c>
      <c r="B467" s="4">
        <v>31125</v>
      </c>
      <c r="C467" s="4">
        <f>IF(DatiOriginali!C467 &gt;= SogliaPicchi!$B$6,"",DatiOriginali!C467)</f>
        <v>261100</v>
      </c>
      <c r="D467" s="4">
        <v>14411</v>
      </c>
      <c r="E467" s="4">
        <f>IF(DatiOriginali!E467 &gt;= SogliaPicchi!$B$6,"",DatiOriginali!E467)</f>
        <v>79200</v>
      </c>
      <c r="F467" s="4">
        <v>405016</v>
      </c>
      <c r="G467" s="4">
        <f>IF(DatiOriginali!G467 &gt;= SogliaPicchi!$B$6,"",DatiOriginali!G467)</f>
        <v>112400</v>
      </c>
      <c r="H467" s="4">
        <v>493956</v>
      </c>
      <c r="I467" s="4">
        <f>IF(DatiOriginali!I467 &gt;= SogliaPicchi!$B$6,"",DatiOriginali!I467)</f>
        <v>33200</v>
      </c>
      <c r="J467" s="4">
        <v>491655</v>
      </c>
      <c r="K467" s="4">
        <f>IF(DatiOriginali!K467 &gt;= SogliaPicchi!$B$6,"",DatiOriginali!K467)</f>
        <v>38500</v>
      </c>
    </row>
    <row r="468" spans="1:11" x14ac:dyDescent="0.3">
      <c r="A468" s="4" t="s">
        <v>477</v>
      </c>
      <c r="B468" s="4">
        <v>31125</v>
      </c>
      <c r="C468" s="4">
        <f>IF(DatiOriginali!C468 &gt;= SogliaPicchi!$B$6,"",DatiOriginali!C468)</f>
        <v>241400</v>
      </c>
      <c r="D468" s="4">
        <v>15858</v>
      </c>
      <c r="E468" s="4">
        <f>IF(DatiOriginali!E468 &gt;= SogliaPicchi!$B$6,"",DatiOriginali!E468)</f>
        <v>99400</v>
      </c>
      <c r="F468" s="4">
        <v>406696</v>
      </c>
      <c r="G468" s="4">
        <f>IF(DatiOriginali!G468 &gt;= SogliaPicchi!$B$6,"",DatiOriginali!G468)</f>
        <v>137200</v>
      </c>
      <c r="H468" s="4">
        <v>496109</v>
      </c>
      <c r="I468" s="4">
        <f>IF(DatiOriginali!I468 &gt;= SogliaPicchi!$B$6,"",DatiOriginali!I468)</f>
        <v>35900</v>
      </c>
      <c r="J468" s="4">
        <v>493824</v>
      </c>
      <c r="K468" s="4">
        <f>IF(DatiOriginali!K468 &gt;= SogliaPicchi!$B$6,"",DatiOriginali!K468)</f>
        <v>38300</v>
      </c>
    </row>
    <row r="469" spans="1:11" x14ac:dyDescent="0.3">
      <c r="A469" s="4" t="s">
        <v>478</v>
      </c>
      <c r="B469" s="4">
        <v>31125</v>
      </c>
      <c r="C469" s="4">
        <f>IF(DatiOriginali!C469 &gt;= SogliaPicchi!$B$6,"",DatiOriginali!C469)</f>
        <v>250000</v>
      </c>
      <c r="D469" s="4">
        <v>16213</v>
      </c>
      <c r="E469" s="4">
        <f>IF(DatiOriginali!E469 &gt;= SogliaPicchi!$B$6,"",DatiOriginali!E469)</f>
        <v>102300</v>
      </c>
      <c r="F469" s="4">
        <v>408370</v>
      </c>
      <c r="G469" s="4">
        <f>IF(DatiOriginali!G469 &gt;= SogliaPicchi!$B$6,"",DatiOriginali!G469)</f>
        <v>128400</v>
      </c>
      <c r="H469" s="4">
        <v>498219</v>
      </c>
      <c r="I469" s="4">
        <f>IF(DatiOriginali!I469 &gt;= SogliaPicchi!$B$6,"",DatiOriginali!I469)</f>
        <v>32600</v>
      </c>
      <c r="J469" s="4">
        <v>495780</v>
      </c>
      <c r="K469" s="4">
        <f>IF(DatiOriginali!K469 &gt;= SogliaPicchi!$B$6,"",DatiOriginali!K469)</f>
        <v>36100</v>
      </c>
    </row>
    <row r="470" spans="1:11" x14ac:dyDescent="0.3">
      <c r="A470" s="4" t="s">
        <v>479</v>
      </c>
      <c r="B470" s="4">
        <v>31125</v>
      </c>
      <c r="C470" s="4">
        <f>IF(DatiOriginali!C470 &gt;= SogliaPicchi!$B$6,"",DatiOriginali!C470)</f>
        <v>228600</v>
      </c>
      <c r="D470" s="4">
        <v>16236</v>
      </c>
      <c r="E470" s="4">
        <f>IF(DatiOriginali!E470 &gt;= SogliaPicchi!$B$6,"",DatiOriginali!E470)</f>
        <v>72100</v>
      </c>
      <c r="F470" s="4">
        <v>410039</v>
      </c>
      <c r="G470" s="4">
        <f>IF(DatiOriginali!G470 &gt;= SogliaPicchi!$B$6,"",DatiOriginali!G470)</f>
        <v>98400</v>
      </c>
      <c r="H470" s="4">
        <v>500283</v>
      </c>
      <c r="I470" s="4">
        <f>IF(DatiOriginali!I470 &gt;= SogliaPicchi!$B$6,"",DatiOriginali!I470)</f>
        <v>32100</v>
      </c>
      <c r="J470" s="4">
        <v>498011</v>
      </c>
      <c r="K470" s="4">
        <f>IF(DatiOriginali!K470 &gt;= SogliaPicchi!$B$6,"",DatiOriginali!K470)</f>
        <v>37800</v>
      </c>
    </row>
    <row r="471" spans="1:11" x14ac:dyDescent="0.3">
      <c r="A471" s="4" t="s">
        <v>480</v>
      </c>
      <c r="B471" s="4">
        <v>31125</v>
      </c>
      <c r="C471" s="4">
        <f>IF(DatiOriginali!C471 &gt;= SogliaPicchi!$B$6,"",DatiOriginali!C471)</f>
        <v>274800</v>
      </c>
      <c r="D471" s="4">
        <v>16904</v>
      </c>
      <c r="E471" s="4">
        <f>IF(DatiOriginali!E471 &gt;= SogliaPicchi!$B$6,"",DatiOriginali!E471)</f>
        <v>90800</v>
      </c>
      <c r="F471" s="4">
        <v>411697</v>
      </c>
      <c r="G471" s="4">
        <f>IF(DatiOriginali!G471 &gt;= SogliaPicchi!$B$6,"",DatiOriginali!G471)</f>
        <v>128400</v>
      </c>
      <c r="H471" s="4">
        <v>502344</v>
      </c>
      <c r="I471" s="4">
        <f>IF(DatiOriginali!I471 &gt;= SogliaPicchi!$B$6,"",DatiOriginali!I471)</f>
        <v>32600</v>
      </c>
      <c r="J471" s="4">
        <v>500123</v>
      </c>
      <c r="K471" s="4">
        <f>IF(DatiOriginali!K471 &gt;= SogliaPicchi!$B$6,"",DatiOriginali!K471)</f>
        <v>36600</v>
      </c>
    </row>
    <row r="472" spans="1:11" x14ac:dyDescent="0.3">
      <c r="A472" s="4" t="s">
        <v>481</v>
      </c>
      <c r="B472" s="4">
        <v>31125</v>
      </c>
      <c r="C472" s="4">
        <f>IF(DatiOriginali!C472 &gt;= SogliaPicchi!$B$6,"",DatiOriginali!C472)</f>
        <v>206100</v>
      </c>
      <c r="D472" s="4">
        <v>15020</v>
      </c>
      <c r="E472" s="4">
        <f>IF(DatiOriginali!E472 &gt;= SogliaPicchi!$B$6,"",DatiOriginali!E472)</f>
        <v>57100</v>
      </c>
      <c r="F472" s="4">
        <v>413381</v>
      </c>
      <c r="G472" s="4">
        <f>IF(DatiOriginali!G472 &gt;= SogliaPicchi!$B$6,"",DatiOriginali!G472)</f>
        <v>79800</v>
      </c>
      <c r="H472" s="4">
        <v>504523</v>
      </c>
      <c r="I472" s="4">
        <f>IF(DatiOriginali!I472 &gt;= SogliaPicchi!$B$6,"",DatiOriginali!I472)</f>
        <v>26100</v>
      </c>
      <c r="J472" s="4">
        <v>502105</v>
      </c>
      <c r="K472" s="4">
        <f>IF(DatiOriginali!K472 &gt;= SogliaPicchi!$B$6,"",DatiOriginali!K472)</f>
        <v>28800</v>
      </c>
    </row>
    <row r="473" spans="1:11" x14ac:dyDescent="0.3">
      <c r="A473" s="4" t="s">
        <v>482</v>
      </c>
      <c r="B473" s="4">
        <v>31125</v>
      </c>
      <c r="C473" s="4">
        <f>IF(DatiOriginali!C473 &gt;= SogliaPicchi!$B$6,"",DatiOriginali!C473)</f>
        <v>211300</v>
      </c>
      <c r="D473" s="4">
        <v>17461</v>
      </c>
      <c r="E473" s="4">
        <f>IF(DatiOriginali!E473 &gt;= SogliaPicchi!$B$6,"",DatiOriginali!E473)</f>
        <v>63000</v>
      </c>
      <c r="F473" s="4">
        <v>415057</v>
      </c>
      <c r="G473" s="4">
        <f>IF(DatiOriginali!G473 &gt;= SogliaPicchi!$B$6,"",DatiOriginali!G473)</f>
        <v>89000</v>
      </c>
      <c r="H473" s="4">
        <v>506614</v>
      </c>
      <c r="I473" s="4">
        <f>IF(DatiOriginali!I473 &gt;= SogliaPicchi!$B$6,"",DatiOriginali!I473)</f>
        <v>24400</v>
      </c>
      <c r="J473" s="4">
        <v>504118</v>
      </c>
      <c r="K473" s="4">
        <f>IF(DatiOriginali!K473 &gt;= SogliaPicchi!$B$6,"",DatiOriginali!K473)</f>
        <v>27600</v>
      </c>
    </row>
    <row r="474" spans="1:11" x14ac:dyDescent="0.3">
      <c r="A474" s="4" t="s">
        <v>483</v>
      </c>
      <c r="B474" s="4">
        <v>31125</v>
      </c>
      <c r="C474" s="4">
        <f>IF(DatiOriginali!C474 &gt;= SogliaPicchi!$B$6,"",DatiOriginali!C474)</f>
        <v>206300</v>
      </c>
      <c r="D474" s="4">
        <v>15487</v>
      </c>
      <c r="E474" s="4">
        <f>IF(DatiOriginali!E474 &gt;= SogliaPicchi!$B$6,"",DatiOriginali!E474)</f>
        <v>57900</v>
      </c>
      <c r="F474" s="4">
        <v>416746</v>
      </c>
      <c r="G474" s="4">
        <f>IF(DatiOriginali!G474 &gt;= SogliaPicchi!$B$6,"",DatiOriginali!G474)</f>
        <v>95600</v>
      </c>
      <c r="H474" s="4">
        <v>508552</v>
      </c>
      <c r="I474" s="4">
        <f>IF(DatiOriginali!I474 &gt;= SogliaPicchi!$B$6,"",DatiOriginali!I474)</f>
        <v>27000</v>
      </c>
      <c r="J474" s="4">
        <v>506075</v>
      </c>
      <c r="K474" s="4">
        <f>IF(DatiOriginali!K474 &gt;= SogliaPicchi!$B$6,"",DatiOriginali!K474)</f>
        <v>29500</v>
      </c>
    </row>
    <row r="475" spans="1:11" x14ac:dyDescent="0.3">
      <c r="A475" s="4" t="s">
        <v>484</v>
      </c>
      <c r="B475" s="4">
        <v>31125</v>
      </c>
      <c r="C475" s="4">
        <f>IF(DatiOriginali!C475 &gt;= SogliaPicchi!$B$6,"",DatiOriginali!C475)</f>
        <v>255800</v>
      </c>
      <c r="D475" s="4">
        <v>15939</v>
      </c>
      <c r="E475" s="4">
        <f>IF(DatiOriginali!E475 &gt;= SogliaPicchi!$B$6,"",DatiOriginali!E475)</f>
        <v>87200</v>
      </c>
      <c r="F475" s="4">
        <v>418419</v>
      </c>
      <c r="G475" s="4">
        <f>IF(DatiOriginali!G475 &gt;= SogliaPicchi!$B$6,"",DatiOriginali!G475)</f>
        <v>116700</v>
      </c>
      <c r="H475" s="4">
        <v>510844</v>
      </c>
      <c r="I475" s="4">
        <f>IF(DatiOriginali!I475 &gt;= SogliaPicchi!$B$6,"",DatiOriginali!I475)</f>
        <v>32400</v>
      </c>
      <c r="J475" s="4">
        <v>508251</v>
      </c>
      <c r="K475" s="4">
        <f>IF(DatiOriginali!K475 &gt;= SogliaPicchi!$B$6,"",DatiOriginali!K475)</f>
        <v>37500</v>
      </c>
    </row>
    <row r="476" spans="1:11" x14ac:dyDescent="0.3">
      <c r="A476" s="4" t="s">
        <v>485</v>
      </c>
      <c r="B476" s="4">
        <v>31125</v>
      </c>
      <c r="C476" s="4">
        <f>IF(DatiOriginali!C476 &gt;= SogliaPicchi!$B$6,"",DatiOriginali!C476)</f>
        <v>240300</v>
      </c>
      <c r="D476" s="4">
        <v>15766</v>
      </c>
      <c r="E476" s="4">
        <f>IF(DatiOriginali!E476 &gt;= SogliaPicchi!$B$6,"",DatiOriginali!E476)</f>
        <v>72200</v>
      </c>
      <c r="F476" s="4">
        <v>420096</v>
      </c>
      <c r="G476" s="4">
        <f>IF(DatiOriginali!G476 &gt;= SogliaPicchi!$B$6,"",DatiOriginali!G476)</f>
        <v>112500</v>
      </c>
      <c r="H476" s="4">
        <v>512858</v>
      </c>
      <c r="I476" s="4">
        <f>IF(DatiOriginali!I476 &gt;= SogliaPicchi!$B$6,"",DatiOriginali!I476)</f>
        <v>31400</v>
      </c>
      <c r="J476" s="4">
        <v>510287</v>
      </c>
      <c r="K476" s="4">
        <f>IF(DatiOriginali!K476 &gt;= SogliaPicchi!$B$6,"",DatiOriginali!K476)</f>
        <v>36000</v>
      </c>
    </row>
    <row r="477" spans="1:11" x14ac:dyDescent="0.3">
      <c r="A477" s="4" t="s">
        <v>486</v>
      </c>
      <c r="B477" s="4">
        <v>31125</v>
      </c>
      <c r="C477" s="4">
        <f>IF(DatiOriginali!C477 &gt;= SogliaPicchi!$B$6,"",DatiOriginali!C477)</f>
        <v>271100</v>
      </c>
      <c r="D477" s="4">
        <v>15737</v>
      </c>
      <c r="E477" s="4">
        <f>IF(DatiOriginali!E477 &gt;= SogliaPicchi!$B$6,"",DatiOriginali!E477)</f>
        <v>86800</v>
      </c>
      <c r="F477" s="4">
        <v>421773</v>
      </c>
      <c r="G477" s="4">
        <f>IF(DatiOriginali!G477 &gt;= SogliaPicchi!$B$6,"",DatiOriginali!G477)</f>
        <v>124000</v>
      </c>
      <c r="H477" s="4">
        <v>514882</v>
      </c>
      <c r="I477" s="4">
        <f>IF(DatiOriginali!I477 &gt;= SogliaPicchi!$B$6,"",DatiOriginali!I477)</f>
        <v>31200</v>
      </c>
      <c r="J477" s="4">
        <v>512235</v>
      </c>
      <c r="K477" s="4">
        <f>IF(DatiOriginali!K477 &gt;= SogliaPicchi!$B$6,"",DatiOriginali!K477)</f>
        <v>35900</v>
      </c>
    </row>
    <row r="478" spans="1:11" x14ac:dyDescent="0.3">
      <c r="A478" s="4" t="s">
        <v>487</v>
      </c>
      <c r="B478" s="4">
        <v>31125</v>
      </c>
      <c r="C478" s="4">
        <f>IF(DatiOriginali!C478 &gt;= SogliaPicchi!$B$6,"",DatiOriginali!C478)</f>
        <v>187200</v>
      </c>
      <c r="D478" s="4">
        <v>16965</v>
      </c>
      <c r="E478" s="4">
        <f>IF(DatiOriginali!E478 &gt;= SogliaPicchi!$B$6,"",DatiOriginali!E478)</f>
        <v>62500</v>
      </c>
      <c r="F478" s="4">
        <v>423462</v>
      </c>
      <c r="G478" s="4">
        <f>IF(DatiOriginali!G478 &gt;= SogliaPicchi!$B$6,"",DatiOriginali!G478)</f>
        <v>82900</v>
      </c>
      <c r="H478" s="4">
        <v>516749</v>
      </c>
      <c r="I478" s="4">
        <f>IF(DatiOriginali!I478 &gt;= SogliaPicchi!$B$6,"",DatiOriginali!I478)</f>
        <v>25300</v>
      </c>
      <c r="J478" s="4">
        <v>514113</v>
      </c>
      <c r="K478" s="4">
        <f>IF(DatiOriginali!K478 &gt;= SogliaPicchi!$B$6,"",DatiOriginali!K478)</f>
        <v>31900</v>
      </c>
    </row>
    <row r="479" spans="1:11" x14ac:dyDescent="0.3">
      <c r="A479" s="4" t="s">
        <v>488</v>
      </c>
      <c r="B479" s="4">
        <v>31125</v>
      </c>
      <c r="C479" s="4">
        <f>IF(DatiOriginali!C479 &gt;= SogliaPicchi!$B$6,"",DatiOriginali!C479)</f>
        <v>194800</v>
      </c>
      <c r="D479" s="4">
        <v>14544</v>
      </c>
      <c r="E479" s="4">
        <f>IF(DatiOriginali!E479 &gt;= SogliaPicchi!$B$6,"",DatiOriginali!E479)</f>
        <v>53900</v>
      </c>
      <c r="F479" s="4">
        <v>425134</v>
      </c>
      <c r="G479" s="4">
        <f>IF(DatiOriginali!G479 &gt;= SogliaPicchi!$B$6,"",DatiOriginali!G479)</f>
        <v>92100</v>
      </c>
      <c r="H479" s="4">
        <v>518763</v>
      </c>
      <c r="I479" s="4">
        <f>IF(DatiOriginali!I479 &gt;= SogliaPicchi!$B$6,"",DatiOriginali!I479)</f>
        <v>25400</v>
      </c>
      <c r="J479" s="4">
        <v>516333</v>
      </c>
      <c r="K479" s="4">
        <f>IF(DatiOriginali!K479 &gt;= SogliaPicchi!$B$6,"",DatiOriginali!K479)</f>
        <v>29100</v>
      </c>
    </row>
    <row r="480" spans="1:11" x14ac:dyDescent="0.3">
      <c r="A480" s="4" t="s">
        <v>489</v>
      </c>
      <c r="B480" s="4">
        <v>31125</v>
      </c>
      <c r="C480" s="4">
        <f>IF(DatiOriginali!C480 &gt;= SogliaPicchi!$B$6,"",DatiOriginali!C480)</f>
        <v>220500</v>
      </c>
      <c r="D480" s="4">
        <v>15694</v>
      </c>
      <c r="E480" s="4">
        <f>IF(DatiOriginali!E480 &gt;= SogliaPicchi!$B$6,"",DatiOriginali!E480)</f>
        <v>57600</v>
      </c>
      <c r="F480" s="4">
        <v>426809</v>
      </c>
      <c r="G480" s="4">
        <f>IF(DatiOriginali!G480 &gt;= SogliaPicchi!$B$6,"",DatiOriginali!G480)</f>
        <v>80600</v>
      </c>
      <c r="H480" s="4">
        <v>520746</v>
      </c>
      <c r="I480" s="4">
        <f>IF(DatiOriginali!I480 &gt;= SogliaPicchi!$B$6,"",DatiOriginali!I480)</f>
        <v>25500</v>
      </c>
      <c r="J480" s="4">
        <v>518219</v>
      </c>
      <c r="K480" s="4">
        <f>IF(DatiOriginali!K480 &gt;= SogliaPicchi!$B$6,"",DatiOriginali!K480)</f>
        <v>29100</v>
      </c>
    </row>
    <row r="481" spans="1:11" x14ac:dyDescent="0.3">
      <c r="A481" s="4" t="s">
        <v>490</v>
      </c>
      <c r="B481" s="4">
        <v>31125</v>
      </c>
      <c r="C481" s="4">
        <f>IF(DatiOriginali!C481 &gt;= SogliaPicchi!$B$6,"",DatiOriginali!C481)</f>
        <v>197600</v>
      </c>
      <c r="D481" s="4">
        <v>15078</v>
      </c>
      <c r="E481" s="4">
        <f>IF(DatiOriginali!E481 &gt;= SogliaPicchi!$B$6,"",DatiOriginali!E481)</f>
        <v>55800</v>
      </c>
      <c r="F481" s="4">
        <v>428483</v>
      </c>
      <c r="G481" s="4">
        <f>IF(DatiOriginali!G481 &gt;= SogliaPicchi!$B$6,"",DatiOriginali!G481)</f>
        <v>87500</v>
      </c>
      <c r="H481" s="4">
        <v>522868</v>
      </c>
      <c r="I481" s="4">
        <f>IF(DatiOriginali!I481 &gt;= SogliaPicchi!$B$6,"",DatiOriginali!I481)</f>
        <v>26000</v>
      </c>
      <c r="J481" s="4">
        <v>520465</v>
      </c>
      <c r="K481" s="4">
        <f>IF(DatiOriginali!K481 &gt;= SogliaPicchi!$B$6,"",DatiOriginali!K481)</f>
        <v>29800</v>
      </c>
    </row>
    <row r="482" spans="1:11" x14ac:dyDescent="0.3">
      <c r="A482" s="4" t="s">
        <v>491</v>
      </c>
      <c r="B482" s="4">
        <v>31125</v>
      </c>
      <c r="C482" s="4">
        <f>IF(DatiOriginali!C482 &gt;= SogliaPicchi!$B$6,"",DatiOriginali!C482)</f>
        <v>281400</v>
      </c>
      <c r="D482" s="4">
        <v>15866</v>
      </c>
      <c r="E482" s="4">
        <f>IF(DatiOriginali!E482 &gt;= SogliaPicchi!$B$6,"",DatiOriginali!E482)</f>
        <v>71000</v>
      </c>
      <c r="F482" s="4">
        <v>430153</v>
      </c>
      <c r="G482" s="4">
        <f>IF(DatiOriginali!G482 &gt;= SogliaPicchi!$B$6,"",DatiOriginali!G482)</f>
        <v>130000</v>
      </c>
      <c r="H482" s="4">
        <v>524745</v>
      </c>
      <c r="I482" s="4">
        <f>IF(DatiOriginali!I482 &gt;= SogliaPicchi!$B$6,"",DatiOriginali!I482)</f>
        <v>30900</v>
      </c>
      <c r="J482" s="4">
        <v>522545</v>
      </c>
      <c r="K482" s="4">
        <f>IF(DatiOriginali!K482 &gt;= SogliaPicchi!$B$6,"",DatiOriginali!K482)</f>
        <v>37200</v>
      </c>
    </row>
    <row r="483" spans="1:11" x14ac:dyDescent="0.3">
      <c r="A483" s="4" t="s">
        <v>492</v>
      </c>
      <c r="B483" s="4">
        <v>31125</v>
      </c>
      <c r="C483" s="4">
        <f>IF(DatiOriginali!C483 &gt;= SogliaPicchi!$B$6,"",DatiOriginali!C483)</f>
        <v>293400</v>
      </c>
      <c r="D483" s="4">
        <v>16290</v>
      </c>
      <c r="E483" s="4">
        <f>IF(DatiOriginali!E483 &gt;= SogliaPicchi!$B$6,"",DatiOriginali!E483)</f>
        <v>101100</v>
      </c>
      <c r="F483" s="4">
        <v>431829</v>
      </c>
      <c r="G483" s="4">
        <f>IF(DatiOriginali!G483 &gt;= SogliaPicchi!$B$6,"",DatiOriginali!G483)</f>
        <v>95800</v>
      </c>
      <c r="H483" s="4">
        <v>526851</v>
      </c>
      <c r="I483" s="4">
        <f>IF(DatiOriginali!I483 &gt;= SogliaPicchi!$B$6,"",DatiOriginali!I483)</f>
        <v>29500</v>
      </c>
      <c r="J483" s="4">
        <v>524627</v>
      </c>
      <c r="K483" s="4">
        <f>IF(DatiOriginali!K483 &gt;= SogliaPicchi!$B$6,"",DatiOriginali!K483)</f>
        <v>31200</v>
      </c>
    </row>
    <row r="484" spans="1:11" x14ac:dyDescent="0.3">
      <c r="A484" s="4" t="s">
        <v>493</v>
      </c>
      <c r="B484" s="4">
        <v>31125</v>
      </c>
      <c r="C484" s="4">
        <f>IF(DatiOriginali!C484 &gt;= SogliaPicchi!$B$6,"",DatiOriginali!C484)</f>
        <v>244000</v>
      </c>
      <c r="D484" s="4">
        <v>16258</v>
      </c>
      <c r="E484" s="4">
        <f>IF(DatiOriginali!E484 &gt;= SogliaPicchi!$B$6,"",DatiOriginali!E484)</f>
        <v>88600</v>
      </c>
      <c r="F484" s="4">
        <v>433501</v>
      </c>
      <c r="G484" s="4">
        <f>IF(DatiOriginali!G484 &gt;= SogliaPicchi!$B$6,"",DatiOriginali!G484)</f>
        <v>127700</v>
      </c>
      <c r="H484" s="4">
        <v>529148</v>
      </c>
      <c r="I484" s="4">
        <f>IF(DatiOriginali!I484 &gt;= SogliaPicchi!$B$6,"",DatiOriginali!I484)</f>
        <v>32600</v>
      </c>
      <c r="J484" s="4">
        <v>526621</v>
      </c>
      <c r="K484" s="4">
        <f>IF(DatiOriginali!K484 &gt;= SogliaPicchi!$B$6,"",DatiOriginali!K484)</f>
        <v>37100</v>
      </c>
    </row>
    <row r="485" spans="1:11" x14ac:dyDescent="0.3">
      <c r="A485" s="4" t="s">
        <v>494</v>
      </c>
      <c r="B485" s="4">
        <v>31125</v>
      </c>
      <c r="C485" s="4">
        <f>IF(DatiOriginali!C485 &gt;= SogliaPicchi!$B$6,"",DatiOriginali!C485)</f>
        <v>256500</v>
      </c>
      <c r="D485" s="4">
        <v>15733</v>
      </c>
      <c r="E485" s="4">
        <f>IF(DatiOriginali!E485 &gt;= SogliaPicchi!$B$6,"",DatiOriginali!E485)</f>
        <v>69800</v>
      </c>
      <c r="F485" s="4">
        <v>435174</v>
      </c>
      <c r="G485" s="4">
        <f>IF(DatiOriginali!G485 &gt;= SogliaPicchi!$B$6,"",DatiOriginali!G485)</f>
        <v>118600</v>
      </c>
      <c r="H485" s="4">
        <v>531408</v>
      </c>
      <c r="I485" s="4">
        <f>IF(DatiOriginali!I485 &gt;= SogliaPicchi!$B$6,"",DatiOriginali!I485)</f>
        <v>31900</v>
      </c>
      <c r="J485" s="4">
        <v>528831</v>
      </c>
      <c r="K485" s="4">
        <f>IF(DatiOriginali!K485 &gt;= SogliaPicchi!$B$6,"",DatiOriginali!K485)</f>
        <v>36300</v>
      </c>
    </row>
    <row r="486" spans="1:11" x14ac:dyDescent="0.3">
      <c r="A486" s="4" t="s">
        <v>495</v>
      </c>
      <c r="B486" s="4">
        <v>31125</v>
      </c>
      <c r="C486" s="4">
        <f>IF(DatiOriginali!C486 &gt;= SogliaPicchi!$B$6,"",DatiOriginali!C486)</f>
        <v>284800</v>
      </c>
      <c r="D486" s="4">
        <v>15445</v>
      </c>
      <c r="E486" s="4">
        <f>IF(DatiOriginali!E486 &gt;= SogliaPicchi!$B$6,"",DatiOriginali!E486)</f>
        <v>67600</v>
      </c>
      <c r="F486" s="4">
        <v>436863</v>
      </c>
      <c r="G486" s="4">
        <f>IF(DatiOriginali!G486 &gt;= SogliaPicchi!$B$6,"",DatiOriginali!G486)</f>
        <v>81600</v>
      </c>
      <c r="H486" s="4">
        <v>533420</v>
      </c>
      <c r="I486" s="4">
        <f>IF(DatiOriginali!I486 &gt;= SogliaPicchi!$B$6,"",DatiOriginali!I486)</f>
        <v>27300</v>
      </c>
      <c r="J486" s="4">
        <v>530788</v>
      </c>
      <c r="K486" s="4">
        <f>IF(DatiOriginali!K486 &gt;= SogliaPicchi!$B$6,"",DatiOriginali!K486)</f>
        <v>30000</v>
      </c>
    </row>
    <row r="487" spans="1:11" x14ac:dyDescent="0.3">
      <c r="A487" s="4" t="s">
        <v>496</v>
      </c>
      <c r="B487" s="4">
        <v>31125</v>
      </c>
      <c r="C487" s="4">
        <f>IF(DatiOriginali!C487 &gt;= SogliaPicchi!$B$6,"",DatiOriginali!C487)</f>
        <v>269600</v>
      </c>
      <c r="D487" s="4">
        <v>15431</v>
      </c>
      <c r="E487" s="4">
        <f>IF(DatiOriginali!E487 &gt;= SogliaPicchi!$B$6,"",DatiOriginali!E487)</f>
        <v>85600</v>
      </c>
      <c r="F487" s="4">
        <v>438546</v>
      </c>
      <c r="G487" s="4">
        <f>IF(DatiOriginali!G487 &gt;= SogliaPicchi!$B$6,"",DatiOriginali!G487)</f>
        <v>125500</v>
      </c>
      <c r="H487" s="4">
        <v>535559</v>
      </c>
      <c r="I487" s="4">
        <f>IF(DatiOriginali!I487 &gt;= SogliaPicchi!$B$6,"",DatiOriginali!I487)</f>
        <v>34600</v>
      </c>
      <c r="J487" s="4">
        <v>533005</v>
      </c>
      <c r="K487" s="4">
        <f>IF(DatiOriginali!K487 &gt;= SogliaPicchi!$B$6,"",DatiOriginali!K487)</f>
        <v>36900</v>
      </c>
    </row>
    <row r="488" spans="1:11" x14ac:dyDescent="0.3">
      <c r="A488" s="4" t="s">
        <v>497</v>
      </c>
      <c r="B488" s="4">
        <v>31125</v>
      </c>
      <c r="C488" s="4">
        <f>IF(DatiOriginali!C488 &gt;= SogliaPicchi!$B$6,"",DatiOriginali!C488)</f>
        <v>210000</v>
      </c>
      <c r="D488" s="4">
        <v>16931</v>
      </c>
      <c r="E488" s="4">
        <f>IF(DatiOriginali!E488 &gt;= SogliaPicchi!$B$6,"",DatiOriginali!E488)</f>
        <v>62200</v>
      </c>
      <c r="F488" s="4">
        <v>440234</v>
      </c>
      <c r="G488" s="4">
        <f>IF(DatiOriginali!G488 &gt;= SogliaPicchi!$B$6,"",DatiOriginali!G488)</f>
        <v>82600</v>
      </c>
      <c r="H488" s="4">
        <v>537745</v>
      </c>
      <c r="I488" s="4">
        <f>IF(DatiOriginali!I488 &gt;= SogliaPicchi!$B$6,"",DatiOriginali!I488)</f>
        <v>26400</v>
      </c>
      <c r="J488" s="4">
        <v>534821</v>
      </c>
      <c r="K488" s="4">
        <f>IF(DatiOriginali!K488 &gt;= SogliaPicchi!$B$6,"",DatiOriginali!K488)</f>
        <v>31100</v>
      </c>
    </row>
    <row r="489" spans="1:11" x14ac:dyDescent="0.3">
      <c r="A489" s="4" t="s">
        <v>498</v>
      </c>
      <c r="B489" s="4">
        <v>31125</v>
      </c>
      <c r="C489" s="4">
        <f>IF(DatiOriginali!C489 &gt;= SogliaPicchi!$B$6,"",DatiOriginali!C489)</f>
        <v>210600</v>
      </c>
      <c r="D489" s="4">
        <v>15508</v>
      </c>
      <c r="E489" s="4">
        <f>IF(DatiOriginali!E489 &gt;= SogliaPicchi!$B$6,"",DatiOriginali!E489)</f>
        <v>57200</v>
      </c>
      <c r="F489" s="4">
        <v>441906</v>
      </c>
      <c r="G489" s="4">
        <f>IF(DatiOriginali!G489 &gt;= SogliaPicchi!$B$6,"",DatiOriginali!G489)</f>
        <v>90600</v>
      </c>
      <c r="H489" s="4">
        <v>539733</v>
      </c>
      <c r="I489" s="4">
        <f>IF(DatiOriginali!I489 &gt;= SogliaPicchi!$B$6,"",DatiOriginali!I489)</f>
        <v>25100</v>
      </c>
      <c r="J489" s="4">
        <v>537021</v>
      </c>
      <c r="K489" s="4">
        <f>IF(DatiOriginali!K489 &gt;= SogliaPicchi!$B$6,"",DatiOriginali!K489)</f>
        <v>30600</v>
      </c>
    </row>
    <row r="490" spans="1:11" x14ac:dyDescent="0.3">
      <c r="A490" s="4" t="s">
        <v>499</v>
      </c>
      <c r="B490" s="4">
        <v>31125</v>
      </c>
      <c r="C490" s="4">
        <f>IF(DatiOriginali!C490 &gt;= SogliaPicchi!$B$6,"",DatiOriginali!C490)</f>
        <v>260200</v>
      </c>
      <c r="D490" s="4">
        <v>15657</v>
      </c>
      <c r="E490" s="4">
        <f>IF(DatiOriginali!E490 &gt;= SogliaPicchi!$B$6,"",DatiOriginali!E490)</f>
        <v>84700</v>
      </c>
      <c r="F490" s="4">
        <v>443592</v>
      </c>
      <c r="G490" s="4">
        <f>IF(DatiOriginali!G490 &gt;= SogliaPicchi!$B$6,"",DatiOriginali!G490)</f>
        <v>122800</v>
      </c>
      <c r="H490" s="4">
        <v>541780</v>
      </c>
      <c r="I490" s="4">
        <f>IF(DatiOriginali!I490 &gt;= SogliaPicchi!$B$6,"",DatiOriginali!I490)</f>
        <v>32100</v>
      </c>
      <c r="J490" s="4">
        <v>539012</v>
      </c>
      <c r="K490" s="4">
        <f>IF(DatiOriginali!K490 &gt;= SogliaPicchi!$B$6,"",DatiOriginali!K490)</f>
        <v>36200</v>
      </c>
    </row>
    <row r="491" spans="1:11" x14ac:dyDescent="0.3">
      <c r="A491" s="4" t="s">
        <v>500</v>
      </c>
      <c r="B491" s="4">
        <v>31125</v>
      </c>
      <c r="C491" s="4">
        <f>IF(DatiOriginali!C491 &gt;= SogliaPicchi!$B$6,"",DatiOriginali!C491)</f>
        <v>247000</v>
      </c>
      <c r="D491" s="4">
        <v>16307</v>
      </c>
      <c r="E491" s="4">
        <f>IF(DatiOriginali!E491 &gt;= SogliaPicchi!$B$6,"",DatiOriginali!E491)</f>
        <v>72300</v>
      </c>
      <c r="F491" s="4">
        <v>445278</v>
      </c>
      <c r="G491" s="4">
        <f>IF(DatiOriginali!G491 &gt;= SogliaPicchi!$B$6,"",DatiOriginali!G491)</f>
        <v>100000</v>
      </c>
      <c r="H491" s="4">
        <v>543810</v>
      </c>
      <c r="I491" s="4">
        <f>IF(DatiOriginali!I491 &gt;= SogliaPicchi!$B$6,"",DatiOriginali!I491)</f>
        <v>31400</v>
      </c>
      <c r="J491" s="4">
        <v>540808</v>
      </c>
      <c r="K491" s="4">
        <f>IF(DatiOriginali!K491 &gt;= SogliaPicchi!$B$6,"",DatiOriginali!K491)</f>
        <v>35900</v>
      </c>
    </row>
    <row r="492" spans="1:11" x14ac:dyDescent="0.3">
      <c r="A492" s="4" t="s">
        <v>501</v>
      </c>
      <c r="B492" s="4">
        <v>31125</v>
      </c>
      <c r="C492" s="4">
        <f>IF(DatiOriginali!C492 &gt;= SogliaPicchi!$B$6,"",DatiOriginali!C492)</f>
        <v>226000</v>
      </c>
      <c r="D492" s="4">
        <v>16106</v>
      </c>
      <c r="E492" s="4">
        <f>IF(DatiOriginali!E492 &gt;= SogliaPicchi!$B$6,"",DatiOriginali!E492)</f>
        <v>59300</v>
      </c>
      <c r="F492" s="4">
        <v>446944</v>
      </c>
      <c r="G492" s="4">
        <f>IF(DatiOriginali!G492 &gt;= SogliaPicchi!$B$6,"",DatiOriginali!G492)</f>
        <v>94700</v>
      </c>
      <c r="H492" s="4">
        <v>545840</v>
      </c>
      <c r="I492" s="4">
        <f>IF(DatiOriginali!I492 &gt;= SogliaPicchi!$B$6,"",DatiOriginali!I492)</f>
        <v>26500</v>
      </c>
      <c r="J492" s="4">
        <v>542798</v>
      </c>
      <c r="K492" s="4">
        <f>IF(DatiOriginali!K492 &gt;= SogliaPicchi!$B$6,"",DatiOriginali!K492)</f>
        <v>31200</v>
      </c>
    </row>
    <row r="493" spans="1:11" x14ac:dyDescent="0.3">
      <c r="A493" s="4" t="s">
        <v>502</v>
      </c>
      <c r="B493" s="4">
        <v>31125</v>
      </c>
      <c r="C493" s="4">
        <f>IF(DatiOriginali!C493 &gt;= SogliaPicchi!$B$6,"",DatiOriginali!C493)</f>
        <v>208800</v>
      </c>
      <c r="D493" s="4">
        <v>15478</v>
      </c>
      <c r="E493" s="4">
        <f>IF(DatiOriginali!E493 &gt;= SogliaPicchi!$B$6,"",DatiOriginali!E493)</f>
        <v>57100</v>
      </c>
      <c r="F493" s="4">
        <v>448620</v>
      </c>
      <c r="G493" s="4">
        <f>IF(DatiOriginali!G493 &gt;= SogliaPicchi!$B$6,"",DatiOriginali!G493)</f>
        <v>78600</v>
      </c>
      <c r="H493" s="4">
        <v>547939</v>
      </c>
      <c r="I493" s="4">
        <f>IF(DatiOriginali!I493 &gt;= SogliaPicchi!$B$6,"",DatiOriginali!I493)</f>
        <v>25100</v>
      </c>
      <c r="J493" s="4">
        <v>545006</v>
      </c>
      <c r="K493" s="4">
        <f>IF(DatiOriginali!K493 &gt;= SogliaPicchi!$B$6,"",DatiOriginali!K493)</f>
        <v>29000</v>
      </c>
    </row>
    <row r="494" spans="1:11" x14ac:dyDescent="0.3">
      <c r="A494" s="4" t="s">
        <v>503</v>
      </c>
      <c r="B494" s="4">
        <v>31125</v>
      </c>
      <c r="C494" s="4">
        <f>IF(DatiOriginali!C494 &gt;= SogliaPicchi!$B$6,"",DatiOriginali!C494)</f>
        <v>218700</v>
      </c>
      <c r="D494" s="4">
        <v>16179</v>
      </c>
      <c r="E494" s="4">
        <f>IF(DatiOriginali!E494 &gt;= SogliaPicchi!$B$6,"",DatiOriginali!E494)</f>
        <v>58500</v>
      </c>
      <c r="F494" s="4">
        <v>450304</v>
      </c>
      <c r="G494" s="4">
        <f>IF(DatiOriginali!G494 &gt;= SogliaPicchi!$B$6,"",DatiOriginali!G494)</f>
        <v>89400</v>
      </c>
      <c r="H494" s="4">
        <v>549825</v>
      </c>
      <c r="I494" s="4">
        <f>IF(DatiOriginali!I494 &gt;= SogliaPicchi!$B$6,"",DatiOriginali!I494)</f>
        <v>26000</v>
      </c>
      <c r="J494" s="4">
        <v>547265</v>
      </c>
      <c r="K494" s="4">
        <f>IF(DatiOriginali!K494 &gt;= SogliaPicchi!$B$6,"",DatiOriginali!K494)</f>
        <v>29600</v>
      </c>
    </row>
    <row r="495" spans="1:11" x14ac:dyDescent="0.3">
      <c r="A495" s="4" t="s">
        <v>504</v>
      </c>
      <c r="B495" s="4">
        <v>31125</v>
      </c>
      <c r="C495" s="4">
        <f>IF(DatiOriginali!C495 &gt;= SogliaPicchi!$B$6,"",DatiOriginali!C495)</f>
        <v>224400</v>
      </c>
      <c r="D495" s="4">
        <v>16062</v>
      </c>
      <c r="E495" s="4">
        <f>IF(DatiOriginali!E495 &gt;= SogliaPicchi!$B$6,"",DatiOriginali!E495)</f>
        <v>59300</v>
      </c>
      <c r="F495" s="4">
        <v>451986</v>
      </c>
      <c r="G495" s="4">
        <f>IF(DatiOriginali!G495 &gt;= SogliaPicchi!$B$6,"",DatiOriginali!G495)</f>
        <v>89400</v>
      </c>
      <c r="H495" s="4">
        <v>551733</v>
      </c>
      <c r="I495" s="4">
        <f>IF(DatiOriginali!I495 &gt;= SogliaPicchi!$B$6,"",DatiOriginali!I495)</f>
        <v>24700</v>
      </c>
      <c r="J495" s="4">
        <v>549358</v>
      </c>
      <c r="K495" s="4">
        <f>IF(DatiOriginali!K495 &gt;= SogliaPicchi!$B$6,"",DatiOriginali!K495)</f>
        <v>30100</v>
      </c>
    </row>
    <row r="496" spans="1:11" x14ac:dyDescent="0.3">
      <c r="A496" s="4" t="s">
        <v>505</v>
      </c>
      <c r="B496" s="4">
        <v>31125</v>
      </c>
      <c r="C496" s="4">
        <f>IF(DatiOriginali!C496 &gt;= SogliaPicchi!$B$6,"",DatiOriginali!C496)</f>
        <v>250100</v>
      </c>
      <c r="D496" s="4">
        <v>15641</v>
      </c>
      <c r="E496" s="4">
        <f>IF(DatiOriginali!E496 &gt;= SogliaPicchi!$B$6,"",DatiOriginali!E496)</f>
        <v>69700</v>
      </c>
      <c r="F496" s="4">
        <v>453666</v>
      </c>
      <c r="G496" s="4">
        <f>IF(DatiOriginali!G496 &gt;= SogliaPicchi!$B$6,"",DatiOriginali!G496)</f>
        <v>101500</v>
      </c>
      <c r="H496" s="4">
        <v>553831</v>
      </c>
      <c r="I496" s="4">
        <f>IF(DatiOriginali!I496 &gt;= SogliaPicchi!$B$6,"",DatiOriginali!I496)</f>
        <v>31200</v>
      </c>
      <c r="J496" s="4">
        <v>551352</v>
      </c>
      <c r="K496" s="4">
        <f>IF(DatiOriginali!K496 &gt;= SogliaPicchi!$B$6,"",DatiOriginali!K496)</f>
        <v>36800</v>
      </c>
    </row>
    <row r="497" spans="1:11" x14ac:dyDescent="0.3">
      <c r="A497" s="4" t="s">
        <v>506</v>
      </c>
      <c r="B497" s="4">
        <v>31125</v>
      </c>
      <c r="C497" s="4">
        <f>IF(DatiOriginali!C497 &gt;= SogliaPicchi!$B$6,"",DatiOriginali!C497)</f>
        <v>258400</v>
      </c>
      <c r="D497" s="4">
        <v>15257</v>
      </c>
      <c r="E497" s="4">
        <f>IF(DatiOriginali!E497 &gt;= SogliaPicchi!$B$6,"",DatiOriginali!E497)</f>
        <v>93400</v>
      </c>
      <c r="F497" s="4">
        <v>455347</v>
      </c>
      <c r="G497" s="4">
        <f>IF(DatiOriginali!G497 &gt;= SogliaPicchi!$B$6,"",DatiOriginali!G497)</f>
        <v>140300</v>
      </c>
      <c r="H497" s="4">
        <v>555928</v>
      </c>
      <c r="I497" s="4">
        <f>IF(DatiOriginali!I497 &gt;= SogliaPicchi!$B$6,"",DatiOriginali!I497)</f>
        <v>34800</v>
      </c>
      <c r="J497" s="4">
        <v>553132</v>
      </c>
      <c r="K497" s="4">
        <f>IF(DatiOriginali!K497 &gt;= SogliaPicchi!$B$6,"",DatiOriginali!K497)</f>
        <v>39600</v>
      </c>
    </row>
    <row r="498" spans="1:11" x14ac:dyDescent="0.3">
      <c r="A498" s="4" t="s">
        <v>507</v>
      </c>
      <c r="B498" s="4">
        <v>31125</v>
      </c>
      <c r="C498" s="4">
        <f>IF(DatiOriginali!C498 &gt;= SogliaPicchi!$B$6,"",DatiOriginali!C498)</f>
        <v>329400</v>
      </c>
      <c r="D498" s="4">
        <v>16511</v>
      </c>
      <c r="E498" s="4">
        <f>IF(DatiOriginali!E498 &gt;= SogliaPicchi!$B$6,"",DatiOriginali!E498)</f>
        <v>128100</v>
      </c>
      <c r="F498" s="4">
        <v>457014</v>
      </c>
      <c r="G498" s="4">
        <f>IF(DatiOriginali!G498 &gt;= SogliaPicchi!$B$6,"",DatiOriginali!G498)</f>
        <v>135200</v>
      </c>
      <c r="H498" s="4">
        <v>558382</v>
      </c>
      <c r="I498" s="4">
        <f>IF(DatiOriginali!I498 &gt;= SogliaPicchi!$B$6,"",DatiOriginali!I498)</f>
        <v>41800</v>
      </c>
      <c r="J498" s="4">
        <v>555137</v>
      </c>
      <c r="K498" s="4">
        <f>IF(DatiOriginali!K498 &gt;= SogliaPicchi!$B$6,"",DatiOriginali!K498)</f>
        <v>50200</v>
      </c>
    </row>
    <row r="499" spans="1:11" x14ac:dyDescent="0.3">
      <c r="A499" s="4" t="s">
        <v>508</v>
      </c>
      <c r="B499" s="4">
        <v>31125</v>
      </c>
      <c r="C499" s="4">
        <f>IF(DatiOriginali!C499 &gt;= SogliaPicchi!$B$6,"",DatiOriginali!C499)</f>
        <v>218000</v>
      </c>
      <c r="D499" s="4">
        <v>16455</v>
      </c>
      <c r="E499" s="4">
        <f>IF(DatiOriginali!E499 &gt;= SogliaPicchi!$B$6,"",DatiOriginali!E499)</f>
        <v>74900</v>
      </c>
      <c r="F499" s="4">
        <v>458694</v>
      </c>
      <c r="G499" s="4">
        <f>IF(DatiOriginali!G499 &gt;= SogliaPicchi!$B$6,"",DatiOriginali!G499)</f>
        <v>111200</v>
      </c>
      <c r="H499" s="4">
        <v>560454</v>
      </c>
      <c r="I499" s="4">
        <f>IF(DatiOriginali!I499 &gt;= SogliaPicchi!$B$6,"",DatiOriginali!I499)</f>
        <v>32100</v>
      </c>
      <c r="J499" s="4">
        <v>557041</v>
      </c>
      <c r="K499" s="4">
        <f>IF(DatiOriginali!K499 &gt;= SogliaPicchi!$B$6,"",DatiOriginali!K499)</f>
        <v>35600</v>
      </c>
    </row>
    <row r="500" spans="1:11" x14ac:dyDescent="0.3">
      <c r="A500" s="4" t="s">
        <v>509</v>
      </c>
      <c r="B500" s="4">
        <v>31125</v>
      </c>
      <c r="C500" s="4">
        <f>IF(DatiOriginali!C500 &gt;= SogliaPicchi!$B$6,"",DatiOriginali!C500)</f>
        <v>260600</v>
      </c>
      <c r="D500" s="4">
        <v>15879</v>
      </c>
      <c r="E500" s="4">
        <f>IF(DatiOriginali!E500 &gt;= SogliaPicchi!$B$6,"",DatiOriginali!E500)</f>
        <v>70600</v>
      </c>
      <c r="F500" s="4">
        <v>460368</v>
      </c>
      <c r="G500" s="4">
        <f>IF(DatiOriginali!G500 &gt;= SogliaPicchi!$B$6,"",DatiOriginali!G500)</f>
        <v>116600</v>
      </c>
      <c r="H500" s="4">
        <v>562553</v>
      </c>
      <c r="I500" s="4">
        <f>IF(DatiOriginali!I500 &gt;= SogliaPicchi!$B$6,"",DatiOriginali!I500)</f>
        <v>33000</v>
      </c>
      <c r="J500" s="4">
        <v>559373</v>
      </c>
      <c r="K500" s="4">
        <f>IF(DatiOriginali!K500 &gt;= SogliaPicchi!$B$6,"",DatiOriginali!K500)</f>
        <v>38100</v>
      </c>
    </row>
    <row r="501" spans="1:11" x14ac:dyDescent="0.3">
      <c r="A501" s="4" t="s">
        <v>510</v>
      </c>
      <c r="B501" s="4">
        <v>31125</v>
      </c>
      <c r="C501" s="4">
        <f>IF(DatiOriginali!C501 &gt;= SogliaPicchi!$B$6,"",DatiOriginali!C501)</f>
        <v>234400</v>
      </c>
      <c r="D501" s="4">
        <v>16856</v>
      </c>
      <c r="E501" s="4">
        <f>IF(DatiOriginali!E501 &gt;= SogliaPicchi!$B$6,"",DatiOriginali!E501)</f>
        <v>61800</v>
      </c>
      <c r="F501" s="4">
        <v>462029</v>
      </c>
      <c r="G501" s="4">
        <f>IF(DatiOriginali!G501 &gt;= SogliaPicchi!$B$7,"",DatiOriginali!G501)</f>
        <v>82300</v>
      </c>
      <c r="H501" s="4">
        <v>564793</v>
      </c>
      <c r="I501" s="4">
        <f>IF(DatiOriginali!I501 &gt;= SogliaPicchi!$B$7,"",DatiOriginali!I501)</f>
        <v>26600</v>
      </c>
      <c r="J501" s="4">
        <v>561366</v>
      </c>
      <c r="K501" s="4">
        <f>IF(DatiOriginali!K501 &gt;= SogliaPicchi!$B$7,"",DatiOriginali!K501)</f>
        <v>30400</v>
      </c>
    </row>
    <row r="502" spans="1:11" x14ac:dyDescent="0.3">
      <c r="A502" s="4" t="s">
        <v>511</v>
      </c>
      <c r="B502" s="4">
        <v>44850</v>
      </c>
      <c r="C502" s="4">
        <f>IF(DatiOriginali!C502 &gt;= SogliaPicchi!$B$7,"",DatiOriginali!C502)</f>
        <v>322700</v>
      </c>
      <c r="D502" s="4">
        <v>22584</v>
      </c>
      <c r="E502" s="4">
        <f>IF(DatiOriginali!E502 &gt;= SogliaPicchi!$B$7,"",DatiOriginali!E502)</f>
        <v>82200</v>
      </c>
      <c r="F502" s="4">
        <v>464143</v>
      </c>
      <c r="G502" s="4">
        <f>IF(DatiOriginali!G502 &gt;= SogliaPicchi!$B$7,"",DatiOriginali!G502)</f>
        <v>134400</v>
      </c>
      <c r="H502" s="4">
        <v>567304</v>
      </c>
      <c r="I502" s="4">
        <f>IF(DatiOriginali!I502 &gt;= SogliaPicchi!$B$7,"",DatiOriginali!I502)</f>
        <v>32300</v>
      </c>
      <c r="J502" s="4">
        <v>564055</v>
      </c>
      <c r="K502" s="4">
        <f>IF(DatiOriginali!K502 &gt;= SogliaPicchi!$B$7,"",DatiOriginali!K502)</f>
        <v>38700</v>
      </c>
    </row>
    <row r="503" spans="1:11" x14ac:dyDescent="0.3">
      <c r="A503" s="4" t="s">
        <v>512</v>
      </c>
      <c r="B503" s="4">
        <v>44850</v>
      </c>
      <c r="C503" s="4">
        <f>IF(DatiOriginali!C503 &gt;= SogliaPicchi!$B$7,"",DatiOriginali!C503)</f>
        <v>391600</v>
      </c>
      <c r="D503" s="4">
        <v>23364</v>
      </c>
      <c r="E503" s="4">
        <f>IF(DatiOriginali!E503 &gt;= SogliaPicchi!$B$7,"",DatiOriginali!E503)</f>
        <v>152800</v>
      </c>
      <c r="F503" s="4">
        <v>466258</v>
      </c>
      <c r="G503" s="4">
        <f>IF(DatiOriginali!G503 &gt;= SogliaPicchi!$B$7,"",DatiOriginali!G503)</f>
        <v>173600</v>
      </c>
      <c r="H503" s="4">
        <v>570202</v>
      </c>
      <c r="I503" s="4">
        <f>IF(DatiOriginali!I503 &gt;= SogliaPicchi!$B$7,"",DatiOriginali!I503)</f>
        <v>45800</v>
      </c>
      <c r="J503" s="4">
        <v>566485</v>
      </c>
      <c r="K503" s="4">
        <f>IF(DatiOriginali!K503 &gt;= SogliaPicchi!$B$7,"",DatiOriginali!K503)</f>
        <v>49800</v>
      </c>
    </row>
    <row r="504" spans="1:11" x14ac:dyDescent="0.3">
      <c r="A504" s="4" t="s">
        <v>513</v>
      </c>
      <c r="B504" s="4">
        <v>44850</v>
      </c>
      <c r="C504" s="4">
        <f>IF(DatiOriginali!C504 &gt;= SogliaPicchi!$B$7,"",DatiOriginali!C504)</f>
        <v>405800</v>
      </c>
      <c r="D504" s="4">
        <v>21434</v>
      </c>
      <c r="E504" s="4">
        <f>IF(DatiOriginali!E504 &gt;= SogliaPicchi!$B$7,"",DatiOriginali!E504)</f>
        <v>134700</v>
      </c>
      <c r="F504" s="4">
        <v>468356</v>
      </c>
      <c r="G504" s="4">
        <f>IF(DatiOriginali!G504 &gt;= SogliaPicchi!$B$7,"",DatiOriginali!G504)</f>
        <v>192400</v>
      </c>
      <c r="H504" s="4">
        <v>572905</v>
      </c>
      <c r="I504" s="4">
        <f>IF(DatiOriginali!I504 &gt;= SogliaPicchi!$B$7,"",DatiOriginali!I504)</f>
        <v>51800</v>
      </c>
      <c r="J504" s="4">
        <v>569031</v>
      </c>
      <c r="K504" s="4">
        <f>IF(DatiOriginali!K504 &gt;= SogliaPicchi!$B$7,"",DatiOriginali!K504)</f>
        <v>48400</v>
      </c>
    </row>
    <row r="505" spans="1:11" x14ac:dyDescent="0.3">
      <c r="A505" s="4" t="s">
        <v>514</v>
      </c>
      <c r="B505" s="4">
        <v>44850</v>
      </c>
      <c r="C505" s="4">
        <f>IF(DatiOriginali!C505 &gt;= SogliaPicchi!$B$7,"",DatiOriginali!C505)</f>
        <v>426000</v>
      </c>
      <c r="D505" s="4">
        <v>23893</v>
      </c>
      <c r="E505" s="4">
        <f>IF(DatiOriginali!E505 &gt;= SogliaPicchi!$B$7,"",DatiOriginali!E505)</f>
        <v>173000</v>
      </c>
      <c r="F505" s="4">
        <v>470462</v>
      </c>
      <c r="G505" s="4">
        <f>IF(DatiOriginali!G505 &gt;= SogliaPicchi!$B$7,"",DatiOriginali!G505)</f>
        <v>141800</v>
      </c>
      <c r="H505" s="4">
        <v>575685</v>
      </c>
      <c r="I505" s="4">
        <f>IF(DatiOriginali!I505 &gt;= SogliaPicchi!$B$7,"",DatiOriginali!I505)</f>
        <v>31800</v>
      </c>
      <c r="J505" s="4">
        <v>571510</v>
      </c>
      <c r="K505" s="4">
        <f>IF(DatiOriginali!K505 &gt;= SogliaPicchi!$B$7,"",DatiOriginali!K505)</f>
        <v>37000</v>
      </c>
    </row>
    <row r="506" spans="1:11" x14ac:dyDescent="0.3">
      <c r="A506" s="4" t="s">
        <v>515</v>
      </c>
      <c r="B506" s="4">
        <v>44850</v>
      </c>
      <c r="C506" s="4">
        <f>IF(DatiOriginali!C506 &gt;= SogliaPicchi!$B$7,"",DatiOriginali!C506)</f>
        <v>366200</v>
      </c>
      <c r="D506" s="4">
        <v>23208</v>
      </c>
      <c r="E506" s="4">
        <f>IF(DatiOriginali!E506 &gt;= SogliaPicchi!$B$7,"",DatiOriginali!E506)</f>
        <v>101200</v>
      </c>
      <c r="F506" s="4">
        <v>472550</v>
      </c>
      <c r="G506" s="4">
        <f>IF(DatiOriginali!G506 &gt;= SogliaPicchi!$B$7,"",DatiOriginali!G506)</f>
        <v>122000</v>
      </c>
      <c r="H506" s="4">
        <v>578184</v>
      </c>
      <c r="I506" s="4">
        <f>IF(DatiOriginali!I506 &gt;= SogliaPicchi!$B$7,"",DatiOriginali!I506)</f>
        <v>32200</v>
      </c>
      <c r="J506" s="4">
        <v>574030</v>
      </c>
      <c r="K506" s="4">
        <f>IF(DatiOriginali!K506 &gt;= SogliaPicchi!$B$7,"",DatiOriginali!K506)</f>
        <v>36600</v>
      </c>
    </row>
    <row r="507" spans="1:11" x14ac:dyDescent="0.3">
      <c r="A507" s="4" t="s">
        <v>516</v>
      </c>
      <c r="B507" s="4">
        <v>44850</v>
      </c>
      <c r="C507" s="4">
        <f>IF(DatiOriginali!C507 &gt;= SogliaPicchi!$B$7,"",DatiOriginali!C507)</f>
        <v>428500</v>
      </c>
      <c r="D507" s="4">
        <v>23152</v>
      </c>
      <c r="E507" s="4">
        <f>IF(DatiOriginali!E507 &gt;= SogliaPicchi!$B$7,"",DatiOriginali!E507)</f>
        <v>150500</v>
      </c>
      <c r="F507" s="4">
        <v>474651</v>
      </c>
      <c r="G507" s="4">
        <f>IF(DatiOriginali!G507 &gt;= SogliaPicchi!$B$7,"",DatiOriginali!G507)</f>
        <v>158900</v>
      </c>
      <c r="H507" s="4">
        <v>580524</v>
      </c>
      <c r="I507" s="4">
        <f>IF(DatiOriginali!I507 &gt;= SogliaPicchi!$B$7,"",DatiOriginali!I507)</f>
        <v>44400</v>
      </c>
      <c r="J507" s="4">
        <v>576412</v>
      </c>
      <c r="K507" s="4">
        <f>IF(DatiOriginali!K507 &gt;= SogliaPicchi!$B$7,"",DatiOriginali!K507)</f>
        <v>51400</v>
      </c>
    </row>
    <row r="508" spans="1:11" x14ac:dyDescent="0.3">
      <c r="A508" s="4" t="s">
        <v>517</v>
      </c>
      <c r="B508" s="4">
        <v>44850</v>
      </c>
      <c r="C508" s="4">
        <f>IF(DatiOriginali!C508 &gt;= SogliaPicchi!$B$7,"",DatiOriginali!C508)</f>
        <v>390300</v>
      </c>
      <c r="D508" s="4">
        <v>22190</v>
      </c>
      <c r="E508" s="4">
        <f>IF(DatiOriginali!E508 &gt;= SogliaPicchi!$B$7,"",DatiOriginali!E508)</f>
        <v>88200</v>
      </c>
      <c r="F508" s="4">
        <v>476753</v>
      </c>
      <c r="G508" s="4">
        <f>IF(DatiOriginali!G508 &gt;= SogliaPicchi!$B$7,"",DatiOriginali!G508)</f>
        <v>113700</v>
      </c>
      <c r="H508" s="4">
        <v>583113</v>
      </c>
      <c r="I508" s="4">
        <f>IF(DatiOriginali!I508 &gt;= SogliaPicchi!$B$7,"",DatiOriginali!I508)</f>
        <v>32000</v>
      </c>
      <c r="J508" s="4">
        <v>579439</v>
      </c>
      <c r="K508" s="4">
        <f>IF(DatiOriginali!K508 &gt;= SogliaPicchi!$B$7,"",DatiOriginali!K508)</f>
        <v>38400</v>
      </c>
    </row>
    <row r="509" spans="1:11" x14ac:dyDescent="0.3">
      <c r="A509" s="4" t="s">
        <v>518</v>
      </c>
      <c r="B509" s="4">
        <v>44850</v>
      </c>
      <c r="C509" s="4">
        <f>IF(DatiOriginali!C509 &gt;= SogliaPicchi!$B$7,"",DatiOriginali!C509)</f>
        <v>384400</v>
      </c>
      <c r="D509" s="4">
        <v>22598</v>
      </c>
      <c r="E509" s="4">
        <f>IF(DatiOriginali!E509 &gt;= SogliaPicchi!$B$7,"",DatiOriginali!E509)</f>
        <v>96300</v>
      </c>
      <c r="F509" s="4">
        <v>478852</v>
      </c>
      <c r="G509" s="4">
        <f>IF(DatiOriginali!G509 &gt;= SogliaPicchi!$B$7,"",DatiOriginali!G509)</f>
        <v>112100</v>
      </c>
      <c r="H509" s="4">
        <v>585850</v>
      </c>
      <c r="I509" s="4">
        <f>IF(DatiOriginali!I509 &gt;= SogliaPicchi!$B$7,"",DatiOriginali!I509)</f>
        <v>34200</v>
      </c>
      <c r="J509" s="4">
        <v>581894</v>
      </c>
      <c r="K509" s="4">
        <f>IF(DatiOriginali!K509 &gt;= SogliaPicchi!$B$7,"",DatiOriginali!K509)</f>
        <v>38100</v>
      </c>
    </row>
    <row r="510" spans="1:11" x14ac:dyDescent="0.3">
      <c r="A510" s="4" t="s">
        <v>519</v>
      </c>
      <c r="B510" s="4">
        <v>44850</v>
      </c>
      <c r="C510" s="4">
        <f>IF(DatiOriginali!C510 &gt;= SogliaPicchi!$B$7,"",DatiOriginali!C510)</f>
        <v>282300</v>
      </c>
      <c r="D510" s="4">
        <v>22309</v>
      </c>
      <c r="E510" s="4">
        <f>IF(DatiOriginali!E510 &gt;= SogliaPicchi!$B$7,"",DatiOriginali!E510)</f>
        <v>82800</v>
      </c>
      <c r="F510" s="4">
        <v>480948</v>
      </c>
      <c r="G510" s="4">
        <f>IF(DatiOriginali!G510 &gt;= SogliaPicchi!$B$7,"",DatiOriginali!G510)</f>
        <v>100100</v>
      </c>
      <c r="H510" s="4">
        <v>588303</v>
      </c>
      <c r="I510" s="4">
        <f>IF(DatiOriginali!I510 &gt;= SogliaPicchi!$B$7,"",DatiOriginali!I510)</f>
        <v>32300</v>
      </c>
      <c r="J510" s="4">
        <v>584753</v>
      </c>
      <c r="K510" s="4">
        <f>IF(DatiOriginali!K510 &gt;= SogliaPicchi!$B$7,"",DatiOriginali!K510)</f>
        <v>38400</v>
      </c>
    </row>
    <row r="511" spans="1:11" x14ac:dyDescent="0.3">
      <c r="A511" s="4" t="s">
        <v>520</v>
      </c>
      <c r="B511" s="4">
        <v>44850</v>
      </c>
      <c r="C511" s="4">
        <f>IF(DatiOriginali!C511 &gt;= SogliaPicchi!$B$7,"",DatiOriginali!C511)</f>
        <v>276700</v>
      </c>
      <c r="D511" s="4">
        <v>22936</v>
      </c>
      <c r="E511" s="4">
        <f>IF(DatiOriginali!E511 &gt;= SogliaPicchi!$B$7,"",DatiOriginali!E511)</f>
        <v>205000</v>
      </c>
      <c r="F511" s="4">
        <v>483047</v>
      </c>
      <c r="G511" s="4">
        <f>IF(DatiOriginali!G511 &gt;= SogliaPicchi!$B$7,"",DatiOriginali!G511)</f>
        <v>161200</v>
      </c>
      <c r="H511" s="4">
        <v>590932</v>
      </c>
      <c r="I511" s="4">
        <f>IF(DatiOriginali!I511 &gt;= SogliaPicchi!$B$7,"",DatiOriginali!I511)</f>
        <v>46600</v>
      </c>
      <c r="J511" s="4">
        <v>587243</v>
      </c>
      <c r="K511" s="4">
        <f>IF(DatiOriginali!K511 &gt;= SogliaPicchi!$B$7,"",DatiOriginali!K511)</f>
        <v>52500</v>
      </c>
    </row>
    <row r="512" spans="1:11" x14ac:dyDescent="0.3">
      <c r="A512" s="4" t="s">
        <v>521</v>
      </c>
      <c r="B512" s="4">
        <v>44850</v>
      </c>
      <c r="C512" s="4">
        <f>IF(DatiOriginali!C512 &gt;= SogliaPicchi!$B$7,"",DatiOriginali!C512)</f>
        <v>280700</v>
      </c>
      <c r="D512" s="4">
        <v>21691</v>
      </c>
      <c r="E512" s="4">
        <f>IF(DatiOriginali!E512 &gt;= SogliaPicchi!$B$7,"",DatiOriginali!E512)</f>
        <v>80800</v>
      </c>
      <c r="F512" s="4">
        <v>485142</v>
      </c>
      <c r="G512" s="4">
        <f>IF(DatiOriginali!G512 &gt;= SogliaPicchi!$B$7,"",DatiOriginali!G512)</f>
        <v>131500</v>
      </c>
      <c r="H512" s="4">
        <v>593138</v>
      </c>
      <c r="I512" s="4">
        <f>IF(DatiOriginali!I512 &gt;= SogliaPicchi!$B$7,"",DatiOriginali!I512)</f>
        <v>30900</v>
      </c>
      <c r="J512" s="4">
        <v>589886</v>
      </c>
      <c r="K512" s="4">
        <f>IF(DatiOriginali!K512 &gt;= SogliaPicchi!$B$7,"",DatiOriginali!K512)</f>
        <v>37000</v>
      </c>
    </row>
    <row r="513" spans="1:11" x14ac:dyDescent="0.3">
      <c r="A513" s="4" t="s">
        <v>522</v>
      </c>
      <c r="B513" s="4">
        <v>44850</v>
      </c>
      <c r="C513" s="4">
        <f>IF(DatiOriginali!C513 &gt;= SogliaPicchi!$B$7,"",DatiOriginali!C513)</f>
        <v>290500</v>
      </c>
      <c r="D513" s="4">
        <v>23477</v>
      </c>
      <c r="E513" s="4">
        <f>IF(DatiOriginali!E513 &gt;= SogliaPicchi!$B$7,"",DatiOriginali!E513)</f>
        <v>85100</v>
      </c>
      <c r="F513" s="4">
        <v>487244</v>
      </c>
      <c r="G513" s="4">
        <f>IF(DatiOriginali!G513 &gt;= SogliaPicchi!$B$7,"",DatiOriginali!G513)</f>
        <v>100000</v>
      </c>
      <c r="H513" s="4">
        <v>595565</v>
      </c>
      <c r="I513" s="4">
        <f>IF(DatiOriginali!I513 &gt;= SogliaPicchi!$B$7,"",DatiOriginali!I513)</f>
        <v>33500</v>
      </c>
      <c r="J513" s="4">
        <v>592306</v>
      </c>
      <c r="K513" s="4">
        <f>IF(DatiOriginali!K513 &gt;= SogliaPicchi!$B$7,"",DatiOriginali!K513)</f>
        <v>38000</v>
      </c>
    </row>
    <row r="514" spans="1:11" x14ac:dyDescent="0.3">
      <c r="A514" s="4" t="s">
        <v>523</v>
      </c>
      <c r="B514" s="4">
        <v>44850</v>
      </c>
      <c r="C514" s="4">
        <f>IF(DatiOriginali!C514 &gt;= SogliaPicchi!$B$7,"",DatiOriginali!C514)</f>
        <v>308900</v>
      </c>
      <c r="D514" s="4">
        <v>22293</v>
      </c>
      <c r="E514" s="4">
        <f>IF(DatiOriginali!E514 &gt;= SogliaPicchi!$B$7,"",DatiOriginali!E514)</f>
        <v>81100</v>
      </c>
      <c r="F514" s="4">
        <v>489339</v>
      </c>
      <c r="G514" s="4">
        <f>IF(DatiOriginali!G514 &gt;= SogliaPicchi!$B$7,"",DatiOriginali!G514)</f>
        <v>112800</v>
      </c>
      <c r="H514" s="4">
        <v>598061</v>
      </c>
      <c r="I514" s="4">
        <f>IF(DatiOriginali!I514 &gt;= SogliaPicchi!$B$7,"",DatiOriginali!I514)</f>
        <v>32100</v>
      </c>
      <c r="J514" s="4">
        <v>594678</v>
      </c>
      <c r="K514" s="4">
        <f>IF(DatiOriginali!K514 &gt;= SogliaPicchi!$B$7,"",DatiOriginali!K514)</f>
        <v>37100</v>
      </c>
    </row>
    <row r="515" spans="1:11" x14ac:dyDescent="0.3">
      <c r="A515" s="4" t="s">
        <v>524</v>
      </c>
      <c r="B515" s="4">
        <v>44850</v>
      </c>
      <c r="C515" s="4" t="str">
        <f>IF(DatiOriginali!C515 &gt;= SogliaPicchi!$B$7,"",DatiOriginali!C515)</f>
        <v/>
      </c>
      <c r="D515" s="4">
        <v>23527</v>
      </c>
      <c r="E515" s="4">
        <f>IF(DatiOriginali!E515 &gt;= SogliaPicchi!$B$7,"",DatiOriginali!E515)</f>
        <v>141000</v>
      </c>
      <c r="F515" s="4">
        <v>491426</v>
      </c>
      <c r="G515" s="4">
        <f>IF(DatiOriginali!G515 &gt;= SogliaPicchi!$B$7,"",DatiOriginali!G515)</f>
        <v>220300</v>
      </c>
      <c r="H515" s="4">
        <v>600733</v>
      </c>
      <c r="I515" s="4">
        <f>IF(DatiOriginali!I515 &gt;= SogliaPicchi!$B$7,"",DatiOriginali!I515)</f>
        <v>38600</v>
      </c>
      <c r="J515" s="4">
        <v>597164</v>
      </c>
      <c r="K515" s="4">
        <f>IF(DatiOriginali!K515 &gt;= SogliaPicchi!$B$7,"",DatiOriginali!K515)</f>
        <v>44600</v>
      </c>
    </row>
    <row r="516" spans="1:11" x14ac:dyDescent="0.3">
      <c r="A516" s="4" t="s">
        <v>525</v>
      </c>
      <c r="B516" s="4">
        <v>44850</v>
      </c>
      <c r="C516" s="4">
        <f>IF(DatiOriginali!C516 &gt;= SogliaPicchi!$B$7,"",DatiOriginali!C516)</f>
        <v>335300</v>
      </c>
      <c r="D516" s="4">
        <v>23952</v>
      </c>
      <c r="E516" s="4">
        <f>IF(DatiOriginali!E516 &gt;= SogliaPicchi!$B$7,"",DatiOriginali!E516)</f>
        <v>86900</v>
      </c>
      <c r="F516" s="4">
        <v>493506</v>
      </c>
      <c r="G516" s="4">
        <f>IF(DatiOriginali!G516 &gt;= SogliaPicchi!$B$7,"",DatiOriginali!G516)</f>
        <v>100900</v>
      </c>
      <c r="H516" s="4">
        <v>603200</v>
      </c>
      <c r="I516" s="4">
        <f>IF(DatiOriginali!I516 &gt;= SogliaPicchi!$B$7,"",DatiOriginali!I516)</f>
        <v>32300</v>
      </c>
      <c r="J516" s="4">
        <v>599988</v>
      </c>
      <c r="K516" s="4">
        <f>IF(DatiOriginali!K516 &gt;= SogliaPicchi!$B$7,"",DatiOriginali!K516)</f>
        <v>36000</v>
      </c>
    </row>
    <row r="517" spans="1:11" x14ac:dyDescent="0.3">
      <c r="A517" s="4" t="s">
        <v>526</v>
      </c>
      <c r="B517" s="4">
        <v>44850</v>
      </c>
      <c r="C517" s="4">
        <f>IF(DatiOriginali!C517 &gt;= SogliaPicchi!$B$7,"",DatiOriginali!C517)</f>
        <v>317100</v>
      </c>
      <c r="D517" s="4">
        <v>22500</v>
      </c>
      <c r="E517" s="4">
        <f>IF(DatiOriginali!E517 &gt;= SogliaPicchi!$B$7,"",DatiOriginali!E517)</f>
        <v>81800</v>
      </c>
      <c r="F517" s="4">
        <v>495595</v>
      </c>
      <c r="G517" s="4">
        <f>IF(DatiOriginali!G517 &gt;= SogliaPicchi!$B$7,"",DatiOriginali!G517)</f>
        <v>112100</v>
      </c>
      <c r="H517" s="4">
        <v>605505</v>
      </c>
      <c r="I517" s="4">
        <f>IF(DatiOriginali!I517 &gt;= SogliaPicchi!$B$7,"",DatiOriginali!I517)</f>
        <v>32500</v>
      </c>
      <c r="J517" s="4">
        <v>602738</v>
      </c>
      <c r="K517" s="4">
        <f>IF(DatiOriginali!K517 &gt;= SogliaPicchi!$B$7,"",DatiOriginali!K517)</f>
        <v>37100</v>
      </c>
    </row>
    <row r="518" spans="1:11" x14ac:dyDescent="0.3">
      <c r="A518" s="4" t="s">
        <v>527</v>
      </c>
      <c r="B518" s="4">
        <v>44850</v>
      </c>
      <c r="C518" s="4">
        <f>IF(DatiOriginali!C518 &gt;= SogliaPicchi!$B$7,"",DatiOriginali!C518)</f>
        <v>307000</v>
      </c>
      <c r="D518" s="4">
        <v>22466</v>
      </c>
      <c r="E518" s="4">
        <f>IF(DatiOriginali!E518 &gt;= SogliaPicchi!$B$7,"",DatiOriginali!E518)</f>
        <v>81900</v>
      </c>
      <c r="F518" s="4">
        <v>497701</v>
      </c>
      <c r="G518" s="4">
        <f>IF(DatiOriginali!G518 &gt;= SogliaPicchi!$B$7,"",DatiOriginali!G518)</f>
        <v>113000</v>
      </c>
      <c r="H518" s="4">
        <v>607824</v>
      </c>
      <c r="I518" s="4">
        <f>IF(DatiOriginali!I518 &gt;= SogliaPicchi!$B$7,"",DatiOriginali!I518)</f>
        <v>32500</v>
      </c>
      <c r="J518" s="4">
        <v>605351</v>
      </c>
      <c r="K518" s="4">
        <f>IF(DatiOriginali!K518 &gt;= SogliaPicchi!$B$7,"",DatiOriginali!K518)</f>
        <v>37300</v>
      </c>
    </row>
    <row r="519" spans="1:11" x14ac:dyDescent="0.3">
      <c r="A519" s="4" t="s">
        <v>528</v>
      </c>
      <c r="B519" s="4">
        <v>44850</v>
      </c>
      <c r="C519" s="4">
        <f>IF(DatiOriginali!C519 &gt;= SogliaPicchi!$B$7,"",DatiOriginali!C519)</f>
        <v>394100</v>
      </c>
      <c r="D519" s="4">
        <v>23507</v>
      </c>
      <c r="E519" s="4">
        <f>IF(DatiOriginali!E519 &gt;= SogliaPicchi!$B$7,"",DatiOriginali!E519)</f>
        <v>106600</v>
      </c>
      <c r="F519" s="4">
        <v>499809</v>
      </c>
      <c r="G519" s="4">
        <f>IF(DatiOriginali!G519 &gt;= SogliaPicchi!$B$7,"",DatiOriginali!G519)</f>
        <v>120800</v>
      </c>
      <c r="H519" s="4">
        <v>610284</v>
      </c>
      <c r="I519" s="4">
        <f>IF(DatiOriginali!I519 &gt;= SogliaPicchi!$B$7,"",DatiOriginali!I519)</f>
        <v>41800</v>
      </c>
      <c r="J519" s="4">
        <v>608239</v>
      </c>
      <c r="K519" s="4">
        <f>IF(DatiOriginali!K519 &gt;= SogliaPicchi!$B$7,"",DatiOriginali!K519)</f>
        <v>52400</v>
      </c>
    </row>
    <row r="520" spans="1:11" x14ac:dyDescent="0.3">
      <c r="A520" s="4" t="s">
        <v>529</v>
      </c>
      <c r="B520" s="4">
        <v>44850</v>
      </c>
      <c r="C520" s="4">
        <f>IF(DatiOriginali!C520 &gt;= SogliaPicchi!$B$7,"",DatiOriginali!C520)</f>
        <v>302300</v>
      </c>
      <c r="D520" s="4">
        <v>23008</v>
      </c>
      <c r="E520" s="4">
        <f>IF(DatiOriginali!E520 &gt;= SogliaPicchi!$B$7,"",DatiOriginali!E520)</f>
        <v>92400</v>
      </c>
      <c r="F520" s="4">
        <v>501900</v>
      </c>
      <c r="G520" s="4">
        <f>IF(DatiOriginali!G520 &gt;= SogliaPicchi!$B$7,"",DatiOriginali!G520)</f>
        <v>133600</v>
      </c>
      <c r="H520" s="4">
        <v>613478</v>
      </c>
      <c r="I520" s="4">
        <f>IF(DatiOriginali!I520 &gt;= SogliaPicchi!$B$7,"",DatiOriginali!I520)</f>
        <v>40700</v>
      </c>
      <c r="J520" s="4">
        <v>611297</v>
      </c>
      <c r="K520" s="4">
        <f>IF(DatiOriginali!K520 &gt;= SogliaPicchi!$B$7,"",DatiOriginali!K520)</f>
        <v>46000</v>
      </c>
    </row>
    <row r="521" spans="1:11" x14ac:dyDescent="0.3">
      <c r="A521" s="4" t="s">
        <v>530</v>
      </c>
      <c r="B521" s="4">
        <v>44850</v>
      </c>
      <c r="C521" s="4">
        <f>IF(DatiOriginali!C521 &gt;= SogliaPicchi!$B$7,"",DatiOriginali!C521)</f>
        <v>291900</v>
      </c>
      <c r="D521" s="4">
        <v>22185</v>
      </c>
      <c r="E521" s="4">
        <f>IF(DatiOriginali!E521 &gt;= SogliaPicchi!$B$7,"",DatiOriginali!E521)</f>
        <v>80900</v>
      </c>
      <c r="F521" s="4">
        <v>504002</v>
      </c>
      <c r="G521" s="4">
        <f>IF(DatiOriginali!G521 &gt;= SogliaPicchi!$B$7,"",DatiOriginali!G521)</f>
        <v>112900</v>
      </c>
      <c r="H521" s="4">
        <v>615813</v>
      </c>
      <c r="I521" s="4">
        <f>IF(DatiOriginali!I521 &gt;= SogliaPicchi!$B$7,"",DatiOriginali!I521)</f>
        <v>32300</v>
      </c>
      <c r="J521" s="4">
        <v>613867</v>
      </c>
      <c r="K521" s="4">
        <f>IF(DatiOriginali!K521 &gt;= SogliaPicchi!$B$7,"",DatiOriginali!K521)</f>
        <v>37600</v>
      </c>
    </row>
    <row r="522" spans="1:11" x14ac:dyDescent="0.3">
      <c r="A522" s="4" t="s">
        <v>531</v>
      </c>
      <c r="B522" s="4">
        <v>44850</v>
      </c>
      <c r="C522" s="4">
        <f>IF(DatiOriginali!C522 &gt;= SogliaPicchi!$B$7,"",DatiOriginali!C522)</f>
        <v>262800</v>
      </c>
      <c r="D522" s="4">
        <v>21328</v>
      </c>
      <c r="E522" s="4">
        <f>IF(DatiOriginali!E522 &gt;= SogliaPicchi!$B$7,"",DatiOriginali!E522)</f>
        <v>77700</v>
      </c>
      <c r="F522" s="4">
        <v>506091</v>
      </c>
      <c r="G522" s="4">
        <f>IF(DatiOriginali!G522 &gt;= SogliaPicchi!$B$7,"",DatiOriginali!G522)</f>
        <v>102000</v>
      </c>
      <c r="H522" s="4">
        <v>618275</v>
      </c>
      <c r="I522" s="4">
        <f>IF(DatiOriginali!I522 &gt;= SogliaPicchi!$B$7,"",DatiOriginali!I522)</f>
        <v>33400</v>
      </c>
      <c r="J522" s="4">
        <v>616461</v>
      </c>
      <c r="K522" s="4">
        <f>IF(DatiOriginali!K522 &gt;= SogliaPicchi!$B$7,"",DatiOriginali!K522)</f>
        <v>35900</v>
      </c>
    </row>
    <row r="523" spans="1:11" x14ac:dyDescent="0.3">
      <c r="A523" s="4" t="s">
        <v>532</v>
      </c>
      <c r="B523" s="4">
        <v>44850</v>
      </c>
      <c r="C523" s="4" t="str">
        <f>IF(DatiOriginali!C523 &gt;= SogliaPicchi!$B$7,"",DatiOriginali!C523)</f>
        <v/>
      </c>
      <c r="D523" s="4">
        <v>22256</v>
      </c>
      <c r="E523" s="4">
        <f>IF(DatiOriginali!E523 &gt;= SogliaPicchi!$B$7,"",DatiOriginali!E523)</f>
        <v>113500</v>
      </c>
      <c r="F523" s="4">
        <v>508177</v>
      </c>
      <c r="G523" s="4">
        <f>IF(DatiOriginali!G523 &gt;= SogliaPicchi!$B$7,"",DatiOriginali!G523)</f>
        <v>134600</v>
      </c>
      <c r="H523" s="4">
        <v>620607</v>
      </c>
      <c r="I523" s="4">
        <f>IF(DatiOriginali!I523 &gt;= SogliaPicchi!$B$7,"",DatiOriginali!I523)</f>
        <v>38100</v>
      </c>
      <c r="J523" s="4">
        <v>618974</v>
      </c>
      <c r="K523" s="4">
        <f>IF(DatiOriginali!K523 &gt;= SogliaPicchi!$B$7,"",DatiOriginali!K523)</f>
        <v>43900</v>
      </c>
    </row>
    <row r="524" spans="1:11" x14ac:dyDescent="0.3">
      <c r="A524" s="4" t="s">
        <v>533</v>
      </c>
      <c r="B524" s="4">
        <v>44850</v>
      </c>
      <c r="C524" s="4">
        <f>IF(DatiOriginali!C524 &gt;= SogliaPicchi!$B$7,"",DatiOriginali!C524)</f>
        <v>276000</v>
      </c>
      <c r="D524" s="4">
        <v>23156</v>
      </c>
      <c r="E524" s="4">
        <f>IF(DatiOriginali!E524 &gt;= SogliaPicchi!$B$7,"",DatiOriginali!E524)</f>
        <v>84900</v>
      </c>
      <c r="F524" s="4">
        <v>510276</v>
      </c>
      <c r="G524" s="4">
        <f>IF(DatiOriginali!G524 &gt;= SogliaPicchi!$B$7,"",DatiOriginali!G524)</f>
        <v>135500</v>
      </c>
      <c r="H524" s="4">
        <v>623023</v>
      </c>
      <c r="I524" s="4">
        <f>IF(DatiOriginali!I524 &gt;= SogliaPicchi!$B$7,"",DatiOriginali!I524)</f>
        <v>31700</v>
      </c>
      <c r="J524" s="4">
        <v>621618</v>
      </c>
      <c r="K524" s="4">
        <f>IF(DatiOriginali!K524 &gt;= SogliaPicchi!$B$7,"",DatiOriginali!K524)</f>
        <v>36800</v>
      </c>
    </row>
    <row r="525" spans="1:11" x14ac:dyDescent="0.3">
      <c r="A525" s="4" t="s">
        <v>534</v>
      </c>
      <c r="B525" s="4">
        <v>44850</v>
      </c>
      <c r="C525" s="4">
        <f>IF(DatiOriginali!C525 &gt;= SogliaPicchi!$B$7,"",DatiOriginali!C525)</f>
        <v>290500</v>
      </c>
      <c r="D525" s="4">
        <v>22936</v>
      </c>
      <c r="E525" s="4">
        <f>IF(DatiOriginali!E525 &gt;= SogliaPicchi!$B$7,"",DatiOriginali!E525)</f>
        <v>83300</v>
      </c>
      <c r="F525" s="4">
        <v>512393</v>
      </c>
      <c r="G525" s="4">
        <f>IF(DatiOriginali!G525 &gt;= SogliaPicchi!$B$7,"",DatiOriginali!G525)</f>
        <v>97600</v>
      </c>
      <c r="H525" s="4">
        <v>625553</v>
      </c>
      <c r="I525" s="4">
        <f>IF(DatiOriginali!I525 &gt;= SogliaPicchi!$B$7,"",DatiOriginali!I525)</f>
        <v>30700</v>
      </c>
      <c r="J525" s="4">
        <v>624148</v>
      </c>
      <c r="K525" s="4">
        <f>IF(DatiOriginali!K525 &gt;= SogliaPicchi!$B$7,"",DatiOriginali!K525)</f>
        <v>36700</v>
      </c>
    </row>
    <row r="526" spans="1:11" x14ac:dyDescent="0.3">
      <c r="A526" s="4" t="s">
        <v>535</v>
      </c>
      <c r="B526" s="4">
        <v>44850</v>
      </c>
      <c r="C526" s="4">
        <f>IF(DatiOriginali!C526 &gt;= SogliaPicchi!$B$7,"",DatiOriginali!C526)</f>
        <v>302700</v>
      </c>
      <c r="D526" s="4">
        <v>22285</v>
      </c>
      <c r="E526" s="4">
        <f>IF(DatiOriginali!E526 &gt;= SogliaPicchi!$B$7,"",DatiOriginali!E526)</f>
        <v>80200</v>
      </c>
      <c r="F526" s="4">
        <v>514494</v>
      </c>
      <c r="G526" s="4">
        <f>IF(DatiOriginali!G526 &gt;= SogliaPicchi!$B$7,"",DatiOriginali!G526)</f>
        <v>109100</v>
      </c>
      <c r="H526" s="4">
        <v>628510</v>
      </c>
      <c r="I526" s="4">
        <f>IF(DatiOriginali!I526 &gt;= SogliaPicchi!$B$7,"",DatiOriginali!I526)</f>
        <v>32900</v>
      </c>
      <c r="J526" s="4">
        <v>626902</v>
      </c>
      <c r="K526" s="4">
        <f>IF(DatiOriginali!K526 &gt;= SogliaPicchi!$B$7,"",DatiOriginali!K526)</f>
        <v>36200</v>
      </c>
    </row>
    <row r="527" spans="1:11" x14ac:dyDescent="0.3">
      <c r="A527" s="4" t="s">
        <v>536</v>
      </c>
      <c r="B527" s="4">
        <v>44850</v>
      </c>
      <c r="C527" s="4">
        <f>IF(DatiOriginali!C527 &gt;= SogliaPicchi!$B$7,"",DatiOriginali!C527)</f>
        <v>318300</v>
      </c>
      <c r="D527" s="4">
        <v>22868</v>
      </c>
      <c r="E527" s="4">
        <f>IF(DatiOriginali!E527 &gt;= SogliaPicchi!$B$7,"",DatiOriginali!E527)</f>
        <v>138800</v>
      </c>
      <c r="F527" s="4">
        <v>516598</v>
      </c>
      <c r="G527" s="4">
        <f>IF(DatiOriginali!G527 &gt;= SogliaPicchi!$B$7,"",DatiOriginali!G527)</f>
        <v>147700</v>
      </c>
      <c r="H527" s="4">
        <v>631122</v>
      </c>
      <c r="I527" s="4">
        <f>IF(DatiOriginali!I527 &gt;= SogliaPicchi!$B$7,"",DatiOriginali!I527)</f>
        <v>42800</v>
      </c>
      <c r="J527" s="4">
        <v>629634</v>
      </c>
      <c r="K527" s="4">
        <f>IF(DatiOriginali!K527 &gt;= SogliaPicchi!$B$7,"",DatiOriginali!K527)</f>
        <v>47100</v>
      </c>
    </row>
    <row r="528" spans="1:11" x14ac:dyDescent="0.3">
      <c r="A528" s="4" t="s">
        <v>537</v>
      </c>
      <c r="B528" s="4">
        <v>44850</v>
      </c>
      <c r="C528" s="4">
        <f>IF(DatiOriginali!C528 &gt;= SogliaPicchi!$B$7,"",DatiOriginali!C528)</f>
        <v>326200</v>
      </c>
      <c r="D528" s="4">
        <v>23921</v>
      </c>
      <c r="E528" s="4">
        <f>IF(DatiOriginali!E528 &gt;= SogliaPicchi!$B$7,"",DatiOriginali!E528)</f>
        <v>101800</v>
      </c>
      <c r="F528" s="4">
        <v>518698</v>
      </c>
      <c r="G528" s="4">
        <f>IF(DatiOriginali!G528 &gt;= SogliaPicchi!$B$7,"",DatiOriginali!G528)</f>
        <v>110800</v>
      </c>
      <c r="H528" s="4">
        <v>634068</v>
      </c>
      <c r="I528" s="4">
        <f>IF(DatiOriginali!I528 &gt;= SogliaPicchi!$B$7,"",DatiOriginali!I528)</f>
        <v>32400</v>
      </c>
      <c r="J528" s="4">
        <v>632044</v>
      </c>
      <c r="K528" s="4">
        <f>IF(DatiOriginali!K528 &gt;= SogliaPicchi!$B$7,"",DatiOriginali!K528)</f>
        <v>36500</v>
      </c>
    </row>
    <row r="529" spans="1:11" x14ac:dyDescent="0.3">
      <c r="A529" s="4" t="s">
        <v>538</v>
      </c>
      <c r="B529" s="4">
        <v>44850</v>
      </c>
      <c r="C529" s="4">
        <f>IF(DatiOriginali!C529 &gt;= SogliaPicchi!$B$7,"",DatiOriginali!C529)</f>
        <v>275900</v>
      </c>
      <c r="D529" s="4">
        <v>22043</v>
      </c>
      <c r="E529" s="4">
        <f>IF(DatiOriginali!E529 &gt;= SogliaPicchi!$B$7,"",DatiOriginali!E529)</f>
        <v>82400</v>
      </c>
      <c r="F529" s="4">
        <v>520795</v>
      </c>
      <c r="G529" s="4">
        <f>IF(DatiOriginali!G529 &gt;= SogliaPicchi!$B$7,"",DatiOriginali!G529)</f>
        <v>99000</v>
      </c>
      <c r="H529" s="4">
        <v>636997</v>
      </c>
      <c r="I529" s="4">
        <f>IF(DatiOriginali!I529 &gt;= SogliaPicchi!$B$7,"",DatiOriginali!I529)</f>
        <v>33300</v>
      </c>
      <c r="J529" s="4">
        <v>634467</v>
      </c>
      <c r="K529" s="4">
        <f>IF(DatiOriginali!K529 &gt;= SogliaPicchi!$B$7,"",DatiOriginali!K529)</f>
        <v>36200</v>
      </c>
    </row>
    <row r="530" spans="1:11" x14ac:dyDescent="0.3">
      <c r="A530" s="4" t="s">
        <v>539</v>
      </c>
      <c r="B530" s="4">
        <v>44850</v>
      </c>
      <c r="C530" s="4">
        <f>IF(DatiOriginali!C530 &gt;= SogliaPicchi!$B$7,"",DatiOriginali!C530)</f>
        <v>287300</v>
      </c>
      <c r="D530" s="4">
        <v>23345</v>
      </c>
      <c r="E530" s="4">
        <f>IF(DatiOriginali!E530 &gt;= SogliaPicchi!$B$7,"",DatiOriginali!E530)</f>
        <v>87100</v>
      </c>
      <c r="F530" s="4">
        <v>522894</v>
      </c>
      <c r="G530" s="4">
        <f>IF(DatiOriginali!G530 &gt;= SogliaPicchi!$B$7,"",DatiOriginali!G530)</f>
        <v>100000</v>
      </c>
      <c r="H530" s="4">
        <v>639510</v>
      </c>
      <c r="I530" s="4">
        <f>IF(DatiOriginali!I530 &gt;= SogliaPicchi!$B$7,"",DatiOriginali!I530)</f>
        <v>31100</v>
      </c>
      <c r="J530" s="4">
        <v>636796</v>
      </c>
      <c r="K530" s="4">
        <f>IF(DatiOriginali!K530 &gt;= SogliaPicchi!$B$7,"",DatiOriginali!K530)</f>
        <v>35000</v>
      </c>
    </row>
    <row r="531" spans="1:11" x14ac:dyDescent="0.3">
      <c r="A531" s="4" t="s">
        <v>540</v>
      </c>
      <c r="B531" s="4">
        <v>44850</v>
      </c>
      <c r="C531" s="4">
        <f>IF(DatiOriginali!C531 &gt;= SogliaPicchi!$B$7,"",DatiOriginali!C531)</f>
        <v>311500</v>
      </c>
      <c r="D531" s="4">
        <v>21600</v>
      </c>
      <c r="E531" s="4">
        <f>IF(DatiOriginali!E531 &gt;= SogliaPicchi!$B$7,"",DatiOriginali!E531)</f>
        <v>81900</v>
      </c>
      <c r="F531" s="4">
        <v>524993</v>
      </c>
      <c r="G531" s="4">
        <f>IF(DatiOriginali!G531 &gt;= SogliaPicchi!$B$7,"",DatiOriginali!G531)</f>
        <v>115800</v>
      </c>
      <c r="H531" s="4">
        <v>641984</v>
      </c>
      <c r="I531" s="4">
        <f>IF(DatiOriginali!I531 &gt;= SogliaPicchi!$B$7,"",DatiOriginali!I531)</f>
        <v>32500</v>
      </c>
      <c r="J531" s="4">
        <v>639422</v>
      </c>
      <c r="K531" s="4">
        <f>IF(DatiOriginali!K531 &gt;= SogliaPicchi!$B$7,"",DatiOriginali!K531)</f>
        <v>46500</v>
      </c>
    </row>
    <row r="532" spans="1:11" x14ac:dyDescent="0.3">
      <c r="A532" s="4" t="s">
        <v>541</v>
      </c>
      <c r="B532" s="4">
        <v>44850</v>
      </c>
      <c r="C532" s="4">
        <f>IF(DatiOriginali!C532 &gt;= SogliaPicchi!$B$7,"",DatiOriginali!C532)</f>
        <v>273700</v>
      </c>
      <c r="D532" s="4">
        <v>22064</v>
      </c>
      <c r="E532" s="4">
        <f>IF(DatiOriginali!E532 &gt;= SogliaPicchi!$B$7,"",DatiOriginali!E532)</f>
        <v>80200</v>
      </c>
      <c r="F532" s="4">
        <v>527098</v>
      </c>
      <c r="G532" s="4">
        <f>IF(DatiOriginali!G532 &gt;= SogliaPicchi!$B$7,"",DatiOriginali!G532)</f>
        <v>112100</v>
      </c>
      <c r="H532" s="4">
        <v>644397</v>
      </c>
      <c r="I532" s="4">
        <f>IF(DatiOriginali!I532 &gt;= SogliaPicchi!$B$7,"",DatiOriginali!I532)</f>
        <v>31200</v>
      </c>
      <c r="J532" s="4">
        <v>641775</v>
      </c>
      <c r="K532" s="4">
        <f>IF(DatiOriginali!K532 &gt;= SogliaPicchi!$B$7,"",DatiOriginali!K532)</f>
        <v>36500</v>
      </c>
    </row>
    <row r="533" spans="1:11" x14ac:dyDescent="0.3">
      <c r="A533" s="4" t="s">
        <v>542</v>
      </c>
      <c r="B533" s="4">
        <v>44850</v>
      </c>
      <c r="C533" s="4">
        <f>IF(DatiOriginali!C533 &gt;= SogliaPicchi!$B$7,"",DatiOriginali!C533)</f>
        <v>284800</v>
      </c>
      <c r="D533" s="4">
        <v>22143</v>
      </c>
      <c r="E533" s="4">
        <f>IF(DatiOriginali!E533 &gt;= SogliaPicchi!$B$7,"",DatiOriginali!E533)</f>
        <v>80600</v>
      </c>
      <c r="F533" s="4">
        <v>529215</v>
      </c>
      <c r="G533" s="4">
        <f>IF(DatiOriginali!G533 &gt;= SogliaPicchi!$B$7,"",DatiOriginali!G533)</f>
        <v>106400</v>
      </c>
      <c r="H533" s="4">
        <v>646923</v>
      </c>
      <c r="I533" s="4">
        <f>IF(DatiOriginali!I533 &gt;= SogliaPicchi!$B$7,"",DatiOriginali!I533)</f>
        <v>30900</v>
      </c>
      <c r="J533" s="4">
        <v>644574</v>
      </c>
      <c r="K533" s="4">
        <f>IF(DatiOriginali!K533 &gt;= SogliaPicchi!$B$7,"",DatiOriginali!K533)</f>
        <v>36300</v>
      </c>
    </row>
    <row r="534" spans="1:11" x14ac:dyDescent="0.3">
      <c r="A534" s="4" t="s">
        <v>543</v>
      </c>
      <c r="B534" s="4">
        <v>44850</v>
      </c>
      <c r="C534" s="4">
        <f>IF(DatiOriginali!C534 &gt;= SogliaPicchi!$B$7,"",DatiOriginali!C534)</f>
        <v>278800</v>
      </c>
      <c r="D534" s="4">
        <v>21943</v>
      </c>
      <c r="E534" s="4">
        <f>IF(DatiOriginali!E534 &gt;= SogliaPicchi!$B$7,"",DatiOriginali!E534)</f>
        <v>79200</v>
      </c>
      <c r="F534" s="4">
        <v>531325</v>
      </c>
      <c r="G534" s="4">
        <f>IF(DatiOriginali!G534 &gt;= SogliaPicchi!$B$7,"",DatiOriginali!G534)</f>
        <v>108800</v>
      </c>
      <c r="H534" s="4">
        <v>649451</v>
      </c>
      <c r="I534" s="4">
        <f>IF(DatiOriginali!I534 &gt;= SogliaPicchi!$B$7,"",DatiOriginali!I534)</f>
        <v>30600</v>
      </c>
      <c r="J534" s="4">
        <v>647194</v>
      </c>
      <c r="K534" s="4">
        <f>IF(DatiOriginali!K534 &gt;= SogliaPicchi!$B$7,"",DatiOriginali!K534)</f>
        <v>34600</v>
      </c>
    </row>
    <row r="535" spans="1:11" x14ac:dyDescent="0.3">
      <c r="A535" s="4" t="s">
        <v>544</v>
      </c>
      <c r="B535" s="4">
        <v>44850</v>
      </c>
      <c r="C535" s="4">
        <f>IF(DatiOriginali!C535 &gt;= SogliaPicchi!$B$7,"",DatiOriginali!C535)</f>
        <v>298500</v>
      </c>
      <c r="D535" s="4">
        <v>21523</v>
      </c>
      <c r="E535" s="4">
        <f>IF(DatiOriginali!E535 &gt;= SogliaPicchi!$B$7,"",DatiOriginali!E535)</f>
        <v>79800</v>
      </c>
      <c r="F535" s="4">
        <v>533427</v>
      </c>
      <c r="G535" s="4">
        <f>IF(DatiOriginali!G535 &gt;= SogliaPicchi!$B$7,"",DatiOriginali!G535)</f>
        <v>109400</v>
      </c>
      <c r="H535" s="4">
        <v>652022</v>
      </c>
      <c r="I535" s="4">
        <f>IF(DatiOriginali!I535 &gt;= SogliaPicchi!$B$7,"",DatiOriginali!I535)</f>
        <v>31100</v>
      </c>
      <c r="J535" s="4">
        <v>649676</v>
      </c>
      <c r="K535" s="4">
        <f>IF(DatiOriginali!K535 &gt;= SogliaPicchi!$B$7,"",DatiOriginali!K535)</f>
        <v>34700</v>
      </c>
    </row>
    <row r="536" spans="1:11" x14ac:dyDescent="0.3">
      <c r="A536" s="4" t="s">
        <v>545</v>
      </c>
      <c r="B536" s="4">
        <v>44850</v>
      </c>
      <c r="C536" s="4">
        <f>IF(DatiOriginali!C536 &gt;= SogliaPicchi!$B$7,"",DatiOriginali!C536)</f>
        <v>322400</v>
      </c>
      <c r="D536" s="4">
        <v>22151</v>
      </c>
      <c r="E536" s="4">
        <f>IF(DatiOriginali!E536 &gt;= SogliaPicchi!$B$7,"",DatiOriginali!E536)</f>
        <v>88600</v>
      </c>
      <c r="F536" s="4">
        <v>535526</v>
      </c>
      <c r="G536" s="4">
        <f>IF(DatiOriginali!G536 &gt;= SogliaPicchi!$B$7,"",DatiOriginali!G536)</f>
        <v>116400</v>
      </c>
      <c r="H536" s="4">
        <v>654584</v>
      </c>
      <c r="I536" s="4">
        <f>IF(DatiOriginali!I536 &gt;= SogliaPicchi!$B$7,"",DatiOriginali!I536)</f>
        <v>33200</v>
      </c>
      <c r="J536" s="4">
        <v>652261</v>
      </c>
      <c r="K536" s="4">
        <f>IF(DatiOriginali!K536 &gt;= SogliaPicchi!$B$7,"",DatiOriginali!K536)</f>
        <v>38400</v>
      </c>
    </row>
    <row r="537" spans="1:11" x14ac:dyDescent="0.3">
      <c r="A537" s="4" t="s">
        <v>546</v>
      </c>
      <c r="B537" s="4">
        <v>44850</v>
      </c>
      <c r="C537" s="4">
        <f>IF(DatiOriginali!C537 &gt;= SogliaPicchi!$B$7,"",DatiOriginali!C537)</f>
        <v>267600</v>
      </c>
      <c r="D537" s="4">
        <v>21335</v>
      </c>
      <c r="E537" s="4">
        <f>IF(DatiOriginali!E537 &gt;= SogliaPicchi!$B$7,"",DatiOriginali!E537)</f>
        <v>80500</v>
      </c>
      <c r="F537" s="4">
        <v>537611</v>
      </c>
      <c r="G537" s="4">
        <f>IF(DatiOriginali!G537 &gt;= SogliaPicchi!$B$7,"",DatiOriginali!G537)</f>
        <v>111700</v>
      </c>
      <c r="H537" s="4">
        <v>656994</v>
      </c>
      <c r="I537" s="4">
        <f>IF(DatiOriginali!I537 &gt;= SogliaPicchi!$B$7,"",DatiOriginali!I537)</f>
        <v>32200</v>
      </c>
      <c r="J537" s="4">
        <v>654843</v>
      </c>
      <c r="K537" s="4">
        <f>IF(DatiOriginali!K537 &gt;= SogliaPicchi!$B$7,"",DatiOriginali!K537)</f>
        <v>37300</v>
      </c>
    </row>
    <row r="538" spans="1:11" x14ac:dyDescent="0.3">
      <c r="A538" s="4" t="s">
        <v>547</v>
      </c>
      <c r="B538" s="4">
        <v>44850</v>
      </c>
      <c r="C538" s="4">
        <f>IF(DatiOriginali!C538 &gt;= SogliaPicchi!$B$7,"",DatiOriginali!C538)</f>
        <v>289000</v>
      </c>
      <c r="D538" s="4">
        <v>23796</v>
      </c>
      <c r="E538" s="4">
        <f>IF(DatiOriginali!E538 &gt;= SogliaPicchi!$B$7,"",DatiOriginali!E538)</f>
        <v>86600</v>
      </c>
      <c r="F538" s="4">
        <v>539690</v>
      </c>
      <c r="G538" s="4">
        <f>IF(DatiOriginali!G538 &gt;= SogliaPicchi!$B$7,"",DatiOriginali!G538)</f>
        <v>100100</v>
      </c>
      <c r="H538" s="4">
        <v>659651</v>
      </c>
      <c r="I538" s="4">
        <f>IF(DatiOriginali!I538 &gt;= SogliaPicchi!$B$7,"",DatiOriginali!I538)</f>
        <v>31800</v>
      </c>
      <c r="J538" s="4">
        <v>657447</v>
      </c>
      <c r="K538" s="4">
        <f>IF(DatiOriginali!K538 &gt;= SogliaPicchi!$B$7,"",DatiOriginali!K538)</f>
        <v>38100</v>
      </c>
    </row>
    <row r="539" spans="1:11" x14ac:dyDescent="0.3">
      <c r="A539" s="4" t="s">
        <v>548</v>
      </c>
      <c r="B539" s="4">
        <v>44850</v>
      </c>
      <c r="C539" s="4">
        <f>IF(DatiOriginali!C539 &gt;= SogliaPicchi!$B$7,"",DatiOriginali!C539)</f>
        <v>273400</v>
      </c>
      <c r="D539" s="4">
        <v>23562</v>
      </c>
      <c r="E539" s="4">
        <f>IF(DatiOriginali!E539 &gt;= SogliaPicchi!$B$7,"",DatiOriginali!E539)</f>
        <v>86200</v>
      </c>
      <c r="F539" s="4">
        <v>541777</v>
      </c>
      <c r="G539" s="4">
        <f>IF(DatiOriginali!G539 &gt;= SogliaPicchi!$B$7,"",DatiOriginali!G539)</f>
        <v>100800</v>
      </c>
      <c r="H539" s="4">
        <v>662685</v>
      </c>
      <c r="I539" s="4">
        <f>IF(DatiOriginali!I539 &gt;= SogliaPicchi!$B$7,"",DatiOriginali!I539)</f>
        <v>32300</v>
      </c>
      <c r="J539" s="4">
        <v>660080</v>
      </c>
      <c r="K539" s="4">
        <f>IF(DatiOriginali!K539 &gt;= SogliaPicchi!$B$7,"",DatiOriginali!K539)</f>
        <v>37700</v>
      </c>
    </row>
    <row r="540" spans="1:11" x14ac:dyDescent="0.3">
      <c r="A540" s="4" t="s">
        <v>549</v>
      </c>
      <c r="B540" s="4">
        <v>44850</v>
      </c>
      <c r="C540" s="4">
        <f>IF(DatiOriginali!C540 &gt;= SogliaPicchi!$B$7,"",DatiOriginali!C540)</f>
        <v>275700</v>
      </c>
      <c r="D540" s="4">
        <v>21853</v>
      </c>
      <c r="E540" s="4">
        <f>IF(DatiOriginali!E540 &gt;= SogliaPicchi!$B$7,"",DatiOriginali!E540)</f>
        <v>79700</v>
      </c>
      <c r="F540" s="4">
        <v>543889</v>
      </c>
      <c r="G540" s="4">
        <f>IF(DatiOriginali!G540 &gt;= SogliaPicchi!$B$7,"",DatiOriginali!G540)</f>
        <v>110800</v>
      </c>
      <c r="H540" s="4">
        <v>665339</v>
      </c>
      <c r="I540" s="4">
        <f>IF(DatiOriginali!I540 &gt;= SogliaPicchi!$B$7,"",DatiOriginali!I540)</f>
        <v>32500</v>
      </c>
      <c r="J540" s="4">
        <v>662497</v>
      </c>
      <c r="K540" s="4">
        <f>IF(DatiOriginali!K540 &gt;= SogliaPicchi!$B$7,"",DatiOriginali!K540)</f>
        <v>35500</v>
      </c>
    </row>
    <row r="541" spans="1:11" x14ac:dyDescent="0.3">
      <c r="A541" s="4" t="s">
        <v>550</v>
      </c>
      <c r="B541" s="4">
        <v>44850</v>
      </c>
      <c r="C541" s="4">
        <f>IF(DatiOriginali!C541 &gt;= SogliaPicchi!$B$7,"",DatiOriginali!C541)</f>
        <v>290200</v>
      </c>
      <c r="D541" s="4">
        <v>22531</v>
      </c>
      <c r="E541" s="4">
        <f>IF(DatiOriginali!E541 &gt;= SogliaPicchi!$B$7,"",DatiOriginali!E541)</f>
        <v>82300</v>
      </c>
      <c r="F541" s="4">
        <v>545996</v>
      </c>
      <c r="G541" s="4">
        <f>IF(DatiOriginali!G541 &gt;= SogliaPicchi!$B$7,"",DatiOriginali!G541)</f>
        <v>146300</v>
      </c>
      <c r="H541" s="4">
        <v>667878</v>
      </c>
      <c r="I541" s="4">
        <f>IF(DatiOriginali!I541 &gt;= SogliaPicchi!$B$7,"",DatiOriginali!I541)</f>
        <v>32600</v>
      </c>
      <c r="J541" s="4">
        <v>665200</v>
      </c>
      <c r="K541" s="4">
        <f>IF(DatiOriginali!K541 &gt;= SogliaPicchi!$B$7,"",DatiOriginali!K541)</f>
        <v>37900</v>
      </c>
    </row>
    <row r="542" spans="1:11" x14ac:dyDescent="0.3">
      <c r="A542" s="4" t="s">
        <v>551</v>
      </c>
      <c r="B542" s="4">
        <v>44850</v>
      </c>
      <c r="C542" s="4">
        <f>IF(DatiOriginali!C542 &gt;= SogliaPicchi!$B$7,"",DatiOriginali!C542)</f>
        <v>298600</v>
      </c>
      <c r="D542" s="4">
        <v>23689</v>
      </c>
      <c r="E542" s="4">
        <f>IF(DatiOriginali!E542 &gt;= SogliaPicchi!$B$7,"",DatiOriginali!E542)</f>
        <v>88700</v>
      </c>
      <c r="F542" s="4">
        <v>548073</v>
      </c>
      <c r="G542" s="4">
        <f>IF(DatiOriginali!G542 &gt;= SogliaPicchi!$B$7,"",DatiOriginali!G542)</f>
        <v>113200</v>
      </c>
      <c r="H542" s="4">
        <v>670606</v>
      </c>
      <c r="I542" s="4">
        <f>IF(DatiOriginali!I542 &gt;= SogliaPicchi!$B$7,"",DatiOriginali!I542)</f>
        <v>30700</v>
      </c>
      <c r="J542" s="4">
        <v>667514</v>
      </c>
      <c r="K542" s="4">
        <f>IF(DatiOriginali!K542 &gt;= SogliaPicchi!$B$7,"",DatiOriginali!K542)</f>
        <v>37000</v>
      </c>
    </row>
    <row r="543" spans="1:11" x14ac:dyDescent="0.3">
      <c r="A543" s="4" t="s">
        <v>552</v>
      </c>
      <c r="B543" s="4">
        <v>44850</v>
      </c>
      <c r="C543" s="4">
        <f>IF(DatiOriginali!C543 &gt;= SogliaPicchi!$B$7,"",DatiOriginali!C543)</f>
        <v>330500</v>
      </c>
      <c r="D543" s="4">
        <v>22260</v>
      </c>
      <c r="E543" s="4">
        <f>IF(DatiOriginali!E543 &gt;= SogliaPicchi!$B$7,"",DatiOriginali!E543)</f>
        <v>83500</v>
      </c>
      <c r="F543" s="4">
        <v>550173</v>
      </c>
      <c r="G543" s="4">
        <f>IF(DatiOriginali!G543 &gt;= SogliaPicchi!$B$7,"",DatiOriginali!G543)</f>
        <v>115200</v>
      </c>
      <c r="H543" s="4">
        <v>673076</v>
      </c>
      <c r="I543" s="4">
        <f>IF(DatiOriginali!I543 &gt;= SogliaPicchi!$B$7,"",DatiOriginali!I543)</f>
        <v>33300</v>
      </c>
      <c r="J543" s="4">
        <v>670291</v>
      </c>
      <c r="K543" s="4">
        <f>IF(DatiOriginali!K543 &gt;= SogliaPicchi!$B$7,"",DatiOriginali!K543)</f>
        <v>37600</v>
      </c>
    </row>
    <row r="544" spans="1:11" x14ac:dyDescent="0.3">
      <c r="A544" s="4" t="s">
        <v>553</v>
      </c>
      <c r="B544" s="4">
        <v>44850</v>
      </c>
      <c r="C544" s="4">
        <f>IF(DatiOriginali!C544 &gt;= SogliaPicchi!$B$7,"",DatiOriginali!C544)</f>
        <v>311300</v>
      </c>
      <c r="D544" s="4">
        <v>21739</v>
      </c>
      <c r="E544" s="4">
        <f>IF(DatiOriginali!E544 &gt;= SogliaPicchi!$B$7,"",DatiOriginali!E544)</f>
        <v>81700</v>
      </c>
      <c r="F544" s="4">
        <v>552271</v>
      </c>
      <c r="G544" s="4">
        <f>IF(DatiOriginali!G544 &gt;= SogliaPicchi!$B$7,"",DatiOriginali!G544)</f>
        <v>112400</v>
      </c>
      <c r="H544" s="4">
        <v>675497</v>
      </c>
      <c r="I544" s="4">
        <f>IF(DatiOriginali!I544 &gt;= SogliaPicchi!$B$7,"",DatiOriginali!I544)</f>
        <v>31000</v>
      </c>
      <c r="J544" s="4">
        <v>672780</v>
      </c>
      <c r="K544" s="4">
        <f>IF(DatiOriginali!K544 &gt;= SogliaPicchi!$B$7,"",DatiOriginali!K544)</f>
        <v>36800</v>
      </c>
    </row>
    <row r="545" spans="1:11" x14ac:dyDescent="0.3">
      <c r="A545" s="4" t="s">
        <v>554</v>
      </c>
      <c r="B545" s="4">
        <v>44850</v>
      </c>
      <c r="C545" s="4">
        <f>IF(DatiOriginali!C545 &gt;= SogliaPicchi!$B$7,"",DatiOriginali!C545)</f>
        <v>421700</v>
      </c>
      <c r="D545" s="4">
        <v>24033</v>
      </c>
      <c r="E545" s="4">
        <f>IF(DatiOriginali!E545 &gt;= SogliaPicchi!$B$7,"",DatiOriginali!E545)</f>
        <v>145000</v>
      </c>
      <c r="F545" s="4">
        <v>554358</v>
      </c>
      <c r="G545" s="4">
        <f>IF(DatiOriginali!G545 &gt;= SogliaPicchi!$B$7,"",DatiOriginali!G545)</f>
        <v>152100</v>
      </c>
      <c r="H545" s="4">
        <v>678207</v>
      </c>
      <c r="I545" s="4">
        <f>IF(DatiOriginali!I545 &gt;= SogliaPicchi!$B$7,"",DatiOriginali!I545)</f>
        <v>32900</v>
      </c>
      <c r="J545" s="4">
        <v>675178</v>
      </c>
      <c r="K545" s="4">
        <f>IF(DatiOriginali!K545 &gt;= SogliaPicchi!$B$7,"",DatiOriginali!K545)</f>
        <v>36500</v>
      </c>
    </row>
    <row r="546" spans="1:11" x14ac:dyDescent="0.3">
      <c r="A546" s="4" t="s">
        <v>555</v>
      </c>
      <c r="B546" s="4">
        <v>44850</v>
      </c>
      <c r="C546" s="4">
        <f>IF(DatiOriginali!C546 &gt;= SogliaPicchi!$B$7,"",DatiOriginali!C546)</f>
        <v>375800</v>
      </c>
      <c r="D546" s="4">
        <v>23557</v>
      </c>
      <c r="E546" s="4">
        <f>IF(DatiOriginali!E546 &gt;= SogliaPicchi!$B$7,"",DatiOriginali!E546)</f>
        <v>102300</v>
      </c>
      <c r="F546" s="4">
        <v>556438</v>
      </c>
      <c r="G546" s="4">
        <f>IF(DatiOriginali!G546 &gt;= SogliaPicchi!$B$7,"",DatiOriginali!G546)</f>
        <v>134200</v>
      </c>
      <c r="H546" s="4">
        <v>681210</v>
      </c>
      <c r="I546" s="4">
        <f>IF(DatiOriginali!I546 &gt;= SogliaPicchi!$B$7,"",DatiOriginali!I546)</f>
        <v>39600</v>
      </c>
      <c r="J546" s="4">
        <v>677946</v>
      </c>
      <c r="K546" s="4">
        <f>IF(DatiOriginali!K546 &gt;= SogliaPicchi!$B$7,"",DatiOriginali!K546)</f>
        <v>46000</v>
      </c>
    </row>
    <row r="547" spans="1:11" x14ac:dyDescent="0.3">
      <c r="A547" s="4" t="s">
        <v>556</v>
      </c>
      <c r="B547" s="4">
        <v>44850</v>
      </c>
      <c r="C547" s="4">
        <f>IF(DatiOriginali!C547 &gt;= SogliaPicchi!$B$7,"",DatiOriginali!C547)</f>
        <v>286300</v>
      </c>
      <c r="D547" s="4">
        <v>21308</v>
      </c>
      <c r="E547" s="4">
        <f>IF(DatiOriginali!E547 &gt;= SogliaPicchi!$B$7,"",DatiOriginali!E547)</f>
        <v>79000</v>
      </c>
      <c r="F547" s="4">
        <v>558526</v>
      </c>
      <c r="G547" s="4">
        <f>IF(DatiOriginali!G547 &gt;= SogliaPicchi!$B$7,"",DatiOriginali!G547)</f>
        <v>99900</v>
      </c>
      <c r="H547" s="4">
        <v>683946</v>
      </c>
      <c r="I547" s="4">
        <f>IF(DatiOriginali!I547 &gt;= SogliaPicchi!$B$7,"",DatiOriginali!I547)</f>
        <v>33500</v>
      </c>
      <c r="J547" s="4">
        <v>680442</v>
      </c>
      <c r="K547" s="4">
        <f>IF(DatiOriginali!K547 &gt;= SogliaPicchi!$B$7,"",DatiOriginali!K547)</f>
        <v>36600</v>
      </c>
    </row>
    <row r="548" spans="1:11" x14ac:dyDescent="0.3">
      <c r="A548" s="4" t="s">
        <v>557</v>
      </c>
      <c r="B548" s="4">
        <v>44850</v>
      </c>
      <c r="C548" s="4">
        <f>IF(DatiOriginali!C548 &gt;= SogliaPicchi!$B$7,"",DatiOriginali!C548)</f>
        <v>310700</v>
      </c>
      <c r="D548" s="4">
        <v>23434</v>
      </c>
      <c r="E548" s="4">
        <f>IF(DatiOriginali!E548 &gt;= SogliaPicchi!$B$7,"",DatiOriginali!E548)</f>
        <v>93700</v>
      </c>
      <c r="F548" s="4">
        <v>560614</v>
      </c>
      <c r="G548" s="4">
        <f>IF(DatiOriginali!G548 &gt;= SogliaPicchi!$B$7,"",DatiOriginali!G548)</f>
        <v>99800</v>
      </c>
      <c r="H548" s="4">
        <v>686442</v>
      </c>
      <c r="I548" s="4">
        <f>IF(DatiOriginali!I548 &gt;= SogliaPicchi!$B$7,"",DatiOriginali!I548)</f>
        <v>32400</v>
      </c>
      <c r="J548" s="4">
        <v>683004</v>
      </c>
      <c r="K548" s="4">
        <f>IF(DatiOriginali!K548 &gt;= SogliaPicchi!$B$7,"",DatiOriginali!K548)</f>
        <v>36700</v>
      </c>
    </row>
    <row r="549" spans="1:11" x14ac:dyDescent="0.3">
      <c r="A549" s="4" t="s">
        <v>558</v>
      </c>
      <c r="B549" s="4">
        <v>44850</v>
      </c>
      <c r="C549" s="4">
        <f>IF(DatiOriginali!C549 &gt;= SogliaPicchi!$B$7,"",DatiOriginali!C549)</f>
        <v>317700</v>
      </c>
      <c r="D549" s="4">
        <v>22851</v>
      </c>
      <c r="E549" s="4">
        <f>IF(DatiOriginali!E549 &gt;= SogliaPicchi!$B$7,"",DatiOriginali!E549)</f>
        <v>85300</v>
      </c>
      <c r="F549" s="4">
        <v>562711</v>
      </c>
      <c r="G549" s="4">
        <f>IF(DatiOriginali!G549 &gt;= SogliaPicchi!$B$7,"",DatiOriginali!G549)</f>
        <v>101000</v>
      </c>
      <c r="H549" s="4">
        <v>688812</v>
      </c>
      <c r="I549" s="4">
        <f>IF(DatiOriginali!I549 &gt;= SogliaPicchi!$B$7,"",DatiOriginali!I549)</f>
        <v>31600</v>
      </c>
      <c r="J549" s="4">
        <v>685858</v>
      </c>
      <c r="K549" s="4">
        <f>IF(DatiOriginali!K549 &gt;= SogliaPicchi!$B$7,"",DatiOriginali!K549)</f>
        <v>36100</v>
      </c>
    </row>
    <row r="550" spans="1:11" x14ac:dyDescent="0.3">
      <c r="A550" s="4" t="s">
        <v>559</v>
      </c>
      <c r="B550" s="4">
        <v>44850</v>
      </c>
      <c r="C550" s="4">
        <f>IF(DatiOriginali!C550 &gt;= SogliaPicchi!$B$7,"",DatiOriginali!C550)</f>
        <v>313300</v>
      </c>
      <c r="D550" s="4">
        <v>24642</v>
      </c>
      <c r="E550" s="4">
        <f>IF(DatiOriginali!E550 &gt;= SogliaPicchi!$B$7,"",DatiOriginali!E550)</f>
        <v>89000</v>
      </c>
      <c r="F550" s="4">
        <v>564800</v>
      </c>
      <c r="G550" s="4">
        <f>IF(DatiOriginali!G550 &gt;= SogliaPicchi!$B$7,"",DatiOriginali!G550)</f>
        <v>110800</v>
      </c>
      <c r="H550" s="4">
        <v>691794</v>
      </c>
      <c r="I550" s="4">
        <f>IF(DatiOriginali!I550 &gt;= SogliaPicchi!$B$7,"",DatiOriginali!I550)</f>
        <v>33000</v>
      </c>
      <c r="J550" s="4">
        <v>688363</v>
      </c>
      <c r="K550" s="4">
        <f>IF(DatiOriginali!K550 &gt;= SogliaPicchi!$B$7,"",DatiOriginali!K550)</f>
        <v>36600</v>
      </c>
    </row>
    <row r="551" spans="1:11" x14ac:dyDescent="0.3">
      <c r="A551" s="4" t="s">
        <v>560</v>
      </c>
      <c r="B551" s="4">
        <v>44850</v>
      </c>
      <c r="C551" s="4">
        <f>IF(DatiOriginali!C551 &gt;= SogliaPicchi!$B$7,"",DatiOriginali!C551)</f>
        <v>309400</v>
      </c>
      <c r="D551" s="4">
        <v>22542</v>
      </c>
      <c r="E551" s="4">
        <f>IF(DatiOriginali!E551 &gt;= SogliaPicchi!$B$7,"",DatiOriginali!E551)</f>
        <v>85400</v>
      </c>
      <c r="F551" s="4">
        <v>566890</v>
      </c>
      <c r="G551" s="4">
        <f>IF(DatiOriginali!G551 &gt;= SogliaPicchi!$B$7,"",DatiOriginali!G551)</f>
        <v>117200</v>
      </c>
      <c r="H551" s="4">
        <v>694103</v>
      </c>
      <c r="I551" s="4">
        <f>IF(DatiOriginali!I551 &gt;= SogliaPicchi!$B$7,"",DatiOriginali!I551)</f>
        <v>33600</v>
      </c>
      <c r="J551" s="4">
        <v>690777</v>
      </c>
      <c r="K551" s="4">
        <f>IF(DatiOriginali!K551 &gt;= SogliaPicchi!$B$7,"",DatiOriginali!K551)</f>
        <v>37500</v>
      </c>
    </row>
    <row r="552" spans="1:11" x14ac:dyDescent="0.3">
      <c r="A552" s="4" t="s">
        <v>561</v>
      </c>
      <c r="B552" s="4">
        <v>44850</v>
      </c>
      <c r="C552" s="4">
        <f>IF(DatiOriginali!C552 &gt;= SogliaPicchi!$B$7,"",DatiOriginali!C552)</f>
        <v>299600</v>
      </c>
      <c r="D552" s="4">
        <v>22593</v>
      </c>
      <c r="E552" s="4">
        <f>IF(DatiOriginali!E552 &gt;= SogliaPicchi!$B$7,"",DatiOriginali!E552)</f>
        <v>82200</v>
      </c>
      <c r="F552" s="4">
        <v>568993</v>
      </c>
      <c r="G552" s="4">
        <f>IF(DatiOriginali!G552 &gt;= SogliaPicchi!$B$7,"",DatiOriginali!G552)</f>
        <v>113600</v>
      </c>
      <c r="H552" s="4">
        <v>696772</v>
      </c>
      <c r="I552" s="4">
        <f>IF(DatiOriginali!I552 &gt;= SogliaPicchi!$B$7,"",DatiOriginali!I552)</f>
        <v>31000</v>
      </c>
      <c r="J552" s="4">
        <v>693630</v>
      </c>
      <c r="K552" s="4">
        <f>IF(DatiOriginali!K552 &gt;= SogliaPicchi!$B$7,"",DatiOriginali!K552)</f>
        <v>38300</v>
      </c>
    </row>
    <row r="553" spans="1:11" x14ac:dyDescent="0.3">
      <c r="A553" s="4" t="s">
        <v>562</v>
      </c>
      <c r="B553" s="4">
        <v>44850</v>
      </c>
      <c r="C553" s="4">
        <f>IF(DatiOriginali!C553 &gt;= SogliaPicchi!$B$7,"",DatiOriginali!C553)</f>
        <v>278300</v>
      </c>
      <c r="D553" s="4">
        <v>22196</v>
      </c>
      <c r="E553" s="4">
        <f>IF(DatiOriginali!E553 &gt;= SogliaPicchi!$B$7,"",DatiOriginali!E553)</f>
        <v>80700</v>
      </c>
      <c r="F553" s="4">
        <v>571081</v>
      </c>
      <c r="G553" s="4">
        <f>IF(DatiOriginali!G553 &gt;= SogliaPicchi!$B$7,"",DatiOriginali!G553)</f>
        <v>111900</v>
      </c>
      <c r="H553" s="4">
        <v>699368</v>
      </c>
      <c r="I553" s="4">
        <f>IF(DatiOriginali!I553 &gt;= SogliaPicchi!$B$7,"",DatiOriginali!I553)</f>
        <v>32100</v>
      </c>
      <c r="J553" s="4">
        <v>696179</v>
      </c>
      <c r="K553" s="4">
        <f>IF(DatiOriginali!K553 &gt;= SogliaPicchi!$B$7,"",DatiOriginali!K553)</f>
        <v>36600</v>
      </c>
    </row>
    <row r="554" spans="1:11" x14ac:dyDescent="0.3">
      <c r="A554" s="4" t="s">
        <v>563</v>
      </c>
      <c r="B554" s="4">
        <v>44850</v>
      </c>
      <c r="C554" s="4">
        <f>IF(DatiOriginali!C554 &gt;= SogliaPicchi!$B$7,"",DatiOriginali!C554)</f>
        <v>302500</v>
      </c>
      <c r="D554" s="4">
        <v>22992</v>
      </c>
      <c r="E554" s="4">
        <f>IF(DatiOriginali!E554 &gt;= SogliaPicchi!$B$7,"",DatiOriginali!E554)</f>
        <v>83700</v>
      </c>
      <c r="F554" s="4">
        <v>573180</v>
      </c>
      <c r="G554" s="4">
        <f>IF(DatiOriginali!G554 &gt;= SogliaPicchi!$B$7,"",DatiOriginali!G554)</f>
        <v>113800</v>
      </c>
      <c r="H554" s="4">
        <v>702008</v>
      </c>
      <c r="I554" s="4">
        <f>IF(DatiOriginali!I554 &gt;= SogliaPicchi!$B$7,"",DatiOriginali!I554)</f>
        <v>31600</v>
      </c>
      <c r="J554" s="4">
        <v>698936</v>
      </c>
      <c r="K554" s="4">
        <f>IF(DatiOriginali!K554 &gt;= SogliaPicchi!$B$7,"",DatiOriginali!K554)</f>
        <v>38200</v>
      </c>
    </row>
    <row r="555" spans="1:11" x14ac:dyDescent="0.3">
      <c r="A555" s="4" t="s">
        <v>564</v>
      </c>
      <c r="B555" s="4">
        <v>44850</v>
      </c>
      <c r="C555" s="4">
        <f>IF(DatiOriginali!C555 &gt;= SogliaPicchi!$B$7,"",DatiOriginali!C555)</f>
        <v>285300</v>
      </c>
      <c r="D555" s="4">
        <v>22187</v>
      </c>
      <c r="E555" s="4">
        <f>IF(DatiOriginali!E555 &gt;= SogliaPicchi!$B$7,"",DatiOriginali!E555)</f>
        <v>84300</v>
      </c>
      <c r="F555" s="4">
        <v>575282</v>
      </c>
      <c r="G555" s="4">
        <f>IF(DatiOriginali!G555 &gt;= SogliaPicchi!$B$7,"",DatiOriginali!G555)</f>
        <v>117200</v>
      </c>
      <c r="H555" s="4">
        <v>704308</v>
      </c>
      <c r="I555" s="4">
        <f>IF(DatiOriginali!I555 &gt;= SogliaPicchi!$B$7,"",DatiOriginali!I555)</f>
        <v>32900</v>
      </c>
      <c r="J555" s="4">
        <v>701721</v>
      </c>
      <c r="K555" s="4">
        <f>IF(DatiOriginali!K555 &gt;= SogliaPicchi!$B$7,"",DatiOriginali!K555)</f>
        <v>39500</v>
      </c>
    </row>
    <row r="556" spans="1:11" x14ac:dyDescent="0.3">
      <c r="A556" s="4" t="s">
        <v>565</v>
      </c>
      <c r="B556" s="4">
        <v>44850</v>
      </c>
      <c r="C556" s="4">
        <f>IF(DatiOriginali!C556 &gt;= SogliaPicchi!$B$7,"",DatiOriginali!C556)</f>
        <v>368300</v>
      </c>
      <c r="D556" s="4">
        <v>24069</v>
      </c>
      <c r="E556" s="4">
        <f>IF(DatiOriginali!E556 &gt;= SogliaPicchi!$B$7,"",DatiOriginali!E556)</f>
        <v>106800</v>
      </c>
      <c r="F556" s="4">
        <v>577388</v>
      </c>
      <c r="G556" s="4">
        <f>IF(DatiOriginali!G556 &gt;= SogliaPicchi!$B$7,"",DatiOriginali!G556)</f>
        <v>113700</v>
      </c>
      <c r="H556" s="4">
        <v>706955</v>
      </c>
      <c r="I556" s="4">
        <f>IF(DatiOriginali!I556 &gt;= SogliaPicchi!$B$7,"",DatiOriginali!I556)</f>
        <v>32500</v>
      </c>
      <c r="J556" s="4">
        <v>704421</v>
      </c>
      <c r="K556" s="4">
        <f>IF(DatiOriginali!K556 &gt;= SogliaPicchi!$B$7,"",DatiOriginali!K556)</f>
        <v>36800</v>
      </c>
    </row>
    <row r="557" spans="1:11" x14ac:dyDescent="0.3">
      <c r="A557" s="4" t="s">
        <v>566</v>
      </c>
      <c r="B557" s="4">
        <v>44850</v>
      </c>
      <c r="C557" s="4">
        <f>IF(DatiOriginali!C557 &gt;= SogliaPicchi!$B$7,"",DatiOriginali!C557)</f>
        <v>343100</v>
      </c>
      <c r="D557" s="4">
        <v>22578</v>
      </c>
      <c r="E557" s="4">
        <f>IF(DatiOriginali!E557 &gt;= SogliaPicchi!$B$7,"",DatiOriginali!E557)</f>
        <v>98100</v>
      </c>
      <c r="F557" s="4">
        <v>579499</v>
      </c>
      <c r="G557" s="4">
        <f>IF(DatiOriginali!G557 &gt;= SogliaPicchi!$B$7,"",DatiOriginali!G557)</f>
        <v>120500</v>
      </c>
      <c r="H557" s="4">
        <v>709303</v>
      </c>
      <c r="I557" s="4">
        <f>IF(DatiOriginali!I557 &gt;= SogliaPicchi!$B$7,"",DatiOriginali!I557)</f>
        <v>38200</v>
      </c>
      <c r="J557" s="4">
        <v>706906</v>
      </c>
      <c r="K557" s="4">
        <f>IF(DatiOriginali!K557 &gt;= SogliaPicchi!$B$7,"",DatiOriginali!K557)</f>
        <v>43600</v>
      </c>
    </row>
    <row r="558" spans="1:11" x14ac:dyDescent="0.3">
      <c r="A558" s="4" t="s">
        <v>567</v>
      </c>
      <c r="B558" s="4">
        <v>44850</v>
      </c>
      <c r="C558" s="4">
        <f>IF(DatiOriginali!C558 &gt;= SogliaPicchi!$B$7,"",DatiOriginali!C558)</f>
        <v>299300</v>
      </c>
      <c r="D558" s="4">
        <v>21948</v>
      </c>
      <c r="E558" s="4">
        <f>IF(DatiOriginali!E558 &gt;= SogliaPicchi!$B$7,"",DatiOriginali!E558)</f>
        <v>80200</v>
      </c>
      <c r="F558" s="4">
        <v>581618</v>
      </c>
      <c r="G558" s="4">
        <f>IF(DatiOriginali!G558 &gt;= SogliaPicchi!$B$7,"",DatiOriginali!G558)</f>
        <v>181400</v>
      </c>
      <c r="H558" s="4">
        <v>711869</v>
      </c>
      <c r="I558" s="4">
        <f>IF(DatiOriginali!I558 &gt;= SogliaPicchi!$B$7,"",DatiOriginali!I558)</f>
        <v>38900</v>
      </c>
      <c r="J558" s="4">
        <v>709485</v>
      </c>
      <c r="K558" s="4">
        <f>IF(DatiOriginali!K558 &gt;= SogliaPicchi!$B$7,"",DatiOriginali!K558)</f>
        <v>46200</v>
      </c>
    </row>
    <row r="559" spans="1:11" x14ac:dyDescent="0.3">
      <c r="A559" s="4" t="s">
        <v>568</v>
      </c>
      <c r="B559" s="4">
        <v>44850</v>
      </c>
      <c r="C559" s="4">
        <f>IF(DatiOriginali!C559 &gt;= SogliaPicchi!$B$7,"",DatiOriginali!C559)</f>
        <v>303500</v>
      </c>
      <c r="D559" s="4">
        <v>22148</v>
      </c>
      <c r="E559" s="4">
        <f>IF(DatiOriginali!E559 &gt;= SogliaPicchi!$B$7,"",DatiOriginali!E559)</f>
        <v>83800</v>
      </c>
      <c r="F559" s="4">
        <v>583715</v>
      </c>
      <c r="G559" s="4">
        <f>IF(DatiOriginali!G559 &gt;= SogliaPicchi!$B$7,"",DatiOriginali!G559)</f>
        <v>112200</v>
      </c>
      <c r="H559" s="4">
        <v>714367</v>
      </c>
      <c r="I559" s="4">
        <f>IF(DatiOriginali!I559 &gt;= SogliaPicchi!$B$7,"",DatiOriginali!I559)</f>
        <v>36700</v>
      </c>
      <c r="J559" s="4">
        <v>712058</v>
      </c>
      <c r="K559" s="4">
        <f>IF(DatiOriginali!K559 &gt;= SogliaPicchi!$B$7,"",DatiOriginali!K559)</f>
        <v>38600</v>
      </c>
    </row>
    <row r="560" spans="1:11" x14ac:dyDescent="0.3">
      <c r="A560" s="4" t="s">
        <v>569</v>
      </c>
      <c r="B560" s="4">
        <v>44850</v>
      </c>
      <c r="C560" s="4">
        <f>IF(DatiOriginali!C560 &gt;= SogliaPicchi!$B$7,"",DatiOriginali!C560)</f>
        <v>294100</v>
      </c>
      <c r="D560" s="4">
        <v>22063</v>
      </c>
      <c r="E560" s="4">
        <f>IF(DatiOriginali!E560 &gt;= SogliaPicchi!$B$7,"",DatiOriginali!E560)</f>
        <v>80200</v>
      </c>
      <c r="F560" s="4">
        <v>585811</v>
      </c>
      <c r="G560" s="4">
        <f>IF(DatiOriginali!G560 &gt;= SogliaPicchi!$B$7,"",DatiOriginali!G560)</f>
        <v>111800</v>
      </c>
      <c r="H560" s="4">
        <v>716903</v>
      </c>
      <c r="I560" s="4">
        <f>IF(DatiOriginali!I560 &gt;= SogliaPicchi!$B$7,"",DatiOriginali!I560)</f>
        <v>31500</v>
      </c>
      <c r="J560" s="4">
        <v>714412</v>
      </c>
      <c r="K560" s="4">
        <f>IF(DatiOriginali!K560 &gt;= SogliaPicchi!$B$7,"",DatiOriginali!K560)</f>
        <v>36800</v>
      </c>
    </row>
    <row r="561" spans="1:11" x14ac:dyDescent="0.3">
      <c r="A561" s="4" t="s">
        <v>570</v>
      </c>
      <c r="B561" s="4">
        <v>44850</v>
      </c>
      <c r="C561" s="4">
        <f>IF(DatiOriginali!C561 &gt;= SogliaPicchi!$B$7,"",DatiOriginali!C561)</f>
        <v>264200</v>
      </c>
      <c r="D561" s="4">
        <v>23288</v>
      </c>
      <c r="E561" s="4">
        <f>IF(DatiOriginali!E561 &gt;= SogliaPicchi!$B$7,"",DatiOriginali!E561)</f>
        <v>84500</v>
      </c>
      <c r="F561" s="4">
        <v>587898</v>
      </c>
      <c r="G561" s="4">
        <f>IF(DatiOriginali!G561 &gt;= SogliaPicchi!$B$7,"",DatiOriginali!G561)</f>
        <v>111800</v>
      </c>
      <c r="H561" s="4">
        <v>719562</v>
      </c>
      <c r="I561" s="4">
        <f>IF(DatiOriginali!I561 &gt;= SogliaPicchi!$B$7,"",DatiOriginali!I561)</f>
        <v>31900</v>
      </c>
      <c r="J561" s="4">
        <v>716957</v>
      </c>
      <c r="K561" s="4">
        <f>IF(DatiOriginali!K561 &gt;= SogliaPicchi!$B$7,"",DatiOriginali!K561)</f>
        <v>36800</v>
      </c>
    </row>
    <row r="562" spans="1:11" x14ac:dyDescent="0.3">
      <c r="A562" s="4" t="s">
        <v>571</v>
      </c>
      <c r="B562" s="4">
        <v>44850</v>
      </c>
      <c r="C562" s="4">
        <f>IF(DatiOriginali!C562 &gt;= SogliaPicchi!$B$7,"",DatiOriginali!C562)</f>
        <v>284200</v>
      </c>
      <c r="D562" s="4">
        <v>21788</v>
      </c>
      <c r="E562" s="4">
        <f>IF(DatiOriginali!E562 &gt;= SogliaPicchi!$B$7,"",DatiOriginali!E562)</f>
        <v>80900</v>
      </c>
      <c r="F562" s="4">
        <v>589996</v>
      </c>
      <c r="G562" s="4">
        <f>IF(DatiOriginali!G562 &gt;= SogliaPicchi!$B$7,"",DatiOriginali!G562)</f>
        <v>116300</v>
      </c>
      <c r="H562" s="4">
        <v>722403</v>
      </c>
      <c r="I562" s="4">
        <f>IF(DatiOriginali!I562 &gt;= SogliaPicchi!$B$7,"",DatiOriginali!I562)</f>
        <v>32400</v>
      </c>
      <c r="J562" s="4">
        <v>719410</v>
      </c>
      <c r="K562" s="4">
        <f>IF(DatiOriginali!K562 &gt;= SogliaPicchi!$B$7,"",DatiOriginali!K562)</f>
        <v>35500</v>
      </c>
    </row>
    <row r="563" spans="1:11" x14ac:dyDescent="0.3">
      <c r="A563" s="4" t="s">
        <v>572</v>
      </c>
      <c r="B563" s="4">
        <v>44850</v>
      </c>
      <c r="C563" s="4">
        <f>IF(DatiOriginali!C563 &gt;= SogliaPicchi!$B$7,"",DatiOriginali!C563)</f>
        <v>295500</v>
      </c>
      <c r="D563" s="4">
        <v>23256</v>
      </c>
      <c r="E563" s="4">
        <f>IF(DatiOriginali!E563 &gt;= SogliaPicchi!$B$7,"",DatiOriginali!E563)</f>
        <v>84700</v>
      </c>
      <c r="F563" s="4">
        <v>592094</v>
      </c>
      <c r="G563" s="4">
        <f>IF(DatiOriginali!G563 &gt;= SogliaPicchi!$B$7,"",DatiOriginali!G563)</f>
        <v>111800</v>
      </c>
      <c r="H563" s="4">
        <v>725193</v>
      </c>
      <c r="I563" s="4">
        <f>IF(DatiOriginali!I563 &gt;= SogliaPicchi!$B$7,"",DatiOriginali!I563)</f>
        <v>32600</v>
      </c>
      <c r="J563" s="4">
        <v>721845</v>
      </c>
      <c r="K563" s="4">
        <f>IF(DatiOriginali!K563 &gt;= SogliaPicchi!$B$7,"",DatiOriginali!K563)</f>
        <v>36300</v>
      </c>
    </row>
    <row r="564" spans="1:11" x14ac:dyDescent="0.3">
      <c r="A564" s="4" t="s">
        <v>573</v>
      </c>
      <c r="B564" s="4">
        <v>44850</v>
      </c>
      <c r="C564" s="4">
        <f>IF(DatiOriginali!C564 &gt;= SogliaPicchi!$B$7,"",DatiOriginali!C564)</f>
        <v>308300</v>
      </c>
      <c r="D564" s="4">
        <v>23105</v>
      </c>
      <c r="E564" s="4">
        <f>IF(DatiOriginali!E564 &gt;= SogliaPicchi!$B$7,"",DatiOriginali!E564)</f>
        <v>83100</v>
      </c>
      <c r="F564" s="4">
        <v>594168</v>
      </c>
      <c r="G564" s="4">
        <f>IF(DatiOriginali!G564 &gt;= SogliaPicchi!$B$7,"",DatiOriginali!G564)</f>
        <v>111500</v>
      </c>
      <c r="H564" s="4">
        <v>727733</v>
      </c>
      <c r="I564" s="4">
        <f>IF(DatiOriginali!I564 &gt;= SogliaPicchi!$B$7,"",DatiOriginali!I564)</f>
        <v>31800</v>
      </c>
      <c r="J564" s="4">
        <v>724244</v>
      </c>
      <c r="K564" s="4">
        <f>IF(DatiOriginali!K564 &gt;= SogliaPicchi!$B$7,"",DatiOriginali!K564)</f>
        <v>36100</v>
      </c>
    </row>
    <row r="565" spans="1:11" x14ac:dyDescent="0.3">
      <c r="A565" s="4" t="s">
        <v>574</v>
      </c>
      <c r="B565" s="4">
        <v>44850</v>
      </c>
      <c r="C565" s="4">
        <f>IF(DatiOriginali!C565 &gt;= SogliaPicchi!$B$7,"",DatiOriginali!C565)</f>
        <v>281400</v>
      </c>
      <c r="D565" s="4">
        <v>23062</v>
      </c>
      <c r="E565" s="4">
        <f>IF(DatiOriginali!E565 &gt;= SogliaPicchi!$B$7,"",DatiOriginali!E565)</f>
        <v>83500</v>
      </c>
      <c r="F565" s="4">
        <v>596259</v>
      </c>
      <c r="G565" s="4">
        <f>IF(DatiOriginali!G565 &gt;= SogliaPicchi!$B$7,"",DatiOriginali!G565)</f>
        <v>111000</v>
      </c>
      <c r="H565" s="4">
        <v>730440</v>
      </c>
      <c r="I565" s="4">
        <f>IF(DatiOriginali!I565 &gt;= SogliaPicchi!$B$7,"",DatiOriginali!I565)</f>
        <v>32600</v>
      </c>
      <c r="J565" s="4">
        <v>727006</v>
      </c>
      <c r="K565" s="4">
        <f>IF(DatiOriginali!K565 &gt;= SogliaPicchi!$B$7,"",DatiOriginali!K565)</f>
        <v>39400</v>
      </c>
    </row>
    <row r="566" spans="1:11" x14ac:dyDescent="0.3">
      <c r="A566" s="4" t="s">
        <v>575</v>
      </c>
      <c r="B566" s="4">
        <v>44850</v>
      </c>
      <c r="C566" s="4">
        <f>IF(DatiOriginali!C566 &gt;= SogliaPicchi!$B$7,"",DatiOriginali!C566)</f>
        <v>370200</v>
      </c>
      <c r="D566" s="4">
        <v>22392</v>
      </c>
      <c r="E566" s="4">
        <f>IF(DatiOriginali!E566 &gt;= SogliaPicchi!$B$7,"",DatiOriginali!E566)</f>
        <v>97500</v>
      </c>
      <c r="F566" s="4">
        <v>598358</v>
      </c>
      <c r="G566" s="4">
        <f>IF(DatiOriginali!G566 &gt;= SogliaPicchi!$B$7,"",DatiOriginali!G566)</f>
        <v>125400</v>
      </c>
      <c r="H566" s="4">
        <v>732803</v>
      </c>
      <c r="I566" s="4">
        <f>IF(DatiOriginali!I566 &gt;= SogliaPicchi!$B$7,"",DatiOriginali!I566)</f>
        <v>39200</v>
      </c>
      <c r="J566" s="4">
        <v>729413</v>
      </c>
      <c r="K566" s="4">
        <f>IF(DatiOriginali!K566 &gt;= SogliaPicchi!$B$7,"",DatiOriginali!K566)</f>
        <v>45300</v>
      </c>
    </row>
    <row r="567" spans="1:11" x14ac:dyDescent="0.3">
      <c r="A567" s="4" t="s">
        <v>576</v>
      </c>
      <c r="B567" s="4">
        <v>44850</v>
      </c>
      <c r="C567" s="4">
        <f>IF(DatiOriginali!C567 &gt;= SogliaPicchi!$B$7,"",DatiOriginali!C567)</f>
        <v>331400</v>
      </c>
      <c r="D567" s="4">
        <v>23857</v>
      </c>
      <c r="E567" s="4">
        <f>IF(DatiOriginali!E567 &gt;= SogliaPicchi!$B$7,"",DatiOriginali!E567)</f>
        <v>103900</v>
      </c>
      <c r="F567" s="4">
        <v>600445</v>
      </c>
      <c r="G567" s="4">
        <f>IF(DatiOriginali!G567 &gt;= SogliaPicchi!$B$7,"",DatiOriginali!G567)</f>
        <v>120300</v>
      </c>
      <c r="H567" s="4">
        <v>735650</v>
      </c>
      <c r="I567" s="4">
        <f>IF(DatiOriginali!I567 &gt;= SogliaPicchi!$B$7,"",DatiOriginali!I567)</f>
        <v>38100</v>
      </c>
      <c r="J567" s="4">
        <v>732298</v>
      </c>
      <c r="K567" s="4">
        <f>IF(DatiOriginali!K567 &gt;= SogliaPicchi!$B$7,"",DatiOriginali!K567)</f>
        <v>44800</v>
      </c>
    </row>
    <row r="568" spans="1:11" x14ac:dyDescent="0.3">
      <c r="A568" s="4" t="s">
        <v>577</v>
      </c>
      <c r="B568" s="4">
        <v>44850</v>
      </c>
      <c r="C568" s="4">
        <f>IF(DatiOriginali!C568 &gt;= SogliaPicchi!$B$7,"",DatiOriginali!C568)</f>
        <v>306700</v>
      </c>
      <c r="D568" s="4">
        <v>22070</v>
      </c>
      <c r="E568" s="4">
        <f>IF(DatiOriginali!E568 &gt;= SogliaPicchi!$B$7,"",DatiOriginali!E568)</f>
        <v>80000</v>
      </c>
      <c r="F568" s="4">
        <v>602557</v>
      </c>
      <c r="G568" s="4">
        <f>IF(DatiOriginali!G568 &gt;= SogliaPicchi!$B$7,"",DatiOriginali!G568)</f>
        <v>110200</v>
      </c>
      <c r="H568" s="4">
        <v>738131</v>
      </c>
      <c r="I568" s="4">
        <f>IF(DatiOriginali!I568 &gt;= SogliaPicchi!$B$7,"",DatiOriginali!I568)</f>
        <v>32100</v>
      </c>
      <c r="J568" s="4">
        <v>734978</v>
      </c>
      <c r="K568" s="4">
        <f>IF(DatiOriginali!K568 &gt;= SogliaPicchi!$B$7,"",DatiOriginali!K568)</f>
        <v>36400</v>
      </c>
    </row>
    <row r="569" spans="1:11" x14ac:dyDescent="0.3">
      <c r="A569" s="4" t="s">
        <v>578</v>
      </c>
      <c r="B569" s="4">
        <v>44850</v>
      </c>
      <c r="C569" s="4">
        <f>IF(DatiOriginali!C569 &gt;= SogliaPicchi!$B$7,"",DatiOriginali!C569)</f>
        <v>293900</v>
      </c>
      <c r="D569" s="4">
        <v>22334</v>
      </c>
      <c r="E569" s="4">
        <f>IF(DatiOriginali!E569 &gt;= SogliaPicchi!$B$7,"",DatiOriginali!E569)</f>
        <v>81300</v>
      </c>
      <c r="F569" s="4">
        <v>604666</v>
      </c>
      <c r="G569" s="4">
        <f>IF(DatiOriginali!G569 &gt;= SogliaPicchi!$B$7,"",DatiOriginali!G569)</f>
        <v>112500</v>
      </c>
      <c r="H569" s="4">
        <v>740767</v>
      </c>
      <c r="I569" s="4">
        <f>IF(DatiOriginali!I569 &gt;= SogliaPicchi!$B$7,"",DatiOriginali!I569)</f>
        <v>32500</v>
      </c>
      <c r="J569" s="4">
        <v>737601</v>
      </c>
      <c r="K569" s="4">
        <f>IF(DatiOriginali!K569 &gt;= SogliaPicchi!$B$7,"",DatiOriginali!K569)</f>
        <v>38400</v>
      </c>
    </row>
    <row r="570" spans="1:11" x14ac:dyDescent="0.3">
      <c r="A570" s="4" t="s">
        <v>579</v>
      </c>
      <c r="B570" s="4">
        <v>44850</v>
      </c>
      <c r="C570" s="4">
        <f>IF(DatiOriginali!C570 &gt;= SogliaPicchi!$B$7,"",DatiOriginali!C570)</f>
        <v>308600</v>
      </c>
      <c r="D570" s="4">
        <v>22725</v>
      </c>
      <c r="E570" s="4">
        <f>IF(DatiOriginali!E570 &gt;= SogliaPicchi!$B$7,"",DatiOriginali!E570)</f>
        <v>84800</v>
      </c>
      <c r="F570" s="4">
        <v>606763</v>
      </c>
      <c r="G570" s="4">
        <f>IF(DatiOriginali!G570 &gt;= SogliaPicchi!$B$7,"",DatiOriginali!G570)</f>
        <v>112300</v>
      </c>
      <c r="H570" s="4">
        <v>743387</v>
      </c>
      <c r="I570" s="4">
        <f>IF(DatiOriginali!I570 &gt;= SogliaPicchi!$B$7,"",DatiOriginali!I570)</f>
        <v>32700</v>
      </c>
      <c r="J570" s="4">
        <v>740238</v>
      </c>
      <c r="K570" s="4">
        <f>IF(DatiOriginali!K570 &gt;= SogliaPicchi!$B$7,"",DatiOriginali!K570)</f>
        <v>35800</v>
      </c>
    </row>
    <row r="571" spans="1:11" x14ac:dyDescent="0.3">
      <c r="A571" s="4" t="s">
        <v>580</v>
      </c>
      <c r="B571" s="4">
        <v>44850</v>
      </c>
      <c r="C571" s="4">
        <f>IF(DatiOriginali!C571 &gt;= SogliaPicchi!$B$7,"",DatiOriginali!C571)</f>
        <v>291200</v>
      </c>
      <c r="D571" s="4">
        <v>22144</v>
      </c>
      <c r="E571" s="4">
        <f>IF(DatiOriginali!E571 &gt;= SogliaPicchi!$B$7,"",DatiOriginali!E571)</f>
        <v>81200</v>
      </c>
      <c r="F571" s="4">
        <v>608861</v>
      </c>
      <c r="G571" s="4">
        <f>IF(DatiOriginali!G571 &gt;= SogliaPicchi!$B$7,"",DatiOriginali!G571)</f>
        <v>112500</v>
      </c>
      <c r="H571" s="4">
        <v>745938</v>
      </c>
      <c r="I571" s="4">
        <f>IF(DatiOriginali!I571 &gt;= SogliaPicchi!$B$7,"",DatiOriginali!I571)</f>
        <v>31300</v>
      </c>
      <c r="J571" s="4">
        <v>743159</v>
      </c>
      <c r="K571" s="4">
        <f>IF(DatiOriginali!K571 &gt;= SogliaPicchi!$B$7,"",DatiOriginali!K571)</f>
        <v>39700</v>
      </c>
    </row>
    <row r="572" spans="1:11" x14ac:dyDescent="0.3">
      <c r="A572" s="4" t="s">
        <v>581</v>
      </c>
      <c r="B572" s="4">
        <v>44850</v>
      </c>
      <c r="C572" s="4">
        <f>IF(DatiOriginali!C572 &gt;= SogliaPicchi!$B$7,"",DatiOriginali!C572)</f>
        <v>271000</v>
      </c>
      <c r="D572" s="4">
        <v>23475</v>
      </c>
      <c r="E572" s="4">
        <f>IF(DatiOriginali!E572 &gt;= SogliaPicchi!$B$7,"",DatiOriginali!E572)</f>
        <v>90100</v>
      </c>
      <c r="F572" s="4">
        <v>610954</v>
      </c>
      <c r="G572" s="4">
        <f>IF(DatiOriginali!G572 &gt;= SogliaPicchi!$B$7,"",DatiOriginali!G572)</f>
        <v>122100</v>
      </c>
      <c r="H572" s="4">
        <v>748713</v>
      </c>
      <c r="I572" s="4">
        <f>IF(DatiOriginali!I572 &gt;= SogliaPicchi!$B$7,"",DatiOriginali!I572)</f>
        <v>31200</v>
      </c>
      <c r="J572" s="4">
        <v>745383</v>
      </c>
      <c r="K572" s="4">
        <f>IF(DatiOriginali!K572 &gt;= SogliaPicchi!$B$7,"",DatiOriginali!K572)</f>
        <v>36900</v>
      </c>
    </row>
    <row r="573" spans="1:11" x14ac:dyDescent="0.3">
      <c r="A573" s="4" t="s">
        <v>582</v>
      </c>
      <c r="B573" s="4">
        <v>44850</v>
      </c>
      <c r="C573" s="4">
        <f>IF(DatiOriginali!C573 &gt;= SogliaPicchi!$B$7,"",DatiOriginali!C573)</f>
        <v>358400</v>
      </c>
      <c r="D573" s="4">
        <v>21605</v>
      </c>
      <c r="E573" s="4">
        <f>IF(DatiOriginali!E573 &gt;= SogliaPicchi!$B$7,"",DatiOriginali!E573)</f>
        <v>94100</v>
      </c>
      <c r="F573" s="4">
        <v>613048</v>
      </c>
      <c r="G573" s="4">
        <f>IF(DatiOriginali!G573 &gt;= SogliaPicchi!$B$7,"",DatiOriginali!G573)</f>
        <v>133300</v>
      </c>
      <c r="H573" s="4">
        <v>751277</v>
      </c>
      <c r="I573" s="4">
        <f>IF(DatiOriginali!I573 &gt;= SogliaPicchi!$B$7,"",DatiOriginali!I573)</f>
        <v>38500</v>
      </c>
      <c r="J573" s="4">
        <v>747993</v>
      </c>
      <c r="K573" s="4">
        <f>IF(DatiOriginali!K573 &gt;= SogliaPicchi!$B$7,"",DatiOriginali!K573)</f>
        <v>44700</v>
      </c>
    </row>
    <row r="574" spans="1:11" x14ac:dyDescent="0.3">
      <c r="A574" s="4" t="s">
        <v>583</v>
      </c>
      <c r="B574" s="4">
        <v>44850</v>
      </c>
      <c r="C574" s="4">
        <f>IF(DatiOriginali!C574 &gt;= SogliaPicchi!$B$7,"",DatiOriginali!C574)</f>
        <v>325400</v>
      </c>
      <c r="D574" s="4">
        <v>22717</v>
      </c>
      <c r="E574" s="4">
        <f>IF(DatiOriginali!E574 &gt;= SogliaPicchi!$B$7,"",DatiOriginali!E574)</f>
        <v>84600</v>
      </c>
      <c r="F574" s="4">
        <v>615162</v>
      </c>
      <c r="G574" s="4">
        <f>IF(DatiOriginali!G574 &gt;= SogliaPicchi!$B$7,"",DatiOriginali!G574)</f>
        <v>106200</v>
      </c>
      <c r="H574" s="4">
        <v>753607</v>
      </c>
      <c r="I574" s="4">
        <f>IF(DatiOriginali!I574 &gt;= SogliaPicchi!$B$7,"",DatiOriginali!I574)</f>
        <v>31400</v>
      </c>
      <c r="J574" s="4">
        <v>750492</v>
      </c>
      <c r="K574" s="4">
        <f>IF(DatiOriginali!K574 &gt;= SogliaPicchi!$B$7,"",DatiOriginali!K574)</f>
        <v>36400</v>
      </c>
    </row>
    <row r="575" spans="1:11" x14ac:dyDescent="0.3">
      <c r="A575" s="4" t="s">
        <v>584</v>
      </c>
      <c r="B575" s="4">
        <v>44850</v>
      </c>
      <c r="C575" s="4">
        <f>IF(DatiOriginali!C575 &gt;= SogliaPicchi!$B$7,"",DatiOriginali!C575)</f>
        <v>285000</v>
      </c>
      <c r="D575" s="4">
        <v>23143</v>
      </c>
      <c r="E575" s="4">
        <f>IF(DatiOriginali!E575 &gt;= SogliaPicchi!$B$7,"",DatiOriginali!E575)</f>
        <v>83200</v>
      </c>
      <c r="F575" s="4">
        <v>617273</v>
      </c>
      <c r="G575" s="4">
        <f>IF(DatiOriginali!G575 &gt;= SogliaPicchi!$B$7,"",DatiOriginali!G575)</f>
        <v>127800</v>
      </c>
      <c r="H575" s="4">
        <v>756292</v>
      </c>
      <c r="I575" s="4">
        <f>IF(DatiOriginali!I575 &gt;= SogliaPicchi!$B$7,"",DatiOriginali!I575)</f>
        <v>32100</v>
      </c>
      <c r="J575" s="4">
        <v>753384</v>
      </c>
      <c r="K575" s="4">
        <f>IF(DatiOriginali!K575 &gt;= SogliaPicchi!$B$7,"",DatiOriginali!K575)</f>
        <v>36100</v>
      </c>
    </row>
    <row r="576" spans="1:11" x14ac:dyDescent="0.3">
      <c r="A576" s="4" t="s">
        <v>585</v>
      </c>
      <c r="B576" s="4">
        <v>44850</v>
      </c>
      <c r="C576" s="4">
        <f>IF(DatiOriginali!C576 &gt;= SogliaPicchi!$B$7,"",DatiOriginali!C576)</f>
        <v>284400</v>
      </c>
      <c r="D576" s="4">
        <v>22407</v>
      </c>
      <c r="E576" s="4">
        <f>IF(DatiOriginali!E576 &gt;= SogliaPicchi!$B$7,"",DatiOriginali!E576)</f>
        <v>81500</v>
      </c>
      <c r="F576" s="4">
        <v>619372</v>
      </c>
      <c r="G576" s="4">
        <f>IF(DatiOriginali!G576 &gt;= SogliaPicchi!$B$7,"",DatiOriginali!G576)</f>
        <v>101700</v>
      </c>
      <c r="H576" s="4">
        <v>758995</v>
      </c>
      <c r="I576" s="4">
        <f>IF(DatiOriginali!I576 &gt;= SogliaPicchi!$B$7,"",DatiOriginali!I576)</f>
        <v>32800</v>
      </c>
      <c r="J576" s="4">
        <v>755979</v>
      </c>
      <c r="K576" s="4">
        <f>IF(DatiOriginali!K576 &gt;= SogliaPicchi!$B$7,"",DatiOriginali!K576)</f>
        <v>36200</v>
      </c>
    </row>
    <row r="577" spans="1:11" x14ac:dyDescent="0.3">
      <c r="A577" s="4" t="s">
        <v>586</v>
      </c>
      <c r="B577" s="4">
        <v>44850</v>
      </c>
      <c r="C577" s="4">
        <f>IF(DatiOriginali!C577 &gt;= SogliaPicchi!$B$7,"",DatiOriginali!C577)</f>
        <v>266700</v>
      </c>
      <c r="D577" s="4">
        <v>21842</v>
      </c>
      <c r="E577" s="4">
        <f>IF(DatiOriginali!E577 &gt;= SogliaPicchi!$B$7,"",DatiOriginali!E577)</f>
        <v>81400</v>
      </c>
      <c r="F577" s="4">
        <v>621484</v>
      </c>
      <c r="G577" s="4">
        <f>IF(DatiOriginali!G577 &gt;= SogliaPicchi!$B$7,"",DatiOriginali!G577)</f>
        <v>114100</v>
      </c>
      <c r="H577" s="4">
        <v>761611</v>
      </c>
      <c r="I577" s="4">
        <f>IF(DatiOriginali!I577 &gt;= SogliaPicchi!$B$7,"",DatiOriginali!I577)</f>
        <v>32900</v>
      </c>
      <c r="J577" s="4">
        <v>758544</v>
      </c>
      <c r="K577" s="4">
        <f>IF(DatiOriginali!K577 &gt;= SogliaPicchi!$B$7,"",DatiOriginali!K577)</f>
        <v>36000</v>
      </c>
    </row>
    <row r="578" spans="1:11" x14ac:dyDescent="0.3">
      <c r="A578" s="4" t="s">
        <v>587</v>
      </c>
      <c r="B578" s="4">
        <v>44850</v>
      </c>
      <c r="C578" s="4">
        <f>IF(DatiOriginali!C578 &gt;= SogliaPicchi!$B$7,"",DatiOriginali!C578)</f>
        <v>265000</v>
      </c>
      <c r="D578" s="4">
        <v>22117</v>
      </c>
      <c r="E578" s="4">
        <f>IF(DatiOriginali!E578 &gt;= SogliaPicchi!$B$7,"",DatiOriginali!E578)</f>
        <v>79700</v>
      </c>
      <c r="F578" s="4">
        <v>623593</v>
      </c>
      <c r="G578" s="4">
        <f>IF(DatiOriginali!G578 &gt;= SogliaPicchi!$B$7,"",DatiOriginali!G578)</f>
        <v>107400</v>
      </c>
      <c r="H578" s="4">
        <v>764179</v>
      </c>
      <c r="I578" s="4">
        <f>IF(DatiOriginali!I578 &gt;= SogliaPicchi!$B$7,"",DatiOriginali!I578)</f>
        <v>31100</v>
      </c>
      <c r="J578" s="4">
        <v>761157</v>
      </c>
      <c r="K578" s="4">
        <f>IF(DatiOriginali!K578 &gt;= SogliaPicchi!$B$7,"",DatiOriginali!K578)</f>
        <v>37200</v>
      </c>
    </row>
    <row r="579" spans="1:11" x14ac:dyDescent="0.3">
      <c r="A579" s="4" t="s">
        <v>588</v>
      </c>
      <c r="B579" s="4">
        <v>44850</v>
      </c>
      <c r="C579" s="4">
        <f>IF(DatiOriginali!C579 &gt;= SogliaPicchi!$B$7,"",DatiOriginali!C579)</f>
        <v>274800</v>
      </c>
      <c r="D579" s="4">
        <v>22999</v>
      </c>
      <c r="E579" s="4">
        <f>IF(DatiOriginali!E579 &gt;= SogliaPicchi!$B$7,"",DatiOriginali!E579)</f>
        <v>92700</v>
      </c>
      <c r="F579" s="4">
        <v>625694</v>
      </c>
      <c r="G579" s="4">
        <f>IF(DatiOriginali!G579 &gt;= SogliaPicchi!$B$7,"",DatiOriginali!G579)</f>
        <v>159100</v>
      </c>
      <c r="H579" s="4">
        <v>766639</v>
      </c>
      <c r="I579" s="4">
        <f>IF(DatiOriginali!I579 &gt;= SogliaPicchi!$B$7,"",DatiOriginali!I579)</f>
        <v>38200</v>
      </c>
      <c r="J579" s="4">
        <v>763656</v>
      </c>
      <c r="K579" s="4">
        <f>IF(DatiOriginali!K579 &gt;= SogliaPicchi!$B$7,"",DatiOriginali!K579)</f>
        <v>48600</v>
      </c>
    </row>
    <row r="580" spans="1:11" x14ac:dyDescent="0.3">
      <c r="A580" s="4" t="s">
        <v>589</v>
      </c>
      <c r="B580" s="4">
        <v>44850</v>
      </c>
      <c r="C580" s="4">
        <f>IF(DatiOriginali!C580 &gt;= SogliaPicchi!$B$7,"",DatiOriginali!C580)</f>
        <v>295100</v>
      </c>
      <c r="D580" s="4">
        <v>23685</v>
      </c>
      <c r="E580" s="4">
        <f>IF(DatiOriginali!E580 &gt;= SogliaPicchi!$B$7,"",DatiOriginali!E580)</f>
        <v>85900</v>
      </c>
      <c r="F580" s="4">
        <v>627772</v>
      </c>
      <c r="G580" s="4">
        <f>IF(DatiOriginali!G580 &gt;= SogliaPicchi!$B$7,"",DatiOriginali!G580)</f>
        <v>110900</v>
      </c>
      <c r="H580" s="4">
        <v>769443</v>
      </c>
      <c r="I580" s="4">
        <f>IF(DatiOriginali!I580 &gt;= SogliaPicchi!$B$7,"",DatiOriginali!I580)</f>
        <v>32900</v>
      </c>
      <c r="J580" s="4">
        <v>766248</v>
      </c>
      <c r="K580" s="4">
        <f>IF(DatiOriginali!K580 &gt;= SogliaPicchi!$B$7,"",DatiOriginali!K580)</f>
        <v>36400</v>
      </c>
    </row>
    <row r="581" spans="1:11" x14ac:dyDescent="0.3">
      <c r="A581" s="4" t="s">
        <v>590</v>
      </c>
      <c r="B581" s="4">
        <v>44850</v>
      </c>
      <c r="C581" s="4">
        <f>IF(DatiOriginali!C581 &gt;= SogliaPicchi!$B$7,"",DatiOriginali!C581)</f>
        <v>413700</v>
      </c>
      <c r="D581" s="4">
        <v>21028</v>
      </c>
      <c r="E581" s="4">
        <f>IF(DatiOriginali!E581 &gt;= SogliaPicchi!$B$7,"",DatiOriginali!E581)</f>
        <v>84600</v>
      </c>
      <c r="F581" s="4">
        <v>629876</v>
      </c>
      <c r="G581" s="4">
        <f>IF(DatiOriginali!G581 &gt;= SogliaPicchi!$B$7,"",DatiOriginali!G581)</f>
        <v>123700</v>
      </c>
      <c r="H581" s="4">
        <v>771956</v>
      </c>
      <c r="I581" s="4">
        <f>IF(DatiOriginali!I581 &gt;= SogliaPicchi!$B$7,"",DatiOriginali!I581)</f>
        <v>33000</v>
      </c>
      <c r="J581" s="4">
        <v>768804</v>
      </c>
      <c r="K581" s="4">
        <f>IF(DatiOriginali!K581 &gt;= SogliaPicchi!$B$7,"",DatiOriginali!K581)</f>
        <v>37400</v>
      </c>
    </row>
    <row r="582" spans="1:11" x14ac:dyDescent="0.3">
      <c r="A582" s="4" t="s">
        <v>591</v>
      </c>
      <c r="B582" s="4">
        <v>44850</v>
      </c>
      <c r="C582" s="4">
        <f>IF(DatiOriginali!C582 &gt;= SogliaPicchi!$B$7,"",DatiOriginali!C582)</f>
        <v>294800</v>
      </c>
      <c r="D582" s="4">
        <v>24311</v>
      </c>
      <c r="E582" s="4">
        <f>IF(DatiOriginali!E582 &gt;= SogliaPicchi!$B$7,"",DatiOriginali!E582)</f>
        <v>88200</v>
      </c>
      <c r="F582" s="4">
        <v>631976</v>
      </c>
      <c r="G582" s="4">
        <f>IF(DatiOriginali!G582 &gt;= SogliaPicchi!$B$7,"",DatiOriginali!G582)</f>
        <v>111800</v>
      </c>
      <c r="H582" s="4">
        <v>774374</v>
      </c>
      <c r="I582" s="4">
        <f>IF(DatiOriginali!I582 &gt;= SogliaPicchi!$B$7,"",DatiOriginali!I582)</f>
        <v>31000</v>
      </c>
      <c r="J582" s="4">
        <v>771296</v>
      </c>
      <c r="K582" s="4">
        <f>IF(DatiOriginali!K582 &gt;= SogliaPicchi!$B$7,"",DatiOriginali!K582)</f>
        <v>36000</v>
      </c>
    </row>
    <row r="583" spans="1:11" x14ac:dyDescent="0.3">
      <c r="A583" s="4" t="s">
        <v>592</v>
      </c>
      <c r="B583" s="4">
        <v>44850</v>
      </c>
      <c r="C583" s="4">
        <f>IF(DatiOriginali!C583 &gt;= SogliaPicchi!$B$7,"",DatiOriginali!C583)</f>
        <v>295000</v>
      </c>
      <c r="D583" s="4">
        <v>24356</v>
      </c>
      <c r="E583" s="4">
        <f>IF(DatiOriginali!E583 &gt;= SogliaPicchi!$B$7,"",DatiOriginali!E583)</f>
        <v>93600</v>
      </c>
      <c r="F583" s="4">
        <v>634089</v>
      </c>
      <c r="G583" s="4">
        <f>IF(DatiOriginali!G583 &gt;= SogliaPicchi!$B$7,"",DatiOriginali!G583)</f>
        <v>117300</v>
      </c>
      <c r="H583" s="4">
        <v>777110</v>
      </c>
      <c r="I583" s="4">
        <f>IF(DatiOriginali!I583 &gt;= SogliaPicchi!$B$7,"",DatiOriginali!I583)</f>
        <v>39600</v>
      </c>
      <c r="J583" s="4">
        <v>773796</v>
      </c>
      <c r="K583" s="4">
        <f>IF(DatiOriginali!K583 &gt;= SogliaPicchi!$B$7,"",DatiOriginali!K583)</f>
        <v>48700</v>
      </c>
    </row>
    <row r="584" spans="1:11" x14ac:dyDescent="0.3">
      <c r="A584" s="4" t="s">
        <v>593</v>
      </c>
      <c r="B584" s="4">
        <v>44850</v>
      </c>
      <c r="C584" s="4">
        <f>IF(DatiOriginali!C584 &gt;= SogliaPicchi!$B$7,"",DatiOriginali!C584)</f>
        <v>320700</v>
      </c>
      <c r="D584" s="4">
        <v>22503</v>
      </c>
      <c r="E584" s="4">
        <f>IF(DatiOriginali!E584 &gt;= SogliaPicchi!$B$7,"",DatiOriginali!E584)</f>
        <v>81800</v>
      </c>
      <c r="F584" s="4">
        <v>636173</v>
      </c>
      <c r="G584" s="4">
        <f>IF(DatiOriginali!G584 &gt;= SogliaPicchi!$B$7,"",DatiOriginali!G584)</f>
        <v>99400</v>
      </c>
      <c r="H584" s="4">
        <v>779781</v>
      </c>
      <c r="I584" s="4">
        <f>IF(DatiOriginali!I584 &gt;= SogliaPicchi!$B$7,"",DatiOriginali!I584)</f>
        <v>31800</v>
      </c>
      <c r="J584" s="4">
        <v>776154</v>
      </c>
      <c r="K584" s="4">
        <f>IF(DatiOriginali!K584 &gt;= SogliaPicchi!$B$7,"",DatiOriginali!K584)</f>
        <v>36500</v>
      </c>
    </row>
    <row r="585" spans="1:11" x14ac:dyDescent="0.3">
      <c r="A585" s="4" t="s">
        <v>594</v>
      </c>
      <c r="B585" s="4">
        <v>44850</v>
      </c>
      <c r="C585" s="4">
        <f>IF(DatiOriginali!C585 &gt;= SogliaPicchi!$B$7,"",DatiOriginali!C585)</f>
        <v>359200</v>
      </c>
      <c r="D585" s="4">
        <v>21172</v>
      </c>
      <c r="E585" s="4">
        <f>IF(DatiOriginali!E585 &gt;= SogliaPicchi!$B$7,"",DatiOriginali!E585)</f>
        <v>93200</v>
      </c>
      <c r="F585" s="4">
        <v>638286</v>
      </c>
      <c r="G585" s="4">
        <f>IF(DatiOriginali!G585 &gt;= SogliaPicchi!$B$7,"",DatiOriginali!G585)</f>
        <v>99500</v>
      </c>
      <c r="H585" s="4">
        <v>782395</v>
      </c>
      <c r="I585" s="4">
        <f>IF(DatiOriginali!I585 &gt;= SogliaPicchi!$B$7,"",DatiOriginali!I585)</f>
        <v>32700</v>
      </c>
      <c r="J585" s="4">
        <v>778683</v>
      </c>
      <c r="K585" s="4">
        <f>IF(DatiOriginali!K585 &gt;= SogliaPicchi!$B$7,"",DatiOriginali!K585)</f>
        <v>36000</v>
      </c>
    </row>
    <row r="586" spans="1:11" x14ac:dyDescent="0.3">
      <c r="A586" s="4" t="s">
        <v>595</v>
      </c>
      <c r="B586" s="4">
        <v>44850</v>
      </c>
      <c r="C586" s="4">
        <f>IF(DatiOriginali!C586 &gt;= SogliaPicchi!$B$7,"",DatiOriginali!C586)</f>
        <v>300200</v>
      </c>
      <c r="D586" s="4">
        <v>23458</v>
      </c>
      <c r="E586" s="4">
        <f>IF(DatiOriginali!E586 &gt;= SogliaPicchi!$B$7,"",DatiOriginali!E586)</f>
        <v>85100</v>
      </c>
      <c r="F586" s="4">
        <v>640379</v>
      </c>
      <c r="G586" s="4">
        <f>IF(DatiOriginali!G586 &gt;= SogliaPicchi!$B$7,"",DatiOriginali!G586)</f>
        <v>111800</v>
      </c>
      <c r="H586" s="4">
        <v>784863</v>
      </c>
      <c r="I586" s="4">
        <f>IF(DatiOriginali!I586 &gt;= SogliaPicchi!$B$7,"",DatiOriginali!I586)</f>
        <v>32600</v>
      </c>
      <c r="J586" s="4">
        <v>781347</v>
      </c>
      <c r="K586" s="4">
        <f>IF(DatiOriginali!K586 &gt;= SogliaPicchi!$B$7,"",DatiOriginali!K586)</f>
        <v>38200</v>
      </c>
    </row>
    <row r="587" spans="1:11" x14ac:dyDescent="0.3">
      <c r="A587" s="4" t="s">
        <v>596</v>
      </c>
      <c r="B587" s="4">
        <v>44850</v>
      </c>
      <c r="C587" s="4">
        <f>IF(DatiOriginali!C587 &gt;= SogliaPicchi!$B$7,"",DatiOriginali!C587)</f>
        <v>270800</v>
      </c>
      <c r="D587" s="4">
        <v>21426</v>
      </c>
      <c r="E587" s="4">
        <f>IF(DatiOriginali!E587 &gt;= SogliaPicchi!$B$7,"",DatiOriginali!E587)</f>
        <v>78200</v>
      </c>
      <c r="F587" s="4">
        <v>642471</v>
      </c>
      <c r="G587" s="4">
        <f>IF(DatiOriginali!G587 &gt;= SogliaPicchi!$B$7,"",DatiOriginali!G587)</f>
        <v>122000</v>
      </c>
      <c r="H587" s="4">
        <v>787069</v>
      </c>
      <c r="I587" s="4">
        <f>IF(DatiOriginali!I587 &gt;= SogliaPicchi!$B$7,"",DatiOriginali!I587)</f>
        <v>32000</v>
      </c>
      <c r="J587" s="4">
        <v>783719</v>
      </c>
      <c r="K587" s="4">
        <f>IF(DatiOriginali!K587 &gt;= SogliaPicchi!$B$7,"",DatiOriginali!K587)</f>
        <v>35100</v>
      </c>
    </row>
    <row r="588" spans="1:11" x14ac:dyDescent="0.3">
      <c r="A588" s="4" t="s">
        <v>597</v>
      </c>
      <c r="B588" s="4">
        <v>44850</v>
      </c>
      <c r="C588" s="4">
        <f>IF(DatiOriginali!C588 &gt;= SogliaPicchi!$B$7,"",DatiOriginali!C588)</f>
        <v>334800</v>
      </c>
      <c r="D588" s="4">
        <v>23301</v>
      </c>
      <c r="E588" s="4">
        <f>IF(DatiOriginali!E588 &gt;= SogliaPicchi!$B$7,"",DatiOriginali!E588)</f>
        <v>85400</v>
      </c>
      <c r="F588" s="4">
        <v>644551</v>
      </c>
      <c r="G588" s="4">
        <f>IF(DatiOriginali!G588 &gt;= SogliaPicchi!$B$7,"",DatiOriginali!G588)</f>
        <v>112800</v>
      </c>
      <c r="H588" s="4">
        <v>789406</v>
      </c>
      <c r="I588" s="4">
        <f>IF(DatiOriginali!I588 &gt;= SogliaPicchi!$B$7,"",DatiOriginali!I588)</f>
        <v>31600</v>
      </c>
      <c r="J588" s="4">
        <v>786215</v>
      </c>
      <c r="K588" s="4">
        <f>IF(DatiOriginali!K588 &gt;= SogliaPicchi!$B$7,"",DatiOriginali!K588)</f>
        <v>35800</v>
      </c>
    </row>
    <row r="589" spans="1:11" x14ac:dyDescent="0.3">
      <c r="A589" s="4" t="s">
        <v>598</v>
      </c>
      <c r="B589" s="4">
        <v>44850</v>
      </c>
      <c r="C589" s="4">
        <f>IF(DatiOriginali!C589 &gt;= SogliaPicchi!$B$7,"",DatiOriginali!C589)</f>
        <v>351100</v>
      </c>
      <c r="D589" s="4">
        <v>20801</v>
      </c>
      <c r="E589" s="4">
        <f>IF(DatiOriginali!E589 &gt;= SogliaPicchi!$B$7,"",DatiOriginali!E589)</f>
        <v>95800</v>
      </c>
      <c r="F589" s="4">
        <v>646644</v>
      </c>
      <c r="G589" s="4">
        <f>IF(DatiOriginali!G589 &gt;= SogliaPicchi!$B$7,"",DatiOriginali!G589)</f>
        <v>139900</v>
      </c>
      <c r="H589" s="4">
        <v>791853</v>
      </c>
      <c r="I589" s="4">
        <f>IF(DatiOriginali!I589 &gt;= SogliaPicchi!$B$7,"",DatiOriginali!I589)</f>
        <v>38600</v>
      </c>
      <c r="J589" s="4">
        <v>789227</v>
      </c>
      <c r="K589" s="4">
        <f>IF(DatiOriginali!K589 &gt;= SogliaPicchi!$B$7,"",DatiOriginali!K589)</f>
        <v>47300</v>
      </c>
    </row>
    <row r="590" spans="1:11" x14ac:dyDescent="0.3">
      <c r="A590" s="4" t="s">
        <v>599</v>
      </c>
      <c r="B590" s="4">
        <v>44850</v>
      </c>
      <c r="C590" s="4">
        <f>IF(DatiOriginali!C590 &gt;= SogliaPicchi!$B$7,"",DatiOriginali!C590)</f>
        <v>280600</v>
      </c>
      <c r="D590" s="4">
        <v>23978</v>
      </c>
      <c r="E590" s="4">
        <f>IF(DatiOriginali!E590 &gt;= SogliaPicchi!$B$7,"",DatiOriginali!E590)</f>
        <v>88600</v>
      </c>
      <c r="F590" s="4">
        <v>648744</v>
      </c>
      <c r="G590" s="4">
        <f>IF(DatiOriginali!G590 &gt;= SogliaPicchi!$B$7,"",DatiOriginali!G590)</f>
        <v>110700</v>
      </c>
      <c r="H590" s="4">
        <v>794447</v>
      </c>
      <c r="I590" s="4">
        <f>IF(DatiOriginali!I590 &gt;= SogliaPicchi!$B$7,"",DatiOriginali!I590)</f>
        <v>33200</v>
      </c>
      <c r="J590" s="4">
        <v>791507</v>
      </c>
      <c r="K590" s="4">
        <f>IF(DatiOriginali!K590 &gt;= SogliaPicchi!$B$7,"",DatiOriginali!K590)</f>
        <v>35800</v>
      </c>
    </row>
    <row r="591" spans="1:11" x14ac:dyDescent="0.3">
      <c r="A591" s="4" t="s">
        <v>600</v>
      </c>
      <c r="B591" s="4">
        <v>44850</v>
      </c>
      <c r="C591" s="4">
        <f>IF(DatiOriginali!C591 &gt;= SogliaPicchi!$B$7,"",DatiOriginali!C591)</f>
        <v>292500</v>
      </c>
      <c r="D591" s="4">
        <v>21372</v>
      </c>
      <c r="E591" s="4">
        <f>IF(DatiOriginali!E591 &gt;= SogliaPicchi!$B$7,"",DatiOriginali!E591)</f>
        <v>80000</v>
      </c>
      <c r="F591" s="4">
        <v>650834</v>
      </c>
      <c r="G591" s="4">
        <f>IF(DatiOriginali!G591 &gt;= SogliaPicchi!$B$7,"",DatiOriginali!G591)</f>
        <v>110700</v>
      </c>
      <c r="H591" s="4">
        <v>796919</v>
      </c>
      <c r="I591" s="4">
        <f>IF(DatiOriginali!I591 &gt;= SogliaPicchi!$B$7,"",DatiOriginali!I591)</f>
        <v>32700</v>
      </c>
      <c r="J591" s="4">
        <v>794268</v>
      </c>
      <c r="K591" s="4">
        <f>IF(DatiOriginali!K591 &gt;= SogliaPicchi!$B$7,"",DatiOriginali!K591)</f>
        <v>42800</v>
      </c>
    </row>
    <row r="592" spans="1:11" x14ac:dyDescent="0.3">
      <c r="A592" s="4" t="s">
        <v>601</v>
      </c>
      <c r="B592" s="4">
        <v>44850</v>
      </c>
      <c r="C592" s="4">
        <f>IF(DatiOriginali!C592 &gt;= SogliaPicchi!$B$7,"",DatiOriginali!C592)</f>
        <v>393200</v>
      </c>
      <c r="D592" s="4">
        <v>23903</v>
      </c>
      <c r="E592" s="4">
        <f>IF(DatiOriginali!E592 &gt;= SogliaPicchi!$B$7,"",DatiOriginali!E592)</f>
        <v>88900</v>
      </c>
      <c r="F592" s="4">
        <v>652927</v>
      </c>
      <c r="G592" s="4">
        <f>IF(DatiOriginali!G592 &gt;= SogliaPicchi!$B$7,"",DatiOriginali!G592)</f>
        <v>138300</v>
      </c>
      <c r="H592" s="4">
        <v>799422</v>
      </c>
      <c r="I592" s="4">
        <f>IF(DatiOriginali!I592 &gt;= SogliaPicchi!$B$7,"",DatiOriginali!I592)</f>
        <v>33000</v>
      </c>
      <c r="J592" s="4">
        <v>796812</v>
      </c>
      <c r="K592" s="4">
        <f>IF(DatiOriginali!K592 &gt;= SogliaPicchi!$B$7,"",DatiOriginali!K592)</f>
        <v>37900</v>
      </c>
    </row>
    <row r="593" spans="1:11" x14ac:dyDescent="0.3">
      <c r="A593" s="4" t="s">
        <v>602</v>
      </c>
      <c r="B593" s="4">
        <v>44850</v>
      </c>
      <c r="C593" s="4">
        <f>IF(DatiOriginali!C593 &gt;= SogliaPicchi!$B$7,"",DatiOriginali!C593)</f>
        <v>315300</v>
      </c>
      <c r="D593" s="4">
        <v>23268</v>
      </c>
      <c r="E593" s="4">
        <f>IF(DatiOriginali!E593 &gt;= SogliaPicchi!$B$7,"",DatiOriginali!E593)</f>
        <v>101200</v>
      </c>
      <c r="F593" s="4">
        <v>655033</v>
      </c>
      <c r="G593" s="4">
        <f>IF(DatiOriginali!G593 &gt;= SogliaPicchi!$B$7,"",DatiOriginali!G593)</f>
        <v>119500</v>
      </c>
      <c r="H593" s="4">
        <v>801809</v>
      </c>
      <c r="I593" s="4">
        <f>IF(DatiOriginali!I593 &gt;= SogliaPicchi!$B$7,"",DatiOriginali!I593)</f>
        <v>39200</v>
      </c>
      <c r="J593" s="4">
        <v>799131</v>
      </c>
      <c r="K593" s="4">
        <f>IF(DatiOriginali!K593 &gt;= SogliaPicchi!$B$7,"",DatiOriginali!K593)</f>
        <v>44300</v>
      </c>
    </row>
    <row r="594" spans="1:11" x14ac:dyDescent="0.3">
      <c r="A594" s="4" t="s">
        <v>603</v>
      </c>
      <c r="B594" s="4">
        <v>44850</v>
      </c>
      <c r="C594" s="4">
        <f>IF(DatiOriginali!C594 &gt;= SogliaPicchi!$B$7,"",DatiOriginali!C594)</f>
        <v>299400</v>
      </c>
      <c r="D594" s="4">
        <v>23619</v>
      </c>
      <c r="E594" s="4">
        <f>IF(DatiOriginali!E594 &gt;= SogliaPicchi!$B$7,"",DatiOriginali!E594)</f>
        <v>88100</v>
      </c>
      <c r="F594" s="4">
        <v>657142</v>
      </c>
      <c r="G594" s="4">
        <f>IF(DatiOriginali!G594 &gt;= SogliaPicchi!$B$7,"",DatiOriginali!G594)</f>
        <v>100700</v>
      </c>
      <c r="H594" s="4">
        <v>804388</v>
      </c>
      <c r="I594" s="4">
        <f>IF(DatiOriginali!I594 &gt;= SogliaPicchi!$B$7,"",DatiOriginali!I594)</f>
        <v>32300</v>
      </c>
      <c r="J594" s="4">
        <v>801597</v>
      </c>
      <c r="K594" s="4">
        <f>IF(DatiOriginali!K594 &gt;= SogliaPicchi!$B$7,"",DatiOriginali!K594)</f>
        <v>36900</v>
      </c>
    </row>
    <row r="595" spans="1:11" x14ac:dyDescent="0.3">
      <c r="A595" s="4" t="s">
        <v>604</v>
      </c>
      <c r="B595" s="4">
        <v>44850</v>
      </c>
      <c r="C595" s="4">
        <f>IF(DatiOriginali!C595 &gt;= SogliaPicchi!$B$7,"",DatiOriginali!C595)</f>
        <v>286600</v>
      </c>
      <c r="D595" s="4">
        <v>20943</v>
      </c>
      <c r="E595" s="4">
        <f>IF(DatiOriginali!E595 &gt;= SogliaPicchi!$B$7,"",DatiOriginali!E595)</f>
        <v>81700</v>
      </c>
      <c r="F595" s="4">
        <v>659245</v>
      </c>
      <c r="G595" s="4">
        <f>IF(DatiOriginali!G595 &gt;= SogliaPicchi!$B$7,"",DatiOriginali!G595)</f>
        <v>124900</v>
      </c>
      <c r="H595" s="4">
        <v>806819</v>
      </c>
      <c r="I595" s="4">
        <f>IF(DatiOriginali!I595 &gt;= SogliaPicchi!$B$7,"",DatiOriginali!I595)</f>
        <v>44300</v>
      </c>
      <c r="J595" s="4">
        <v>804101</v>
      </c>
      <c r="K595" s="4">
        <f>IF(DatiOriginali!K595 &gt;= SogliaPicchi!$B$7,"",DatiOriginali!K595)</f>
        <v>67100</v>
      </c>
    </row>
    <row r="596" spans="1:11" x14ac:dyDescent="0.3">
      <c r="A596" s="4" t="s">
        <v>605</v>
      </c>
      <c r="B596" s="4">
        <v>44850</v>
      </c>
      <c r="C596" s="4">
        <f>IF(DatiOriginali!C596 &gt;= SogliaPicchi!$B$7,"",DatiOriginali!C596)</f>
        <v>278800</v>
      </c>
      <c r="D596" s="4">
        <v>24160</v>
      </c>
      <c r="E596" s="4">
        <f>IF(DatiOriginali!E596 &gt;= SogliaPicchi!$B$7,"",DatiOriginali!E596)</f>
        <v>87900</v>
      </c>
      <c r="F596" s="4">
        <v>661349</v>
      </c>
      <c r="G596" s="4">
        <f>IF(DatiOriginali!G596 &gt;= SogliaPicchi!$B$7,"",DatiOriginali!G596)</f>
        <v>111800</v>
      </c>
      <c r="H596" s="4">
        <v>809499</v>
      </c>
      <c r="I596" s="4">
        <f>IF(DatiOriginali!I596 &gt;= SogliaPicchi!$B$7,"",DatiOriginali!I596)</f>
        <v>32500</v>
      </c>
      <c r="J596" s="4">
        <v>806362</v>
      </c>
      <c r="K596" s="4">
        <f>IF(DatiOriginali!K596 &gt;= SogliaPicchi!$B$7,"",DatiOriginali!K596)</f>
        <v>37100</v>
      </c>
    </row>
    <row r="597" spans="1:11" x14ac:dyDescent="0.3">
      <c r="A597" s="4" t="s">
        <v>606</v>
      </c>
      <c r="B597" s="4">
        <v>44850</v>
      </c>
      <c r="C597" s="4">
        <f>IF(DatiOriginali!C597 &gt;= SogliaPicchi!$B$7,"",DatiOriginali!C597)</f>
        <v>298600</v>
      </c>
      <c r="D597" s="4">
        <v>23747</v>
      </c>
      <c r="E597" s="4">
        <f>IF(DatiOriginali!E597 &gt;= SogliaPicchi!$B$7,"",DatiOriginali!E597)</f>
        <v>86000</v>
      </c>
      <c r="F597" s="4">
        <v>663423</v>
      </c>
      <c r="G597" s="4">
        <f>IF(DatiOriginali!G597 &gt;= SogliaPicchi!$B$7,"",DatiOriginali!G597)</f>
        <v>108000</v>
      </c>
      <c r="H597" s="4">
        <v>811936</v>
      </c>
      <c r="I597" s="4">
        <f>IF(DatiOriginali!I597 &gt;= SogliaPicchi!$B$7,"",DatiOriginali!I597)</f>
        <v>31800</v>
      </c>
      <c r="J597" s="4">
        <v>808898</v>
      </c>
      <c r="K597" s="4">
        <f>IF(DatiOriginali!K597 &gt;= SogliaPicchi!$B$7,"",DatiOriginali!K597)</f>
        <v>36600</v>
      </c>
    </row>
    <row r="598" spans="1:11" x14ac:dyDescent="0.3">
      <c r="A598" s="4" t="s">
        <v>607</v>
      </c>
      <c r="B598" s="4">
        <v>44850</v>
      </c>
      <c r="C598" s="4">
        <f>IF(DatiOriginali!C598 &gt;= SogliaPicchi!$B$7,"",DatiOriginali!C598)</f>
        <v>292400</v>
      </c>
      <c r="D598" s="4">
        <v>23599</v>
      </c>
      <c r="E598" s="4">
        <f>IF(DatiOriginali!E598 &gt;= SogliaPicchi!$B$7,"",DatiOriginali!E598)</f>
        <v>84800</v>
      </c>
      <c r="F598" s="4">
        <v>665528</v>
      </c>
      <c r="G598" s="4">
        <f>IF(DatiOriginali!G598 &gt;= SogliaPicchi!$B$7,"",DatiOriginali!G598)</f>
        <v>106100</v>
      </c>
      <c r="H598" s="4">
        <v>814361</v>
      </c>
      <c r="I598" s="4">
        <f>IF(DatiOriginali!I598 &gt;= SogliaPicchi!$B$7,"",DatiOriginali!I598)</f>
        <v>31500</v>
      </c>
      <c r="J598" s="4">
        <v>811832</v>
      </c>
      <c r="K598" s="4">
        <f>IF(DatiOriginali!K598 &gt;= SogliaPicchi!$B$7,"",DatiOriginali!K598)</f>
        <v>36600</v>
      </c>
    </row>
    <row r="599" spans="1:11" x14ac:dyDescent="0.3">
      <c r="A599" s="4" t="s">
        <v>608</v>
      </c>
      <c r="B599" s="4">
        <v>44850</v>
      </c>
      <c r="C599" s="4">
        <f>IF(DatiOriginali!C599 &gt;= SogliaPicchi!$B$7,"",DatiOriginali!C599)</f>
        <v>301900</v>
      </c>
      <c r="D599" s="4">
        <v>21557</v>
      </c>
      <c r="E599" s="4">
        <f>IF(DatiOriginali!E599 &gt;= SogliaPicchi!$B$7,"",DatiOriginali!E599)</f>
        <v>79600</v>
      </c>
      <c r="F599" s="4">
        <v>667612</v>
      </c>
      <c r="G599" s="4">
        <f>IF(DatiOriginali!G599 &gt;= SogliaPicchi!$B$7,"",DatiOriginali!G599)</f>
        <v>103200</v>
      </c>
      <c r="H599" s="4">
        <v>817300</v>
      </c>
      <c r="I599" s="4">
        <f>IF(DatiOriginali!I599 &gt;= SogliaPicchi!$B$7,"",DatiOriginali!I599)</f>
        <v>32600</v>
      </c>
      <c r="J599" s="4">
        <v>814443</v>
      </c>
      <c r="K599" s="4">
        <f>IF(DatiOriginali!K599 &gt;= SogliaPicchi!$B$7,"",DatiOriginali!K599)</f>
        <v>36100</v>
      </c>
    </row>
    <row r="600" spans="1:11" x14ac:dyDescent="0.3">
      <c r="A600" s="4" t="s">
        <v>609</v>
      </c>
      <c r="B600" s="4">
        <v>44850</v>
      </c>
      <c r="C600" s="4">
        <f>IF(DatiOriginali!C600 &gt;= SogliaPicchi!$B$7,"",DatiOriginali!C600)</f>
        <v>282500</v>
      </c>
      <c r="D600" s="4">
        <v>23088</v>
      </c>
      <c r="E600" s="4">
        <f>IF(DatiOriginali!E600 &gt;= SogliaPicchi!$B$7,"",DatiOriginali!E600)</f>
        <v>83700</v>
      </c>
      <c r="F600" s="4">
        <v>669707</v>
      </c>
      <c r="G600" s="4">
        <f>IF(DatiOriginali!G600 &gt;= SogliaPicchi!$B$7,"",DatiOriginali!G600)</f>
        <v>111400</v>
      </c>
      <c r="H600" s="4">
        <v>819794</v>
      </c>
      <c r="I600" s="4">
        <f>IF(DatiOriginali!I600 &gt;= SogliaPicchi!$B$7,"",DatiOriginali!I600)</f>
        <v>30700</v>
      </c>
      <c r="J600" s="4">
        <v>817103</v>
      </c>
      <c r="K600" s="4">
        <f>IF(DatiOriginali!K600 &gt;= SogliaPicchi!$B$7,"",DatiOriginali!K600)</f>
        <v>36600</v>
      </c>
    </row>
    <row r="601" spans="1:11" x14ac:dyDescent="0.3">
      <c r="A601" s="4" t="s">
        <v>610</v>
      </c>
      <c r="B601" s="4">
        <v>44850</v>
      </c>
      <c r="C601" s="4">
        <f>IF(DatiOriginali!C601 &gt;= SogliaPicchi!$B$7,"",DatiOriginali!C601)</f>
        <v>299900</v>
      </c>
      <c r="D601" s="4">
        <v>24355</v>
      </c>
      <c r="E601" s="4">
        <f>IF(DatiOriginali!E601 &gt;= SogliaPicchi!$B$7,"",DatiOriginali!E601)</f>
        <v>87100</v>
      </c>
      <c r="F601" s="4">
        <v>671818</v>
      </c>
      <c r="G601" s="4">
        <f>IF(DatiOriginali!G601 &gt;= SogliaPicchi!$B$8,"",DatiOriginali!G601)</f>
        <v>107800</v>
      </c>
      <c r="H601" s="4">
        <v>822349</v>
      </c>
      <c r="I601" s="4">
        <f>IF(DatiOriginali!I601 &gt;= SogliaPicchi!$B$8,"",DatiOriginali!I601)</f>
        <v>31200</v>
      </c>
      <c r="J601" s="4">
        <v>819426</v>
      </c>
      <c r="K601" s="4">
        <f>IF(DatiOriginali!K601 &gt;= SogliaPicchi!$B$8,"",DatiOriginali!K601)</f>
        <v>36100</v>
      </c>
    </row>
    <row r="602" spans="1:11" x14ac:dyDescent="0.3">
      <c r="A602" s="4" t="s">
        <v>611</v>
      </c>
      <c r="B602" s="4">
        <v>61075</v>
      </c>
      <c r="C602" s="4">
        <f>IF(DatiOriginali!C602 &gt;= SogliaPicchi!$B$8,"",DatiOriginali!C602)</f>
        <v>382700</v>
      </c>
      <c r="D602" s="4">
        <v>31314</v>
      </c>
      <c r="E602" s="4">
        <f>IF(DatiOriginali!E602 &gt;= SogliaPicchi!$B$8,"",DatiOriginali!E602)</f>
        <v>111600</v>
      </c>
      <c r="F602" s="4">
        <v>674352</v>
      </c>
      <c r="G602" s="4">
        <f>IF(DatiOriginali!G602 &gt;= SogliaPicchi!$B$8,"",DatiOriginali!G602)</f>
        <v>124200</v>
      </c>
      <c r="H602" s="4">
        <v>825560</v>
      </c>
      <c r="I602" s="4">
        <f>IF(DatiOriginali!I602 &gt;= SogliaPicchi!$B$8,"",DatiOriginali!I602)</f>
        <v>37300</v>
      </c>
      <c r="J602" s="4">
        <v>822255</v>
      </c>
      <c r="K602" s="4">
        <f>IF(DatiOriginali!K602 &gt;= SogliaPicchi!$B$8,"",DatiOriginali!K602)</f>
        <v>39600</v>
      </c>
    </row>
    <row r="603" spans="1:11" x14ac:dyDescent="0.3">
      <c r="A603" s="4" t="s">
        <v>612</v>
      </c>
      <c r="B603" s="4">
        <v>61075</v>
      </c>
      <c r="C603" s="4">
        <f>IF(DatiOriginali!C603 &gt;= SogliaPicchi!$B$8,"",DatiOriginali!C603)</f>
        <v>430200</v>
      </c>
      <c r="D603" s="4">
        <v>30217</v>
      </c>
      <c r="E603" s="4">
        <f>IF(DatiOriginali!E603 &gt;= SogliaPicchi!$B$8,"",DatiOriginali!E603)</f>
        <v>110700</v>
      </c>
      <c r="F603" s="4">
        <v>676882</v>
      </c>
      <c r="G603" s="4">
        <f>IF(DatiOriginali!G603 &gt;= SogliaPicchi!$B$8,"",DatiOriginali!G603)</f>
        <v>121800</v>
      </c>
      <c r="H603" s="4">
        <v>828585</v>
      </c>
      <c r="I603" s="4">
        <f>IF(DatiOriginali!I603 &gt;= SogliaPicchi!$B$8,"",DatiOriginali!I603)</f>
        <v>36900</v>
      </c>
      <c r="J603" s="4">
        <v>825486</v>
      </c>
      <c r="K603" s="4">
        <f>IF(DatiOriginali!K603 &gt;= SogliaPicchi!$B$8,"",DatiOriginali!K603)</f>
        <v>42500</v>
      </c>
    </row>
    <row r="604" spans="1:11" x14ac:dyDescent="0.3">
      <c r="A604" s="4" t="s">
        <v>613</v>
      </c>
      <c r="B604" s="4">
        <v>61075</v>
      </c>
      <c r="C604" s="4">
        <f>IF(DatiOriginali!C604 &gt;= SogliaPicchi!$B$8,"",DatiOriginali!C604)</f>
        <v>507300</v>
      </c>
      <c r="D604" s="4">
        <v>30550</v>
      </c>
      <c r="E604" s="4">
        <f>IF(DatiOriginali!E604 &gt;= SogliaPicchi!$B$8,"",DatiOriginali!E604)</f>
        <v>139200</v>
      </c>
      <c r="F604" s="4">
        <v>679397</v>
      </c>
      <c r="G604" s="4">
        <f>IF(DatiOriginali!G604 &gt;= SogliaPicchi!$B$8,"",DatiOriginali!G604)</f>
        <v>129500</v>
      </c>
      <c r="H604" s="4">
        <v>831932</v>
      </c>
      <c r="I604" s="4">
        <f>IF(DatiOriginali!I604 &gt;= SogliaPicchi!$B$8,"",DatiOriginali!I604)</f>
        <v>36000</v>
      </c>
      <c r="J604" s="4">
        <v>828469</v>
      </c>
      <c r="K604" s="4">
        <f>IF(DatiOriginali!K604 &gt;= SogliaPicchi!$B$8,"",DatiOriginali!K604)</f>
        <v>47100</v>
      </c>
    </row>
    <row r="605" spans="1:11" x14ac:dyDescent="0.3">
      <c r="A605" s="4" t="s">
        <v>614</v>
      </c>
      <c r="B605" s="4">
        <v>61075</v>
      </c>
      <c r="C605" s="4">
        <f>IF(DatiOriginali!C605 &gt;= SogliaPicchi!$B$8,"",DatiOriginali!C605)</f>
        <v>420600</v>
      </c>
      <c r="D605" s="4">
        <v>32260</v>
      </c>
      <c r="E605" s="4">
        <f>IF(DatiOriginali!E605 &gt;= SogliaPicchi!$B$8,"",DatiOriginali!E605)</f>
        <v>115200</v>
      </c>
      <c r="F605" s="4">
        <v>681923</v>
      </c>
      <c r="G605" s="4">
        <f>IF(DatiOriginali!G605 &gt;= SogliaPicchi!$B$8,"",DatiOriginali!G605)</f>
        <v>118100</v>
      </c>
      <c r="H605" s="4">
        <v>835459</v>
      </c>
      <c r="I605" s="4">
        <f>IF(DatiOriginali!I605 &gt;= SogliaPicchi!$B$8,"",DatiOriginali!I605)</f>
        <v>38600</v>
      </c>
      <c r="J605" s="4">
        <v>831412</v>
      </c>
      <c r="K605" s="4">
        <f>IF(DatiOriginali!K605 &gt;= SogliaPicchi!$B$8,"",DatiOriginali!K605)</f>
        <v>43800</v>
      </c>
    </row>
    <row r="606" spans="1:11" x14ac:dyDescent="0.3">
      <c r="A606" s="4" t="s">
        <v>615</v>
      </c>
      <c r="B606" s="4">
        <v>61075</v>
      </c>
      <c r="C606" s="4">
        <f>IF(DatiOriginali!C606 &gt;= SogliaPicchi!$B$8,"",DatiOriginali!C606)</f>
        <v>457300</v>
      </c>
      <c r="D606" s="4">
        <v>29451</v>
      </c>
      <c r="E606" s="4">
        <f>IF(DatiOriginali!E606 &gt;= SogliaPicchi!$B$8,"",DatiOriginali!E606)</f>
        <v>126800</v>
      </c>
      <c r="F606" s="4">
        <v>684440</v>
      </c>
      <c r="G606" s="4">
        <f>IF(DatiOriginali!G606 &gt;= SogliaPicchi!$B$8,"",DatiOriginali!G606)</f>
        <v>156100</v>
      </c>
      <c r="H606" s="4">
        <v>838880</v>
      </c>
      <c r="I606" s="4">
        <f>IF(DatiOriginali!I606 &gt;= SogliaPicchi!$B$8,"",DatiOriginali!I606)</f>
        <v>46200</v>
      </c>
      <c r="J606" s="4">
        <v>834520</v>
      </c>
      <c r="K606" s="4">
        <f>IF(DatiOriginali!K606 &gt;= SogliaPicchi!$B$8,"",DatiOriginali!K606)</f>
        <v>50700</v>
      </c>
    </row>
    <row r="607" spans="1:11" x14ac:dyDescent="0.3">
      <c r="A607" s="4" t="s">
        <v>616</v>
      </c>
      <c r="B607" s="4">
        <v>61075</v>
      </c>
      <c r="C607" s="4">
        <f>IF(DatiOriginali!C607 &gt;= SogliaPicchi!$B$8,"",DatiOriginali!C607)</f>
        <v>442600</v>
      </c>
      <c r="D607" s="4">
        <v>31745</v>
      </c>
      <c r="E607" s="4">
        <f>IF(DatiOriginali!E607 &gt;= SogliaPicchi!$B$8,"",DatiOriginali!E607)</f>
        <v>136300</v>
      </c>
      <c r="F607" s="4">
        <v>686961</v>
      </c>
      <c r="G607" s="4">
        <f>IF(DatiOriginali!G607 &gt;= SogliaPicchi!$B$8,"",DatiOriginali!G607)</f>
        <v>160300</v>
      </c>
      <c r="H607" s="4">
        <v>842530</v>
      </c>
      <c r="I607" s="4">
        <f>IF(DatiOriginali!I607 &gt;= SogliaPicchi!$B$8,"",DatiOriginali!I607)</f>
        <v>47800</v>
      </c>
      <c r="J607" s="4">
        <v>837518</v>
      </c>
      <c r="K607" s="4">
        <f>IF(DatiOriginali!K607 &gt;= SogliaPicchi!$B$8,"",DatiOriginali!K607)</f>
        <v>52600</v>
      </c>
    </row>
    <row r="608" spans="1:11" x14ac:dyDescent="0.3">
      <c r="A608" s="4" t="s">
        <v>617</v>
      </c>
      <c r="B608" s="4">
        <v>61075</v>
      </c>
      <c r="C608" s="4">
        <f>IF(DatiOriginali!C608 &gt;= SogliaPicchi!$B$8,"",DatiOriginali!C608)</f>
        <v>491000</v>
      </c>
      <c r="D608" s="4">
        <v>30577</v>
      </c>
      <c r="E608" s="4">
        <f>IF(DatiOriginali!E608 &gt;= SogliaPicchi!$B$8,"",DatiOriginali!E608)</f>
        <v>117000</v>
      </c>
      <c r="F608" s="4">
        <v>689488</v>
      </c>
      <c r="G608" s="4">
        <f>IF(DatiOriginali!G608 &gt;= SogliaPicchi!$B$8,"",DatiOriginali!G608)</f>
        <v>134100</v>
      </c>
      <c r="H608" s="4">
        <v>845678</v>
      </c>
      <c r="I608" s="4">
        <f>IF(DatiOriginali!I608 &gt;= SogliaPicchi!$B$8,"",DatiOriginali!I608)</f>
        <v>43800</v>
      </c>
      <c r="J608" s="4">
        <v>840846</v>
      </c>
      <c r="K608" s="4">
        <f>IF(DatiOriginali!K608 &gt;= SogliaPicchi!$B$8,"",DatiOriginali!K608)</f>
        <v>44000</v>
      </c>
    </row>
    <row r="609" spans="1:11" x14ac:dyDescent="0.3">
      <c r="A609" s="4" t="s">
        <v>618</v>
      </c>
      <c r="B609" s="4">
        <v>61075</v>
      </c>
      <c r="C609" s="4">
        <f>IF(DatiOriginali!C609 &gt;= SogliaPicchi!$B$8,"",DatiOriginali!C609)</f>
        <v>443900</v>
      </c>
      <c r="D609" s="4">
        <v>31203</v>
      </c>
      <c r="E609" s="4">
        <f>IF(DatiOriginali!E609 &gt;= SogliaPicchi!$B$8,"",DatiOriginali!E609)</f>
        <v>113600</v>
      </c>
      <c r="F609" s="4">
        <v>691985</v>
      </c>
      <c r="G609" s="4">
        <f>IF(DatiOriginali!G609 &gt;= SogliaPicchi!$B$8,"",DatiOriginali!G609)</f>
        <v>122800</v>
      </c>
      <c r="H609" s="4">
        <v>848533</v>
      </c>
      <c r="I609" s="4">
        <f>IF(DatiOriginali!I609 &gt;= SogliaPicchi!$B$8,"",DatiOriginali!I609)</f>
        <v>36200</v>
      </c>
      <c r="J609" s="4">
        <v>843843</v>
      </c>
      <c r="K609" s="4">
        <f>IF(DatiOriginali!K609 &gt;= SogliaPicchi!$B$8,"",DatiOriginali!K609)</f>
        <v>41500</v>
      </c>
    </row>
    <row r="610" spans="1:11" x14ac:dyDescent="0.3">
      <c r="A610" s="4" t="s">
        <v>619</v>
      </c>
      <c r="B610" s="4">
        <v>61075</v>
      </c>
      <c r="C610" s="4">
        <f>IF(DatiOriginali!C610 &gt;= SogliaPicchi!$B$8,"",DatiOriginali!C610)</f>
        <v>406200</v>
      </c>
      <c r="D610" s="4">
        <v>32006</v>
      </c>
      <c r="E610" s="4">
        <f>IF(DatiOriginali!E610 &gt;= SogliaPicchi!$B$8,"",DatiOriginali!E610)</f>
        <v>113500</v>
      </c>
      <c r="F610" s="4">
        <v>694493</v>
      </c>
      <c r="G610" s="4">
        <f>IF(DatiOriginali!G610 &gt;= SogliaPicchi!$B$8,"",DatiOriginali!G610)</f>
        <v>122500</v>
      </c>
      <c r="H610" s="4">
        <v>851343</v>
      </c>
      <c r="I610" s="4">
        <f>IF(DatiOriginali!I610 &gt;= SogliaPicchi!$B$8,"",DatiOriginali!I610)</f>
        <v>36300</v>
      </c>
      <c r="J610" s="4">
        <v>846855</v>
      </c>
      <c r="K610" s="4">
        <f>IF(DatiOriginali!K610 &gt;= SogliaPicchi!$B$8,"",DatiOriginali!K610)</f>
        <v>42600</v>
      </c>
    </row>
    <row r="611" spans="1:11" x14ac:dyDescent="0.3">
      <c r="A611" s="4" t="s">
        <v>620</v>
      </c>
      <c r="B611" s="4">
        <v>61075</v>
      </c>
      <c r="C611" s="4">
        <f>IF(DatiOriginali!C611 &gt;= SogliaPicchi!$B$8,"",DatiOriginali!C611)</f>
        <v>423500</v>
      </c>
      <c r="D611" s="4">
        <v>33111</v>
      </c>
      <c r="E611" s="4">
        <f>IF(DatiOriginali!E611 &gt;= SogliaPicchi!$B$8,"",DatiOriginali!E611)</f>
        <v>117600</v>
      </c>
      <c r="F611" s="4">
        <v>697035</v>
      </c>
      <c r="G611" s="4">
        <f>IF(DatiOriginali!G611 &gt;= SogliaPicchi!$B$8,"",DatiOriginali!G611)</f>
        <v>123200</v>
      </c>
      <c r="H611" s="4">
        <v>854431</v>
      </c>
      <c r="I611" s="4">
        <f>IF(DatiOriginali!I611 &gt;= SogliaPicchi!$B$8,"",DatiOriginali!I611)</f>
        <v>37400</v>
      </c>
      <c r="J611" s="4">
        <v>850077</v>
      </c>
      <c r="K611" s="4">
        <f>IF(DatiOriginali!K611 &gt;= SogliaPicchi!$B$8,"",DatiOriginali!K611)</f>
        <v>43200</v>
      </c>
    </row>
    <row r="612" spans="1:11" x14ac:dyDescent="0.3">
      <c r="A612" s="4" t="s">
        <v>621</v>
      </c>
      <c r="B612" s="4">
        <v>61075</v>
      </c>
      <c r="C612" s="4">
        <f>IF(DatiOriginali!C612 &gt;= SogliaPicchi!$B$8,"",DatiOriginali!C612)</f>
        <v>375200</v>
      </c>
      <c r="D612" s="4">
        <v>31033</v>
      </c>
      <c r="E612" s="4">
        <f>IF(DatiOriginali!E612 &gt;= SogliaPicchi!$B$8,"",DatiOriginali!E612)</f>
        <v>110600</v>
      </c>
      <c r="F612" s="4">
        <v>699552</v>
      </c>
      <c r="G612" s="4">
        <f>IF(DatiOriginali!G612 &gt;= SogliaPicchi!$B$8,"",DatiOriginali!G612)</f>
        <v>128300</v>
      </c>
      <c r="H612" s="4">
        <v>858196</v>
      </c>
      <c r="I612" s="4">
        <f>IF(DatiOriginali!I612 &gt;= SogliaPicchi!$B$8,"",DatiOriginali!I612)</f>
        <v>38000</v>
      </c>
      <c r="J612" s="4">
        <v>853250</v>
      </c>
      <c r="K612" s="4">
        <f>IF(DatiOriginali!K612 &gt;= SogliaPicchi!$B$8,"",DatiOriginali!K612)</f>
        <v>42800</v>
      </c>
    </row>
    <row r="613" spans="1:11" x14ac:dyDescent="0.3">
      <c r="A613" s="4" t="s">
        <v>622</v>
      </c>
      <c r="B613" s="4">
        <v>61075</v>
      </c>
      <c r="C613" s="4">
        <f>IF(DatiOriginali!C613 &gt;= SogliaPicchi!$B$8,"",DatiOriginali!C613)</f>
        <v>416500</v>
      </c>
      <c r="D613" s="4">
        <v>31440</v>
      </c>
      <c r="E613" s="4">
        <f>IF(DatiOriginali!E613 &gt;= SogliaPicchi!$B$8,"",DatiOriginali!E613)</f>
        <v>112000</v>
      </c>
      <c r="F613" s="4">
        <v>702083</v>
      </c>
      <c r="G613" s="4">
        <f>IF(DatiOriginali!G613 &gt;= SogliaPicchi!$B$8,"",DatiOriginali!G613)</f>
        <v>123700</v>
      </c>
      <c r="H613" s="4">
        <v>861145</v>
      </c>
      <c r="I613" s="4">
        <f>IF(DatiOriginali!I613 &gt;= SogliaPicchi!$B$8,"",DatiOriginali!I613)</f>
        <v>38000</v>
      </c>
      <c r="J613" s="4">
        <v>856459</v>
      </c>
      <c r="K613" s="4">
        <f>IF(DatiOriginali!K613 &gt;= SogliaPicchi!$B$8,"",DatiOriginali!K613)</f>
        <v>42600</v>
      </c>
    </row>
    <row r="614" spans="1:11" x14ac:dyDescent="0.3">
      <c r="A614" s="4" t="s">
        <v>623</v>
      </c>
      <c r="B614" s="4">
        <v>61075</v>
      </c>
      <c r="C614" s="4">
        <f>IF(DatiOriginali!C614 &gt;= SogliaPicchi!$B$8,"",DatiOriginali!C614)</f>
        <v>412700</v>
      </c>
      <c r="D614" s="4">
        <v>30008</v>
      </c>
      <c r="E614" s="4">
        <f>IF(DatiOriginali!E614 &gt;= SogliaPicchi!$B$8,"",DatiOriginali!E614)</f>
        <v>109600</v>
      </c>
      <c r="F614" s="4">
        <v>704608</v>
      </c>
      <c r="G614" s="4">
        <f>IF(DatiOriginali!G614 &gt;= SogliaPicchi!$B$8,"",DatiOriginali!G614)</f>
        <v>115100</v>
      </c>
      <c r="H614" s="4">
        <v>864128</v>
      </c>
      <c r="I614" s="4">
        <f>IF(DatiOriginali!I614 &gt;= SogliaPicchi!$B$8,"",DatiOriginali!I614)</f>
        <v>37500</v>
      </c>
      <c r="J614" s="4">
        <v>859812</v>
      </c>
      <c r="K614" s="4">
        <f>IF(DatiOriginali!K614 &gt;= SogliaPicchi!$B$8,"",DatiOriginali!K614)</f>
        <v>42500</v>
      </c>
    </row>
    <row r="615" spans="1:11" x14ac:dyDescent="0.3">
      <c r="A615" s="4" t="s">
        <v>624</v>
      </c>
      <c r="B615" s="4">
        <v>61075</v>
      </c>
      <c r="C615" s="4">
        <f>IF(DatiOriginali!C615 &gt;= SogliaPicchi!$B$8,"",DatiOriginali!C615)</f>
        <v>426400</v>
      </c>
      <c r="D615" s="4">
        <v>30958</v>
      </c>
      <c r="E615" s="4">
        <f>IF(DatiOriginali!E615 &gt;= SogliaPicchi!$B$8,"",DatiOriginali!E615)</f>
        <v>113600</v>
      </c>
      <c r="F615" s="4">
        <v>707149</v>
      </c>
      <c r="G615" s="4">
        <f>IF(DatiOriginali!G615 &gt;= SogliaPicchi!$B$8,"",DatiOriginali!G615)</f>
        <v>124200</v>
      </c>
      <c r="H615" s="4">
        <v>867021</v>
      </c>
      <c r="I615" s="4">
        <f>IF(DatiOriginali!I615 &gt;= SogliaPicchi!$B$8,"",DatiOriginali!I615)</f>
        <v>36200</v>
      </c>
      <c r="J615" s="4">
        <v>862825</v>
      </c>
      <c r="K615" s="4">
        <f>IF(DatiOriginali!K615 &gt;= SogliaPicchi!$B$8,"",DatiOriginali!K615)</f>
        <v>42000</v>
      </c>
    </row>
    <row r="616" spans="1:11" x14ac:dyDescent="0.3">
      <c r="A616" s="4" t="s">
        <v>625</v>
      </c>
      <c r="B616" s="4">
        <v>61075</v>
      </c>
      <c r="C616" s="4">
        <f>IF(DatiOriginali!C616 &gt;= SogliaPicchi!$B$8,"",DatiOriginali!C616)</f>
        <v>370100</v>
      </c>
      <c r="D616" s="4">
        <v>33354</v>
      </c>
      <c r="E616" s="4">
        <f>IF(DatiOriginali!E616 &gt;= SogliaPicchi!$B$8,"",DatiOriginali!E616)</f>
        <v>121200</v>
      </c>
      <c r="F616" s="4">
        <v>709678</v>
      </c>
      <c r="G616" s="4">
        <f>IF(DatiOriginali!G616 &gt;= SogliaPicchi!$B$8,"",DatiOriginali!G616)</f>
        <v>139800</v>
      </c>
      <c r="H616" s="4">
        <v>869775</v>
      </c>
      <c r="I616" s="4">
        <f>IF(DatiOriginali!I616 &gt;= SogliaPicchi!$B$8,"",DatiOriginali!I616)</f>
        <v>36300</v>
      </c>
      <c r="J616" s="4">
        <v>865704</v>
      </c>
      <c r="K616" s="4">
        <f>IF(DatiOriginali!K616 &gt;= SogliaPicchi!$B$8,"",DatiOriginali!K616)</f>
        <v>42900</v>
      </c>
    </row>
    <row r="617" spans="1:11" x14ac:dyDescent="0.3">
      <c r="A617" s="4" t="s">
        <v>626</v>
      </c>
      <c r="B617" s="4">
        <v>61075</v>
      </c>
      <c r="C617" s="4">
        <f>IF(DatiOriginali!C617 &gt;= SogliaPicchi!$B$8,"",DatiOriginali!C617)</f>
        <v>398600</v>
      </c>
      <c r="D617" s="4">
        <v>31248</v>
      </c>
      <c r="E617" s="4">
        <f>IF(DatiOriginali!E617 &gt;= SogliaPicchi!$B$8,"",DatiOriginali!E617)</f>
        <v>111400</v>
      </c>
      <c r="F617" s="4">
        <v>712208</v>
      </c>
      <c r="G617" s="4">
        <f>IF(DatiOriginali!G617 &gt;= SogliaPicchi!$B$8,"",DatiOriginali!G617)</f>
        <v>123100</v>
      </c>
      <c r="H617" s="4">
        <v>872735</v>
      </c>
      <c r="I617" s="4">
        <f>IF(DatiOriginali!I617 &gt;= SogliaPicchi!$B$8,"",DatiOriginali!I617)</f>
        <v>37300</v>
      </c>
      <c r="J617" s="4">
        <v>868881</v>
      </c>
      <c r="K617" s="4">
        <f>IF(DatiOriginali!K617 &gt;= SogliaPicchi!$B$8,"",DatiOriginali!K617)</f>
        <v>41900</v>
      </c>
    </row>
    <row r="618" spans="1:11" x14ac:dyDescent="0.3">
      <c r="A618" s="4" t="s">
        <v>627</v>
      </c>
      <c r="B618" s="4">
        <v>61075</v>
      </c>
      <c r="C618" s="4">
        <f>IF(DatiOriginali!C618 &gt;= SogliaPicchi!$B$8,"",DatiOriginali!C618)</f>
        <v>394000</v>
      </c>
      <c r="D618" s="4">
        <v>32480</v>
      </c>
      <c r="E618" s="4">
        <f>IF(DatiOriginali!E618 &gt;= SogliaPicchi!$B$8,"",DatiOriginali!E618)</f>
        <v>115400</v>
      </c>
      <c r="F618" s="4">
        <v>714729</v>
      </c>
      <c r="G618" s="4">
        <f>IF(DatiOriginali!G618 &gt;= SogliaPicchi!$B$8,"",DatiOriginali!G618)</f>
        <v>122900</v>
      </c>
      <c r="H618" s="4">
        <v>876688</v>
      </c>
      <c r="I618" s="4">
        <f>IF(DatiOriginali!I618 &gt;= SogliaPicchi!$B$8,"",DatiOriginali!I618)</f>
        <v>39300</v>
      </c>
      <c r="J618" s="4">
        <v>871885</v>
      </c>
      <c r="K618" s="4">
        <f>IF(DatiOriginali!K618 &gt;= SogliaPicchi!$B$8,"",DatiOriginali!K618)</f>
        <v>42300</v>
      </c>
    </row>
    <row r="619" spans="1:11" x14ac:dyDescent="0.3">
      <c r="A619" s="4" t="s">
        <v>628</v>
      </c>
      <c r="B619" s="4">
        <v>61075</v>
      </c>
      <c r="C619" s="4">
        <f>IF(DatiOriginali!C619 &gt;= SogliaPicchi!$B$8,"",DatiOriginali!C619)</f>
        <v>485000</v>
      </c>
      <c r="D619" s="4">
        <v>30764</v>
      </c>
      <c r="E619" s="4">
        <f>IF(DatiOriginali!E619 &gt;= SogliaPicchi!$B$8,"",DatiOriginali!E619)</f>
        <v>132200</v>
      </c>
      <c r="F619" s="4">
        <v>717274</v>
      </c>
      <c r="G619" s="4">
        <f>IF(DatiOriginali!G619 &gt;= SogliaPicchi!$B$8,"",DatiOriginali!G619)</f>
        <v>153700</v>
      </c>
      <c r="H619" s="4">
        <v>879637</v>
      </c>
      <c r="I619" s="4">
        <f>IF(DatiOriginali!I619 &gt;= SogliaPicchi!$B$8,"",DatiOriginali!I619)</f>
        <v>45100</v>
      </c>
      <c r="J619" s="4">
        <v>874933</v>
      </c>
      <c r="K619" s="4">
        <f>IF(DatiOriginali!K619 &gt;= SogliaPicchi!$B$8,"",DatiOriginali!K619)</f>
        <v>52200</v>
      </c>
    </row>
    <row r="620" spans="1:11" x14ac:dyDescent="0.3">
      <c r="A620" s="4" t="s">
        <v>629</v>
      </c>
      <c r="B620" s="4">
        <v>61075</v>
      </c>
      <c r="C620" s="4">
        <f>IF(DatiOriginali!C620 &gt;= SogliaPicchi!$B$8,"",DatiOriginali!C620)</f>
        <v>390700</v>
      </c>
      <c r="D620" s="4">
        <v>31130</v>
      </c>
      <c r="E620" s="4">
        <f>IF(DatiOriginali!E620 &gt;= SogliaPicchi!$B$8,"",DatiOriginali!E620)</f>
        <v>111500</v>
      </c>
      <c r="F620" s="4">
        <v>719798</v>
      </c>
      <c r="G620" s="4">
        <f>IF(DatiOriginali!G620 &gt;= SogliaPicchi!$B$8,"",DatiOriginali!G620)</f>
        <v>128600</v>
      </c>
      <c r="H620" s="4">
        <v>882646</v>
      </c>
      <c r="I620" s="4">
        <f>IF(DatiOriginali!I620 &gt;= SogliaPicchi!$B$8,"",DatiOriginali!I620)</f>
        <v>37900</v>
      </c>
      <c r="J620" s="4">
        <v>877959</v>
      </c>
      <c r="K620" s="4">
        <f>IF(DatiOriginali!K620 &gt;= SogliaPicchi!$B$8,"",DatiOriginali!K620)</f>
        <v>44500</v>
      </c>
    </row>
    <row r="621" spans="1:11" x14ac:dyDescent="0.3">
      <c r="A621" s="4" t="s">
        <v>630</v>
      </c>
      <c r="B621" s="4">
        <v>61075</v>
      </c>
      <c r="C621" s="4">
        <f>IF(DatiOriginali!C621 &gt;= SogliaPicchi!$B$8,"",DatiOriginali!C621)</f>
        <v>522500</v>
      </c>
      <c r="D621" s="4">
        <v>29645</v>
      </c>
      <c r="E621" s="4">
        <f>IF(DatiOriginali!E621 &gt;= SogliaPicchi!$B$8,"",DatiOriginali!E621)</f>
        <v>124400</v>
      </c>
      <c r="F621" s="4">
        <v>722323</v>
      </c>
      <c r="G621" s="4">
        <f>IF(DatiOriginali!G621 &gt;= SogliaPicchi!$B$8,"",DatiOriginali!G621)</f>
        <v>128800</v>
      </c>
      <c r="H621" s="4">
        <v>885825</v>
      </c>
      <c r="I621" s="4">
        <f>IF(DatiOriginali!I621 &gt;= SogliaPicchi!$B$8,"",DatiOriginali!I621)</f>
        <v>36400</v>
      </c>
      <c r="J621" s="4">
        <v>880756</v>
      </c>
      <c r="K621" s="4">
        <f>IF(DatiOriginali!K621 &gt;= SogliaPicchi!$B$8,"",DatiOriginali!K621)</f>
        <v>43300</v>
      </c>
    </row>
    <row r="622" spans="1:11" x14ac:dyDescent="0.3">
      <c r="A622" s="4" t="s">
        <v>631</v>
      </c>
      <c r="B622" s="4">
        <v>61075</v>
      </c>
      <c r="C622" s="4">
        <f>IF(DatiOriginali!C622 &gt;= SogliaPicchi!$B$8,"",DatiOriginali!C622)</f>
        <v>431400</v>
      </c>
      <c r="D622" s="4">
        <v>30151</v>
      </c>
      <c r="E622" s="4">
        <f>IF(DatiOriginali!E622 &gt;= SogliaPicchi!$B$8,"",DatiOriginali!E622)</f>
        <v>111400</v>
      </c>
      <c r="F622" s="4">
        <v>724851</v>
      </c>
      <c r="G622" s="4">
        <f>IF(DatiOriginali!G622 &gt;= SogliaPicchi!$B$8,"",DatiOriginali!G622)</f>
        <v>148700</v>
      </c>
      <c r="H622" s="4">
        <v>888700</v>
      </c>
      <c r="I622" s="4">
        <f>IF(DatiOriginali!I622 &gt;= SogliaPicchi!$B$8,"",DatiOriginali!I622)</f>
        <v>37400</v>
      </c>
      <c r="J622" s="4">
        <v>884019</v>
      </c>
      <c r="K622" s="4">
        <f>IF(DatiOriginali!K622 &gt;= SogliaPicchi!$B$8,"",DatiOriginali!K622)</f>
        <v>43400</v>
      </c>
    </row>
    <row r="623" spans="1:11" x14ac:dyDescent="0.3">
      <c r="A623" s="4" t="s">
        <v>632</v>
      </c>
      <c r="B623" s="4">
        <v>61075</v>
      </c>
      <c r="C623" s="4">
        <f>IF(DatiOriginali!C623 &gt;= SogliaPicchi!$B$8,"",DatiOriginali!C623)</f>
        <v>563900</v>
      </c>
      <c r="D623" s="4">
        <v>30479</v>
      </c>
      <c r="E623" s="4">
        <f>IF(DatiOriginali!E623 &gt;= SogliaPicchi!$B$8,"",DatiOriginali!E623)</f>
        <v>190100</v>
      </c>
      <c r="F623" s="4">
        <v>727384</v>
      </c>
      <c r="G623" s="4">
        <f>IF(DatiOriginali!G623 &gt;= SogliaPicchi!$B$8,"",DatiOriginali!G623)</f>
        <v>142000</v>
      </c>
      <c r="H623" s="4">
        <v>891950</v>
      </c>
      <c r="I623" s="4">
        <f>IF(DatiOriginali!I623 &gt;= SogliaPicchi!$B$8,"",DatiOriginali!I623)</f>
        <v>38900</v>
      </c>
      <c r="J623" s="4">
        <v>887267</v>
      </c>
      <c r="K623" s="4">
        <f>IF(DatiOriginali!K623 &gt;= SogliaPicchi!$B$8,"",DatiOriginali!K623)</f>
        <v>44000</v>
      </c>
    </row>
    <row r="624" spans="1:11" x14ac:dyDescent="0.3">
      <c r="A624" s="4" t="s">
        <v>633</v>
      </c>
      <c r="B624" s="4">
        <v>61075</v>
      </c>
      <c r="C624" s="4">
        <f>IF(DatiOriginali!C624 &gt;= SogliaPicchi!$B$8,"",DatiOriginali!C624)</f>
        <v>407100</v>
      </c>
      <c r="D624" s="4">
        <v>30035</v>
      </c>
      <c r="E624" s="4">
        <f>IF(DatiOriginali!E624 &gt;= SogliaPicchi!$B$8,"",DatiOriginali!E624)</f>
        <v>107300</v>
      </c>
      <c r="F624" s="4">
        <v>729895</v>
      </c>
      <c r="G624" s="4">
        <f>IF(DatiOriginali!G624 &gt;= SogliaPicchi!$B$8,"",DatiOriginali!G624)</f>
        <v>124800</v>
      </c>
      <c r="H624" s="4">
        <v>894807</v>
      </c>
      <c r="I624" s="4">
        <f>IF(DatiOriginali!I624 &gt;= SogliaPicchi!$B$8,"",DatiOriginali!I624)</f>
        <v>36200</v>
      </c>
      <c r="J624" s="4">
        <v>890197</v>
      </c>
      <c r="K624" s="4">
        <f>IF(DatiOriginali!K624 &gt;= SogliaPicchi!$B$8,"",DatiOriginali!K624)</f>
        <v>43000</v>
      </c>
    </row>
    <row r="625" spans="1:11" x14ac:dyDescent="0.3">
      <c r="A625" s="4" t="s">
        <v>634</v>
      </c>
      <c r="B625" s="4">
        <v>61075</v>
      </c>
      <c r="C625" s="4">
        <f>IF(DatiOriginali!C625 &gt;= SogliaPicchi!$B$8,"",DatiOriginali!C625)</f>
        <v>378100</v>
      </c>
      <c r="D625" s="4">
        <v>30339</v>
      </c>
      <c r="E625" s="4">
        <f>IF(DatiOriginali!E625 &gt;= SogliaPicchi!$B$8,"",DatiOriginali!E625)</f>
        <v>110600</v>
      </c>
      <c r="F625" s="4">
        <v>732418</v>
      </c>
      <c r="G625" s="4">
        <f>IF(DatiOriginali!G625 &gt;= SogliaPicchi!$B$8,"",DatiOriginali!G625)</f>
        <v>122400</v>
      </c>
      <c r="H625" s="4">
        <v>898296</v>
      </c>
      <c r="I625" s="4">
        <f>IF(DatiOriginali!I625 &gt;= SogliaPicchi!$B$8,"",DatiOriginali!I625)</f>
        <v>39300</v>
      </c>
      <c r="J625" s="4">
        <v>893040</v>
      </c>
      <c r="K625" s="4">
        <f>IF(DatiOriginali!K625 &gt;= SogliaPicchi!$B$8,"",DatiOriginali!K625)</f>
        <v>41900</v>
      </c>
    </row>
    <row r="626" spans="1:11" x14ac:dyDescent="0.3">
      <c r="A626" s="4" t="s">
        <v>635</v>
      </c>
      <c r="B626" s="4">
        <v>61075</v>
      </c>
      <c r="C626" s="4">
        <f>IF(DatiOriginali!C626 &gt;= SogliaPicchi!$B$8,"",DatiOriginali!C626)</f>
        <v>412900</v>
      </c>
      <c r="D626" s="4">
        <v>31900</v>
      </c>
      <c r="E626" s="4">
        <f>IF(DatiOriginali!E626 &gt;= SogliaPicchi!$B$8,"",DatiOriginali!E626)</f>
        <v>113200</v>
      </c>
      <c r="F626" s="4">
        <v>734916</v>
      </c>
      <c r="G626" s="4">
        <f>IF(DatiOriginali!G626 &gt;= SogliaPicchi!$B$8,"",DatiOriginali!G626)</f>
        <v>123500</v>
      </c>
      <c r="H626" s="4">
        <v>901412</v>
      </c>
      <c r="I626" s="4">
        <f>IF(DatiOriginali!I626 &gt;= SogliaPicchi!$B$8,"",DatiOriginali!I626)</f>
        <v>36100</v>
      </c>
      <c r="J626" s="4">
        <v>896417</v>
      </c>
      <c r="K626" s="4">
        <f>IF(DatiOriginali!K626 &gt;= SogliaPicchi!$B$8,"",DatiOriginali!K626)</f>
        <v>44200</v>
      </c>
    </row>
    <row r="627" spans="1:11" x14ac:dyDescent="0.3">
      <c r="A627" s="4" t="s">
        <v>636</v>
      </c>
      <c r="B627" s="4">
        <v>61075</v>
      </c>
      <c r="C627" s="4">
        <f>IF(DatiOriginali!C627 &gt;= SogliaPicchi!$B$8,"",DatiOriginali!C627)</f>
        <v>430300</v>
      </c>
      <c r="D627" s="4">
        <v>27982</v>
      </c>
      <c r="E627" s="4">
        <f>IF(DatiOriginali!E627 &gt;= SogliaPicchi!$B$8,"",DatiOriginali!E627)</f>
        <v>106900</v>
      </c>
      <c r="F627" s="4">
        <v>737430</v>
      </c>
      <c r="G627" s="4">
        <f>IF(DatiOriginali!G627 &gt;= SogliaPicchi!$B$8,"",DatiOriginali!G627)</f>
        <v>115800</v>
      </c>
      <c r="H627" s="4">
        <v>904354</v>
      </c>
      <c r="I627" s="4">
        <f>IF(DatiOriginali!I627 &gt;= SogliaPicchi!$B$8,"",DatiOriginali!I627)</f>
        <v>37000</v>
      </c>
      <c r="J627" s="4">
        <v>899733</v>
      </c>
      <c r="K627" s="4">
        <f>IF(DatiOriginali!K627 &gt;= SogliaPicchi!$B$8,"",DatiOriginali!K627)</f>
        <v>47000</v>
      </c>
    </row>
    <row r="628" spans="1:11" x14ac:dyDescent="0.3">
      <c r="A628" s="4" t="s">
        <v>637</v>
      </c>
      <c r="B628" s="4">
        <v>61075</v>
      </c>
      <c r="C628" s="4">
        <f>IF(DatiOriginali!C628 &gt;= SogliaPicchi!$B$8,"",DatiOriginali!C628)</f>
        <v>431300</v>
      </c>
      <c r="D628" s="4">
        <v>31609</v>
      </c>
      <c r="E628" s="4">
        <f>IF(DatiOriginali!E628 &gt;= SogliaPicchi!$B$8,"",DatiOriginali!E628)</f>
        <v>112600</v>
      </c>
      <c r="F628" s="4">
        <v>739938</v>
      </c>
      <c r="G628" s="4">
        <f>IF(DatiOriginali!G628 &gt;= SogliaPicchi!$B$8,"",DatiOriginali!G628)</f>
        <v>126200</v>
      </c>
      <c r="H628" s="4">
        <v>907651</v>
      </c>
      <c r="I628" s="4">
        <f>IF(DatiOriginali!I628 &gt;= SogliaPicchi!$B$8,"",DatiOriginali!I628)</f>
        <v>38100</v>
      </c>
      <c r="J628" s="4">
        <v>902636</v>
      </c>
      <c r="K628" s="4">
        <f>IF(DatiOriginali!K628 &gt;= SogliaPicchi!$B$8,"",DatiOriginali!K628)</f>
        <v>41800</v>
      </c>
    </row>
    <row r="629" spans="1:11" x14ac:dyDescent="0.3">
      <c r="A629" s="4" t="s">
        <v>638</v>
      </c>
      <c r="B629" s="4">
        <v>61075</v>
      </c>
      <c r="C629" s="4">
        <f>IF(DatiOriginali!C629 &gt;= SogliaPicchi!$B$8,"",DatiOriginali!C629)</f>
        <v>385300</v>
      </c>
      <c r="D629" s="4">
        <v>30334</v>
      </c>
      <c r="E629" s="4">
        <f>IF(DatiOriginali!E629 &gt;= SogliaPicchi!$B$8,"",DatiOriginali!E629)</f>
        <v>110300</v>
      </c>
      <c r="F629" s="4">
        <v>742471</v>
      </c>
      <c r="G629" s="4">
        <f>IF(DatiOriginali!G629 &gt;= SogliaPicchi!$B$8,"",DatiOriginali!G629)</f>
        <v>122700</v>
      </c>
      <c r="H629" s="4">
        <v>910992</v>
      </c>
      <c r="I629" s="4">
        <f>IF(DatiOriginali!I629 &gt;= SogliaPicchi!$B$8,"",DatiOriginali!I629)</f>
        <v>36000</v>
      </c>
      <c r="J629" s="4">
        <v>905673</v>
      </c>
      <c r="K629" s="4">
        <f>IF(DatiOriginali!K629 &gt;= SogliaPicchi!$B$8,"",DatiOriginali!K629)</f>
        <v>41600</v>
      </c>
    </row>
    <row r="630" spans="1:11" x14ac:dyDescent="0.3">
      <c r="A630" s="4" t="s">
        <v>639</v>
      </c>
      <c r="B630" s="4">
        <v>61075</v>
      </c>
      <c r="C630" s="4">
        <f>IF(DatiOriginali!C630 &gt;= SogliaPicchi!$B$8,"",DatiOriginali!C630)</f>
        <v>435700</v>
      </c>
      <c r="D630" s="4">
        <v>29980</v>
      </c>
      <c r="E630" s="4">
        <f>IF(DatiOriginali!E630 &gt;= SogliaPicchi!$B$8,"",DatiOriginali!E630)</f>
        <v>109500</v>
      </c>
      <c r="F630" s="4">
        <v>745007</v>
      </c>
      <c r="G630" s="4">
        <f>IF(DatiOriginali!G630 &gt;= SogliaPicchi!$B$8,"",DatiOriginali!G630)</f>
        <v>123600</v>
      </c>
      <c r="H630" s="4">
        <v>913819</v>
      </c>
      <c r="I630" s="4">
        <f>IF(DatiOriginali!I630 &gt;= SogliaPicchi!$B$8,"",DatiOriginali!I630)</f>
        <v>36400</v>
      </c>
      <c r="J630" s="4">
        <v>908762</v>
      </c>
      <c r="K630" s="4">
        <f>IF(DatiOriginali!K630 &gt;= SogliaPicchi!$B$8,"",DatiOriginali!K630)</f>
        <v>42600</v>
      </c>
    </row>
    <row r="631" spans="1:11" x14ac:dyDescent="0.3">
      <c r="A631" s="4" t="s">
        <v>640</v>
      </c>
      <c r="B631" s="4">
        <v>61075</v>
      </c>
      <c r="C631" s="4">
        <f>IF(DatiOriginali!C631 &gt;= SogliaPicchi!$B$8,"",DatiOriginali!C631)</f>
        <v>421800</v>
      </c>
      <c r="D631" s="4">
        <v>28634</v>
      </c>
      <c r="E631" s="4">
        <f>IF(DatiOriginali!E631 &gt;= SogliaPicchi!$B$8,"",DatiOriginali!E631)</f>
        <v>102500</v>
      </c>
      <c r="F631" s="4">
        <v>747518</v>
      </c>
      <c r="G631" s="4">
        <f>IF(DatiOriginali!G631 &gt;= SogliaPicchi!$B$8,"",DatiOriginali!G631)</f>
        <v>132300</v>
      </c>
      <c r="H631" s="4">
        <v>916728</v>
      </c>
      <c r="I631" s="4">
        <f>IF(DatiOriginali!I631 &gt;= SogliaPicchi!$B$8,"",DatiOriginali!I631)</f>
        <v>38200</v>
      </c>
      <c r="J631" s="4">
        <v>911991</v>
      </c>
      <c r="K631" s="4">
        <f>IF(DatiOriginali!K631 &gt;= SogliaPicchi!$B$8,"",DatiOriginali!K631)</f>
        <v>42600</v>
      </c>
    </row>
    <row r="632" spans="1:11" x14ac:dyDescent="0.3">
      <c r="A632" s="4" t="s">
        <v>641</v>
      </c>
      <c r="B632" s="4">
        <v>61075</v>
      </c>
      <c r="C632" s="4">
        <f>IF(DatiOriginali!C632 &gt;= SogliaPicchi!$B$8,"",DatiOriginali!C632)</f>
        <v>392700</v>
      </c>
      <c r="D632" s="4">
        <v>29805</v>
      </c>
      <c r="E632" s="4">
        <f>IF(DatiOriginali!E632 &gt;= SogliaPicchi!$B$8,"",DatiOriginali!E632)</f>
        <v>106500</v>
      </c>
      <c r="F632" s="4">
        <v>750060</v>
      </c>
      <c r="G632" s="4">
        <f>IF(DatiOriginali!G632 &gt;= SogliaPicchi!$B$8,"",DatiOriginali!G632)</f>
        <v>126700</v>
      </c>
      <c r="H632" s="4">
        <v>920368</v>
      </c>
      <c r="I632" s="4">
        <f>IF(DatiOriginali!I632 &gt;= SogliaPicchi!$B$8,"",DatiOriginali!I632)</f>
        <v>38000</v>
      </c>
      <c r="J632" s="4">
        <v>915000</v>
      </c>
      <c r="K632" s="4">
        <f>IF(DatiOriginali!K632 &gt;= SogliaPicchi!$B$8,"",DatiOriginali!K632)</f>
        <v>41200</v>
      </c>
    </row>
    <row r="633" spans="1:11" x14ac:dyDescent="0.3">
      <c r="A633" s="4" t="s">
        <v>642</v>
      </c>
      <c r="B633" s="4">
        <v>61075</v>
      </c>
      <c r="C633" s="4">
        <f>IF(DatiOriginali!C633 &gt;= SogliaPicchi!$B$8,"",DatiOriginali!C633)</f>
        <v>424400</v>
      </c>
      <c r="D633" s="4">
        <v>29586</v>
      </c>
      <c r="E633" s="4">
        <f>IF(DatiOriginali!E633 &gt;= SogliaPicchi!$B$8,"",DatiOriginali!E633)</f>
        <v>105600</v>
      </c>
      <c r="F633" s="4">
        <v>752594</v>
      </c>
      <c r="G633" s="4">
        <f>IF(DatiOriginali!G633 &gt;= SogliaPicchi!$B$8,"",DatiOriginali!G633)</f>
        <v>121900</v>
      </c>
      <c r="H633" s="4">
        <v>923262</v>
      </c>
      <c r="I633" s="4">
        <f>IF(DatiOriginali!I633 &gt;= SogliaPicchi!$B$8,"",DatiOriginali!I633)</f>
        <v>37300</v>
      </c>
      <c r="J633" s="4">
        <v>918029</v>
      </c>
      <c r="K633" s="4">
        <f>IF(DatiOriginali!K633 &gt;= SogliaPicchi!$B$8,"",DatiOriginali!K633)</f>
        <v>42100</v>
      </c>
    </row>
    <row r="634" spans="1:11" x14ac:dyDescent="0.3">
      <c r="A634" s="4" t="s">
        <v>643</v>
      </c>
      <c r="B634" s="4">
        <v>61075</v>
      </c>
      <c r="C634" s="4">
        <f>IF(DatiOriginali!C634 &gt;= SogliaPicchi!$B$8,"",DatiOriginali!C634)</f>
        <v>424800</v>
      </c>
      <c r="D634" s="4">
        <v>30532</v>
      </c>
      <c r="E634" s="4">
        <f>IF(DatiOriginali!E634 &gt;= SogliaPicchi!$B$8,"",DatiOriginali!E634)</f>
        <v>131600</v>
      </c>
      <c r="F634" s="4">
        <v>755125</v>
      </c>
      <c r="G634" s="4">
        <f>IF(DatiOriginali!G634 &gt;= SogliaPicchi!$B$8,"",DatiOriginali!G634)</f>
        <v>153000</v>
      </c>
      <c r="H634" s="4">
        <v>926650</v>
      </c>
      <c r="I634" s="4">
        <f>IF(DatiOriginali!I634 &gt;= SogliaPicchi!$B$8,"",DatiOriginali!I634)</f>
        <v>43900</v>
      </c>
      <c r="J634" s="4">
        <v>920884</v>
      </c>
      <c r="K634" s="4">
        <f>IF(DatiOriginali!K634 &gt;= SogliaPicchi!$B$8,"",DatiOriginali!K634)</f>
        <v>51900</v>
      </c>
    </row>
    <row r="635" spans="1:11" x14ac:dyDescent="0.3">
      <c r="A635" s="4" t="s">
        <v>644</v>
      </c>
      <c r="B635" s="4">
        <v>61075</v>
      </c>
      <c r="C635" s="4">
        <f>IF(DatiOriginali!C635 &gt;= SogliaPicchi!$B$8,"",DatiOriginali!C635)</f>
        <v>507300</v>
      </c>
      <c r="D635" s="4">
        <v>30595</v>
      </c>
      <c r="E635" s="4">
        <f>IF(DatiOriginali!E635 &gt;= SogliaPicchi!$B$8,"",DatiOriginali!E635)</f>
        <v>188500</v>
      </c>
      <c r="F635" s="4">
        <v>757656</v>
      </c>
      <c r="G635" s="4">
        <f>IF(DatiOriginali!G635 &gt;= SogliaPicchi!$B$8,"",DatiOriginali!G635)</f>
        <v>200400</v>
      </c>
      <c r="H635" s="4">
        <v>929720</v>
      </c>
      <c r="I635" s="4">
        <f>IF(DatiOriginali!I635 &gt;= SogliaPicchi!$B$8,"",DatiOriginali!I635)</f>
        <v>42800</v>
      </c>
      <c r="J635" s="4">
        <v>923958</v>
      </c>
      <c r="K635" s="4">
        <f>IF(DatiOriginali!K635 &gt;= SogliaPicchi!$B$8,"",DatiOriginali!K635)</f>
        <v>43500</v>
      </c>
    </row>
    <row r="636" spans="1:11" x14ac:dyDescent="0.3">
      <c r="A636" s="4" t="s">
        <v>645</v>
      </c>
      <c r="B636" s="4">
        <v>61075</v>
      </c>
      <c r="C636" s="4">
        <f>IF(DatiOriginali!C636 &gt;= SogliaPicchi!$B$8,"",DatiOriginali!C636)</f>
        <v>398300</v>
      </c>
      <c r="D636" s="4">
        <v>30831</v>
      </c>
      <c r="E636" s="4">
        <f>IF(DatiOriginali!E636 &gt;= SogliaPicchi!$B$8,"",DatiOriginali!E636)</f>
        <v>113600</v>
      </c>
      <c r="F636" s="4">
        <v>760178</v>
      </c>
      <c r="G636" s="4">
        <f>IF(DatiOriginali!G636 &gt;= SogliaPicchi!$B$8,"",DatiOriginali!G636)</f>
        <v>115600</v>
      </c>
      <c r="H636" s="4">
        <v>932782</v>
      </c>
      <c r="I636" s="4">
        <f>IF(DatiOriginali!I636 &gt;= SogliaPicchi!$B$8,"",DatiOriginali!I636)</f>
        <v>36500</v>
      </c>
      <c r="J636" s="4">
        <v>926953</v>
      </c>
      <c r="K636" s="4">
        <f>IF(DatiOriginali!K636 &gt;= SogliaPicchi!$B$8,"",DatiOriginali!K636)</f>
        <v>42300</v>
      </c>
    </row>
    <row r="637" spans="1:11" x14ac:dyDescent="0.3">
      <c r="A637" s="4" t="s">
        <v>646</v>
      </c>
      <c r="B637" s="4">
        <v>61075</v>
      </c>
      <c r="C637" s="4">
        <f>IF(DatiOriginali!C637 &gt;= SogliaPicchi!$B$8,"",DatiOriginali!C637)</f>
        <v>488000</v>
      </c>
      <c r="D637" s="4">
        <v>30931</v>
      </c>
      <c r="E637" s="4">
        <f>IF(DatiOriginali!E637 &gt;= SogliaPicchi!$B$8,"",DatiOriginali!E637)</f>
        <v>132700</v>
      </c>
      <c r="F637" s="4">
        <v>762698</v>
      </c>
      <c r="G637" s="4">
        <f>IF(DatiOriginali!G637 &gt;= SogliaPicchi!$B$8,"",DatiOriginali!G637)</f>
        <v>154600</v>
      </c>
      <c r="H637" s="4">
        <v>936042</v>
      </c>
      <c r="I637" s="4">
        <f>IF(DatiOriginali!I637 &gt;= SogliaPicchi!$B$8,"",DatiOriginali!I637)</f>
        <v>46800</v>
      </c>
      <c r="J637" s="4">
        <v>929909</v>
      </c>
      <c r="K637" s="4">
        <f>IF(DatiOriginali!K637 &gt;= SogliaPicchi!$B$8,"",DatiOriginali!K637)</f>
        <v>57700</v>
      </c>
    </row>
    <row r="638" spans="1:11" x14ac:dyDescent="0.3">
      <c r="A638" s="4" t="s">
        <v>647</v>
      </c>
      <c r="B638" s="4">
        <v>61075</v>
      </c>
      <c r="C638" s="4">
        <f>IF(DatiOriginali!C638 &gt;= SogliaPicchi!$B$8,"",DatiOriginali!C638)</f>
        <v>424500</v>
      </c>
      <c r="D638" s="4">
        <v>29362</v>
      </c>
      <c r="E638" s="4">
        <f>IF(DatiOriginali!E638 &gt;= SogliaPicchi!$B$8,"",DatiOriginali!E638)</f>
        <v>108200</v>
      </c>
      <c r="F638" s="4">
        <v>765239</v>
      </c>
      <c r="G638" s="4">
        <f>IF(DatiOriginali!G638 &gt;= SogliaPicchi!$B$8,"",DatiOriginali!G638)</f>
        <v>126300</v>
      </c>
      <c r="H638" s="4">
        <v>939155</v>
      </c>
      <c r="I638" s="4">
        <f>IF(DatiOriginali!I638 &gt;= SogliaPicchi!$B$8,"",DatiOriginali!I638)</f>
        <v>36300</v>
      </c>
      <c r="J638" s="4">
        <v>932912</v>
      </c>
      <c r="K638" s="4">
        <f>IF(DatiOriginali!K638 &gt;= SogliaPicchi!$B$8,"",DatiOriginali!K638)</f>
        <v>43300</v>
      </c>
    </row>
    <row r="639" spans="1:11" x14ac:dyDescent="0.3">
      <c r="A639" s="4" t="s">
        <v>648</v>
      </c>
      <c r="B639" s="4">
        <v>61075</v>
      </c>
      <c r="C639" s="4">
        <f>IF(DatiOriginali!C639 &gt;= SogliaPicchi!$B$8,"",DatiOriginali!C639)</f>
        <v>412400</v>
      </c>
      <c r="D639" s="4">
        <v>32602</v>
      </c>
      <c r="E639" s="4">
        <f>IF(DatiOriginali!E639 &gt;= SogliaPicchi!$B$8,"",DatiOriginali!E639)</f>
        <v>117000</v>
      </c>
      <c r="F639" s="4">
        <v>767768</v>
      </c>
      <c r="G639" s="4">
        <f>IF(DatiOriginali!G639 &gt;= SogliaPicchi!$B$8,"",DatiOriginali!G639)</f>
        <v>131100</v>
      </c>
      <c r="H639" s="4">
        <v>942059</v>
      </c>
      <c r="I639" s="4">
        <f>IF(DatiOriginali!I639 &gt;= SogliaPicchi!$B$8,"",DatiOriginali!I639)</f>
        <v>36700</v>
      </c>
      <c r="J639" s="4">
        <v>935955</v>
      </c>
      <c r="K639" s="4">
        <f>IF(DatiOriginali!K639 &gt;= SogliaPicchi!$B$8,"",DatiOriginali!K639)</f>
        <v>45300</v>
      </c>
    </row>
    <row r="640" spans="1:11" x14ac:dyDescent="0.3">
      <c r="A640" s="4" t="s">
        <v>649</v>
      </c>
      <c r="B640" s="4">
        <v>61075</v>
      </c>
      <c r="C640" s="4">
        <f>IF(DatiOriginali!C640 &gt;= SogliaPicchi!$B$8,"",DatiOriginali!C640)</f>
        <v>470400</v>
      </c>
      <c r="D640" s="4">
        <v>30100</v>
      </c>
      <c r="E640" s="4">
        <f>IF(DatiOriginali!E640 &gt;= SogliaPicchi!$B$8,"",DatiOriginali!E640)</f>
        <v>129900</v>
      </c>
      <c r="F640" s="4">
        <v>770302</v>
      </c>
      <c r="G640" s="4">
        <f>IF(DatiOriginali!G640 &gt;= SogliaPicchi!$B$8,"",DatiOriginali!G640)</f>
        <v>157100</v>
      </c>
      <c r="H640" s="4">
        <v>945142</v>
      </c>
      <c r="I640" s="4">
        <f>IF(DatiOriginali!I640 &gt;= SogliaPicchi!$B$8,"",DatiOriginali!I640)</f>
        <v>44200</v>
      </c>
      <c r="J640" s="4">
        <v>939000</v>
      </c>
      <c r="K640" s="4">
        <f>IF(DatiOriginali!K640 &gt;= SogliaPicchi!$B$8,"",DatiOriginali!K640)</f>
        <v>53900</v>
      </c>
    </row>
    <row r="641" spans="1:11" x14ac:dyDescent="0.3">
      <c r="A641" s="4" t="s">
        <v>650</v>
      </c>
      <c r="B641" s="4">
        <v>61075</v>
      </c>
      <c r="C641" s="4">
        <f>IF(DatiOriginali!C641 &gt;= SogliaPicchi!$B$8,"",DatiOriginali!C641)</f>
        <v>415200</v>
      </c>
      <c r="D641" s="4">
        <v>31042</v>
      </c>
      <c r="E641" s="4">
        <f>IF(DatiOriginali!E641 &gt;= SogliaPicchi!$B$8,"",DatiOriginali!E641)</f>
        <v>110500</v>
      </c>
      <c r="F641" s="4">
        <v>772817</v>
      </c>
      <c r="G641" s="4">
        <f>IF(DatiOriginali!G641 &gt;= SogliaPicchi!$B$8,"",DatiOriginali!G641)</f>
        <v>124800</v>
      </c>
      <c r="H641" s="4">
        <v>948697</v>
      </c>
      <c r="I641" s="4">
        <f>IF(DatiOriginali!I641 &gt;= SogliaPicchi!$B$8,"",DatiOriginali!I641)</f>
        <v>39800</v>
      </c>
      <c r="J641" s="4">
        <v>942452</v>
      </c>
      <c r="K641" s="4">
        <f>IF(DatiOriginali!K641 &gt;= SogliaPicchi!$B$8,"",DatiOriginali!K641)</f>
        <v>44200</v>
      </c>
    </row>
    <row r="642" spans="1:11" x14ac:dyDescent="0.3">
      <c r="A642" s="4" t="s">
        <v>651</v>
      </c>
      <c r="B642" s="4">
        <v>61075</v>
      </c>
      <c r="C642" s="4">
        <f>IF(DatiOriginali!C642 &gt;= SogliaPicchi!$B$8,"",DatiOriginali!C642)</f>
        <v>372700</v>
      </c>
      <c r="D642" s="4">
        <v>30026</v>
      </c>
      <c r="E642" s="4">
        <f>IF(DatiOriginali!E642 &gt;= SogliaPicchi!$B$8,"",DatiOriginali!E642)</f>
        <v>154700</v>
      </c>
      <c r="F642" s="4">
        <v>775333</v>
      </c>
      <c r="G642" s="4">
        <f>IF(DatiOriginali!G642 &gt;= SogliaPicchi!$B$8,"",DatiOriginali!G642)</f>
        <v>194100</v>
      </c>
      <c r="H642" s="4">
        <v>951797</v>
      </c>
      <c r="I642" s="4">
        <f>IF(DatiOriginali!I642 &gt;= SogliaPicchi!$B$8,"",DatiOriginali!I642)</f>
        <v>50900</v>
      </c>
      <c r="J642" s="4">
        <v>945411</v>
      </c>
      <c r="K642" s="4">
        <f>IF(DatiOriginali!K642 &gt;= SogliaPicchi!$B$8,"",DatiOriginali!K642)</f>
        <v>63200</v>
      </c>
    </row>
    <row r="643" spans="1:11" x14ac:dyDescent="0.3">
      <c r="A643" s="4" t="s">
        <v>652</v>
      </c>
      <c r="B643" s="4">
        <v>61075</v>
      </c>
      <c r="C643" s="4">
        <f>IF(DatiOriginali!C643 &gt;= SogliaPicchi!$B$8,"",DatiOriginali!C643)</f>
        <v>431600</v>
      </c>
      <c r="D643" s="4">
        <v>31174</v>
      </c>
      <c r="E643" s="4">
        <f>IF(DatiOriginali!E643 &gt;= SogliaPicchi!$B$8,"",DatiOriginali!E643)</f>
        <v>130500</v>
      </c>
      <c r="F643" s="4">
        <v>777855</v>
      </c>
      <c r="G643" s="4">
        <f>IF(DatiOriginali!G643 &gt;= SogliaPicchi!$B$8,"",DatiOriginali!G643)</f>
        <v>129200</v>
      </c>
      <c r="H643" s="4">
        <v>954817</v>
      </c>
      <c r="I643" s="4">
        <f>IF(DatiOriginali!I643 &gt;= SogliaPicchi!$B$8,"",DatiOriginali!I643)</f>
        <v>37800</v>
      </c>
      <c r="J643" s="4">
        <v>948454</v>
      </c>
      <c r="K643" s="4">
        <f>IF(DatiOriginali!K643 &gt;= SogliaPicchi!$B$8,"",DatiOriginali!K643)</f>
        <v>43200</v>
      </c>
    </row>
    <row r="644" spans="1:11" x14ac:dyDescent="0.3">
      <c r="A644" s="4" t="s">
        <v>653</v>
      </c>
      <c r="B644" s="4">
        <v>61075</v>
      </c>
      <c r="C644" s="4">
        <f>IF(DatiOriginali!C644 &gt;= SogliaPicchi!$B$8,"",DatiOriginali!C644)</f>
        <v>468800</v>
      </c>
      <c r="D644" s="4">
        <v>29845</v>
      </c>
      <c r="E644" s="4">
        <f>IF(DatiOriginali!E644 &gt;= SogliaPicchi!$B$8,"",DatiOriginali!E644)</f>
        <v>129000</v>
      </c>
      <c r="F644" s="4">
        <v>780379</v>
      </c>
      <c r="G644" s="4">
        <f>IF(DatiOriginali!G644 &gt;= SogliaPicchi!$B$8,"",DatiOriginali!G644)</f>
        <v>155500</v>
      </c>
      <c r="H644" s="4">
        <v>957617</v>
      </c>
      <c r="I644" s="4">
        <f>IF(DatiOriginali!I644 &gt;= SogliaPicchi!$B$8,"",DatiOriginali!I644)</f>
        <v>44400</v>
      </c>
      <c r="J644" s="4">
        <v>951649</v>
      </c>
      <c r="K644" s="4">
        <f>IF(DatiOriginali!K644 &gt;= SogliaPicchi!$B$8,"",DatiOriginali!K644)</f>
        <v>52900</v>
      </c>
    </row>
    <row r="645" spans="1:11" x14ac:dyDescent="0.3">
      <c r="A645" s="4" t="s">
        <v>654</v>
      </c>
      <c r="B645" s="4">
        <v>61075</v>
      </c>
      <c r="C645" s="4">
        <f>IF(DatiOriginali!C645 &gt;= SogliaPicchi!$B$8,"",DatiOriginali!C645)</f>
        <v>459600</v>
      </c>
      <c r="D645" s="4">
        <v>31777</v>
      </c>
      <c r="E645" s="4">
        <f>IF(DatiOriginali!E645 &gt;= SogliaPicchi!$B$8,"",DatiOriginali!E645)</f>
        <v>113600</v>
      </c>
      <c r="F645" s="4">
        <v>782920</v>
      </c>
      <c r="G645" s="4">
        <f>IF(DatiOriginali!G645 &gt;= SogliaPicchi!$B$8,"",DatiOriginali!G645)</f>
        <v>116200</v>
      </c>
      <c r="H645" s="4">
        <v>960635</v>
      </c>
      <c r="I645" s="4">
        <f>IF(DatiOriginali!I645 &gt;= SogliaPicchi!$B$8,"",DatiOriginali!I645)</f>
        <v>38400</v>
      </c>
      <c r="J645" s="4">
        <v>955043</v>
      </c>
      <c r="K645" s="4">
        <f>IF(DatiOriginali!K645 &gt;= SogliaPicchi!$B$8,"",DatiOriginali!K645)</f>
        <v>41900</v>
      </c>
    </row>
    <row r="646" spans="1:11" x14ac:dyDescent="0.3">
      <c r="A646" s="4" t="s">
        <v>655</v>
      </c>
      <c r="B646" s="4">
        <v>61075</v>
      </c>
      <c r="C646" s="4">
        <f>IF(DatiOriginali!C646 &gt;= SogliaPicchi!$B$8,"",DatiOriginali!C646)</f>
        <v>495600</v>
      </c>
      <c r="D646" s="4">
        <v>31540</v>
      </c>
      <c r="E646" s="4">
        <f>IF(DatiOriginali!E646 &gt;= SogliaPicchi!$B$8,"",DatiOriginali!E646)</f>
        <v>196200</v>
      </c>
      <c r="F646" s="4">
        <v>785454</v>
      </c>
      <c r="G646" s="4">
        <f>IF(DatiOriginali!G646 &gt;= SogliaPicchi!$B$8,"",DatiOriginali!G646)</f>
        <v>153000</v>
      </c>
      <c r="H646" s="4">
        <v>963704</v>
      </c>
      <c r="I646" s="4">
        <f>IF(DatiOriginali!I646 &gt;= SogliaPicchi!$B$8,"",DatiOriginali!I646)</f>
        <v>37300</v>
      </c>
      <c r="J646" s="4">
        <v>958013</v>
      </c>
      <c r="K646" s="4">
        <f>IF(DatiOriginali!K646 &gt;= SogliaPicchi!$B$8,"",DatiOriginali!K646)</f>
        <v>43000</v>
      </c>
    </row>
    <row r="647" spans="1:11" x14ac:dyDescent="0.3">
      <c r="A647" s="4" t="s">
        <v>656</v>
      </c>
      <c r="B647" s="4">
        <v>61075</v>
      </c>
      <c r="C647" s="4">
        <f>IF(DatiOriginali!C647 &gt;= SogliaPicchi!$B$8,"",DatiOriginali!C647)</f>
        <v>426600</v>
      </c>
      <c r="D647" s="4">
        <v>30456</v>
      </c>
      <c r="E647" s="4">
        <f>IF(DatiOriginali!E647 &gt;= SogliaPicchi!$B$8,"",DatiOriginali!E647)</f>
        <v>133800</v>
      </c>
      <c r="F647" s="4">
        <v>787992</v>
      </c>
      <c r="G647" s="4">
        <f>IF(DatiOriginali!G647 &gt;= SogliaPicchi!$B$8,"",DatiOriginali!G647)</f>
        <v>144200</v>
      </c>
      <c r="H647" s="4">
        <v>966736</v>
      </c>
      <c r="I647" s="4">
        <f>IF(DatiOriginali!I647 &gt;= SogliaPicchi!$B$8,"",DatiOriginali!I647)</f>
        <v>38300</v>
      </c>
      <c r="J647" s="4">
        <v>960920</v>
      </c>
      <c r="K647" s="4">
        <f>IF(DatiOriginali!K647 &gt;= SogliaPicchi!$B$8,"",DatiOriginali!K647)</f>
        <v>44100</v>
      </c>
    </row>
    <row r="648" spans="1:11" x14ac:dyDescent="0.3">
      <c r="A648" s="4" t="s">
        <v>657</v>
      </c>
      <c r="B648" s="4">
        <v>61075</v>
      </c>
      <c r="C648" s="4">
        <f>IF(DatiOriginali!C648 &gt;= SogliaPicchi!$B$8,"",DatiOriginali!C648)</f>
        <v>466800</v>
      </c>
      <c r="D648" s="4">
        <v>30233</v>
      </c>
      <c r="E648" s="4">
        <f>IF(DatiOriginali!E648 &gt;= SogliaPicchi!$B$8,"",DatiOriginali!E648)</f>
        <v>130200</v>
      </c>
      <c r="F648" s="4">
        <v>790514</v>
      </c>
      <c r="G648" s="4">
        <f>IF(DatiOriginali!G648 &gt;= SogliaPicchi!$B$8,"",DatiOriginali!G648)</f>
        <v>154200</v>
      </c>
      <c r="H648" s="4">
        <v>969608</v>
      </c>
      <c r="I648" s="4">
        <f>IF(DatiOriginali!I648 &gt;= SogliaPicchi!$B$8,"",DatiOriginali!I648)</f>
        <v>45700</v>
      </c>
      <c r="J648" s="4">
        <v>963902</v>
      </c>
      <c r="K648" s="4">
        <f>IF(DatiOriginali!K648 &gt;= SogliaPicchi!$B$8,"",DatiOriginali!K648)</f>
        <v>51500</v>
      </c>
    </row>
    <row r="649" spans="1:11" x14ac:dyDescent="0.3">
      <c r="A649" s="4" t="s">
        <v>658</v>
      </c>
      <c r="B649" s="4">
        <v>61075</v>
      </c>
      <c r="C649" s="4">
        <f>IF(DatiOriginali!C649 &gt;= SogliaPicchi!$B$8,"",DatiOriginali!C649)</f>
        <v>419000</v>
      </c>
      <c r="D649" s="4">
        <v>30808</v>
      </c>
      <c r="E649" s="4">
        <f>IF(DatiOriginali!E649 &gt;= SogliaPicchi!$B$8,"",DatiOriginali!E649)</f>
        <v>114400</v>
      </c>
      <c r="F649" s="4">
        <v>793044</v>
      </c>
      <c r="G649" s="4">
        <f>IF(DatiOriginali!G649 &gt;= SogliaPicchi!$B$8,"",DatiOriginali!G649)</f>
        <v>127400</v>
      </c>
      <c r="H649" s="4">
        <v>972685</v>
      </c>
      <c r="I649" s="4">
        <f>IF(DatiOriginali!I649 &gt;= SogliaPicchi!$B$8,"",DatiOriginali!I649)</f>
        <v>36600</v>
      </c>
      <c r="J649" s="4">
        <v>966646</v>
      </c>
      <c r="K649" s="4">
        <f>IF(DatiOriginali!K649 &gt;= SogliaPicchi!$B$8,"",DatiOriginali!K649)</f>
        <v>42300</v>
      </c>
    </row>
    <row r="650" spans="1:11" x14ac:dyDescent="0.3">
      <c r="A650" s="4" t="s">
        <v>659</v>
      </c>
      <c r="B650" s="4">
        <v>61075</v>
      </c>
      <c r="C650" s="4">
        <f>IF(DatiOriginali!C650 &gt;= SogliaPicchi!$B$8,"",DatiOriginali!C650)</f>
        <v>423700</v>
      </c>
      <c r="D650" s="4">
        <v>31621</v>
      </c>
      <c r="E650" s="4">
        <f>IF(DatiOriginali!E650 &gt;= SogliaPicchi!$B$8,"",DatiOriginali!E650)</f>
        <v>112400</v>
      </c>
      <c r="F650" s="4">
        <v>795585</v>
      </c>
      <c r="G650" s="4">
        <f>IF(DatiOriginali!G650 &gt;= SogliaPicchi!$B$8,"",DatiOriginali!G650)</f>
        <v>130300</v>
      </c>
      <c r="H650" s="4">
        <v>976041</v>
      </c>
      <c r="I650" s="4">
        <f>IF(DatiOriginali!I650 &gt;= SogliaPicchi!$B$8,"",DatiOriginali!I650)</f>
        <v>37900</v>
      </c>
      <c r="J650" s="4">
        <v>969479</v>
      </c>
      <c r="K650" s="4">
        <f>IF(DatiOriginali!K650 &gt;= SogliaPicchi!$B$8,"",DatiOriginali!K650)</f>
        <v>42100</v>
      </c>
    </row>
    <row r="651" spans="1:11" x14ac:dyDescent="0.3">
      <c r="A651" s="4" t="s">
        <v>660</v>
      </c>
      <c r="B651" s="4">
        <v>61075</v>
      </c>
      <c r="C651" s="4">
        <f>IF(DatiOriginali!C651 &gt;= SogliaPicchi!$B$8,"",DatiOriginali!C651)</f>
        <v>422200</v>
      </c>
      <c r="D651" s="4">
        <v>29448</v>
      </c>
      <c r="E651" s="4">
        <f>IF(DatiOriginali!E651 &gt;= SogliaPicchi!$B$8,"",DatiOriginali!E651)</f>
        <v>105600</v>
      </c>
      <c r="F651" s="4">
        <v>798123</v>
      </c>
      <c r="G651" s="4">
        <f>IF(DatiOriginali!G651 &gt;= SogliaPicchi!$B$8,"",DatiOriginali!G651)</f>
        <v>141900</v>
      </c>
      <c r="H651" s="4">
        <v>979105</v>
      </c>
      <c r="I651" s="4">
        <f>IF(DatiOriginali!I651 &gt;= SogliaPicchi!$B$8,"",DatiOriginali!I651)</f>
        <v>37300</v>
      </c>
      <c r="J651" s="4">
        <v>972910</v>
      </c>
      <c r="K651" s="4">
        <f>IF(DatiOriginali!K651 &gt;= SogliaPicchi!$B$8,"",DatiOriginali!K651)</f>
        <v>43400</v>
      </c>
    </row>
    <row r="652" spans="1:11" x14ac:dyDescent="0.3">
      <c r="A652" s="4" t="s">
        <v>661</v>
      </c>
      <c r="B652" s="4">
        <v>61075</v>
      </c>
      <c r="C652" s="4">
        <f>IF(DatiOriginali!C652 &gt;= SogliaPicchi!$B$8,"",DatiOriginali!C652)</f>
        <v>417100</v>
      </c>
      <c r="D652" s="4">
        <v>31985</v>
      </c>
      <c r="E652" s="4">
        <f>IF(DatiOriginali!E652 &gt;= SogliaPicchi!$B$8,"",DatiOriginali!E652)</f>
        <v>113500</v>
      </c>
      <c r="F652" s="4">
        <v>800647</v>
      </c>
      <c r="G652" s="4">
        <f>IF(DatiOriginali!G652 &gt;= SogliaPicchi!$B$8,"",DatiOriginali!G652)</f>
        <v>121900</v>
      </c>
      <c r="H652" s="4">
        <v>981979</v>
      </c>
      <c r="I652" s="4">
        <f>IF(DatiOriginali!I652 &gt;= SogliaPicchi!$B$8,"",DatiOriginali!I652)</f>
        <v>37200</v>
      </c>
      <c r="J652" s="4">
        <v>976195</v>
      </c>
      <c r="K652" s="4">
        <f>IF(DatiOriginali!K652 &gt;= SogliaPicchi!$B$8,"",DatiOriginali!K652)</f>
        <v>42700</v>
      </c>
    </row>
    <row r="653" spans="1:11" x14ac:dyDescent="0.3">
      <c r="A653" s="4" t="s">
        <v>662</v>
      </c>
      <c r="B653" s="4">
        <v>61075</v>
      </c>
      <c r="C653" s="4">
        <f>IF(DatiOriginali!C653 &gt;= SogliaPicchi!$B$8,"",DatiOriginali!C653)</f>
        <v>503900</v>
      </c>
      <c r="D653" s="4">
        <v>32704</v>
      </c>
      <c r="E653" s="4">
        <f>IF(DatiOriginali!E653 &gt;= SogliaPicchi!$B$8,"",DatiOriginali!E653)</f>
        <v>140300</v>
      </c>
      <c r="F653" s="4">
        <v>803164</v>
      </c>
      <c r="G653" s="4">
        <f>IF(DatiOriginali!G653 &gt;= SogliaPicchi!$B$8,"",DatiOriginali!G653)</f>
        <v>155600</v>
      </c>
      <c r="H653" s="4">
        <v>985039</v>
      </c>
      <c r="I653" s="4">
        <f>IF(DatiOriginali!I653 &gt;= SogliaPicchi!$B$8,"",DatiOriginali!I653)</f>
        <v>46000</v>
      </c>
      <c r="J653" s="4">
        <v>979099</v>
      </c>
      <c r="K653" s="4">
        <f>IF(DatiOriginali!K653 &gt;= SogliaPicchi!$B$8,"",DatiOriginali!K653)</f>
        <v>59200</v>
      </c>
    </row>
    <row r="654" spans="1:11" x14ac:dyDescent="0.3">
      <c r="A654" s="4" t="s">
        <v>663</v>
      </c>
      <c r="B654" s="4">
        <v>61075</v>
      </c>
      <c r="C654" s="4">
        <f>IF(DatiOriginali!C654 &gt;= SogliaPicchi!$B$8,"",DatiOriginali!C654)</f>
        <v>444900</v>
      </c>
      <c r="D654" s="4">
        <v>32916</v>
      </c>
      <c r="E654" s="4">
        <f>IF(DatiOriginali!E654 &gt;= SogliaPicchi!$B$8,"",DatiOriginali!E654)</f>
        <v>117600</v>
      </c>
      <c r="F654" s="4">
        <v>805689</v>
      </c>
      <c r="G654" s="4">
        <f>IF(DatiOriginali!G654 &gt;= SogliaPicchi!$B$8,"",DatiOriginali!G654)</f>
        <v>127500</v>
      </c>
      <c r="H654" s="4">
        <v>987946</v>
      </c>
      <c r="I654" s="4">
        <f>IF(DatiOriginali!I654 &gt;= SogliaPicchi!$B$8,"",DatiOriginali!I654)</f>
        <v>37000</v>
      </c>
      <c r="J654" s="4">
        <v>982669</v>
      </c>
      <c r="K654" s="4">
        <f>IF(DatiOriginali!K654 &gt;= SogliaPicchi!$B$8,"",DatiOriginali!K654)</f>
        <v>44900</v>
      </c>
    </row>
    <row r="655" spans="1:11" x14ac:dyDescent="0.3">
      <c r="A655" s="4" t="s">
        <v>664</v>
      </c>
      <c r="B655" s="4">
        <v>61075</v>
      </c>
      <c r="C655" s="4">
        <f>IF(DatiOriginali!C655 &gt;= SogliaPicchi!$B$8,"",DatiOriginali!C655)</f>
        <v>402100</v>
      </c>
      <c r="D655" s="4">
        <v>32140</v>
      </c>
      <c r="E655" s="4">
        <f>IF(DatiOriginali!E655 &gt;= SogliaPicchi!$B$8,"",DatiOriginali!E655)</f>
        <v>138300</v>
      </c>
      <c r="F655" s="4">
        <v>808210</v>
      </c>
      <c r="G655" s="4">
        <f>IF(DatiOriginali!G655 &gt;= SogliaPicchi!$B$8,"",DatiOriginali!G655)</f>
        <v>154700</v>
      </c>
      <c r="H655" s="4">
        <v>991262</v>
      </c>
      <c r="I655" s="4">
        <f>IF(DatiOriginali!I655 &gt;= SogliaPicchi!$B$8,"",DatiOriginali!I655)</f>
        <v>46600</v>
      </c>
      <c r="J655" s="4">
        <v>985926</v>
      </c>
      <c r="K655" s="4">
        <f>IF(DatiOriginali!K655 &gt;= SogliaPicchi!$B$8,"",DatiOriginali!K655)</f>
        <v>53100</v>
      </c>
    </row>
    <row r="656" spans="1:11" x14ac:dyDescent="0.3">
      <c r="A656" s="4" t="s">
        <v>665</v>
      </c>
      <c r="B656" s="4">
        <v>61075</v>
      </c>
      <c r="C656" s="4">
        <f>IF(DatiOriginali!C656 &gt;= SogliaPicchi!$B$8,"",DatiOriginali!C656)</f>
        <v>381600</v>
      </c>
      <c r="D656" s="4">
        <v>30023</v>
      </c>
      <c r="E656" s="4">
        <f>IF(DatiOriginali!E656 &gt;= SogliaPicchi!$B$8,"",DatiOriginali!E656)</f>
        <v>230800</v>
      </c>
      <c r="F656" s="4">
        <v>810747</v>
      </c>
      <c r="G656" s="4">
        <f>IF(DatiOriginali!G656 &gt;= SogliaPicchi!$B$8,"",DatiOriginali!G656)</f>
        <v>241000</v>
      </c>
      <c r="H656" s="4">
        <v>994352</v>
      </c>
      <c r="I656" s="4">
        <f>IF(DatiOriginali!I656 &gt;= SogliaPicchi!$B$8,"",DatiOriginali!I656)</f>
        <v>48300</v>
      </c>
      <c r="J656" s="4">
        <v>988786</v>
      </c>
      <c r="K656" s="4">
        <f>IF(DatiOriginali!K656 &gt;= SogliaPicchi!$B$8,"",DatiOriginali!K656)</f>
        <v>45300</v>
      </c>
    </row>
    <row r="657" spans="1:11" x14ac:dyDescent="0.3">
      <c r="A657" s="4" t="s">
        <v>666</v>
      </c>
      <c r="B657" s="4">
        <v>61075</v>
      </c>
      <c r="C657" s="4">
        <f>IF(DatiOriginali!C657 &gt;= SogliaPicchi!$B$8,"",DatiOriginali!C657)</f>
        <v>460900</v>
      </c>
      <c r="D657" s="4">
        <v>32029</v>
      </c>
      <c r="E657" s="4">
        <f>IF(DatiOriginali!E657 &gt;= SogliaPicchi!$B$8,"",DatiOriginali!E657)</f>
        <v>137300</v>
      </c>
      <c r="F657" s="4">
        <v>813290</v>
      </c>
      <c r="G657" s="4">
        <f>IF(DatiOriginali!G657 &gt;= SogliaPicchi!$B$8,"",DatiOriginali!G657)</f>
        <v>350700</v>
      </c>
      <c r="H657" s="4">
        <v>997636</v>
      </c>
      <c r="I657" s="4">
        <f>IF(DatiOriginali!I657 &gt;= SogliaPicchi!$B$8,"",DatiOriginali!I657)</f>
        <v>60300</v>
      </c>
      <c r="J657" s="4">
        <v>991858</v>
      </c>
      <c r="K657" s="4">
        <f>IF(DatiOriginali!K657 &gt;= SogliaPicchi!$B$8,"",DatiOriginali!K657)</f>
        <v>59300</v>
      </c>
    </row>
    <row r="658" spans="1:11" x14ac:dyDescent="0.3">
      <c r="A658" s="4" t="s">
        <v>667</v>
      </c>
      <c r="B658" s="4">
        <v>61075</v>
      </c>
      <c r="C658" s="4">
        <f>IF(DatiOriginali!C658 &gt;= SogliaPicchi!$B$8,"",DatiOriginali!C658)</f>
        <v>481400</v>
      </c>
      <c r="D658" s="4">
        <v>30406</v>
      </c>
      <c r="E658" s="4">
        <f>IF(DatiOriginali!E658 &gt;= SogliaPicchi!$B$8,"",DatiOriginali!E658)</f>
        <v>183500</v>
      </c>
      <c r="F658" s="4">
        <v>815803</v>
      </c>
      <c r="G658" s="4">
        <f>IF(DatiOriginali!G658 &gt;= SogliaPicchi!$B$8,"",DatiOriginali!G658)</f>
        <v>159800</v>
      </c>
      <c r="H658" s="4">
        <v>1000685</v>
      </c>
      <c r="I658" s="4">
        <f>IF(DatiOriginali!I658 &gt;= SogliaPicchi!$B$8,"",DatiOriginali!I658)</f>
        <v>49300</v>
      </c>
      <c r="J658" s="4">
        <v>995109</v>
      </c>
      <c r="K658" s="4">
        <f>IF(DatiOriginali!K658 &gt;= SogliaPicchi!$B$8,"",DatiOriginali!K658)</f>
        <v>51500</v>
      </c>
    </row>
    <row r="659" spans="1:11" x14ac:dyDescent="0.3">
      <c r="A659" s="4" t="s">
        <v>668</v>
      </c>
      <c r="B659" s="4">
        <v>61075</v>
      </c>
      <c r="C659" s="4">
        <f>IF(DatiOriginali!C659 &gt;= SogliaPicchi!$B$8,"",DatiOriginali!C659)</f>
        <v>415700</v>
      </c>
      <c r="D659" s="4">
        <v>32177</v>
      </c>
      <c r="E659" s="4">
        <f>IF(DatiOriginali!E659 &gt;= SogliaPicchi!$B$8,"",DatiOriginali!E659)</f>
        <v>119600</v>
      </c>
      <c r="F659" s="4">
        <v>818349</v>
      </c>
      <c r="G659" s="4">
        <f>IF(DatiOriginali!G659 &gt;= SogliaPicchi!$B$8,"",DatiOriginali!G659)</f>
        <v>129200</v>
      </c>
      <c r="H659" s="4">
        <v>1003928</v>
      </c>
      <c r="I659" s="4">
        <f>IF(DatiOriginali!I659 &gt;= SogliaPicchi!$B$8,"",DatiOriginali!I659)</f>
        <v>39400</v>
      </c>
      <c r="J659" s="4">
        <v>998592</v>
      </c>
      <c r="K659" s="4">
        <f>IF(DatiOriginali!K659 &gt;= SogliaPicchi!$B$8,"",DatiOriginali!K659)</f>
        <v>42800</v>
      </c>
    </row>
    <row r="660" spans="1:11" x14ac:dyDescent="0.3">
      <c r="A660" s="4" t="s">
        <v>669</v>
      </c>
      <c r="B660" s="4">
        <v>61075</v>
      </c>
      <c r="C660" s="4">
        <f>IF(DatiOriginali!C660 &gt;= SogliaPicchi!$B$8,"",DatiOriginali!C660)</f>
        <v>452800</v>
      </c>
      <c r="D660" s="4">
        <v>32335</v>
      </c>
      <c r="E660" s="4">
        <f>IF(DatiOriginali!E660 &gt;= SogliaPicchi!$B$8,"",DatiOriginali!E660)</f>
        <v>116100</v>
      </c>
      <c r="F660" s="4">
        <v>820880</v>
      </c>
      <c r="G660" s="4">
        <f>IF(DatiOriginali!G660 &gt;= SogliaPicchi!$B$8,"",DatiOriginali!G660)</f>
        <v>129800</v>
      </c>
      <c r="H660" s="4">
        <v>1007121</v>
      </c>
      <c r="I660" s="4">
        <f>IF(DatiOriginali!I660 &gt;= SogliaPicchi!$B$8,"",DatiOriginali!I660)</f>
        <v>37700</v>
      </c>
      <c r="J660" s="4">
        <v>1001903</v>
      </c>
      <c r="K660" s="4">
        <f>IF(DatiOriginali!K660 &gt;= SogliaPicchi!$B$8,"",DatiOriginali!K660)</f>
        <v>45400</v>
      </c>
    </row>
    <row r="661" spans="1:11" x14ac:dyDescent="0.3">
      <c r="A661" s="4" t="s">
        <v>670</v>
      </c>
      <c r="B661" s="4">
        <v>61075</v>
      </c>
      <c r="C661" s="4">
        <f>IF(DatiOriginali!C661 &gt;= SogliaPicchi!$B$8,"",DatiOriginali!C661)</f>
        <v>406700</v>
      </c>
      <c r="D661" s="4">
        <v>30837</v>
      </c>
      <c r="E661" s="4">
        <f>IF(DatiOriginali!E661 &gt;= SogliaPicchi!$B$8,"",DatiOriginali!E661)</f>
        <v>111700</v>
      </c>
      <c r="F661" s="4">
        <v>823391</v>
      </c>
      <c r="G661" s="4">
        <f>IF(DatiOriginali!G661 &gt;= SogliaPicchi!$B$8,"",DatiOriginali!G661)</f>
        <v>145900</v>
      </c>
      <c r="H661" s="4">
        <v>1009978</v>
      </c>
      <c r="I661" s="4">
        <f>IF(DatiOriginali!I661 &gt;= SogliaPicchi!$B$8,"",DatiOriginali!I661)</f>
        <v>38700</v>
      </c>
      <c r="J661" s="4">
        <v>1004904</v>
      </c>
      <c r="K661" s="4">
        <f>IF(DatiOriginali!K661 &gt;= SogliaPicchi!$B$8,"",DatiOriginali!K661)</f>
        <v>43700</v>
      </c>
    </row>
    <row r="662" spans="1:11" x14ac:dyDescent="0.3">
      <c r="A662" s="4" t="s">
        <v>671</v>
      </c>
      <c r="B662" s="4">
        <v>61075</v>
      </c>
      <c r="C662" s="4">
        <f>IF(DatiOriginali!C662 &gt;= SogliaPicchi!$B$8,"",DatiOriginali!C662)</f>
        <v>404000</v>
      </c>
      <c r="D662" s="4">
        <v>30517</v>
      </c>
      <c r="E662" s="4">
        <f>IF(DatiOriginali!E662 &gt;= SogliaPicchi!$B$8,"",DatiOriginali!E662)</f>
        <v>109300</v>
      </c>
      <c r="F662" s="4">
        <v>825924</v>
      </c>
      <c r="G662" s="4">
        <f>IF(DatiOriginali!G662 &gt;= SogliaPicchi!$B$8,"",DatiOriginali!G662)</f>
        <v>127100</v>
      </c>
      <c r="H662" s="4">
        <v>1013412</v>
      </c>
      <c r="I662" s="4">
        <f>IF(DatiOriginali!I662 &gt;= SogliaPicchi!$B$8,"",DatiOriginali!I662)</f>
        <v>37900</v>
      </c>
      <c r="J662" s="4">
        <v>1008046</v>
      </c>
      <c r="K662" s="4">
        <f>IF(DatiOriginali!K662 &gt;= SogliaPicchi!$B$8,"",DatiOriginali!K662)</f>
        <v>41400</v>
      </c>
    </row>
    <row r="663" spans="1:11" x14ac:dyDescent="0.3">
      <c r="A663" s="4" t="s">
        <v>672</v>
      </c>
      <c r="B663" s="4">
        <v>61075</v>
      </c>
      <c r="C663" s="4">
        <f>IF(DatiOriginali!C663 &gt;= SogliaPicchi!$B$8,"",DatiOriginali!C663)</f>
        <v>415600</v>
      </c>
      <c r="D663" s="4">
        <v>31158</v>
      </c>
      <c r="E663" s="4">
        <f>IF(DatiOriginali!E663 &gt;= SogliaPicchi!$B$8,"",DatiOriginali!E663)</f>
        <v>133700</v>
      </c>
      <c r="F663" s="4">
        <v>828438</v>
      </c>
      <c r="G663" s="4">
        <f>IF(DatiOriginali!G663 &gt;= SogliaPicchi!$B$8,"",DatiOriginali!G663)</f>
        <v>154200</v>
      </c>
      <c r="H663" s="4">
        <v>1016331</v>
      </c>
      <c r="I663" s="4">
        <f>IF(DatiOriginali!I663 &gt;= SogliaPicchi!$B$8,"",DatiOriginali!I663)</f>
        <v>44400</v>
      </c>
      <c r="J663" s="4">
        <v>1010910</v>
      </c>
      <c r="K663" s="4">
        <f>IF(DatiOriginali!K663 &gt;= SogliaPicchi!$B$8,"",DatiOriginali!K663)</f>
        <v>50500</v>
      </c>
    </row>
    <row r="664" spans="1:11" x14ac:dyDescent="0.3">
      <c r="A664" s="4" t="s">
        <v>673</v>
      </c>
      <c r="B664" s="4">
        <v>61075</v>
      </c>
      <c r="C664" s="4">
        <f>IF(DatiOriginali!C664 &gt;= SogliaPicchi!$B$8,"",DatiOriginali!C664)</f>
        <v>391100</v>
      </c>
      <c r="D664" s="4">
        <v>30516</v>
      </c>
      <c r="E664" s="4">
        <f>IF(DatiOriginali!E664 &gt;= SogliaPicchi!$B$8,"",DatiOriginali!E664)</f>
        <v>108900</v>
      </c>
      <c r="F664" s="4">
        <v>830945</v>
      </c>
      <c r="G664" s="4">
        <f>IF(DatiOriginali!G664 &gt;= SogliaPicchi!$B$8,"",DatiOriginali!G664)</f>
        <v>123500</v>
      </c>
      <c r="H664" s="4">
        <v>1019771</v>
      </c>
      <c r="I664" s="4">
        <f>IF(DatiOriginali!I664 &gt;= SogliaPicchi!$B$8,"",DatiOriginali!I664)</f>
        <v>38500</v>
      </c>
      <c r="J664" s="4">
        <v>1014412</v>
      </c>
      <c r="K664" s="4">
        <f>IF(DatiOriginali!K664 &gt;= SogliaPicchi!$B$8,"",DatiOriginali!K664)</f>
        <v>45900</v>
      </c>
    </row>
    <row r="665" spans="1:11" x14ac:dyDescent="0.3">
      <c r="A665" s="4" t="s">
        <v>674</v>
      </c>
      <c r="B665" s="4">
        <v>61075</v>
      </c>
      <c r="C665" s="4">
        <f>IF(DatiOriginali!C665 &gt;= SogliaPicchi!$B$8,"",DatiOriginali!C665)</f>
        <v>372700</v>
      </c>
      <c r="D665" s="4">
        <v>31261</v>
      </c>
      <c r="E665" s="4">
        <f>IF(DatiOriginali!E665 &gt;= SogliaPicchi!$B$8,"",DatiOriginali!E665)</f>
        <v>113700</v>
      </c>
      <c r="F665" s="4">
        <v>833477</v>
      </c>
      <c r="G665" s="4">
        <f>IF(DatiOriginali!G665 &gt;= SogliaPicchi!$B$8,"",DatiOriginali!G665)</f>
        <v>136300</v>
      </c>
      <c r="H665" s="4">
        <v>1022858</v>
      </c>
      <c r="I665" s="4">
        <f>IF(DatiOriginali!I665 &gt;= SogliaPicchi!$B$8,"",DatiOriginali!I665)</f>
        <v>36800</v>
      </c>
      <c r="J665" s="4">
        <v>1017819</v>
      </c>
      <c r="K665" s="4">
        <f>IF(DatiOriginali!K665 &gt;= SogliaPicchi!$B$8,"",DatiOriginali!K665)</f>
        <v>43500</v>
      </c>
    </row>
    <row r="666" spans="1:11" x14ac:dyDescent="0.3">
      <c r="A666" s="4" t="s">
        <v>675</v>
      </c>
      <c r="B666" s="4">
        <v>61075</v>
      </c>
      <c r="C666" s="4">
        <f>IF(DatiOriginali!C666 &gt;= SogliaPicchi!$B$8,"",DatiOriginali!C666)</f>
        <v>564800</v>
      </c>
      <c r="D666" s="4">
        <v>31571</v>
      </c>
      <c r="E666" s="4">
        <f>IF(DatiOriginali!E666 &gt;= SogliaPicchi!$B$8,"",DatiOriginali!E666)</f>
        <v>146300</v>
      </c>
      <c r="F666" s="4">
        <v>836010</v>
      </c>
      <c r="G666" s="4">
        <f>IF(DatiOriginali!G666 &gt;= SogliaPicchi!$B$8,"",DatiOriginali!G666)</f>
        <v>129800</v>
      </c>
      <c r="H666" s="4">
        <v>1026161</v>
      </c>
      <c r="I666" s="4">
        <f>IF(DatiOriginali!I666 &gt;= SogliaPicchi!$B$8,"",DatiOriginali!I666)</f>
        <v>38000</v>
      </c>
      <c r="J666" s="4">
        <v>1020826</v>
      </c>
      <c r="K666" s="4">
        <f>IF(DatiOriginali!K666 &gt;= SogliaPicchi!$B$8,"",DatiOriginali!K666)</f>
        <v>44100</v>
      </c>
    </row>
    <row r="667" spans="1:11" x14ac:dyDescent="0.3">
      <c r="A667" s="4" t="s">
        <v>676</v>
      </c>
      <c r="B667" s="4">
        <v>61075</v>
      </c>
      <c r="C667" s="4">
        <f>IF(DatiOriginali!C667 &gt;= SogliaPicchi!$B$8,"",DatiOriginali!C667)</f>
        <v>385300</v>
      </c>
      <c r="D667" s="4">
        <v>32973</v>
      </c>
      <c r="E667" s="4">
        <f>IF(DatiOriginali!E667 &gt;= SogliaPicchi!$B$8,"",DatiOriginali!E667)</f>
        <v>121300</v>
      </c>
      <c r="F667" s="4">
        <v>838530</v>
      </c>
      <c r="G667" s="4">
        <f>IF(DatiOriginali!G667 &gt;= SogliaPicchi!$B$8,"",DatiOriginali!G667)</f>
        <v>128300</v>
      </c>
      <c r="H667" s="4">
        <v>1029193</v>
      </c>
      <c r="I667" s="4">
        <f>IF(DatiOriginali!I667 &gt;= SogliaPicchi!$B$8,"",DatiOriginali!I667)</f>
        <v>38000</v>
      </c>
      <c r="J667" s="4">
        <v>1023899</v>
      </c>
      <c r="K667" s="4">
        <f>IF(DatiOriginali!K667 &gt;= SogliaPicchi!$B$8,"",DatiOriginali!K667)</f>
        <v>43700</v>
      </c>
    </row>
    <row r="668" spans="1:11" x14ac:dyDescent="0.3">
      <c r="A668" s="4" t="s">
        <v>677</v>
      </c>
      <c r="B668" s="4">
        <v>61075</v>
      </c>
      <c r="C668" s="4">
        <f>IF(DatiOriginali!C668 &gt;= SogliaPicchi!$B$8,"",DatiOriginali!C668)</f>
        <v>378400</v>
      </c>
      <c r="D668" s="4">
        <v>30435</v>
      </c>
      <c r="E668" s="4">
        <f>IF(DatiOriginali!E668 &gt;= SogliaPicchi!$B$8,"",DatiOriginali!E668)</f>
        <v>108300</v>
      </c>
      <c r="F668" s="4">
        <v>841055</v>
      </c>
      <c r="G668" s="4">
        <f>IF(DatiOriginali!G668 &gt;= SogliaPicchi!$B$8,"",DatiOriginali!G668)</f>
        <v>123700</v>
      </c>
      <c r="H668" s="4">
        <v>1032198</v>
      </c>
      <c r="I668" s="4">
        <f>IF(DatiOriginali!I668 &gt;= SogliaPicchi!$B$8,"",DatiOriginali!I668)</f>
        <v>36500</v>
      </c>
      <c r="J668" s="4">
        <v>1026912</v>
      </c>
      <c r="K668" s="4">
        <f>IF(DatiOriginali!K668 &gt;= SogliaPicchi!$B$8,"",DatiOriginali!K668)</f>
        <v>42900</v>
      </c>
    </row>
    <row r="669" spans="1:11" x14ac:dyDescent="0.3">
      <c r="A669" s="4" t="s">
        <v>678</v>
      </c>
      <c r="B669" s="4">
        <v>61075</v>
      </c>
      <c r="C669" s="4">
        <f>IF(DatiOriginali!C669 &gt;= SogliaPicchi!$B$8,"",DatiOriginali!C669)</f>
        <v>383500</v>
      </c>
      <c r="D669" s="4">
        <v>30598</v>
      </c>
      <c r="E669" s="4">
        <f>IF(DatiOriginali!E669 &gt;= SogliaPicchi!$B$8,"",DatiOriginali!E669)</f>
        <v>110100</v>
      </c>
      <c r="F669" s="4">
        <v>843573</v>
      </c>
      <c r="G669" s="4">
        <f>IF(DatiOriginali!G669 &gt;= SogliaPicchi!$B$8,"",DatiOriginali!G669)</f>
        <v>128700</v>
      </c>
      <c r="H669" s="4">
        <v>1035185</v>
      </c>
      <c r="I669" s="4">
        <f>IF(DatiOriginali!I669 &gt;= SogliaPicchi!$B$8,"",DatiOriginali!I669)</f>
        <v>38700</v>
      </c>
      <c r="J669" s="4">
        <v>1029980</v>
      </c>
      <c r="K669" s="4">
        <f>IF(DatiOriginali!K669 &gt;= SogliaPicchi!$B$8,"",DatiOriginali!K669)</f>
        <v>42900</v>
      </c>
    </row>
    <row r="670" spans="1:11" x14ac:dyDescent="0.3">
      <c r="A670" s="4" t="s">
        <v>679</v>
      </c>
      <c r="B670" s="4">
        <v>61075</v>
      </c>
      <c r="C670" s="4">
        <f>IF(DatiOriginali!C670 &gt;= SogliaPicchi!$B$8,"",DatiOriginali!C670)</f>
        <v>523200</v>
      </c>
      <c r="D670" s="4">
        <v>31143</v>
      </c>
      <c r="E670" s="4">
        <f>IF(DatiOriginali!E670 &gt;= SogliaPicchi!$B$8,"",DatiOriginali!E670)</f>
        <v>134900</v>
      </c>
      <c r="F670" s="4">
        <v>846106</v>
      </c>
      <c r="G670" s="4">
        <f>IF(DatiOriginali!G670 &gt;= SogliaPicchi!$B$8,"",DatiOriginali!G670)</f>
        <v>153700</v>
      </c>
      <c r="H670" s="4">
        <v>1038787</v>
      </c>
      <c r="I670" s="4">
        <f>IF(DatiOriginali!I670 &gt;= SogliaPicchi!$B$8,"",DatiOriginali!I670)</f>
        <v>47400</v>
      </c>
      <c r="J670" s="4">
        <v>1033306</v>
      </c>
      <c r="K670" s="4">
        <f>IF(DatiOriginali!K670 &gt;= SogliaPicchi!$B$8,"",DatiOriginali!K670)</f>
        <v>54400</v>
      </c>
    </row>
    <row r="671" spans="1:11" x14ac:dyDescent="0.3">
      <c r="A671" s="4" t="s">
        <v>680</v>
      </c>
      <c r="B671" s="4">
        <v>61075</v>
      </c>
      <c r="C671" s="4">
        <f>IF(DatiOriginali!C671 &gt;= SogliaPicchi!$B$8,"",DatiOriginali!C671)</f>
        <v>417600</v>
      </c>
      <c r="D671" s="4">
        <v>31760</v>
      </c>
      <c r="E671" s="4">
        <f>IF(DatiOriginali!E671 &gt;= SogliaPicchi!$B$8,"",DatiOriginali!E671)</f>
        <v>113400</v>
      </c>
      <c r="F671" s="4">
        <v>848620</v>
      </c>
      <c r="G671" s="4">
        <f>IF(DatiOriginali!G671 &gt;= SogliaPicchi!$B$8,"",DatiOriginali!G671)</f>
        <v>123900</v>
      </c>
      <c r="H671" s="4">
        <v>1041892</v>
      </c>
      <c r="I671" s="4">
        <f>IF(DatiOriginali!I671 &gt;= SogliaPicchi!$B$8,"",DatiOriginali!I671)</f>
        <v>37200</v>
      </c>
      <c r="J671" s="4">
        <v>1036800</v>
      </c>
      <c r="K671" s="4">
        <f>IF(DatiOriginali!K671 &gt;= SogliaPicchi!$B$8,"",DatiOriginali!K671)</f>
        <v>44900</v>
      </c>
    </row>
    <row r="672" spans="1:11" x14ac:dyDescent="0.3">
      <c r="A672" s="4" t="s">
        <v>681</v>
      </c>
      <c r="B672" s="4">
        <v>61075</v>
      </c>
      <c r="C672" s="4">
        <f>IF(DatiOriginali!C672 &gt;= SogliaPicchi!$B$8,"",DatiOriginali!C672)</f>
        <v>408000</v>
      </c>
      <c r="D672" s="4">
        <v>31214</v>
      </c>
      <c r="E672" s="4">
        <f>IF(DatiOriginali!E672 &gt;= SogliaPicchi!$B$8,"",DatiOriginali!E672)</f>
        <v>110700</v>
      </c>
      <c r="F672" s="4">
        <v>851143</v>
      </c>
      <c r="G672" s="4">
        <f>IF(DatiOriginali!G672 &gt;= SogliaPicchi!$B$8,"",DatiOriginali!G672)</f>
        <v>121900</v>
      </c>
      <c r="H672" s="4">
        <v>1045278</v>
      </c>
      <c r="I672" s="4">
        <f>IF(DatiOriginali!I672 &gt;= SogliaPicchi!$B$8,"",DatiOriginali!I672)</f>
        <v>36700</v>
      </c>
      <c r="J672" s="4">
        <v>1039922</v>
      </c>
      <c r="K672" s="4">
        <f>IF(DatiOriginali!K672 &gt;= SogliaPicchi!$B$8,"",DatiOriginali!K672)</f>
        <v>42600</v>
      </c>
    </row>
    <row r="673" spans="1:11" x14ac:dyDescent="0.3">
      <c r="A673" s="4" t="s">
        <v>682</v>
      </c>
      <c r="B673" s="4">
        <v>61075</v>
      </c>
      <c r="C673" s="4">
        <f>IF(DatiOriginali!C673 &gt;= SogliaPicchi!$B$8,"",DatiOriginali!C673)</f>
        <v>470000</v>
      </c>
      <c r="D673" s="4">
        <v>32061</v>
      </c>
      <c r="E673" s="4">
        <f>IF(DatiOriginali!E673 &gt;= SogliaPicchi!$B$8,"",DatiOriginali!E673)</f>
        <v>117100</v>
      </c>
      <c r="F673" s="4">
        <v>853682</v>
      </c>
      <c r="G673" s="4">
        <f>IF(DatiOriginali!G673 &gt;= SogliaPicchi!$B$8,"",DatiOriginali!G673)</f>
        <v>129500</v>
      </c>
      <c r="H673" s="4">
        <v>1048100</v>
      </c>
      <c r="I673" s="4">
        <f>IF(DatiOriginali!I673 &gt;= SogliaPicchi!$B$8,"",DatiOriginali!I673)</f>
        <v>37400</v>
      </c>
      <c r="J673" s="4">
        <v>1042989</v>
      </c>
      <c r="K673" s="4">
        <f>IF(DatiOriginali!K673 &gt;= SogliaPicchi!$B$8,"",DatiOriginali!K673)</f>
        <v>49100</v>
      </c>
    </row>
    <row r="674" spans="1:11" x14ac:dyDescent="0.3">
      <c r="A674" s="4" t="s">
        <v>683</v>
      </c>
      <c r="B674" s="4">
        <v>61075</v>
      </c>
      <c r="C674" s="4">
        <f>IF(DatiOriginali!C674 &gt;= SogliaPicchi!$B$8,"",DatiOriginali!C674)</f>
        <v>496100</v>
      </c>
      <c r="D674" s="4">
        <v>31872</v>
      </c>
      <c r="E674" s="4">
        <f>IF(DatiOriginali!E674 &gt;= SogliaPicchi!$B$8,"",DatiOriginali!E674)</f>
        <v>126700</v>
      </c>
      <c r="F674" s="4">
        <v>856221</v>
      </c>
      <c r="G674" s="4">
        <f>IF(DatiOriginali!G674 &gt;= SogliaPicchi!$B$8,"",DatiOriginali!G674)</f>
        <v>128900</v>
      </c>
      <c r="H674" s="4">
        <v>1051005</v>
      </c>
      <c r="I674" s="4">
        <f>IF(DatiOriginali!I674 &gt;= SogliaPicchi!$B$8,"",DatiOriginali!I674)</f>
        <v>38000</v>
      </c>
      <c r="J674" s="4">
        <v>1045972</v>
      </c>
      <c r="K674" s="4">
        <f>IF(DatiOriginali!K674 &gt;= SogliaPicchi!$B$8,"",DatiOriginali!K674)</f>
        <v>48900</v>
      </c>
    </row>
    <row r="675" spans="1:11" x14ac:dyDescent="0.3">
      <c r="A675" s="4" t="s">
        <v>684</v>
      </c>
      <c r="B675" s="4">
        <v>61075</v>
      </c>
      <c r="C675" s="4">
        <f>IF(DatiOriginali!C675 &gt;= SogliaPicchi!$B$8,"",DatiOriginali!C675)</f>
        <v>384700</v>
      </c>
      <c r="D675" s="4">
        <v>30678</v>
      </c>
      <c r="E675" s="4">
        <f>IF(DatiOriginali!E675 &gt;= SogliaPicchi!$B$8,"",DatiOriginali!E675)</f>
        <v>109200</v>
      </c>
      <c r="F675" s="4">
        <v>858762</v>
      </c>
      <c r="G675" s="4">
        <f>IF(DatiOriginali!G675 &gt;= SogliaPicchi!$B$8,"",DatiOriginali!G675)</f>
        <v>122900</v>
      </c>
      <c r="H675" s="4">
        <v>1054058</v>
      </c>
      <c r="I675" s="4">
        <f>IF(DatiOriginali!I675 &gt;= SogliaPicchi!$B$8,"",DatiOriginali!I675)</f>
        <v>36400</v>
      </c>
      <c r="J675" s="4">
        <v>1048896</v>
      </c>
      <c r="K675" s="4">
        <f>IF(DatiOriginali!K675 &gt;= SogliaPicchi!$B$8,"",DatiOriginali!K675)</f>
        <v>42800</v>
      </c>
    </row>
    <row r="676" spans="1:11" x14ac:dyDescent="0.3">
      <c r="A676" s="4" t="s">
        <v>685</v>
      </c>
      <c r="B676" s="4">
        <v>61075</v>
      </c>
      <c r="C676" s="4">
        <f>IF(DatiOriginali!C676 &gt;= SogliaPicchi!$B$8,"",DatiOriginali!C676)</f>
        <v>404400</v>
      </c>
      <c r="D676" s="4">
        <v>31557</v>
      </c>
      <c r="E676" s="4">
        <f>IF(DatiOriginali!E676 &gt;= SogliaPicchi!$B$8,"",DatiOriginali!E676)</f>
        <v>112900</v>
      </c>
      <c r="F676" s="4">
        <v>861273</v>
      </c>
      <c r="G676" s="4">
        <f>IF(DatiOriginali!G676 &gt;= SogliaPicchi!$B$8,"",DatiOriginali!G676)</f>
        <v>113800</v>
      </c>
      <c r="H676" s="4">
        <v>1057469</v>
      </c>
      <c r="I676" s="4">
        <f>IF(DatiOriginali!I676 &gt;= SogliaPicchi!$B$8,"",DatiOriginali!I676)</f>
        <v>37100</v>
      </c>
      <c r="J676" s="4">
        <v>1051933</v>
      </c>
      <c r="K676" s="4">
        <f>IF(DatiOriginali!K676 &gt;= SogliaPicchi!$B$8,"",DatiOriginali!K676)</f>
        <v>41600</v>
      </c>
    </row>
    <row r="677" spans="1:11" x14ac:dyDescent="0.3">
      <c r="A677" s="4" t="s">
        <v>686</v>
      </c>
      <c r="B677" s="4">
        <v>61075</v>
      </c>
      <c r="C677" s="4">
        <f>IF(DatiOriginali!C677 &gt;= SogliaPicchi!$B$8,"",DatiOriginali!C677)</f>
        <v>465300</v>
      </c>
      <c r="D677" s="4">
        <v>28416</v>
      </c>
      <c r="E677" s="4">
        <f>IF(DatiOriginali!E677 &gt;= SogliaPicchi!$B$8,"",DatiOriginali!E677)</f>
        <v>102500</v>
      </c>
      <c r="F677" s="4">
        <v>863789</v>
      </c>
      <c r="G677" s="4">
        <f>IF(DatiOriginali!G677 &gt;= SogliaPicchi!$B$8,"",DatiOriginali!G677)</f>
        <v>130900</v>
      </c>
      <c r="H677" s="4">
        <v>1060509</v>
      </c>
      <c r="I677" s="4">
        <f>IF(DatiOriginali!I677 &gt;= SogliaPicchi!$B$8,"",DatiOriginali!I677)</f>
        <v>38100</v>
      </c>
      <c r="J677" s="4">
        <v>1055131</v>
      </c>
      <c r="K677" s="4">
        <f>IF(DatiOriginali!K677 &gt;= SogliaPicchi!$B$8,"",DatiOriginali!K677)</f>
        <v>44000</v>
      </c>
    </row>
    <row r="678" spans="1:11" x14ac:dyDescent="0.3">
      <c r="A678" s="4" t="s">
        <v>687</v>
      </c>
      <c r="B678" s="4">
        <v>61075</v>
      </c>
      <c r="C678" s="4">
        <f>IF(DatiOriginali!C678 &gt;= SogliaPicchi!$B$8,"",DatiOriginali!C678)</f>
        <v>397500</v>
      </c>
      <c r="D678" s="4">
        <v>29190</v>
      </c>
      <c r="E678" s="4">
        <f>IF(DatiOriginali!E678 &gt;= SogliaPicchi!$B$8,"",DatiOriginali!E678)</f>
        <v>104800</v>
      </c>
      <c r="F678" s="4">
        <v>866315</v>
      </c>
      <c r="G678" s="4">
        <f>IF(DatiOriginali!G678 &gt;= SogliaPicchi!$B$8,"",DatiOriginali!G678)</f>
        <v>123900</v>
      </c>
      <c r="H678" s="4">
        <v>1063359</v>
      </c>
      <c r="I678" s="4">
        <f>IF(DatiOriginali!I678 &gt;= SogliaPicchi!$B$8,"",DatiOriginali!I678)</f>
        <v>36200</v>
      </c>
      <c r="J678" s="4">
        <v>1057993</v>
      </c>
      <c r="K678" s="4">
        <f>IF(DatiOriginali!K678 &gt;= SogliaPicchi!$B$8,"",DatiOriginali!K678)</f>
        <v>42600</v>
      </c>
    </row>
    <row r="679" spans="1:11" x14ac:dyDescent="0.3">
      <c r="A679" s="4" t="s">
        <v>688</v>
      </c>
      <c r="B679" s="4">
        <v>61075</v>
      </c>
      <c r="C679" s="4">
        <f>IF(DatiOriginali!C679 &gt;= SogliaPicchi!$B$8,"",DatiOriginali!C679)</f>
        <v>395300</v>
      </c>
      <c r="D679" s="4">
        <v>32473</v>
      </c>
      <c r="E679" s="4">
        <f>IF(DatiOriginali!E679 &gt;= SogliaPicchi!$B$8,"",DatiOriginali!E679)</f>
        <v>115200</v>
      </c>
      <c r="F679" s="4">
        <v>868847</v>
      </c>
      <c r="G679" s="4">
        <f>IF(DatiOriginali!G679 &gt;= SogliaPicchi!$B$8,"",DatiOriginali!G679)</f>
        <v>122600</v>
      </c>
      <c r="H679" s="4">
        <v>1066437</v>
      </c>
      <c r="I679" s="4">
        <f>IF(DatiOriginali!I679 &gt;= SogliaPicchi!$B$8,"",DatiOriginali!I679)</f>
        <v>36000</v>
      </c>
      <c r="J679" s="4">
        <v>1061334</v>
      </c>
      <c r="K679" s="4">
        <f>IF(DatiOriginali!K679 &gt;= SogliaPicchi!$B$8,"",DatiOriginali!K679)</f>
        <v>41700</v>
      </c>
    </row>
    <row r="680" spans="1:11" x14ac:dyDescent="0.3">
      <c r="A680" s="4" t="s">
        <v>689</v>
      </c>
      <c r="B680" s="4">
        <v>61075</v>
      </c>
      <c r="C680" s="4">
        <f>IF(DatiOriginali!C680 &gt;= SogliaPicchi!$B$8,"",DatiOriginali!C680)</f>
        <v>404800</v>
      </c>
      <c r="D680" s="4">
        <v>31133</v>
      </c>
      <c r="E680" s="4">
        <f>IF(DatiOriginali!E680 &gt;= SogliaPicchi!$B$8,"",DatiOriginali!E680)</f>
        <v>110500</v>
      </c>
      <c r="F680" s="4">
        <v>871360</v>
      </c>
      <c r="G680" s="4">
        <f>IF(DatiOriginali!G680 &gt;= SogliaPicchi!$B$8,"",DatiOriginali!G680)</f>
        <v>192500</v>
      </c>
      <c r="H680" s="4">
        <v>1069935</v>
      </c>
      <c r="I680" s="4">
        <f>IF(DatiOriginali!I680 &gt;= SogliaPicchi!$B$8,"",DatiOriginali!I680)</f>
        <v>63600</v>
      </c>
      <c r="J680" s="4">
        <v>1064541</v>
      </c>
      <c r="K680" s="4">
        <f>IF(DatiOriginali!K680 &gt;= SogliaPicchi!$B$8,"",DatiOriginali!K680)</f>
        <v>82000</v>
      </c>
    </row>
    <row r="681" spans="1:11" x14ac:dyDescent="0.3">
      <c r="A681" s="4" t="s">
        <v>690</v>
      </c>
      <c r="B681" s="4">
        <v>61075</v>
      </c>
      <c r="C681" s="4">
        <f>IF(DatiOriginali!C681 &gt;= SogliaPicchi!$B$8,"",DatiOriginali!C681)</f>
        <v>401600</v>
      </c>
      <c r="D681" s="4">
        <v>30750</v>
      </c>
      <c r="E681" s="4">
        <f>IF(DatiOriginali!E681 &gt;= SogliaPicchi!$B$8,"",DatiOriginali!E681)</f>
        <v>110000</v>
      </c>
      <c r="F681" s="4">
        <v>873889</v>
      </c>
      <c r="G681" s="4">
        <f>IF(DatiOriginali!G681 &gt;= SogliaPicchi!$B$8,"",DatiOriginali!G681)</f>
        <v>127600</v>
      </c>
      <c r="H681" s="4">
        <v>1072747</v>
      </c>
      <c r="I681" s="4">
        <f>IF(DatiOriginali!I681 &gt;= SogliaPicchi!$B$8,"",DatiOriginali!I681)</f>
        <v>37100</v>
      </c>
      <c r="J681" s="4">
        <v>1067792</v>
      </c>
      <c r="K681" s="4">
        <f>IF(DatiOriginali!K681 &gt;= SogliaPicchi!$B$8,"",DatiOriginali!K681)</f>
        <v>45300</v>
      </c>
    </row>
    <row r="682" spans="1:11" x14ac:dyDescent="0.3">
      <c r="A682" s="4" t="s">
        <v>691</v>
      </c>
      <c r="B682" s="4">
        <v>61075</v>
      </c>
      <c r="C682" s="4">
        <f>IF(DatiOriginali!C682 &gt;= SogliaPicchi!$B$8,"",DatiOriginali!C682)</f>
        <v>480300</v>
      </c>
      <c r="D682" s="4">
        <v>32780</v>
      </c>
      <c r="E682" s="4">
        <f>IF(DatiOriginali!E682 &gt;= SogliaPicchi!$B$8,"",DatiOriginali!E682)</f>
        <v>140500</v>
      </c>
      <c r="F682" s="4">
        <v>876400</v>
      </c>
      <c r="G682" s="4">
        <f>IF(DatiOriginali!G682 &gt;= SogliaPicchi!$B$8,"",DatiOriginali!G682)</f>
        <v>154900</v>
      </c>
      <c r="H682" s="4">
        <v>1075758</v>
      </c>
      <c r="I682" s="4">
        <f>IF(DatiOriginali!I682 &gt;= SogliaPicchi!$B$8,"",DatiOriginali!I682)</f>
        <v>45900</v>
      </c>
      <c r="J682" s="4">
        <v>1070669</v>
      </c>
      <c r="K682" s="4">
        <f>IF(DatiOriginali!K682 &gt;= SogliaPicchi!$B$8,"",DatiOriginali!K682)</f>
        <v>55200</v>
      </c>
    </row>
    <row r="683" spans="1:11" x14ac:dyDescent="0.3">
      <c r="A683" s="4" t="s">
        <v>692</v>
      </c>
      <c r="B683" s="4">
        <v>61075</v>
      </c>
      <c r="C683" s="4">
        <f>IF(DatiOriginali!C683 &gt;= SogliaPicchi!$B$8,"",DatiOriginali!C683)</f>
        <v>460100</v>
      </c>
      <c r="D683" s="4">
        <v>31990</v>
      </c>
      <c r="E683" s="4">
        <f>IF(DatiOriginali!E683 &gt;= SogliaPicchi!$B$8,"",DatiOriginali!E683)</f>
        <v>141300</v>
      </c>
      <c r="F683" s="4">
        <v>878926</v>
      </c>
      <c r="G683" s="4">
        <f>IF(DatiOriginali!G683 &gt;= SogliaPicchi!$B$8,"",DatiOriginali!G683)</f>
        <v>153100</v>
      </c>
      <c r="H683" s="4">
        <v>1078880</v>
      </c>
      <c r="I683" s="4">
        <f>IF(DatiOriginali!I683 &gt;= SogliaPicchi!$B$8,"",DatiOriginali!I683)</f>
        <v>45200</v>
      </c>
      <c r="J683" s="4">
        <v>1073969</v>
      </c>
      <c r="K683" s="4">
        <f>IF(DatiOriginali!K683 &gt;= SogliaPicchi!$B$8,"",DatiOriginali!K683)</f>
        <v>54200</v>
      </c>
    </row>
    <row r="684" spans="1:11" x14ac:dyDescent="0.3">
      <c r="A684" s="4" t="s">
        <v>693</v>
      </c>
      <c r="B684" s="4">
        <v>61075</v>
      </c>
      <c r="C684" s="4">
        <f>IF(DatiOriginali!C684 &gt;= SogliaPicchi!$B$8,"",DatiOriginali!C684)</f>
        <v>527300</v>
      </c>
      <c r="D684" s="4">
        <v>30899</v>
      </c>
      <c r="E684" s="4">
        <f>IF(DatiOriginali!E684 &gt;= SogliaPicchi!$B$8,"",DatiOriginali!E684)</f>
        <v>133100</v>
      </c>
      <c r="F684" s="4">
        <v>881445</v>
      </c>
      <c r="G684" s="4">
        <f>IF(DatiOriginali!G684 &gt;= SogliaPicchi!$B$8,"",DatiOriginali!G684)</f>
        <v>154100</v>
      </c>
      <c r="H684" s="4">
        <v>1081996</v>
      </c>
      <c r="I684" s="4">
        <f>IF(DatiOriginali!I684 &gt;= SogliaPicchi!$B$8,"",DatiOriginali!I684)</f>
        <v>50200</v>
      </c>
      <c r="J684" s="4">
        <v>1077026</v>
      </c>
      <c r="K684" s="4">
        <f>IF(DatiOriginali!K684 &gt;= SogliaPicchi!$B$8,"",DatiOriginali!K684)</f>
        <v>70600</v>
      </c>
    </row>
    <row r="685" spans="1:11" x14ac:dyDescent="0.3">
      <c r="A685" s="4" t="s">
        <v>694</v>
      </c>
      <c r="B685" s="4">
        <v>61075</v>
      </c>
      <c r="C685" s="4">
        <f>IF(DatiOriginali!C685 &gt;= SogliaPicchi!$B$8,"",DatiOriginali!C685)</f>
        <v>501800</v>
      </c>
      <c r="D685" s="4">
        <v>30053</v>
      </c>
      <c r="E685" s="4">
        <f>IF(DatiOriginali!E685 &gt;= SogliaPicchi!$B$8,"",DatiOriginali!E685)</f>
        <v>129400</v>
      </c>
      <c r="F685" s="4">
        <v>883973</v>
      </c>
      <c r="G685" s="4">
        <f>IF(DatiOriginali!G685 &gt;= SogliaPicchi!$B$8,"",DatiOriginali!G685)</f>
        <v>140800</v>
      </c>
      <c r="H685" s="4">
        <v>1084822</v>
      </c>
      <c r="I685" s="4">
        <f>IF(DatiOriginali!I685 &gt;= SogliaPicchi!$B$8,"",DatiOriginali!I685)</f>
        <v>45800</v>
      </c>
      <c r="J685" s="4">
        <v>1080541</v>
      </c>
      <c r="K685" s="4">
        <f>IF(DatiOriginali!K685 &gt;= SogliaPicchi!$B$8,"",DatiOriginali!K685)</f>
        <v>54900</v>
      </c>
    </row>
    <row r="686" spans="1:11" x14ac:dyDescent="0.3">
      <c r="A686" s="4" t="s">
        <v>695</v>
      </c>
      <c r="B686" s="4">
        <v>61075</v>
      </c>
      <c r="C686" s="4">
        <f>IF(DatiOriginali!C686 &gt;= SogliaPicchi!$B$8,"",DatiOriginali!C686)</f>
        <v>390900</v>
      </c>
      <c r="D686" s="4">
        <v>31257</v>
      </c>
      <c r="E686" s="4">
        <f>IF(DatiOriginali!E686 &gt;= SogliaPicchi!$B$8,"",DatiOriginali!E686)</f>
        <v>111500</v>
      </c>
      <c r="F686" s="4">
        <v>886493</v>
      </c>
      <c r="G686" s="4">
        <f>IF(DatiOriginali!G686 &gt;= SogliaPicchi!$B$8,"",DatiOriginali!G686)</f>
        <v>123000</v>
      </c>
      <c r="H686" s="4">
        <v>1088015</v>
      </c>
      <c r="I686" s="4">
        <f>IF(DatiOriginali!I686 &gt;= SogliaPicchi!$B$8,"",DatiOriginali!I686)</f>
        <v>37800</v>
      </c>
      <c r="J686" s="4">
        <v>1083382</v>
      </c>
      <c r="K686" s="4">
        <f>IF(DatiOriginali!K686 &gt;= SogliaPicchi!$B$8,"",DatiOriginali!K686)</f>
        <v>42400</v>
      </c>
    </row>
    <row r="687" spans="1:11" x14ac:dyDescent="0.3">
      <c r="A687" s="4" t="s">
        <v>696</v>
      </c>
      <c r="B687" s="4">
        <v>61075</v>
      </c>
      <c r="C687" s="4">
        <f>IF(DatiOriginali!C687 &gt;= SogliaPicchi!$B$8,"",DatiOriginali!C687)</f>
        <v>372700</v>
      </c>
      <c r="D687" s="4">
        <v>32154</v>
      </c>
      <c r="E687" s="4">
        <f>IF(DatiOriginali!E687 &gt;= SogliaPicchi!$B$8,"",DatiOriginali!E687)</f>
        <v>114100</v>
      </c>
      <c r="F687" s="4">
        <v>889016</v>
      </c>
      <c r="G687" s="4">
        <f>IF(DatiOriginali!G687 &gt;= SogliaPicchi!$B$8,"",DatiOriginali!G687)</f>
        <v>129400</v>
      </c>
      <c r="H687" s="4">
        <v>1091254</v>
      </c>
      <c r="I687" s="4">
        <f>IF(DatiOriginali!I687 &gt;= SogliaPicchi!$B$8,"",DatiOriginali!I687)</f>
        <v>36900</v>
      </c>
      <c r="J687" s="4">
        <v>1086527</v>
      </c>
      <c r="K687" s="4">
        <f>IF(DatiOriginali!K687 &gt;= SogliaPicchi!$B$8,"",DatiOriginali!K687)</f>
        <v>43000</v>
      </c>
    </row>
    <row r="688" spans="1:11" x14ac:dyDescent="0.3">
      <c r="A688" s="4" t="s">
        <v>697</v>
      </c>
      <c r="B688" s="4">
        <v>61075</v>
      </c>
      <c r="C688" s="4">
        <f>IF(DatiOriginali!C688 &gt;= SogliaPicchi!$B$8,"",DatiOriginali!C688)</f>
        <v>541700</v>
      </c>
      <c r="D688" s="4">
        <v>31504</v>
      </c>
      <c r="E688" s="4">
        <f>IF(DatiOriginali!E688 &gt;= SogliaPicchi!$B$8,"",DatiOriginali!E688)</f>
        <v>192200</v>
      </c>
      <c r="F688" s="4">
        <v>891526</v>
      </c>
      <c r="G688" s="4">
        <f>IF(DatiOriginali!G688 &gt;= SogliaPicchi!$B$8,"",DatiOriginali!G688)</f>
        <v>191200</v>
      </c>
      <c r="H688" s="4">
        <v>1094849</v>
      </c>
      <c r="I688" s="4">
        <f>IF(DatiOriginali!I688 &gt;= SogliaPicchi!$B$8,"",DatiOriginali!I688)</f>
        <v>47300</v>
      </c>
      <c r="J688" s="4">
        <v>1090124</v>
      </c>
      <c r="K688" s="4">
        <f>IF(DatiOriginali!K688 &gt;= SogliaPicchi!$B$8,"",DatiOriginali!K688)</f>
        <v>53200</v>
      </c>
    </row>
    <row r="689" spans="1:11" x14ac:dyDescent="0.3">
      <c r="A689" s="4" t="s">
        <v>698</v>
      </c>
      <c r="B689" s="4">
        <v>61075</v>
      </c>
      <c r="C689" s="4">
        <f>IF(DatiOriginali!C689 &gt;= SogliaPicchi!$B$8,"",DatiOriginali!C689)</f>
        <v>403400</v>
      </c>
      <c r="D689" s="4">
        <v>28665</v>
      </c>
      <c r="E689" s="4">
        <f>IF(DatiOriginali!E689 &gt;= SogliaPicchi!$B$8,"",DatiOriginali!E689)</f>
        <v>102800</v>
      </c>
      <c r="F689" s="4">
        <v>894054</v>
      </c>
      <c r="G689" s="4">
        <f>IF(DatiOriginali!G689 &gt;= SogliaPicchi!$B$8,"",DatiOriginali!G689)</f>
        <v>125000</v>
      </c>
      <c r="H689" s="4">
        <v>1098090</v>
      </c>
      <c r="I689" s="4">
        <f>IF(DatiOriginali!I689 &gt;= SogliaPicchi!$B$8,"",DatiOriginali!I689)</f>
        <v>37200</v>
      </c>
      <c r="J689" s="4">
        <v>1093593</v>
      </c>
      <c r="K689" s="4">
        <f>IF(DatiOriginali!K689 &gt;= SogliaPicchi!$B$8,"",DatiOriginali!K689)</f>
        <v>44800</v>
      </c>
    </row>
    <row r="690" spans="1:11" x14ac:dyDescent="0.3">
      <c r="A690" s="4" t="s">
        <v>699</v>
      </c>
      <c r="B690" s="4">
        <v>61075</v>
      </c>
      <c r="C690" s="4">
        <f>IF(DatiOriginali!C690 &gt;= SogliaPicchi!$B$8,"",DatiOriginali!C690)</f>
        <v>479700</v>
      </c>
      <c r="D690" s="4">
        <v>28310</v>
      </c>
      <c r="E690" s="4">
        <f>IF(DatiOriginali!E690 &gt;= SogliaPicchi!$B$8,"",DatiOriginali!E690)</f>
        <v>122600</v>
      </c>
      <c r="F690" s="4">
        <v>896576</v>
      </c>
      <c r="G690" s="4">
        <f>IF(DatiOriginali!G690 &gt;= SogliaPicchi!$B$8,"",DatiOriginali!G690)</f>
        <v>155600</v>
      </c>
      <c r="H690" s="4">
        <v>1101387</v>
      </c>
      <c r="I690" s="4">
        <f>IF(DatiOriginali!I690 &gt;= SogliaPicchi!$B$8,"",DatiOriginali!I690)</f>
        <v>46900</v>
      </c>
      <c r="J690" s="4">
        <v>1096538</v>
      </c>
      <c r="K690" s="4">
        <f>IF(DatiOriginali!K690 &gt;= SogliaPicchi!$B$8,"",DatiOriginali!K690)</f>
        <v>56400</v>
      </c>
    </row>
    <row r="691" spans="1:11" x14ac:dyDescent="0.3">
      <c r="A691" s="4" t="s">
        <v>700</v>
      </c>
      <c r="B691" s="4">
        <v>61075</v>
      </c>
      <c r="C691" s="4">
        <f>IF(DatiOriginali!C691 &gt;= SogliaPicchi!$B$8,"",DatiOriginali!C691)</f>
        <v>374100</v>
      </c>
      <c r="D691" s="4">
        <v>31236</v>
      </c>
      <c r="E691" s="4">
        <f>IF(DatiOriginali!E691 &gt;= SogliaPicchi!$B$8,"",DatiOriginali!E691)</f>
        <v>190000</v>
      </c>
      <c r="F691" s="4">
        <v>899103</v>
      </c>
      <c r="G691" s="4">
        <f>IF(DatiOriginali!G691 &gt;= SogliaPicchi!$B$8,"",DatiOriginali!G691)</f>
        <v>186900</v>
      </c>
      <c r="H691" s="4">
        <v>1104374</v>
      </c>
      <c r="I691" s="4">
        <f>IF(DatiOriginali!I691 &gt;= SogliaPicchi!$B$8,"",DatiOriginali!I691)</f>
        <v>49500</v>
      </c>
      <c r="J691" s="4">
        <v>1099800</v>
      </c>
      <c r="K691" s="4">
        <f>IF(DatiOriginali!K691 &gt;= SogliaPicchi!$B$8,"",DatiOriginali!K691)</f>
        <v>60800</v>
      </c>
    </row>
    <row r="692" spans="1:11" x14ac:dyDescent="0.3">
      <c r="A692" s="4" t="s">
        <v>701</v>
      </c>
      <c r="B692" s="4">
        <v>61075</v>
      </c>
      <c r="C692" s="4">
        <f>IF(DatiOriginali!C692 &gt;= SogliaPicchi!$B$8,"",DatiOriginali!C692)</f>
        <v>495100</v>
      </c>
      <c r="D692" s="4">
        <v>31236</v>
      </c>
      <c r="E692" s="4">
        <f>IF(DatiOriginali!E692 &gt;= SogliaPicchi!$B$8,"",DatiOriginali!E692)</f>
        <v>140200</v>
      </c>
      <c r="F692" s="4">
        <v>901616</v>
      </c>
      <c r="G692" s="4">
        <f>IF(DatiOriginali!G692 &gt;= SogliaPicchi!$B$8,"",DatiOriginali!G692)</f>
        <v>161900</v>
      </c>
      <c r="H692" s="4">
        <v>1107445</v>
      </c>
      <c r="I692" s="4">
        <f>IF(DatiOriginali!I692 &gt;= SogliaPicchi!$B$8,"",DatiOriginali!I692)</f>
        <v>50600</v>
      </c>
      <c r="J692" s="4">
        <v>1102832</v>
      </c>
      <c r="K692" s="4">
        <f>IF(DatiOriginali!K692 &gt;= SogliaPicchi!$B$8,"",DatiOriginali!K692)</f>
        <v>54200</v>
      </c>
    </row>
    <row r="693" spans="1:11" x14ac:dyDescent="0.3">
      <c r="A693" s="4" t="s">
        <v>702</v>
      </c>
      <c r="B693" s="4">
        <v>61075</v>
      </c>
      <c r="C693" s="4">
        <f>IF(DatiOriginali!C693 &gt;= SogliaPicchi!$B$8,"",DatiOriginali!C693)</f>
        <v>438400</v>
      </c>
      <c r="D693" s="4">
        <v>31181</v>
      </c>
      <c r="E693" s="4">
        <f>IF(DatiOriginali!E693 &gt;= SogliaPicchi!$B$8,"",DatiOriginali!E693)</f>
        <v>138400</v>
      </c>
      <c r="F693" s="4">
        <v>904146</v>
      </c>
      <c r="G693" s="4">
        <f>IF(DatiOriginali!G693 &gt;= SogliaPicchi!$B$8,"",DatiOriginali!G693)</f>
        <v>153200</v>
      </c>
      <c r="H693" s="4">
        <v>1110711</v>
      </c>
      <c r="I693" s="4">
        <f>IF(DatiOriginali!I693 &gt;= SogliaPicchi!$B$8,"",DatiOriginali!I693)</f>
        <v>45700</v>
      </c>
      <c r="J693" s="4">
        <v>1106006</v>
      </c>
      <c r="K693" s="4">
        <f>IF(DatiOriginali!K693 &gt;= SogliaPicchi!$B$8,"",DatiOriginali!K693)</f>
        <v>53300</v>
      </c>
    </row>
    <row r="694" spans="1:11" x14ac:dyDescent="0.3">
      <c r="A694" s="4" t="s">
        <v>703</v>
      </c>
      <c r="B694" s="4">
        <v>61075</v>
      </c>
      <c r="C694" s="4">
        <f>IF(DatiOriginali!C694 &gt;= SogliaPicchi!$B$8,"",DatiOriginali!C694)</f>
        <v>439500</v>
      </c>
      <c r="D694" s="4">
        <v>30173</v>
      </c>
      <c r="E694" s="4">
        <f>IF(DatiOriginali!E694 &gt;= SogliaPicchi!$B$8,"",DatiOriginali!E694)</f>
        <v>107700</v>
      </c>
      <c r="F694" s="4">
        <v>906677</v>
      </c>
      <c r="G694" s="4">
        <f>IF(DatiOriginali!G694 &gt;= SogliaPicchi!$B$8,"",DatiOriginali!G694)</f>
        <v>153000</v>
      </c>
      <c r="H694" s="4">
        <v>1113868</v>
      </c>
      <c r="I694" s="4">
        <f>IF(DatiOriginali!I694 &gt;= SogliaPicchi!$B$8,"",DatiOriginali!I694)</f>
        <v>38200</v>
      </c>
      <c r="J694" s="4">
        <v>1109258</v>
      </c>
      <c r="K694" s="4">
        <f>IF(DatiOriginali!K694 &gt;= SogliaPicchi!$B$8,"",DatiOriginali!K694)</f>
        <v>42500</v>
      </c>
    </row>
    <row r="695" spans="1:11" x14ac:dyDescent="0.3">
      <c r="A695" s="4" t="s">
        <v>704</v>
      </c>
      <c r="B695" s="4">
        <v>61075</v>
      </c>
      <c r="C695" s="4">
        <f>IF(DatiOriginali!C695 &gt;= SogliaPicchi!$B$8,"",DatiOriginali!C695)</f>
        <v>422800</v>
      </c>
      <c r="D695" s="4">
        <v>30495</v>
      </c>
      <c r="E695" s="4">
        <f>IF(DatiOriginali!E695 &gt;= SogliaPicchi!$B$8,"",DatiOriginali!E695)</f>
        <v>113200</v>
      </c>
      <c r="F695" s="4">
        <v>909209</v>
      </c>
      <c r="G695" s="4">
        <f>IF(DatiOriginali!G695 &gt;= SogliaPicchi!$B$8,"",DatiOriginali!G695)</f>
        <v>129300</v>
      </c>
      <c r="H695" s="4">
        <v>1116927</v>
      </c>
      <c r="I695" s="4">
        <f>IF(DatiOriginali!I695 &gt;= SogliaPicchi!$B$8,"",DatiOriginali!I695)</f>
        <v>37600</v>
      </c>
      <c r="J695" s="4">
        <v>1112543</v>
      </c>
      <c r="K695" s="4">
        <f>IF(DatiOriginali!K695 &gt;= SogliaPicchi!$B$8,"",DatiOriginali!K695)</f>
        <v>49100</v>
      </c>
    </row>
    <row r="696" spans="1:11" x14ac:dyDescent="0.3">
      <c r="A696" s="4" t="s">
        <v>705</v>
      </c>
      <c r="B696" s="4">
        <v>61075</v>
      </c>
      <c r="C696" s="4">
        <f>IF(DatiOriginali!C696 &gt;= SogliaPicchi!$B$8,"",DatiOriginali!C696)</f>
        <v>402700</v>
      </c>
      <c r="D696" s="4">
        <v>31858</v>
      </c>
      <c r="E696" s="4">
        <f>IF(DatiOriginali!E696 &gt;= SogliaPicchi!$B$8,"",DatiOriginali!E696)</f>
        <v>113700</v>
      </c>
      <c r="F696" s="4">
        <v>911741</v>
      </c>
      <c r="G696" s="4">
        <f>IF(DatiOriginali!G696 &gt;= SogliaPicchi!$B$8,"",DatiOriginali!G696)</f>
        <v>132900</v>
      </c>
      <c r="H696" s="4">
        <v>1120354</v>
      </c>
      <c r="I696" s="4">
        <f>IF(DatiOriginali!I696 &gt;= SogliaPicchi!$B$8,"",DatiOriginali!I696)</f>
        <v>37500</v>
      </c>
      <c r="J696" s="4">
        <v>1115697</v>
      </c>
      <c r="K696" s="4">
        <f>IF(DatiOriginali!K696 &gt;= SogliaPicchi!$B$8,"",DatiOriginali!K696)</f>
        <v>42200</v>
      </c>
    </row>
    <row r="697" spans="1:11" x14ac:dyDescent="0.3">
      <c r="A697" s="4" t="s">
        <v>706</v>
      </c>
      <c r="B697" s="4">
        <v>61075</v>
      </c>
      <c r="C697" s="4">
        <f>IF(DatiOriginali!C697 &gt;= SogliaPicchi!$B$8,"",DatiOriginali!C697)</f>
        <v>435400</v>
      </c>
      <c r="D697" s="4">
        <v>30330</v>
      </c>
      <c r="E697" s="4">
        <f>IF(DatiOriginali!E697 &gt;= SogliaPicchi!$B$8,"",DatiOriginali!E697)</f>
        <v>108700</v>
      </c>
      <c r="F697" s="4">
        <v>914274</v>
      </c>
      <c r="G697" s="4">
        <f>IF(DatiOriginali!G697 &gt;= SogliaPicchi!$B$8,"",DatiOriginali!G697)</f>
        <v>123800</v>
      </c>
      <c r="H697" s="4">
        <v>1123450</v>
      </c>
      <c r="I697" s="4">
        <f>IF(DatiOriginali!I697 &gt;= SogliaPicchi!$B$8,"",DatiOriginali!I697)</f>
        <v>38000</v>
      </c>
      <c r="J697" s="4">
        <v>1118719</v>
      </c>
      <c r="K697" s="4">
        <f>IF(DatiOriginali!K697 &gt;= SogliaPicchi!$B$8,"",DatiOriginali!K697)</f>
        <v>42800</v>
      </c>
    </row>
    <row r="698" spans="1:11" x14ac:dyDescent="0.3">
      <c r="A698" s="4" t="s">
        <v>707</v>
      </c>
      <c r="B698" s="4">
        <v>61075</v>
      </c>
      <c r="C698" s="4">
        <f>IF(DatiOriginali!C698 &gt;= SogliaPicchi!$B$8,"",DatiOriginali!C698)</f>
        <v>457300</v>
      </c>
      <c r="D698" s="4">
        <v>31579</v>
      </c>
      <c r="E698" s="4">
        <f>IF(DatiOriginali!E698 &gt;= SogliaPicchi!$B$8,"",DatiOriginali!E698)</f>
        <v>138900</v>
      </c>
      <c r="F698" s="4">
        <v>916777</v>
      </c>
      <c r="G698" s="4">
        <f>IF(DatiOriginali!G698 &gt;= SogliaPicchi!$B$8,"",DatiOriginali!G698)</f>
        <v>154500</v>
      </c>
      <c r="H698" s="4">
        <v>1126331</v>
      </c>
      <c r="I698" s="4">
        <f>IF(DatiOriginali!I698 &gt;= SogliaPicchi!$B$8,"",DatiOriginali!I698)</f>
        <v>45500</v>
      </c>
      <c r="J698" s="4">
        <v>1121900</v>
      </c>
      <c r="K698" s="4">
        <f>IF(DatiOriginali!K698 &gt;= SogliaPicchi!$B$8,"",DatiOriginali!K698)</f>
        <v>52900</v>
      </c>
    </row>
    <row r="699" spans="1:11" x14ac:dyDescent="0.3">
      <c r="A699" s="4" t="s">
        <v>708</v>
      </c>
      <c r="B699" s="4">
        <v>61075</v>
      </c>
      <c r="C699" s="4">
        <f>IF(DatiOriginali!C699 &gt;= SogliaPicchi!$B$8,"",DatiOriginali!C699)</f>
        <v>487300</v>
      </c>
      <c r="D699" s="4">
        <v>30434</v>
      </c>
      <c r="E699" s="4">
        <f>IF(DatiOriginali!E699 &gt;= SogliaPicchi!$B$8,"",DatiOriginali!E699)</f>
        <v>130600</v>
      </c>
      <c r="F699" s="4">
        <v>919315</v>
      </c>
      <c r="G699" s="4">
        <f>IF(DatiOriginali!G699 &gt;= SogliaPicchi!$B$8,"",DatiOriginali!G699)</f>
        <v>155300</v>
      </c>
      <c r="H699" s="4">
        <v>1129243</v>
      </c>
      <c r="I699" s="4">
        <f>IF(DatiOriginali!I699 &gt;= SogliaPicchi!$B$8,"",DatiOriginali!I699)</f>
        <v>46000</v>
      </c>
      <c r="J699" s="4">
        <v>1125212</v>
      </c>
      <c r="K699" s="4">
        <f>IF(DatiOriginali!K699 &gt;= SogliaPicchi!$B$8,"",DatiOriginali!K699)</f>
        <v>61700</v>
      </c>
    </row>
    <row r="700" spans="1:11" x14ac:dyDescent="0.3">
      <c r="A700" s="4" t="s">
        <v>709</v>
      </c>
      <c r="B700" s="4">
        <v>61075</v>
      </c>
      <c r="C700" s="4">
        <f>IF(DatiOriginali!C700 &gt;= SogliaPicchi!$B$8,"",DatiOriginali!C700)</f>
        <v>408100</v>
      </c>
      <c r="D700" s="4">
        <v>28910</v>
      </c>
      <c r="E700" s="4">
        <f>IF(DatiOriginali!E700 &gt;= SogliaPicchi!$B$8,"",DatiOriginali!E700)</f>
        <v>103400</v>
      </c>
      <c r="F700" s="4">
        <v>921847</v>
      </c>
      <c r="G700" s="4">
        <f>IF(DatiOriginali!G700 &gt;= SogliaPicchi!$B$8,"",DatiOriginali!G700)</f>
        <v>123700</v>
      </c>
      <c r="H700" s="4">
        <v>1132385</v>
      </c>
      <c r="I700" s="4">
        <f>IF(DatiOriginali!I700 &gt;= SogliaPicchi!$B$8,"",DatiOriginali!I700)</f>
        <v>37000</v>
      </c>
      <c r="J700" s="4">
        <v>1128451</v>
      </c>
      <c r="K700" s="4">
        <f>IF(DatiOriginali!K700 &gt;= SogliaPicchi!$B$8,"",DatiOriginali!K700)</f>
        <v>43500</v>
      </c>
    </row>
    <row r="701" spans="1:11" x14ac:dyDescent="0.3">
      <c r="A701" s="4" t="s">
        <v>710</v>
      </c>
      <c r="B701" s="4">
        <v>61075</v>
      </c>
      <c r="C701" s="4">
        <f>IF(DatiOriginali!C701 &gt;= SogliaPicchi!$B$8,"",DatiOriginali!C701)</f>
        <v>386400</v>
      </c>
      <c r="D701" s="4">
        <v>33235</v>
      </c>
      <c r="E701" s="4">
        <f>IF(DatiOriginali!E701 &gt;= SogliaPicchi!$B$8,"",DatiOriginali!E701)</f>
        <v>117900</v>
      </c>
      <c r="F701" s="4">
        <v>924351</v>
      </c>
      <c r="G701" s="4">
        <f>IF(DatiOriginali!G701 &gt;= SogliaPicchi!$B$9,"",DatiOriginali!G701)</f>
        <v>123900</v>
      </c>
      <c r="H701" s="4">
        <v>1135369</v>
      </c>
      <c r="I701" s="4">
        <f>IF(DatiOriginali!I701 &gt;= SogliaPicchi!$B$9,"",DatiOriginali!I701)</f>
        <v>37000</v>
      </c>
      <c r="J701" s="4">
        <v>1131854</v>
      </c>
      <c r="K701" s="4">
        <f>IF(DatiOriginali!K701 &gt;= SogliaPicchi!$B$9,"",DatiOriginali!K701)</f>
        <v>44300</v>
      </c>
    </row>
    <row r="702" spans="1:11" x14ac:dyDescent="0.3">
      <c r="A702" s="4" t="s">
        <v>711</v>
      </c>
      <c r="B702" s="4">
        <v>79800</v>
      </c>
      <c r="C702" s="4">
        <f>IF(DatiOriginali!C702 &gt;= SogliaPicchi!$B$9,"",DatiOriginali!C702)</f>
        <v>515800</v>
      </c>
      <c r="D702" s="4">
        <v>39532</v>
      </c>
      <c r="E702" s="4">
        <f>IF(DatiOriginali!E702 &gt;= SogliaPicchi!$B$9,"",DatiOriginali!E702)</f>
        <v>140200</v>
      </c>
      <c r="F702" s="4">
        <v>927307</v>
      </c>
      <c r="G702" s="4">
        <f>IF(DatiOriginali!G702 &gt;= SogliaPicchi!$B$9,"",DatiOriginali!G702)</f>
        <v>147900</v>
      </c>
      <c r="H702" s="4">
        <v>1138986</v>
      </c>
      <c r="I702" s="4">
        <f>IF(DatiOriginali!I702 &gt;= SogliaPicchi!$B$9,"",DatiOriginali!I702)</f>
        <v>45200</v>
      </c>
      <c r="J702" s="4">
        <v>1135740</v>
      </c>
      <c r="K702" s="4">
        <f>IF(DatiOriginali!K702 &gt;= SogliaPicchi!$B$9,"",DatiOriginali!K702)</f>
        <v>54600</v>
      </c>
    </row>
    <row r="703" spans="1:11" x14ac:dyDescent="0.3">
      <c r="A703" s="4" t="s">
        <v>712</v>
      </c>
      <c r="B703" s="4">
        <v>79800</v>
      </c>
      <c r="C703" s="4">
        <f>IF(DatiOriginali!C703 &gt;= SogliaPicchi!$B$9,"",DatiOriginali!C703)</f>
        <v>527500</v>
      </c>
      <c r="D703" s="4">
        <v>40060</v>
      </c>
      <c r="E703" s="4">
        <f>IF(DatiOriginali!E703 &gt;= SogliaPicchi!$B$9,"",DatiOriginali!E703)</f>
        <v>141900</v>
      </c>
      <c r="F703" s="4">
        <v>930257</v>
      </c>
      <c r="G703" s="4">
        <f>IF(DatiOriginali!G703 &gt;= SogliaPicchi!$B$9,"",DatiOriginali!G703)</f>
        <v>143500</v>
      </c>
      <c r="H703" s="4">
        <v>1142410</v>
      </c>
      <c r="I703" s="4">
        <f>IF(DatiOriginali!I703 &gt;= SogliaPicchi!$B$9,"",DatiOriginali!I703)</f>
        <v>43500</v>
      </c>
      <c r="J703" s="4">
        <v>1139278</v>
      </c>
      <c r="K703" s="4">
        <f>IF(DatiOriginali!K703 &gt;= SogliaPicchi!$B$9,"",DatiOriginali!K703)</f>
        <v>53300</v>
      </c>
    </row>
    <row r="704" spans="1:11" x14ac:dyDescent="0.3">
      <c r="A704" s="4" t="s">
        <v>713</v>
      </c>
      <c r="B704" s="4">
        <v>79800</v>
      </c>
      <c r="C704" s="4">
        <f>IF(DatiOriginali!C704 &gt;= SogliaPicchi!$B$9,"",DatiOriginali!C704)</f>
        <v>692500</v>
      </c>
      <c r="D704" s="4">
        <v>40336</v>
      </c>
      <c r="E704" s="4">
        <f>IF(DatiOriginali!E704 &gt;= SogliaPicchi!$B$9,"",DatiOriginali!E704)</f>
        <v>171500</v>
      </c>
      <c r="F704" s="4">
        <v>933230</v>
      </c>
      <c r="G704" s="4">
        <f>IF(DatiOriginali!G704 &gt;= SogliaPicchi!$B$9,"",DatiOriginali!G704)</f>
        <v>185400</v>
      </c>
      <c r="H704" s="4">
        <v>1146095</v>
      </c>
      <c r="I704" s="4">
        <f>IF(DatiOriginali!I704 &gt;= SogliaPicchi!$B$9,"",DatiOriginali!I704)</f>
        <v>52700</v>
      </c>
      <c r="J704" s="4">
        <v>1143055</v>
      </c>
      <c r="K704" s="4">
        <f>IF(DatiOriginali!K704 &gt;= SogliaPicchi!$B$9,"",DatiOriginali!K704)</f>
        <v>62800</v>
      </c>
    </row>
    <row r="705" spans="1:11" x14ac:dyDescent="0.3">
      <c r="A705" s="4" t="s">
        <v>714</v>
      </c>
      <c r="B705" s="4">
        <v>79800</v>
      </c>
      <c r="C705" s="4">
        <f>IF(DatiOriginali!C705 &gt;= SogliaPicchi!$B$9,"",DatiOriginali!C705)</f>
        <v>688400</v>
      </c>
      <c r="D705" s="4">
        <v>40890</v>
      </c>
      <c r="E705" s="4">
        <f>IF(DatiOriginali!E705 &gt;= SogliaPicchi!$B$9,"",DatiOriginali!E705)</f>
        <v>166900</v>
      </c>
      <c r="F705" s="4">
        <v>936202</v>
      </c>
      <c r="G705" s="4">
        <f>IF(DatiOriginali!G705 &gt;= SogliaPicchi!$B$9,"",DatiOriginali!G705)</f>
        <v>156100</v>
      </c>
      <c r="H705" s="4">
        <v>1149396</v>
      </c>
      <c r="I705" s="4">
        <f>IF(DatiOriginali!I705 &gt;= SogliaPicchi!$B$9,"",DatiOriginali!I705)</f>
        <v>43400</v>
      </c>
      <c r="J705" s="4">
        <v>1146610</v>
      </c>
      <c r="K705" s="4">
        <f>IF(DatiOriginali!K705 &gt;= SogliaPicchi!$B$9,"",DatiOriginali!K705)</f>
        <v>49800</v>
      </c>
    </row>
    <row r="706" spans="1:11" x14ac:dyDescent="0.3">
      <c r="A706" s="4" t="s">
        <v>715</v>
      </c>
      <c r="B706" s="4">
        <v>79800</v>
      </c>
      <c r="C706" s="4">
        <f>IF(DatiOriginali!C706 &gt;= SogliaPicchi!$B$9,"",DatiOriginali!C706)</f>
        <v>546700</v>
      </c>
      <c r="D706" s="4">
        <v>39198</v>
      </c>
      <c r="E706" s="4">
        <f>IF(DatiOriginali!E706 &gt;= SogliaPicchi!$B$9,"",DatiOriginali!E706)</f>
        <v>139800</v>
      </c>
      <c r="F706" s="4">
        <v>939163</v>
      </c>
      <c r="G706" s="4">
        <f>IF(DatiOriginali!G706 &gt;= SogliaPicchi!$B$9,"",DatiOriginali!G706)</f>
        <v>146100</v>
      </c>
      <c r="H706" s="4">
        <v>1153122</v>
      </c>
      <c r="I706" s="4">
        <f>IF(DatiOriginali!I706 &gt;= SogliaPicchi!$B$9,"",DatiOriginali!I706)</f>
        <v>48300</v>
      </c>
      <c r="J706" s="4">
        <v>1150302</v>
      </c>
      <c r="K706" s="4">
        <f>IF(DatiOriginali!K706 &gt;= SogliaPicchi!$B$9,"",DatiOriginali!K706)</f>
        <v>50900</v>
      </c>
    </row>
    <row r="707" spans="1:11" x14ac:dyDescent="0.3">
      <c r="A707" s="4" t="s">
        <v>716</v>
      </c>
      <c r="B707" s="4">
        <v>79800</v>
      </c>
      <c r="C707" s="4">
        <f>IF(DatiOriginali!C707 &gt;= SogliaPicchi!$B$9,"",DatiOriginali!C707)</f>
        <v>582100</v>
      </c>
      <c r="D707" s="4">
        <v>40802</v>
      </c>
      <c r="E707" s="4">
        <f>IF(DatiOriginali!E707 &gt;= SogliaPicchi!$B$9,"",DatiOriginali!E707)</f>
        <v>179400</v>
      </c>
      <c r="F707" s="4">
        <v>942123</v>
      </c>
      <c r="G707" s="4">
        <f>IF(DatiOriginali!G707 &gt;= SogliaPicchi!$B$9,"",DatiOriginali!G707)</f>
        <v>185700</v>
      </c>
      <c r="H707" s="4">
        <v>1156907</v>
      </c>
      <c r="I707" s="4">
        <f>IF(DatiOriginali!I707 &gt;= SogliaPicchi!$B$9,"",DatiOriginali!I707)</f>
        <v>53800</v>
      </c>
      <c r="J707" s="4">
        <v>1154178</v>
      </c>
      <c r="K707" s="4">
        <f>IF(DatiOriginali!K707 &gt;= SogliaPicchi!$B$9,"",DatiOriginali!K707)</f>
        <v>61900</v>
      </c>
    </row>
    <row r="708" spans="1:11" x14ac:dyDescent="0.3">
      <c r="A708" s="4" t="s">
        <v>717</v>
      </c>
      <c r="B708" s="4">
        <v>79800</v>
      </c>
      <c r="C708" s="4">
        <f>IF(DatiOriginali!C708 &gt;= SogliaPicchi!$B$9,"",DatiOriginali!C708)</f>
        <v>616700</v>
      </c>
      <c r="D708" s="4">
        <v>40396</v>
      </c>
      <c r="E708" s="4">
        <f>IF(DatiOriginali!E708 &gt;= SogliaPicchi!$B$9,"",DatiOriginali!E708)</f>
        <v>172600</v>
      </c>
      <c r="F708" s="4">
        <v>945095</v>
      </c>
      <c r="G708" s="4">
        <f>IF(DatiOriginali!G708 &gt;= SogliaPicchi!$B$9,"",DatiOriginali!G708)</f>
        <v>198600</v>
      </c>
      <c r="H708" s="4">
        <v>1160477</v>
      </c>
      <c r="I708" s="4">
        <f>IF(DatiOriginali!I708 &gt;= SogliaPicchi!$B$9,"",DatiOriginali!I708)</f>
        <v>67400</v>
      </c>
      <c r="J708" s="4">
        <v>1157536</v>
      </c>
      <c r="K708" s="4">
        <f>IF(DatiOriginali!K708 &gt;= SogliaPicchi!$B$9,"",DatiOriginali!K708)</f>
        <v>76600</v>
      </c>
    </row>
    <row r="709" spans="1:11" x14ac:dyDescent="0.3">
      <c r="A709" s="4" t="s">
        <v>718</v>
      </c>
      <c r="B709" s="4">
        <v>79800</v>
      </c>
      <c r="C709" s="4">
        <f>IF(DatiOriginali!C709 &gt;= SogliaPicchi!$B$9,"",DatiOriginali!C709)</f>
        <v>482100</v>
      </c>
      <c r="D709" s="4">
        <v>39738</v>
      </c>
      <c r="E709" s="4">
        <f>IF(DatiOriginali!E709 &gt;= SogliaPicchi!$B$9,"",DatiOriginali!E709)</f>
        <v>141000</v>
      </c>
      <c r="F709" s="4">
        <v>948053</v>
      </c>
      <c r="G709" s="4">
        <f>IF(DatiOriginali!G709 &gt;= SogliaPicchi!$B$9,"",DatiOriginali!G709)</f>
        <v>144800</v>
      </c>
      <c r="H709" s="4">
        <v>1164239</v>
      </c>
      <c r="I709" s="4">
        <f>IF(DatiOriginali!I709 &gt;= SogliaPicchi!$B$9,"",DatiOriginali!I709)</f>
        <v>45100</v>
      </c>
      <c r="J709" s="4">
        <v>1161236</v>
      </c>
      <c r="K709" s="4">
        <f>IF(DatiOriginali!K709 &gt;= SogliaPicchi!$B$9,"",DatiOriginali!K709)</f>
        <v>53400</v>
      </c>
    </row>
    <row r="710" spans="1:11" x14ac:dyDescent="0.3">
      <c r="A710" s="4" t="s">
        <v>719</v>
      </c>
      <c r="B710" s="4">
        <v>79800</v>
      </c>
      <c r="C710" s="4">
        <f>IF(DatiOriginali!C710 &gt;= SogliaPicchi!$B$9,"",DatiOriginali!C710)</f>
        <v>637000</v>
      </c>
      <c r="D710" s="4">
        <v>39176</v>
      </c>
      <c r="E710" s="4">
        <f>IF(DatiOriginali!E710 &gt;= SogliaPicchi!$B$9,"",DatiOriginali!E710)</f>
        <v>170700</v>
      </c>
      <c r="F710" s="4">
        <v>951011</v>
      </c>
      <c r="G710" s="4">
        <f>IF(DatiOriginali!G710 &gt;= SogliaPicchi!$B$9,"",DatiOriginali!G710)</f>
        <v>187800</v>
      </c>
      <c r="H710" s="4">
        <v>1168217</v>
      </c>
      <c r="I710" s="4">
        <f>IF(DatiOriginali!I710 &gt;= SogliaPicchi!$B$9,"",DatiOriginali!I710)</f>
        <v>57100</v>
      </c>
      <c r="J710" s="4">
        <v>1165307</v>
      </c>
      <c r="K710" s="4">
        <f>IF(DatiOriginali!K710 &gt;= SogliaPicchi!$B$9,"",DatiOriginali!K710)</f>
        <v>59500</v>
      </c>
    </row>
    <row r="711" spans="1:11" x14ac:dyDescent="0.3">
      <c r="A711" s="4" t="s">
        <v>720</v>
      </c>
      <c r="B711" s="4">
        <v>79800</v>
      </c>
      <c r="C711" s="4">
        <f>IF(DatiOriginali!C711 &gt;= SogliaPicchi!$B$9,"",DatiOriginali!C711)</f>
        <v>623400</v>
      </c>
      <c r="D711" s="4">
        <v>41163</v>
      </c>
      <c r="E711" s="4">
        <f>IF(DatiOriginali!E711 &gt;= SogliaPicchi!$B$9,"",DatiOriginali!E711)</f>
        <v>178900</v>
      </c>
      <c r="F711" s="4">
        <v>953984</v>
      </c>
      <c r="G711" s="4">
        <f>IF(DatiOriginali!G711 &gt;= SogliaPicchi!$B$9,"",DatiOriginali!G711)</f>
        <v>189500</v>
      </c>
      <c r="H711" s="4">
        <v>1171760</v>
      </c>
      <c r="I711" s="4">
        <f>IF(DatiOriginali!I711 &gt;= SogliaPicchi!$B$9,"",DatiOriginali!I711)</f>
        <v>52700</v>
      </c>
      <c r="J711" s="4">
        <v>1168991</v>
      </c>
      <c r="K711" s="4">
        <f>IF(DatiOriginali!K711 &gt;= SogliaPicchi!$B$9,"",DatiOriginali!K711)</f>
        <v>62600</v>
      </c>
    </row>
    <row r="712" spans="1:11" x14ac:dyDescent="0.3">
      <c r="A712" s="4" t="s">
        <v>721</v>
      </c>
      <c r="B712" s="4">
        <v>79800</v>
      </c>
      <c r="C712" s="4">
        <f>IF(DatiOriginali!C712 &gt;= SogliaPicchi!$B$9,"",DatiOriginali!C712)</f>
        <v>632800</v>
      </c>
      <c r="D712" s="4">
        <v>41880</v>
      </c>
      <c r="E712" s="4">
        <f>IF(DatiOriginali!E712 &gt;= SogliaPicchi!$B$9,"",DatiOriginali!E712)</f>
        <v>188600</v>
      </c>
      <c r="F712" s="4">
        <v>956954</v>
      </c>
      <c r="G712" s="4">
        <f>IF(DatiOriginali!G712 &gt;= SogliaPicchi!$B$9,"",DatiOriginali!G712)</f>
        <v>258800</v>
      </c>
      <c r="H712" s="4">
        <v>1175569</v>
      </c>
      <c r="I712" s="4">
        <f>IF(DatiOriginali!I712 &gt;= SogliaPicchi!$B$9,"",DatiOriginali!I712)</f>
        <v>71800</v>
      </c>
      <c r="J712" s="4">
        <v>1172366</v>
      </c>
      <c r="K712" s="4">
        <f>IF(DatiOriginali!K712 &gt;= SogliaPicchi!$B$9,"",DatiOriginali!K712)</f>
        <v>76400</v>
      </c>
    </row>
    <row r="713" spans="1:11" x14ac:dyDescent="0.3">
      <c r="A713" s="4" t="s">
        <v>722</v>
      </c>
      <c r="B713" s="4">
        <v>79800</v>
      </c>
      <c r="C713" s="4">
        <f>IF(DatiOriginali!C713 &gt;= SogliaPicchi!$B$9,"",DatiOriginali!C713)</f>
        <v>524400</v>
      </c>
      <c r="D713" s="4">
        <v>40670</v>
      </c>
      <c r="E713" s="4">
        <f>IF(DatiOriginali!E713 &gt;= SogliaPicchi!$B$9,"",DatiOriginali!E713)</f>
        <v>148300</v>
      </c>
      <c r="F713" s="4">
        <v>959895</v>
      </c>
      <c r="G713" s="4">
        <f>IF(DatiOriginali!G713 &gt;= SogliaPicchi!$B$9,"",DatiOriginali!G713)</f>
        <v>143600</v>
      </c>
      <c r="H713" s="4">
        <v>1179692</v>
      </c>
      <c r="I713" s="4">
        <f>IF(DatiOriginali!I713 &gt;= SogliaPicchi!$B$9,"",DatiOriginali!I713)</f>
        <v>49300</v>
      </c>
      <c r="J713" s="4">
        <v>1175624</v>
      </c>
      <c r="K713" s="4">
        <f>IF(DatiOriginali!K713 &gt;= SogliaPicchi!$B$9,"",DatiOriginali!K713)</f>
        <v>50800</v>
      </c>
    </row>
    <row r="714" spans="1:11" x14ac:dyDescent="0.3">
      <c r="A714" s="4" t="s">
        <v>723</v>
      </c>
      <c r="B714" s="4">
        <v>79800</v>
      </c>
      <c r="C714" s="4">
        <f>IF(DatiOriginali!C714 &gt;= SogliaPicchi!$B$9,"",DatiOriginali!C714)</f>
        <v>549800</v>
      </c>
      <c r="D714" s="4">
        <v>39267</v>
      </c>
      <c r="E714" s="4">
        <f>IF(DatiOriginali!E714 &gt;= SogliaPicchi!$B$9,"",DatiOriginali!E714)</f>
        <v>139500</v>
      </c>
      <c r="F714" s="4">
        <v>962864</v>
      </c>
      <c r="G714" s="4">
        <f>IF(DatiOriginali!G714 &gt;= SogliaPicchi!$B$9,"",DatiOriginali!G714)</f>
        <v>140500</v>
      </c>
      <c r="H714" s="4">
        <v>1183764</v>
      </c>
      <c r="I714" s="4">
        <f>IF(DatiOriginali!I714 &gt;= SogliaPicchi!$B$9,"",DatiOriginali!I714)</f>
        <v>50500</v>
      </c>
      <c r="J714" s="4">
        <v>1179320</v>
      </c>
      <c r="K714" s="4">
        <f>IF(DatiOriginali!K714 &gt;= SogliaPicchi!$B$9,"",DatiOriginali!K714)</f>
        <v>50500</v>
      </c>
    </row>
    <row r="715" spans="1:11" x14ac:dyDescent="0.3">
      <c r="A715" s="4" t="s">
        <v>724</v>
      </c>
      <c r="B715" s="4">
        <v>79800</v>
      </c>
      <c r="C715" s="4">
        <f>IF(DatiOriginali!C715 &gt;= SogliaPicchi!$B$9,"",DatiOriginali!C715)</f>
        <v>521000</v>
      </c>
      <c r="D715" s="4">
        <v>39813</v>
      </c>
      <c r="E715" s="4">
        <f>IF(DatiOriginali!E715 &gt;= SogliaPicchi!$B$9,"",DatiOriginali!E715)</f>
        <v>140900</v>
      </c>
      <c r="F715" s="4">
        <v>965840</v>
      </c>
      <c r="G715" s="4">
        <f>IF(DatiOriginali!G715 &gt;= SogliaPicchi!$B$9,"",DatiOriginali!G715)</f>
        <v>144300</v>
      </c>
      <c r="H715" s="4">
        <v>1187376</v>
      </c>
      <c r="I715" s="4">
        <f>IF(DatiOriginali!I715 &gt;= SogliaPicchi!$B$9,"",DatiOriginali!I715)</f>
        <v>45600</v>
      </c>
      <c r="J715" s="4">
        <v>1182932</v>
      </c>
      <c r="K715" s="4">
        <f>IF(DatiOriginali!K715 &gt;= SogliaPicchi!$B$9,"",DatiOriginali!K715)</f>
        <v>54400</v>
      </c>
    </row>
    <row r="716" spans="1:11" x14ac:dyDescent="0.3">
      <c r="A716" s="4" t="s">
        <v>725</v>
      </c>
      <c r="B716" s="4">
        <v>79800</v>
      </c>
      <c r="C716" s="4">
        <f>IF(DatiOriginali!C716 &gt;= SogliaPicchi!$B$9,"",DatiOriginali!C716)</f>
        <v>506600</v>
      </c>
      <c r="D716" s="4">
        <v>40985</v>
      </c>
      <c r="E716" s="4">
        <f>IF(DatiOriginali!E716 &gt;= SogliaPicchi!$B$9,"",DatiOriginali!E716)</f>
        <v>145200</v>
      </c>
      <c r="F716" s="4">
        <v>968797</v>
      </c>
      <c r="G716" s="4">
        <f>IF(DatiOriginali!G716 &gt;= SogliaPicchi!$B$9,"",DatiOriginali!G716)</f>
        <v>150700</v>
      </c>
      <c r="H716" s="4">
        <v>1191343</v>
      </c>
      <c r="I716" s="4">
        <f>IF(DatiOriginali!I716 &gt;= SogliaPicchi!$B$9,"",DatiOriginali!I716)</f>
        <v>46000</v>
      </c>
      <c r="J716" s="4">
        <v>1186562</v>
      </c>
      <c r="K716" s="4">
        <f>IF(DatiOriginali!K716 &gt;= SogliaPicchi!$B$9,"",DatiOriginali!K716)</f>
        <v>54000</v>
      </c>
    </row>
    <row r="717" spans="1:11" x14ac:dyDescent="0.3">
      <c r="A717" s="4" t="s">
        <v>726</v>
      </c>
      <c r="B717" s="4">
        <v>79800</v>
      </c>
      <c r="C717" s="4">
        <f>IF(DatiOriginali!C717 &gt;= SogliaPicchi!$B$9,"",DatiOriginali!C717)</f>
        <v>495500</v>
      </c>
      <c r="D717" s="4">
        <v>40809</v>
      </c>
      <c r="E717" s="4">
        <f>IF(DatiOriginali!E717 &gt;= SogliaPicchi!$B$9,"",DatiOriginali!E717)</f>
        <v>143800</v>
      </c>
      <c r="F717" s="4">
        <v>971779</v>
      </c>
      <c r="G717" s="4">
        <f>IF(DatiOriginali!G717 &gt;= SogliaPicchi!$B$9,"",DatiOriginali!G717)</f>
        <v>140800</v>
      </c>
      <c r="H717" s="4">
        <v>1194688</v>
      </c>
      <c r="I717" s="4">
        <f>IF(DatiOriginali!I717 &gt;= SogliaPicchi!$B$9,"",DatiOriginali!I717)</f>
        <v>42600</v>
      </c>
      <c r="J717" s="4">
        <v>1190711</v>
      </c>
      <c r="K717" s="4">
        <f>IF(DatiOriginali!K717 &gt;= SogliaPicchi!$B$9,"",DatiOriginali!K717)</f>
        <v>58500</v>
      </c>
    </row>
    <row r="718" spans="1:11" x14ac:dyDescent="0.3">
      <c r="A718" s="4" t="s">
        <v>727</v>
      </c>
      <c r="B718" s="4">
        <v>79800</v>
      </c>
      <c r="C718" s="4">
        <f>IF(DatiOriginali!C718 &gt;= SogliaPicchi!$B$9,"",DatiOriginali!C718)</f>
        <v>545600</v>
      </c>
      <c r="D718" s="4">
        <v>40125</v>
      </c>
      <c r="E718" s="4">
        <f>IF(DatiOriginali!E718 &gt;= SogliaPicchi!$B$9,"",DatiOriginali!E718)</f>
        <v>141900</v>
      </c>
      <c r="F718" s="4">
        <v>974744</v>
      </c>
      <c r="G718" s="4">
        <f>IF(DatiOriginali!G718 &gt;= SogliaPicchi!$B$9,"",DatiOriginali!G718)</f>
        <v>141700</v>
      </c>
      <c r="H718" s="4">
        <v>1198415</v>
      </c>
      <c r="I718" s="4">
        <f>IF(DatiOriginali!I718 &gt;= SogliaPicchi!$B$9,"",DatiOriginali!I718)</f>
        <v>47100</v>
      </c>
      <c r="J718" s="4">
        <v>1194925</v>
      </c>
      <c r="K718" s="4">
        <f>IF(DatiOriginali!K718 &gt;= SogliaPicchi!$B$9,"",DatiOriginali!K718)</f>
        <v>51700</v>
      </c>
    </row>
    <row r="719" spans="1:11" x14ac:dyDescent="0.3">
      <c r="A719" s="4" t="s">
        <v>728</v>
      </c>
      <c r="B719" s="4">
        <v>79800</v>
      </c>
      <c r="C719" s="4">
        <f>IF(DatiOriginali!C719 &gt;= SogliaPicchi!$B$9,"",DatiOriginali!C719)</f>
        <v>569800</v>
      </c>
      <c r="D719" s="4">
        <v>38615</v>
      </c>
      <c r="E719" s="4">
        <f>IF(DatiOriginali!E719 &gt;= SogliaPicchi!$B$9,"",DatiOriginali!E719)</f>
        <v>152400</v>
      </c>
      <c r="F719" s="4">
        <v>977714</v>
      </c>
      <c r="G719" s="4">
        <f>IF(DatiOriginali!G719 &gt;= SogliaPicchi!$B$9,"",DatiOriginali!G719)</f>
        <v>158900</v>
      </c>
      <c r="H719" s="4">
        <v>1202046</v>
      </c>
      <c r="I719" s="4">
        <f>IF(DatiOriginali!I719 &gt;= SogliaPicchi!$B$9,"",DatiOriginali!I719)</f>
        <v>45400</v>
      </c>
      <c r="J719" s="4">
        <v>1198425</v>
      </c>
      <c r="K719" s="4">
        <f>IF(DatiOriginali!K719 &gt;= SogliaPicchi!$B$9,"",DatiOriginali!K719)</f>
        <v>49800</v>
      </c>
    </row>
    <row r="720" spans="1:11" x14ac:dyDescent="0.3">
      <c r="A720" s="4" t="s">
        <v>729</v>
      </c>
      <c r="B720" s="4">
        <v>79800</v>
      </c>
      <c r="C720" s="4">
        <f>IF(DatiOriginali!C720 &gt;= SogliaPicchi!$B$9,"",DatiOriginali!C720)</f>
        <v>556900</v>
      </c>
      <c r="D720" s="4">
        <v>40371</v>
      </c>
      <c r="E720" s="4">
        <f>IF(DatiOriginali!E720 &gt;= SogliaPicchi!$B$9,"",DatiOriginali!E720)</f>
        <v>146200</v>
      </c>
      <c r="F720" s="4">
        <v>980665</v>
      </c>
      <c r="G720" s="4">
        <f>IF(DatiOriginali!G720 &gt;= SogliaPicchi!$B$9,"",DatiOriginali!G720)</f>
        <v>165000</v>
      </c>
      <c r="H720" s="4">
        <v>1206394</v>
      </c>
      <c r="I720" s="4">
        <f>IF(DatiOriginali!I720 &gt;= SogliaPicchi!$B$9,"",DatiOriginali!I720)</f>
        <v>51300</v>
      </c>
      <c r="J720" s="4">
        <v>1202502</v>
      </c>
      <c r="K720" s="4">
        <f>IF(DatiOriginali!K720 &gt;= SogliaPicchi!$B$9,"",DatiOriginali!K720)</f>
        <v>52200</v>
      </c>
    </row>
    <row r="721" spans="1:11" x14ac:dyDescent="0.3">
      <c r="A721" s="4" t="s">
        <v>730</v>
      </c>
      <c r="B721" s="4">
        <v>79800</v>
      </c>
      <c r="C721" s="4">
        <f>IF(DatiOriginali!C721 &gt;= SogliaPicchi!$B$9,"",DatiOriginali!C721)</f>
        <v>587600</v>
      </c>
      <c r="D721" s="4">
        <v>38829</v>
      </c>
      <c r="E721" s="4">
        <f>IF(DatiOriginali!E721 &gt;= SogliaPicchi!$B$9,"",DatiOriginali!E721)</f>
        <v>138500</v>
      </c>
      <c r="F721" s="4">
        <v>983617</v>
      </c>
      <c r="G721" s="4">
        <f>IF(DatiOriginali!G721 &gt;= SogliaPicchi!$B$9,"",DatiOriginali!G721)</f>
        <v>144800</v>
      </c>
      <c r="H721" s="4">
        <v>1210287</v>
      </c>
      <c r="I721" s="4">
        <f>IF(DatiOriginali!I721 &gt;= SogliaPicchi!$B$9,"",DatiOriginali!I721)</f>
        <v>43600</v>
      </c>
      <c r="J721" s="4">
        <v>1206341</v>
      </c>
      <c r="K721" s="4">
        <f>IF(DatiOriginali!K721 &gt;= SogliaPicchi!$B$9,"",DatiOriginali!K721)</f>
        <v>51600</v>
      </c>
    </row>
    <row r="722" spans="1:11" x14ac:dyDescent="0.3">
      <c r="A722" s="4" t="s">
        <v>731</v>
      </c>
      <c r="B722" s="4">
        <v>79800</v>
      </c>
      <c r="C722" s="4">
        <f>IF(DatiOriginali!C722 &gt;= SogliaPicchi!$B$9,"",DatiOriginali!C722)</f>
        <v>622300</v>
      </c>
      <c r="D722" s="4">
        <v>39519</v>
      </c>
      <c r="E722" s="4">
        <f>IF(DatiOriginali!E722 &gt;= SogliaPicchi!$B$9,"",DatiOriginali!E722)</f>
        <v>168600</v>
      </c>
      <c r="F722" s="4">
        <v>986596</v>
      </c>
      <c r="G722" s="4">
        <f>IF(DatiOriginali!G722 &gt;= SogliaPicchi!$B$9,"",DatiOriginali!G722)</f>
        <v>184200</v>
      </c>
      <c r="H722" s="4">
        <v>1213590</v>
      </c>
      <c r="I722" s="4">
        <f>IF(DatiOriginali!I722 &gt;= SogliaPicchi!$B$9,"",DatiOriginali!I722)</f>
        <v>53200</v>
      </c>
      <c r="J722" s="4">
        <v>1209788</v>
      </c>
      <c r="K722" s="4">
        <f>IF(DatiOriginali!K722 &gt;= SogliaPicchi!$B$9,"",DatiOriginali!K722)</f>
        <v>60700</v>
      </c>
    </row>
    <row r="723" spans="1:11" x14ac:dyDescent="0.3">
      <c r="A723" s="4" t="s">
        <v>732</v>
      </c>
      <c r="B723" s="4">
        <v>79800</v>
      </c>
      <c r="C723" s="4">
        <f>IF(DatiOriginali!C723 &gt;= SogliaPicchi!$B$9,"",DatiOriginali!C723)</f>
        <v>585100</v>
      </c>
      <c r="D723" s="4">
        <v>40572</v>
      </c>
      <c r="E723" s="4">
        <f>IF(DatiOriginali!E723 &gt;= SogliaPicchi!$B$9,"",DatiOriginali!E723)</f>
        <v>144300</v>
      </c>
      <c r="F723" s="4">
        <v>989546</v>
      </c>
      <c r="G723" s="4">
        <f>IF(DatiOriginali!G723 &gt;= SogliaPicchi!$B$9,"",DatiOriginali!G723)</f>
        <v>143100</v>
      </c>
      <c r="H723" s="4">
        <v>1217203</v>
      </c>
      <c r="I723" s="4">
        <f>IF(DatiOriginali!I723 &gt;= SogliaPicchi!$B$9,"",DatiOriginali!I723)</f>
        <v>48200</v>
      </c>
      <c r="J723" s="4">
        <v>1213183</v>
      </c>
      <c r="K723" s="4">
        <f>IF(DatiOriginali!K723 &gt;= SogliaPicchi!$B$9,"",DatiOriginali!K723)</f>
        <v>52200</v>
      </c>
    </row>
    <row r="724" spans="1:11" x14ac:dyDescent="0.3">
      <c r="A724" s="4" t="s">
        <v>733</v>
      </c>
      <c r="B724" s="4">
        <v>79800</v>
      </c>
      <c r="C724" s="4">
        <f>IF(DatiOriginali!C724 &gt;= SogliaPicchi!$B$9,"",DatiOriginali!C724)</f>
        <v>522100</v>
      </c>
      <c r="D724" s="4">
        <v>41167</v>
      </c>
      <c r="E724" s="4">
        <f>IF(DatiOriginali!E724 &gt;= SogliaPicchi!$B$9,"",DatiOriginali!E724)</f>
        <v>145700</v>
      </c>
      <c r="F724" s="4">
        <v>992502</v>
      </c>
      <c r="G724" s="4">
        <f>IF(DatiOriginali!G724 &gt;= SogliaPicchi!$B$9,"",DatiOriginali!G724)</f>
        <v>205900</v>
      </c>
      <c r="H724" s="4">
        <v>1221065</v>
      </c>
      <c r="I724" s="4">
        <f>IF(DatiOriginali!I724 &gt;= SogliaPicchi!$B$9,"",DatiOriginali!I724)</f>
        <v>52300</v>
      </c>
      <c r="J724" s="4">
        <v>1216834</v>
      </c>
      <c r="K724" s="4">
        <f>IF(DatiOriginali!K724 &gt;= SogliaPicchi!$B$9,"",DatiOriginali!K724)</f>
        <v>51200</v>
      </c>
    </row>
    <row r="725" spans="1:11" x14ac:dyDescent="0.3">
      <c r="A725" s="4" t="s">
        <v>734</v>
      </c>
      <c r="B725" s="4">
        <v>79800</v>
      </c>
      <c r="C725" s="4">
        <f>IF(DatiOriginali!C725 &gt;= SogliaPicchi!$B$9,"",DatiOriginali!C725)</f>
        <v>522300</v>
      </c>
      <c r="D725" s="4">
        <v>42854</v>
      </c>
      <c r="E725" s="4">
        <f>IF(DatiOriginali!E725 &gt;= SogliaPicchi!$B$9,"",DatiOriginali!E725)</f>
        <v>151100</v>
      </c>
      <c r="F725" s="4">
        <v>995471</v>
      </c>
      <c r="G725" s="4">
        <f>IF(DatiOriginali!G725 &gt;= SogliaPicchi!$B$9,"",DatiOriginali!G725)</f>
        <v>142100</v>
      </c>
      <c r="H725" s="4">
        <v>1225289</v>
      </c>
      <c r="I725" s="4">
        <f>IF(DatiOriginali!I725 &gt;= SogliaPicchi!$B$9,"",DatiOriginali!I725)</f>
        <v>49400</v>
      </c>
      <c r="J725" s="4">
        <v>1220042</v>
      </c>
      <c r="K725" s="4">
        <f>IF(DatiOriginali!K725 &gt;= SogliaPicchi!$B$9,"",DatiOriginali!K725)</f>
        <v>48600</v>
      </c>
    </row>
    <row r="726" spans="1:11" x14ac:dyDescent="0.3">
      <c r="A726" s="4" t="s">
        <v>735</v>
      </c>
      <c r="B726" s="4">
        <v>79800</v>
      </c>
      <c r="C726" s="4">
        <f>IF(DatiOriginali!C726 &gt;= SogliaPicchi!$B$9,"",DatiOriginali!C726)</f>
        <v>523200</v>
      </c>
      <c r="D726" s="4">
        <v>40177</v>
      </c>
      <c r="E726" s="4">
        <f>IF(DatiOriginali!E726 &gt;= SogliaPicchi!$B$9,"",DatiOriginali!E726)</f>
        <v>142100</v>
      </c>
      <c r="F726" s="4">
        <v>998426</v>
      </c>
      <c r="G726" s="4">
        <f>IF(DatiOriginali!G726 &gt;= SogliaPicchi!$B$9,"",DatiOriginali!G726)</f>
        <v>172700</v>
      </c>
      <c r="H726" s="4">
        <v>1228889</v>
      </c>
      <c r="I726" s="4">
        <f>IF(DatiOriginali!I726 &gt;= SogliaPicchi!$B$9,"",DatiOriginali!I726)</f>
        <v>56200</v>
      </c>
      <c r="J726" s="4">
        <v>1223829</v>
      </c>
      <c r="K726" s="4">
        <f>IF(DatiOriginali!K726 &gt;= SogliaPicchi!$B$9,"",DatiOriginali!K726)</f>
        <v>52200</v>
      </c>
    </row>
    <row r="727" spans="1:11" x14ac:dyDescent="0.3">
      <c r="A727" s="4" t="s">
        <v>736</v>
      </c>
      <c r="B727" s="4">
        <v>79800</v>
      </c>
      <c r="C727" s="4">
        <f>IF(DatiOriginali!C727 &gt;= SogliaPicchi!$B$9,"",DatiOriginali!C727)</f>
        <v>572800</v>
      </c>
      <c r="D727" s="4">
        <v>40127</v>
      </c>
      <c r="E727" s="4">
        <f>IF(DatiOriginali!E727 &gt;= SogliaPicchi!$B$9,"",DatiOriginali!E727)</f>
        <v>146200</v>
      </c>
      <c r="F727" s="4">
        <v>1001398</v>
      </c>
      <c r="G727" s="4">
        <f>IF(DatiOriginali!G727 &gt;= SogliaPicchi!$B$9,"",DatiOriginali!G727)</f>
        <v>142800</v>
      </c>
      <c r="H727" s="4">
        <v>1232608</v>
      </c>
      <c r="I727" s="4">
        <f>IF(DatiOriginali!I727 &gt;= SogliaPicchi!$B$9,"",DatiOriginali!I727)</f>
        <v>52100</v>
      </c>
      <c r="J727" s="4">
        <v>1227581</v>
      </c>
      <c r="K727" s="4">
        <f>IF(DatiOriginali!K727 &gt;= SogliaPicchi!$B$9,"",DatiOriginali!K727)</f>
        <v>55600</v>
      </c>
    </row>
    <row r="728" spans="1:11" x14ac:dyDescent="0.3">
      <c r="A728" s="4" t="s">
        <v>737</v>
      </c>
      <c r="B728" s="4">
        <v>79800</v>
      </c>
      <c r="C728" s="4">
        <f>IF(DatiOriginali!C728 &gt;= SogliaPicchi!$B$9,"",DatiOriginali!C728)</f>
        <v>534300</v>
      </c>
      <c r="D728" s="4">
        <v>38278</v>
      </c>
      <c r="E728" s="4">
        <f>IF(DatiOriginali!E728 &gt;= SogliaPicchi!$B$9,"",DatiOriginali!E728)</f>
        <v>140600</v>
      </c>
      <c r="F728" s="4">
        <v>1004371</v>
      </c>
      <c r="G728" s="4">
        <f>IF(DatiOriginali!G728 &gt;= SogliaPicchi!$B$9,"",DatiOriginali!G728)</f>
        <v>140000</v>
      </c>
      <c r="H728" s="4">
        <v>1236171</v>
      </c>
      <c r="I728" s="4">
        <f>IF(DatiOriginali!I728 &gt;= SogliaPicchi!$B$9,"",DatiOriginali!I728)</f>
        <v>47700</v>
      </c>
      <c r="J728" s="4">
        <v>1230996</v>
      </c>
      <c r="K728" s="4">
        <f>IF(DatiOriginali!K728 &gt;= SogliaPicchi!$B$9,"",DatiOriginali!K728)</f>
        <v>49800</v>
      </c>
    </row>
    <row r="729" spans="1:11" x14ac:dyDescent="0.3">
      <c r="A729" s="4" t="s">
        <v>738</v>
      </c>
      <c r="B729" s="4">
        <v>79800</v>
      </c>
      <c r="C729" s="4">
        <f>IF(DatiOriginali!C729 &gt;= SogliaPicchi!$B$9,"",DatiOriginali!C729)</f>
        <v>540800</v>
      </c>
      <c r="D729" s="4">
        <v>41521</v>
      </c>
      <c r="E729" s="4">
        <f>IF(DatiOriginali!E729 &gt;= SogliaPicchi!$B$9,"",DatiOriginali!E729)</f>
        <v>150100</v>
      </c>
      <c r="F729" s="4">
        <v>1007361</v>
      </c>
      <c r="G729" s="4">
        <f>IF(DatiOriginali!G729 &gt;= SogliaPicchi!$B$9,"",DatiOriginali!G729)</f>
        <v>164200</v>
      </c>
      <c r="H729" s="4">
        <v>1240172</v>
      </c>
      <c r="I729" s="4">
        <f>IF(DatiOriginali!I729 &gt;= SogliaPicchi!$B$9,"",DatiOriginali!I729)</f>
        <v>62500</v>
      </c>
      <c r="J729" s="4">
        <v>1234518</v>
      </c>
      <c r="K729" s="4">
        <f>IF(DatiOriginali!K729 &gt;= SogliaPicchi!$B$9,"",DatiOriginali!K729)</f>
        <v>66700</v>
      </c>
    </row>
    <row r="730" spans="1:11" x14ac:dyDescent="0.3">
      <c r="A730" s="4" t="s">
        <v>739</v>
      </c>
      <c r="B730" s="4">
        <v>79800</v>
      </c>
      <c r="C730" s="4">
        <f>IF(DatiOriginali!C730 &gt;= SogliaPicchi!$B$9,"",DatiOriginali!C730)</f>
        <v>680100</v>
      </c>
      <c r="D730" s="4">
        <v>40015</v>
      </c>
      <c r="E730" s="4">
        <f>IF(DatiOriginali!E730 &gt;= SogliaPicchi!$B$9,"",DatiOriginali!E730)</f>
        <v>142700</v>
      </c>
      <c r="F730" s="4">
        <v>1010313</v>
      </c>
      <c r="G730" s="4">
        <f>IF(DatiOriginali!G730 &gt;= SogliaPicchi!$B$9,"",DatiOriginali!G730)</f>
        <v>159400</v>
      </c>
      <c r="H730" s="4">
        <v>1243583</v>
      </c>
      <c r="I730" s="4">
        <f>IF(DatiOriginali!I730 &gt;= SogliaPicchi!$B$9,"",DatiOriginali!I730)</f>
        <v>44200</v>
      </c>
      <c r="J730" s="4">
        <v>1237972</v>
      </c>
      <c r="K730" s="4">
        <f>IF(DatiOriginali!K730 &gt;= SogliaPicchi!$B$9,"",DatiOriginali!K730)</f>
        <v>50600</v>
      </c>
    </row>
    <row r="731" spans="1:11" x14ac:dyDescent="0.3">
      <c r="A731" s="4" t="s">
        <v>740</v>
      </c>
      <c r="B731" s="4">
        <v>79800</v>
      </c>
      <c r="C731" s="4">
        <f>IF(DatiOriginali!C731 &gt;= SogliaPicchi!$B$9,"",DatiOriginali!C731)</f>
        <v>586500</v>
      </c>
      <c r="D731" s="4">
        <v>40100</v>
      </c>
      <c r="E731" s="4">
        <f>IF(DatiOriginali!E731 &gt;= SogliaPicchi!$B$9,"",DatiOriginali!E731)</f>
        <v>142400</v>
      </c>
      <c r="F731" s="4">
        <v>1013277</v>
      </c>
      <c r="G731" s="4">
        <f>IF(DatiOriginali!G731 &gt;= SogliaPicchi!$B$9,"",DatiOriginali!G731)</f>
        <v>146700</v>
      </c>
      <c r="H731" s="4">
        <v>1247402</v>
      </c>
      <c r="I731" s="4">
        <f>IF(DatiOriginali!I731 &gt;= SogliaPicchi!$B$9,"",DatiOriginali!I731)</f>
        <v>50300</v>
      </c>
      <c r="J731" s="4">
        <v>1241583</v>
      </c>
      <c r="K731" s="4">
        <f>IF(DatiOriginali!K731 &gt;= SogliaPicchi!$B$9,"",DatiOriginali!K731)</f>
        <v>55900</v>
      </c>
    </row>
    <row r="732" spans="1:11" x14ac:dyDescent="0.3">
      <c r="A732" s="4" t="s">
        <v>741</v>
      </c>
      <c r="B732" s="4">
        <v>79800</v>
      </c>
      <c r="C732" s="4">
        <f>IF(DatiOriginali!C732 &gt;= SogliaPicchi!$B$9,"",DatiOriginali!C732)</f>
        <v>543800</v>
      </c>
      <c r="D732" s="4">
        <v>39976</v>
      </c>
      <c r="E732" s="4">
        <f>IF(DatiOriginali!E732 &gt;= SogliaPicchi!$B$9,"",DatiOriginali!E732)</f>
        <v>141300</v>
      </c>
      <c r="F732" s="4">
        <v>1016242</v>
      </c>
      <c r="G732" s="4">
        <f>IF(DatiOriginali!G732 &gt;= SogliaPicchi!$B$9,"",DatiOriginali!G732)</f>
        <v>150200</v>
      </c>
      <c r="H732" s="4">
        <v>1251187</v>
      </c>
      <c r="I732" s="4">
        <f>IF(DatiOriginali!I732 &gt;= SogliaPicchi!$B$9,"",DatiOriginali!I732)</f>
        <v>51600</v>
      </c>
      <c r="J732" s="4">
        <v>1245025</v>
      </c>
      <c r="K732" s="4">
        <f>IF(DatiOriginali!K732 &gt;= SogliaPicchi!$B$9,"",DatiOriginali!K732)</f>
        <v>49700</v>
      </c>
    </row>
    <row r="733" spans="1:11" x14ac:dyDescent="0.3">
      <c r="A733" s="4" t="s">
        <v>742</v>
      </c>
      <c r="B733" s="4">
        <v>79800</v>
      </c>
      <c r="C733" s="4">
        <f>IF(DatiOriginali!C733 &gt;= SogliaPicchi!$B$9,"",DatiOriginali!C733)</f>
        <v>480000</v>
      </c>
      <c r="D733" s="4">
        <v>40286</v>
      </c>
      <c r="E733" s="4">
        <f>IF(DatiOriginali!E733 &gt;= SogliaPicchi!$B$9,"",DatiOriginali!E733)</f>
        <v>146200</v>
      </c>
      <c r="F733" s="4">
        <v>1019219</v>
      </c>
      <c r="G733" s="4">
        <f>IF(DatiOriginali!G733 &gt;= SogliaPicchi!$B$9,"",DatiOriginali!G733)</f>
        <v>152000</v>
      </c>
      <c r="H733" s="4">
        <v>1255424</v>
      </c>
      <c r="I733" s="4">
        <f>IF(DatiOriginali!I733 &gt;= SogliaPicchi!$B$9,"",DatiOriginali!I733)</f>
        <v>44800</v>
      </c>
      <c r="J733" s="4">
        <v>1248238</v>
      </c>
      <c r="K733" s="4">
        <f>IF(DatiOriginali!K733 &gt;= SogliaPicchi!$B$9,"",DatiOriginali!K733)</f>
        <v>53200</v>
      </c>
    </row>
    <row r="734" spans="1:11" x14ac:dyDescent="0.3">
      <c r="A734" s="4" t="s">
        <v>743</v>
      </c>
      <c r="B734" s="4">
        <v>79800</v>
      </c>
      <c r="C734" s="4">
        <f>IF(DatiOriginali!C734 &gt;= SogliaPicchi!$B$9,"",DatiOriginali!C734)</f>
        <v>482600</v>
      </c>
      <c r="D734" s="4">
        <v>40373</v>
      </c>
      <c r="E734" s="4">
        <f>IF(DatiOriginali!E734 &gt;= SogliaPicchi!$B$9,"",DatiOriginali!E734)</f>
        <v>145700</v>
      </c>
      <c r="F734" s="4">
        <v>1022182</v>
      </c>
      <c r="G734" s="4">
        <f>IF(DatiOriginali!G734 &gt;= SogliaPicchi!$B$9,"",DatiOriginali!G734)</f>
        <v>144800</v>
      </c>
      <c r="H734" s="4">
        <v>1259538</v>
      </c>
      <c r="I734" s="4">
        <f>IF(DatiOriginali!I734 &gt;= SogliaPicchi!$B$9,"",DatiOriginali!I734)</f>
        <v>44900</v>
      </c>
      <c r="J734" s="4">
        <v>1252166</v>
      </c>
      <c r="K734" s="4">
        <f>IF(DatiOriginali!K734 &gt;= SogliaPicchi!$B$9,"",DatiOriginali!K734)</f>
        <v>50100</v>
      </c>
    </row>
    <row r="735" spans="1:11" x14ac:dyDescent="0.3">
      <c r="A735" s="4" t="s">
        <v>744</v>
      </c>
      <c r="B735" s="4">
        <v>79800</v>
      </c>
      <c r="C735" s="4">
        <f>IF(DatiOriginali!C735 &gt;= SogliaPicchi!$B$9,"",DatiOriginali!C735)</f>
        <v>536800</v>
      </c>
      <c r="D735" s="4">
        <v>42601</v>
      </c>
      <c r="E735" s="4">
        <f>IF(DatiOriginali!E735 &gt;= SogliaPicchi!$B$9,"",DatiOriginali!E735)</f>
        <v>154500</v>
      </c>
      <c r="F735" s="4">
        <v>1025139</v>
      </c>
      <c r="G735" s="4">
        <f>IF(DatiOriginali!G735 &gt;= SogliaPicchi!$B$9,"",DatiOriginali!G735)</f>
        <v>140700</v>
      </c>
      <c r="H735" s="4">
        <v>1263334</v>
      </c>
      <c r="I735" s="4">
        <f>IF(DatiOriginali!I735 &gt;= SogliaPicchi!$B$9,"",DatiOriginali!I735)</f>
        <v>50200</v>
      </c>
      <c r="J735" s="4">
        <v>1256339</v>
      </c>
      <c r="K735" s="4">
        <f>IF(DatiOriginali!K735 &gt;= SogliaPicchi!$B$9,"",DatiOriginali!K735)</f>
        <v>48400</v>
      </c>
    </row>
    <row r="736" spans="1:11" x14ac:dyDescent="0.3">
      <c r="A736" s="4" t="s">
        <v>745</v>
      </c>
      <c r="B736" s="4">
        <v>79800</v>
      </c>
      <c r="C736" s="4">
        <f>IF(DatiOriginali!C736 &gt;= SogliaPicchi!$B$9,"",DatiOriginali!C736)</f>
        <v>624800</v>
      </c>
      <c r="D736" s="4">
        <v>41344</v>
      </c>
      <c r="E736" s="4">
        <f>IF(DatiOriginali!E736 &gt;= SogliaPicchi!$B$9,"",DatiOriginali!E736)</f>
        <v>152800</v>
      </c>
      <c r="F736" s="4">
        <v>1028111</v>
      </c>
      <c r="G736" s="4">
        <f>IF(DatiOriginali!G736 &gt;= SogliaPicchi!$B$9,"",DatiOriginali!G736)</f>
        <v>151100</v>
      </c>
      <c r="H736" s="4">
        <v>1267239</v>
      </c>
      <c r="I736" s="4">
        <f>IF(DatiOriginali!I736 &gt;= SogliaPicchi!$B$9,"",DatiOriginali!I736)</f>
        <v>46000</v>
      </c>
      <c r="J736" s="4">
        <v>1259919</v>
      </c>
      <c r="K736" s="4">
        <f>IF(DatiOriginali!K736 &gt;= SogliaPicchi!$B$9,"",DatiOriginali!K736)</f>
        <v>48300</v>
      </c>
    </row>
    <row r="737" spans="1:11" x14ac:dyDescent="0.3">
      <c r="A737" s="4" t="s">
        <v>746</v>
      </c>
      <c r="B737" s="4">
        <v>79800</v>
      </c>
      <c r="C737" s="4">
        <f>IF(DatiOriginali!C737 &gt;= SogliaPicchi!$B$9,"",DatiOriginali!C737)</f>
        <v>708300</v>
      </c>
      <c r="D737" s="4">
        <v>41196</v>
      </c>
      <c r="E737" s="4">
        <f>IF(DatiOriginali!E737 &gt;= SogliaPicchi!$B$9,"",DatiOriginali!E737)</f>
        <v>247500</v>
      </c>
      <c r="F737" s="4">
        <v>1031082</v>
      </c>
      <c r="G737" s="4">
        <f>IF(DatiOriginali!G737 &gt;= SogliaPicchi!$B$9,"",DatiOriginali!G737)</f>
        <v>177400</v>
      </c>
      <c r="H737" s="4">
        <v>1270749</v>
      </c>
      <c r="I737" s="4">
        <f>IF(DatiOriginali!I737 &gt;= SogliaPicchi!$B$9,"",DatiOriginali!I737)</f>
        <v>52500</v>
      </c>
      <c r="J737" s="4">
        <v>1263549</v>
      </c>
      <c r="K737" s="4">
        <f>IF(DatiOriginali!K737 &gt;= SogliaPicchi!$B$9,"",DatiOriginali!K737)</f>
        <v>49900</v>
      </c>
    </row>
    <row r="738" spans="1:11" x14ac:dyDescent="0.3">
      <c r="A738" s="4" t="s">
        <v>747</v>
      </c>
      <c r="B738" s="4">
        <v>79800</v>
      </c>
      <c r="C738" s="4">
        <f>IF(DatiOriginali!C738 &gt;= SogliaPicchi!$B$9,"",DatiOriginali!C738)</f>
        <v>613400</v>
      </c>
      <c r="D738" s="4">
        <v>39499</v>
      </c>
      <c r="E738" s="4">
        <f>IF(DatiOriginali!E738 &gt;= SogliaPicchi!$B$9,"",DatiOriginali!E738)</f>
        <v>173500</v>
      </c>
      <c r="F738" s="4">
        <v>1034047</v>
      </c>
      <c r="G738" s="4">
        <f>IF(DatiOriginali!G738 &gt;= SogliaPicchi!$B$9,"",DatiOriginali!G738)</f>
        <v>182300</v>
      </c>
      <c r="H738" s="4">
        <v>1274405</v>
      </c>
      <c r="I738" s="4">
        <f>IF(DatiOriginali!I738 &gt;= SogliaPicchi!$B$9,"",DatiOriginali!I738)</f>
        <v>54300</v>
      </c>
      <c r="J738" s="4">
        <v>1267445</v>
      </c>
      <c r="K738" s="4">
        <f>IF(DatiOriginali!K738 &gt;= SogliaPicchi!$B$9,"",DatiOriginali!K738)</f>
        <v>61400</v>
      </c>
    </row>
    <row r="739" spans="1:11" x14ac:dyDescent="0.3">
      <c r="A739" s="4" t="s">
        <v>748</v>
      </c>
      <c r="B739" s="4">
        <v>79800</v>
      </c>
      <c r="C739" s="4">
        <f>IF(DatiOriginali!C739 &gt;= SogliaPicchi!$B$9,"",DatiOriginali!C739)</f>
        <v>639700</v>
      </c>
      <c r="D739" s="4">
        <v>38175</v>
      </c>
      <c r="E739" s="4">
        <f>IF(DatiOriginali!E739 &gt;= SogliaPicchi!$B$9,"",DatiOriginali!E739)</f>
        <v>170800</v>
      </c>
      <c r="F739" s="4">
        <v>1036995</v>
      </c>
      <c r="G739" s="4">
        <f>IF(DatiOriginali!G739 &gt;= SogliaPicchi!$B$9,"",DatiOriginali!G739)</f>
        <v>227600</v>
      </c>
      <c r="H739" s="4">
        <v>1278180</v>
      </c>
      <c r="I739" s="4">
        <f>IF(DatiOriginali!I739 &gt;= SogliaPicchi!$B$9,"",DatiOriginali!I739)</f>
        <v>70500</v>
      </c>
      <c r="J739" s="4">
        <v>1271317</v>
      </c>
      <c r="K739" s="4">
        <f>IF(DatiOriginali!K739 &gt;= SogliaPicchi!$B$9,"",DatiOriginali!K739)</f>
        <v>78000</v>
      </c>
    </row>
    <row r="740" spans="1:11" x14ac:dyDescent="0.3">
      <c r="A740" s="4" t="s">
        <v>749</v>
      </c>
      <c r="B740" s="4">
        <v>79800</v>
      </c>
      <c r="C740" s="4">
        <f>IF(DatiOriginali!C740 &gt;= SogliaPicchi!$B$9,"",DatiOriginali!C740)</f>
        <v>540200</v>
      </c>
      <c r="D740" s="4">
        <v>41288</v>
      </c>
      <c r="E740" s="4">
        <f>IF(DatiOriginali!E740 &gt;= SogliaPicchi!$B$9,"",DatiOriginali!E740)</f>
        <v>147500</v>
      </c>
      <c r="F740" s="4">
        <v>1039927</v>
      </c>
      <c r="G740" s="4">
        <f>IF(DatiOriginali!G740 &gt;= SogliaPicchi!$B$9,"",DatiOriginali!G740)</f>
        <v>145000</v>
      </c>
      <c r="H740" s="4">
        <v>1281796</v>
      </c>
      <c r="I740" s="4">
        <f>IF(DatiOriginali!I740 &gt;= SogliaPicchi!$B$9,"",DatiOriginali!I740)</f>
        <v>47600</v>
      </c>
      <c r="J740" s="4">
        <v>1274904</v>
      </c>
      <c r="K740" s="4">
        <f>IF(DatiOriginali!K740 &gt;= SogliaPicchi!$B$9,"",DatiOriginali!K740)</f>
        <v>50200</v>
      </c>
    </row>
    <row r="741" spans="1:11" x14ac:dyDescent="0.3">
      <c r="A741" s="4" t="s">
        <v>750</v>
      </c>
      <c r="B741" s="4">
        <v>79800</v>
      </c>
      <c r="C741" s="4">
        <f>IF(DatiOriginali!C741 &gt;= SogliaPicchi!$B$9,"",DatiOriginali!C741)</f>
        <v>530800</v>
      </c>
      <c r="D741" s="4">
        <v>42504</v>
      </c>
      <c r="E741" s="4">
        <f>IF(DatiOriginali!E741 &gt;= SogliaPicchi!$B$9,"",DatiOriginali!E741)</f>
        <v>156800</v>
      </c>
      <c r="F741" s="4">
        <v>1042879</v>
      </c>
      <c r="G741" s="4">
        <f>IF(DatiOriginali!G741 &gt;= SogliaPicchi!$B$9,"",DatiOriginali!G741)</f>
        <v>147400</v>
      </c>
      <c r="H741" s="4">
        <v>1285652</v>
      </c>
      <c r="I741" s="4">
        <f>IF(DatiOriginali!I741 &gt;= SogliaPicchi!$B$9,"",DatiOriginali!I741)</f>
        <v>51100</v>
      </c>
      <c r="J741" s="4">
        <v>1278423</v>
      </c>
      <c r="K741" s="4">
        <f>IF(DatiOriginali!K741 &gt;= SogliaPicchi!$B$9,"",DatiOriginali!K741)</f>
        <v>51500</v>
      </c>
    </row>
    <row r="742" spans="1:11" x14ac:dyDescent="0.3">
      <c r="A742" s="4" t="s">
        <v>751</v>
      </c>
      <c r="B742" s="4">
        <v>79800</v>
      </c>
      <c r="C742" s="4">
        <f>IF(DatiOriginali!C742 &gt;= SogliaPicchi!$B$9,"",DatiOriginali!C742)</f>
        <v>612700</v>
      </c>
      <c r="D742" s="4">
        <v>39941</v>
      </c>
      <c r="E742" s="4">
        <f>IF(DatiOriginali!E742 &gt;= SogliaPicchi!$B$9,"",DatiOriginali!E742)</f>
        <v>169800</v>
      </c>
      <c r="F742" s="4">
        <v>1045842</v>
      </c>
      <c r="G742" s="4">
        <f>IF(DatiOriginali!G742 &gt;= SogliaPicchi!$B$9,"",DatiOriginali!G742)</f>
        <v>180800</v>
      </c>
      <c r="H742" s="4">
        <v>1289144</v>
      </c>
      <c r="I742" s="4">
        <f>IF(DatiOriginali!I742 &gt;= SogliaPicchi!$B$9,"",DatiOriginali!I742)</f>
        <v>55600</v>
      </c>
      <c r="J742" s="4">
        <v>1282051</v>
      </c>
      <c r="K742" s="4">
        <f>IF(DatiOriginali!K742 &gt;= SogliaPicchi!$B$9,"",DatiOriginali!K742)</f>
        <v>61600</v>
      </c>
    </row>
    <row r="743" spans="1:11" x14ac:dyDescent="0.3">
      <c r="A743" s="4" t="s">
        <v>752</v>
      </c>
      <c r="B743" s="4">
        <v>79800</v>
      </c>
      <c r="C743" s="4">
        <f>IF(DatiOriginali!C743 &gt;= SogliaPicchi!$B$9,"",DatiOriginali!C743)</f>
        <v>540200</v>
      </c>
      <c r="D743" s="4">
        <v>39683</v>
      </c>
      <c r="E743" s="4">
        <f>IF(DatiOriginali!E743 &gt;= SogliaPicchi!$B$9,"",DatiOriginali!E743)</f>
        <v>140500</v>
      </c>
      <c r="F743" s="4">
        <v>1048795</v>
      </c>
      <c r="G743" s="4">
        <f>IF(DatiOriginali!G743 &gt;= SogliaPicchi!$B$9,"",DatiOriginali!G743)</f>
        <v>161000</v>
      </c>
      <c r="H743" s="4">
        <v>1292735</v>
      </c>
      <c r="I743" s="4">
        <f>IF(DatiOriginali!I743 &gt;= SogliaPicchi!$B$9,"",DatiOriginali!I743)</f>
        <v>46900</v>
      </c>
      <c r="J743" s="4">
        <v>1285640</v>
      </c>
      <c r="K743" s="4">
        <f>IF(DatiOriginali!K743 &gt;= SogliaPicchi!$B$9,"",DatiOriginali!K743)</f>
        <v>50400</v>
      </c>
    </row>
    <row r="744" spans="1:11" x14ac:dyDescent="0.3">
      <c r="A744" s="4" t="s">
        <v>753</v>
      </c>
      <c r="B744" s="4">
        <v>79800</v>
      </c>
      <c r="C744" s="4">
        <f>IF(DatiOriginali!C744 &gt;= SogliaPicchi!$B$9,"",DatiOriginali!C744)</f>
        <v>522200</v>
      </c>
      <c r="D744" s="4">
        <v>40452</v>
      </c>
      <c r="E744" s="4">
        <f>IF(DatiOriginali!E744 &gt;= SogliaPicchi!$B$9,"",DatiOriginali!E744)</f>
        <v>143300</v>
      </c>
      <c r="F744" s="4">
        <v>1051759</v>
      </c>
      <c r="G744" s="4">
        <f>IF(DatiOriginali!G744 &gt;= SogliaPicchi!$B$9,"",DatiOriginali!G744)</f>
        <v>146400</v>
      </c>
      <c r="H744" s="4">
        <v>1296239</v>
      </c>
      <c r="I744" s="4">
        <f>IF(DatiOriginali!I744 &gt;= SogliaPicchi!$B$9,"",DatiOriginali!I744)</f>
        <v>48400</v>
      </c>
      <c r="J744" s="4">
        <v>1289238</v>
      </c>
      <c r="K744" s="4">
        <f>IF(DatiOriginali!K744 &gt;= SogliaPicchi!$B$9,"",DatiOriginali!K744)</f>
        <v>49900</v>
      </c>
    </row>
    <row r="745" spans="1:11" x14ac:dyDescent="0.3">
      <c r="A745" s="4" t="s">
        <v>754</v>
      </c>
      <c r="B745" s="4">
        <v>79800</v>
      </c>
      <c r="C745" s="4">
        <f>IF(DatiOriginali!C745 &gt;= SogliaPicchi!$B$9,"",DatiOriginali!C745)</f>
        <v>637500</v>
      </c>
      <c r="D745" s="4">
        <v>41064</v>
      </c>
      <c r="E745" s="4">
        <f>IF(DatiOriginali!E745 &gt;= SogliaPicchi!$B$9,"",DatiOriginali!E745)</f>
        <v>179900</v>
      </c>
      <c r="F745" s="4">
        <v>1054716</v>
      </c>
      <c r="G745" s="4">
        <f>IF(DatiOriginali!G745 &gt;= SogliaPicchi!$B$9,"",DatiOriginali!G745)</f>
        <v>220400</v>
      </c>
      <c r="H745" s="4">
        <v>1299530</v>
      </c>
      <c r="I745" s="4">
        <f>IF(DatiOriginali!I745 &gt;= SogliaPicchi!$B$9,"",DatiOriginali!I745)</f>
        <v>53400</v>
      </c>
      <c r="J745" s="4">
        <v>1293336</v>
      </c>
      <c r="K745" s="4">
        <f>IF(DatiOriginali!K745 &gt;= SogliaPicchi!$B$9,"",DatiOriginali!K745)</f>
        <v>60100</v>
      </c>
    </row>
    <row r="746" spans="1:11" x14ac:dyDescent="0.3">
      <c r="A746" s="4" t="s">
        <v>755</v>
      </c>
      <c r="B746" s="4">
        <v>79800</v>
      </c>
      <c r="C746" s="4">
        <f>IF(DatiOriginali!C746 &gt;= SogliaPicchi!$B$9,"",DatiOriginali!C746)</f>
        <v>529800</v>
      </c>
      <c r="D746" s="4">
        <v>40109</v>
      </c>
      <c r="E746" s="4">
        <f>IF(DatiOriginali!E746 &gt;= SogliaPicchi!$B$9,"",DatiOriginali!E746)</f>
        <v>152400</v>
      </c>
      <c r="F746" s="4">
        <v>1057669</v>
      </c>
      <c r="G746" s="4">
        <f>IF(DatiOriginali!G746 &gt;= SogliaPicchi!$B$9,"",DatiOriginali!G746)</f>
        <v>152800</v>
      </c>
      <c r="H746" s="4">
        <v>1303185</v>
      </c>
      <c r="I746" s="4">
        <f>IF(DatiOriginali!I746 &gt;= SogliaPicchi!$B$9,"",DatiOriginali!I746)</f>
        <v>44500</v>
      </c>
      <c r="J746" s="4">
        <v>1297017</v>
      </c>
      <c r="K746" s="4">
        <f>IF(DatiOriginali!K746 &gt;= SogliaPicchi!$B$9,"",DatiOriginali!K746)</f>
        <v>50400</v>
      </c>
    </row>
    <row r="747" spans="1:11" x14ac:dyDescent="0.3">
      <c r="A747" s="4" t="s">
        <v>756</v>
      </c>
      <c r="B747" s="4">
        <v>79800</v>
      </c>
      <c r="C747" s="4">
        <f>IF(DatiOriginali!C747 &gt;= SogliaPicchi!$B$9,"",DatiOriginali!C747)</f>
        <v>558000</v>
      </c>
      <c r="D747" s="4">
        <v>39447</v>
      </c>
      <c r="E747" s="4">
        <f>IF(DatiOriginali!E747 &gt;= SogliaPicchi!$B$9,"",DatiOriginali!E747)</f>
        <v>140600</v>
      </c>
      <c r="F747" s="4">
        <v>1060612</v>
      </c>
      <c r="G747" s="4">
        <f>IF(DatiOriginali!G747 &gt;= SogliaPicchi!$B$9,"",DatiOriginali!G747)</f>
        <v>144700</v>
      </c>
      <c r="H747" s="4">
        <v>1306639</v>
      </c>
      <c r="I747" s="4">
        <f>IF(DatiOriginali!I747 &gt;= SogliaPicchi!$B$9,"",DatiOriginali!I747)</f>
        <v>42400</v>
      </c>
      <c r="J747" s="4">
        <v>1300592</v>
      </c>
      <c r="K747" s="4">
        <f>IF(DatiOriginali!K747 &gt;= SogliaPicchi!$B$9,"",DatiOriginali!K747)</f>
        <v>49400</v>
      </c>
    </row>
    <row r="748" spans="1:11" x14ac:dyDescent="0.3">
      <c r="A748" s="4" t="s">
        <v>757</v>
      </c>
      <c r="B748" s="4">
        <v>79800</v>
      </c>
      <c r="C748" s="4">
        <f>IF(DatiOriginali!C748 &gt;= SogliaPicchi!$B$9,"",DatiOriginali!C748)</f>
        <v>531600</v>
      </c>
      <c r="D748" s="4">
        <v>40602</v>
      </c>
      <c r="E748" s="4">
        <f>IF(DatiOriginali!E748 &gt;= SogliaPicchi!$B$9,"",DatiOriginali!E748)</f>
        <v>143600</v>
      </c>
      <c r="F748" s="4">
        <v>1063578</v>
      </c>
      <c r="G748" s="4">
        <f>IF(DatiOriginali!G748 &gt;= SogliaPicchi!$B$9,"",DatiOriginali!G748)</f>
        <v>142100</v>
      </c>
      <c r="H748" s="4">
        <v>1310351</v>
      </c>
      <c r="I748" s="4">
        <f>IF(DatiOriginali!I748 &gt;= SogliaPicchi!$B$9,"",DatiOriginali!I748)</f>
        <v>42700</v>
      </c>
      <c r="J748" s="4">
        <v>1304304</v>
      </c>
      <c r="K748" s="4">
        <f>IF(DatiOriginali!K748 &gt;= SogliaPicchi!$B$9,"",DatiOriginali!K748)</f>
        <v>51600</v>
      </c>
    </row>
    <row r="749" spans="1:11" x14ac:dyDescent="0.3">
      <c r="A749" s="4" t="s">
        <v>758</v>
      </c>
      <c r="B749" s="4">
        <v>79800</v>
      </c>
      <c r="C749" s="4">
        <f>IF(DatiOriginali!C749 &gt;= SogliaPicchi!$B$9,"",DatiOriginali!C749)</f>
        <v>549400</v>
      </c>
      <c r="D749" s="4">
        <v>41974</v>
      </c>
      <c r="E749" s="4">
        <f>IF(DatiOriginali!E749 &gt;= SogliaPicchi!$B$9,"",DatiOriginali!E749)</f>
        <v>148500</v>
      </c>
      <c r="F749" s="4">
        <v>1066536</v>
      </c>
      <c r="G749" s="4">
        <f>IF(DatiOriginali!G749 &gt;= SogliaPicchi!$B$9,"",DatiOriginali!G749)</f>
        <v>139500</v>
      </c>
      <c r="H749" s="4">
        <v>1313859</v>
      </c>
      <c r="I749" s="4">
        <f>IF(DatiOriginali!I749 &gt;= SogliaPicchi!$B$9,"",DatiOriginali!I749)</f>
        <v>43800</v>
      </c>
      <c r="J749" s="4">
        <v>1308070</v>
      </c>
      <c r="K749" s="4">
        <f>IF(DatiOriginali!K749 &gt;= SogliaPicchi!$B$9,"",DatiOriginali!K749)</f>
        <v>51800</v>
      </c>
    </row>
    <row r="750" spans="1:11" x14ac:dyDescent="0.3">
      <c r="A750" s="4" t="s">
        <v>759</v>
      </c>
      <c r="B750" s="4">
        <v>79800</v>
      </c>
      <c r="C750" s="4">
        <f>IF(DatiOriginali!C750 &gt;= SogliaPicchi!$B$9,"",DatiOriginali!C750)</f>
        <v>566500</v>
      </c>
      <c r="D750" s="4">
        <v>38440</v>
      </c>
      <c r="E750" s="4">
        <f>IF(DatiOriginali!E750 &gt;= SogliaPicchi!$B$9,"",DatiOriginali!E750)</f>
        <v>137300</v>
      </c>
      <c r="F750" s="4">
        <v>1069518</v>
      </c>
      <c r="G750" s="4">
        <f>IF(DatiOriginali!G750 &gt;= SogliaPicchi!$B$9,"",DatiOriginali!G750)</f>
        <v>146700</v>
      </c>
      <c r="H750" s="4">
        <v>1317288</v>
      </c>
      <c r="I750" s="4">
        <f>IF(DatiOriginali!I750 &gt;= SogliaPicchi!$B$9,"",DatiOriginali!I750)</f>
        <v>49100</v>
      </c>
      <c r="J750" s="4">
        <v>1311907</v>
      </c>
      <c r="K750" s="4">
        <f>IF(DatiOriginali!K750 &gt;= SogliaPicchi!$B$9,"",DatiOriginali!K750)</f>
        <v>56500</v>
      </c>
    </row>
    <row r="751" spans="1:11" x14ac:dyDescent="0.3">
      <c r="A751" s="4" t="s">
        <v>760</v>
      </c>
      <c r="B751" s="4">
        <v>79800</v>
      </c>
      <c r="C751" s="4">
        <f>IF(DatiOriginali!C751 &gt;= SogliaPicchi!$B$9,"",DatiOriginali!C751)</f>
        <v>567700</v>
      </c>
      <c r="D751" s="4">
        <v>42121</v>
      </c>
      <c r="E751" s="4">
        <f>IF(DatiOriginali!E751 &gt;= SogliaPicchi!$B$9,"",DatiOriginali!E751)</f>
        <v>154700</v>
      </c>
      <c r="F751" s="4">
        <v>1072486</v>
      </c>
      <c r="G751" s="4">
        <f>IF(DatiOriginali!G751 &gt;= SogliaPicchi!$B$9,"",DatiOriginali!G751)</f>
        <v>135700</v>
      </c>
      <c r="H751" s="4">
        <v>1320976</v>
      </c>
      <c r="I751" s="4">
        <f>IF(DatiOriginali!I751 &gt;= SogliaPicchi!$B$9,"",DatiOriginali!I751)</f>
        <v>47700</v>
      </c>
      <c r="J751" s="4">
        <v>1315760</v>
      </c>
      <c r="K751" s="4">
        <f>IF(DatiOriginali!K751 &gt;= SogliaPicchi!$B$9,"",DatiOriginali!K751)</f>
        <v>51100</v>
      </c>
    </row>
    <row r="752" spans="1:11" x14ac:dyDescent="0.3">
      <c r="A752" s="4" t="s">
        <v>761</v>
      </c>
      <c r="B752" s="4">
        <v>79800</v>
      </c>
      <c r="C752" s="4">
        <f>IF(DatiOriginali!C752 &gt;= SogliaPicchi!$B$9,"",DatiOriginali!C752)</f>
        <v>736200</v>
      </c>
      <c r="D752" s="4">
        <v>40208</v>
      </c>
      <c r="E752" s="4">
        <f>IF(DatiOriginali!E752 &gt;= SogliaPicchi!$B$9,"",DatiOriginali!E752)</f>
        <v>149800</v>
      </c>
      <c r="F752" s="4">
        <v>1075439</v>
      </c>
      <c r="G752" s="4">
        <f>IF(DatiOriginali!G752 &gt;= SogliaPicchi!$B$9,"",DatiOriginali!G752)</f>
        <v>135600</v>
      </c>
      <c r="H752" s="4">
        <v>1324630</v>
      </c>
      <c r="I752" s="4">
        <f>IF(DatiOriginali!I752 &gt;= SogliaPicchi!$B$9,"",DatiOriginali!I752)</f>
        <v>48400</v>
      </c>
      <c r="J752" s="4">
        <v>1319044</v>
      </c>
      <c r="K752" s="4">
        <f>IF(DatiOriginali!K752 &gt;= SogliaPicchi!$B$9,"",DatiOriginali!K752)</f>
        <v>63400</v>
      </c>
    </row>
    <row r="753" spans="1:11" x14ac:dyDescent="0.3">
      <c r="A753" s="4" t="s">
        <v>762</v>
      </c>
      <c r="B753" s="4">
        <v>79800</v>
      </c>
      <c r="C753" s="4">
        <f>IF(DatiOriginali!C753 &gt;= SogliaPicchi!$B$9,"",DatiOriginali!C753)</f>
        <v>640000</v>
      </c>
      <c r="D753" s="4">
        <v>39148</v>
      </c>
      <c r="E753" s="4">
        <f>IF(DatiOriginali!E753 &gt;= SogliaPicchi!$B$9,"",DatiOriginali!E753)</f>
        <v>139500</v>
      </c>
      <c r="F753" s="4">
        <v>1078400</v>
      </c>
      <c r="G753" s="4">
        <f>IF(DatiOriginali!G753 &gt;= SogliaPicchi!$B$9,"",DatiOriginali!G753)</f>
        <v>142300</v>
      </c>
      <c r="H753" s="4">
        <v>1328007</v>
      </c>
      <c r="I753" s="4">
        <f>IF(DatiOriginali!I753 &gt;= SogliaPicchi!$B$9,"",DatiOriginali!I753)</f>
        <v>44500</v>
      </c>
      <c r="J753" s="4">
        <v>1322354</v>
      </c>
      <c r="K753" s="4">
        <f>IF(DatiOriginali!K753 &gt;= SogliaPicchi!$B$9,"",DatiOriginali!K753)</f>
        <v>49800</v>
      </c>
    </row>
    <row r="754" spans="1:11" x14ac:dyDescent="0.3">
      <c r="A754" s="4" t="s">
        <v>763</v>
      </c>
      <c r="B754" s="4">
        <v>79800</v>
      </c>
      <c r="C754" s="4">
        <f>IF(DatiOriginali!C754 &gt;= SogliaPicchi!$B$9,"",DatiOriginali!C754)</f>
        <v>693800</v>
      </c>
      <c r="D754" s="4">
        <v>38404</v>
      </c>
      <c r="E754" s="4">
        <f>IF(DatiOriginali!E754 &gt;= SogliaPicchi!$B$9,"",DatiOriginali!E754)</f>
        <v>169800</v>
      </c>
      <c r="F754" s="4">
        <v>1081358</v>
      </c>
      <c r="G754" s="4">
        <f>IF(DatiOriginali!G754 &gt;= SogliaPicchi!$B$9,"",DatiOriginali!G754)</f>
        <v>172600</v>
      </c>
      <c r="H754" s="4">
        <v>1331665</v>
      </c>
      <c r="I754" s="4">
        <f>IF(DatiOriginali!I754 &gt;= SogliaPicchi!$B$9,"",DatiOriginali!I754)</f>
        <v>52800</v>
      </c>
      <c r="J754" s="4">
        <v>1326246</v>
      </c>
      <c r="K754" s="4">
        <f>IF(DatiOriginali!K754 &gt;= SogliaPicchi!$B$9,"",DatiOriginali!K754)</f>
        <v>59400</v>
      </c>
    </row>
    <row r="755" spans="1:11" x14ac:dyDescent="0.3">
      <c r="A755" s="4" t="s">
        <v>764</v>
      </c>
      <c r="B755" s="4">
        <v>79800</v>
      </c>
      <c r="C755" s="4">
        <f>IF(DatiOriginali!C755 &gt;= SogliaPicchi!$B$9,"",DatiOriginali!C755)</f>
        <v>517600</v>
      </c>
      <c r="D755" s="4">
        <v>37684</v>
      </c>
      <c r="E755" s="4">
        <f>IF(DatiOriginali!E755 &gt;= SogliaPicchi!$B$9,"",DatiOriginali!E755)</f>
        <v>136500</v>
      </c>
      <c r="F755" s="4">
        <v>1084299</v>
      </c>
      <c r="G755" s="4">
        <f>IF(DatiOriginali!G755 &gt;= SogliaPicchi!$B$9,"",DatiOriginali!G755)</f>
        <v>132500</v>
      </c>
      <c r="H755" s="4">
        <v>1335391</v>
      </c>
      <c r="I755" s="4">
        <f>IF(DatiOriginali!I755 &gt;= SogliaPicchi!$B$9,"",DatiOriginali!I755)</f>
        <v>43100</v>
      </c>
      <c r="J755" s="4">
        <v>1329814</v>
      </c>
      <c r="K755" s="4">
        <f>IF(DatiOriginali!K755 &gt;= SogliaPicchi!$B$9,"",DatiOriginali!K755)</f>
        <v>51000</v>
      </c>
    </row>
    <row r="756" spans="1:11" x14ac:dyDescent="0.3">
      <c r="A756" s="4" t="s">
        <v>765</v>
      </c>
      <c r="B756" s="4">
        <v>79800</v>
      </c>
      <c r="C756" s="4">
        <f>IF(DatiOriginali!C756 &gt;= SogliaPicchi!$B$9,"",DatiOriginali!C756)</f>
        <v>496600</v>
      </c>
      <c r="D756" s="4">
        <v>40847</v>
      </c>
      <c r="E756" s="4">
        <f>IF(DatiOriginali!E756 &gt;= SogliaPicchi!$B$9,"",DatiOriginali!E756)</f>
        <v>147300</v>
      </c>
      <c r="F756" s="4">
        <v>1087269</v>
      </c>
      <c r="G756" s="4">
        <f>IF(DatiOriginali!G756 &gt;= SogliaPicchi!$B$9,"",DatiOriginali!G756)</f>
        <v>135500</v>
      </c>
      <c r="H756" s="4">
        <v>1339464</v>
      </c>
      <c r="I756" s="4">
        <f>IF(DatiOriginali!I756 &gt;= SogliaPicchi!$B$9,"",DatiOriginali!I756)</f>
        <v>44500</v>
      </c>
      <c r="J756" s="4">
        <v>1333327</v>
      </c>
      <c r="K756" s="4">
        <f>IF(DatiOriginali!K756 &gt;= SogliaPicchi!$B$9,"",DatiOriginali!K756)</f>
        <v>54600</v>
      </c>
    </row>
    <row r="757" spans="1:11" x14ac:dyDescent="0.3">
      <c r="A757" s="4" t="s">
        <v>766</v>
      </c>
      <c r="B757" s="4">
        <v>79800</v>
      </c>
      <c r="C757" s="4">
        <f>IF(DatiOriginali!C757 &gt;= SogliaPicchi!$B$9,"",DatiOriginali!C757)</f>
        <v>593200</v>
      </c>
      <c r="D757" s="4">
        <v>41122</v>
      </c>
      <c r="E757" s="4">
        <f>IF(DatiOriginali!E757 &gt;= SogliaPicchi!$B$9,"",DatiOriginali!E757)</f>
        <v>176400</v>
      </c>
      <c r="F757" s="4">
        <v>1090204</v>
      </c>
      <c r="G757" s="4">
        <f>IF(DatiOriginali!G757 &gt;= SogliaPicchi!$B$9,"",DatiOriginali!G757)</f>
        <v>168900</v>
      </c>
      <c r="H757" s="4">
        <v>1342922</v>
      </c>
      <c r="I757" s="4">
        <f>IF(DatiOriginali!I757 &gt;= SogliaPicchi!$B$9,"",DatiOriginali!I757)</f>
        <v>52200</v>
      </c>
      <c r="J757" s="4">
        <v>1337188</v>
      </c>
      <c r="K757" s="4">
        <f>IF(DatiOriginali!K757 &gt;= SogliaPicchi!$B$9,"",DatiOriginali!K757)</f>
        <v>60600</v>
      </c>
    </row>
    <row r="758" spans="1:11" x14ac:dyDescent="0.3">
      <c r="A758" s="4" t="s">
        <v>767</v>
      </c>
      <c r="B758" s="4">
        <v>79800</v>
      </c>
      <c r="C758" s="4">
        <f>IF(DatiOriginali!C758 &gt;= SogliaPicchi!$B$9,"",DatiOriginali!C758)</f>
        <v>549800</v>
      </c>
      <c r="D758" s="4">
        <v>39385</v>
      </c>
      <c r="E758" s="4">
        <f>IF(DatiOriginali!E758 &gt;= SogliaPicchi!$B$9,"",DatiOriginali!E758)</f>
        <v>143800</v>
      </c>
      <c r="F758" s="4">
        <v>1093155</v>
      </c>
      <c r="G758" s="4">
        <f>IF(DatiOriginali!G758 &gt;= SogliaPicchi!$B$9,"",DatiOriginali!G758)</f>
        <v>133500</v>
      </c>
      <c r="H758" s="4">
        <v>1346647</v>
      </c>
      <c r="I758" s="4">
        <f>IF(DatiOriginali!I758 &gt;= SogliaPicchi!$B$9,"",DatiOriginali!I758)</f>
        <v>48600</v>
      </c>
      <c r="J758" s="4">
        <v>1340965</v>
      </c>
      <c r="K758" s="4">
        <f>IF(DatiOriginali!K758 &gt;= SogliaPicchi!$B$9,"",DatiOriginali!K758)</f>
        <v>50600</v>
      </c>
    </row>
    <row r="759" spans="1:11" x14ac:dyDescent="0.3">
      <c r="A759" s="4" t="s">
        <v>768</v>
      </c>
      <c r="B759" s="4">
        <v>79800</v>
      </c>
      <c r="C759" s="4">
        <f>IF(DatiOriginali!C759 &gt;= SogliaPicchi!$B$9,"",DatiOriginali!C759)</f>
        <v>680000</v>
      </c>
      <c r="D759" s="4">
        <v>41689</v>
      </c>
      <c r="E759" s="4">
        <f>IF(DatiOriginali!E759 &gt;= SogliaPicchi!$B$9,"",DatiOriginali!E759)</f>
        <v>266000</v>
      </c>
      <c r="F759" s="4">
        <v>1096116</v>
      </c>
      <c r="G759" s="4">
        <f>IF(DatiOriginali!G759 &gt;= SogliaPicchi!$B$9,"",DatiOriginali!G759)</f>
        <v>222000</v>
      </c>
      <c r="H759" s="4">
        <v>1350375</v>
      </c>
      <c r="I759" s="4">
        <f>IF(DatiOriginali!I759 &gt;= SogliaPicchi!$B$9,"",DatiOriginali!I759)</f>
        <v>61200</v>
      </c>
      <c r="J759" s="4">
        <v>1344619</v>
      </c>
      <c r="K759" s="4">
        <f>IF(DatiOriginali!K759 &gt;= SogliaPicchi!$B$9,"",DatiOriginali!K759)</f>
        <v>70900</v>
      </c>
    </row>
    <row r="760" spans="1:11" x14ac:dyDescent="0.3">
      <c r="A760" s="4" t="s">
        <v>769</v>
      </c>
      <c r="B760" s="4">
        <v>79800</v>
      </c>
      <c r="C760" s="4">
        <f>IF(DatiOriginali!C760 &gt;= SogliaPicchi!$B$9,"",DatiOriginali!C760)</f>
        <v>562500</v>
      </c>
      <c r="D760" s="4">
        <v>38585</v>
      </c>
      <c r="E760" s="4">
        <f>IF(DatiOriginali!E760 &gt;= SogliaPicchi!$B$9,"",DatiOriginali!E760)</f>
        <v>141000</v>
      </c>
      <c r="F760" s="4">
        <v>1099084</v>
      </c>
      <c r="G760" s="4">
        <f>IF(DatiOriginali!G760 &gt;= SogliaPicchi!$B$9,"",DatiOriginali!G760)</f>
        <v>144200</v>
      </c>
      <c r="H760" s="4">
        <v>1353922</v>
      </c>
      <c r="I760" s="4">
        <f>IF(DatiOriginali!I760 &gt;= SogliaPicchi!$B$9,"",DatiOriginali!I760)</f>
        <v>54100</v>
      </c>
      <c r="J760" s="4">
        <v>1348012</v>
      </c>
      <c r="K760" s="4">
        <f>IF(DatiOriginali!K760 &gt;= SogliaPicchi!$B$9,"",DatiOriginali!K760)</f>
        <v>51000</v>
      </c>
    </row>
    <row r="761" spans="1:11" x14ac:dyDescent="0.3">
      <c r="A761" s="4" t="s">
        <v>770</v>
      </c>
      <c r="B761" s="4">
        <v>79800</v>
      </c>
      <c r="C761" s="4">
        <f>IF(DatiOriginali!C761 &gt;= SogliaPicchi!$B$9,"",DatiOriginali!C761)</f>
        <v>607200</v>
      </c>
      <c r="D761" s="4">
        <v>39240</v>
      </c>
      <c r="E761" s="4">
        <f>IF(DatiOriginali!E761 &gt;= SogliaPicchi!$B$9,"",DatiOriginali!E761)</f>
        <v>139600</v>
      </c>
      <c r="F761" s="4">
        <v>1102032</v>
      </c>
      <c r="G761" s="4">
        <f>IF(DatiOriginali!G761 &gt;= SogliaPicchi!$B$9,"",DatiOriginali!G761)</f>
        <v>146500</v>
      </c>
      <c r="H761" s="4">
        <v>1357333</v>
      </c>
      <c r="I761" s="4">
        <f>IF(DatiOriginali!I761 &gt;= SogliaPicchi!$B$9,"",DatiOriginali!I761)</f>
        <v>49600</v>
      </c>
      <c r="J761" s="4">
        <v>1351836</v>
      </c>
      <c r="K761" s="4">
        <f>IF(DatiOriginali!K761 &gt;= SogliaPicchi!$B$9,"",DatiOriginali!K761)</f>
        <v>52300</v>
      </c>
    </row>
    <row r="762" spans="1:11" x14ac:dyDescent="0.3">
      <c r="A762" s="4" t="s">
        <v>771</v>
      </c>
      <c r="B762" s="4">
        <v>79800</v>
      </c>
      <c r="C762" s="4">
        <f>IF(DatiOriginali!C762 &gt;= SogliaPicchi!$B$9,"",DatiOriginali!C762)</f>
        <v>529700</v>
      </c>
      <c r="D762" s="4">
        <v>40033</v>
      </c>
      <c r="E762" s="4">
        <f>IF(DatiOriginali!E762 &gt;= SogliaPicchi!$B$9,"",DatiOriginali!E762)</f>
        <v>142100</v>
      </c>
      <c r="F762" s="4">
        <v>1104996</v>
      </c>
      <c r="G762" s="4">
        <f>IF(DatiOriginali!G762 &gt;= SogliaPicchi!$B$9,"",DatiOriginali!G762)</f>
        <v>147700</v>
      </c>
      <c r="H762" s="4">
        <v>1361248</v>
      </c>
      <c r="I762" s="4">
        <f>IF(DatiOriginali!I762 &gt;= SogliaPicchi!$B$9,"",DatiOriginali!I762)</f>
        <v>52900</v>
      </c>
      <c r="J762" s="4">
        <v>1355907</v>
      </c>
      <c r="K762" s="4">
        <f>IF(DatiOriginali!K762 &gt;= SogliaPicchi!$B$9,"",DatiOriginali!K762)</f>
        <v>52900</v>
      </c>
    </row>
    <row r="763" spans="1:11" x14ac:dyDescent="0.3">
      <c r="A763" s="4" t="s">
        <v>772</v>
      </c>
      <c r="B763" s="4">
        <v>79800</v>
      </c>
      <c r="C763" s="4">
        <f>IF(DatiOriginali!C763 &gt;= SogliaPicchi!$B$9,"",DatiOriginali!C763)</f>
        <v>610600</v>
      </c>
      <c r="D763" s="4">
        <v>38413</v>
      </c>
      <c r="E763" s="4">
        <f>IF(DatiOriginali!E763 &gt;= SogliaPicchi!$B$9,"",DatiOriginali!E763)</f>
        <v>143000</v>
      </c>
      <c r="F763" s="4">
        <v>1107930</v>
      </c>
      <c r="G763" s="4">
        <f>IF(DatiOriginali!G763 &gt;= SogliaPicchi!$B$9,"",DatiOriginali!G763)</f>
        <v>144900</v>
      </c>
      <c r="H763" s="4">
        <v>1365180</v>
      </c>
      <c r="I763" s="4">
        <f>IF(DatiOriginali!I763 &gt;= SogliaPicchi!$B$9,"",DatiOriginali!I763)</f>
        <v>45500</v>
      </c>
      <c r="J763" s="4">
        <v>1359739</v>
      </c>
      <c r="K763" s="4">
        <f>IF(DatiOriginali!K763 &gt;= SogliaPicchi!$B$9,"",DatiOriginali!K763)</f>
        <v>50900</v>
      </c>
    </row>
    <row r="764" spans="1:11" x14ac:dyDescent="0.3">
      <c r="A764" s="4" t="s">
        <v>773</v>
      </c>
      <c r="B764" s="4">
        <v>79800</v>
      </c>
      <c r="C764" s="4">
        <f>IF(DatiOriginali!C764 &gt;= SogliaPicchi!$B$9,"",DatiOriginali!C764)</f>
        <v>623400</v>
      </c>
      <c r="D764" s="4">
        <v>39605</v>
      </c>
      <c r="E764" s="4">
        <f>IF(DatiOriginali!E764 &gt;= SogliaPicchi!$B$9,"",DatiOriginali!E764)</f>
        <v>174500</v>
      </c>
      <c r="F764" s="4">
        <v>1110905</v>
      </c>
      <c r="G764" s="4">
        <f>IF(DatiOriginali!G764 &gt;= SogliaPicchi!$B$9,"",DatiOriginali!G764)</f>
        <v>185400</v>
      </c>
      <c r="H764" s="4">
        <v>1368792</v>
      </c>
      <c r="I764" s="4">
        <f>IF(DatiOriginali!I764 &gt;= SogliaPicchi!$B$9,"",DatiOriginali!I764)</f>
        <v>54000</v>
      </c>
      <c r="J764" s="4">
        <v>1363100</v>
      </c>
      <c r="K764" s="4">
        <f>IF(DatiOriginali!K764 &gt;= SogliaPicchi!$B$9,"",DatiOriginali!K764)</f>
        <v>60900</v>
      </c>
    </row>
    <row r="765" spans="1:11" x14ac:dyDescent="0.3">
      <c r="A765" s="4" t="s">
        <v>774</v>
      </c>
      <c r="B765" s="4">
        <v>79800</v>
      </c>
      <c r="C765" s="4">
        <f>IF(DatiOriginali!C765 &gt;= SogliaPicchi!$B$9,"",DatiOriginali!C765)</f>
        <v>524600</v>
      </c>
      <c r="D765" s="4">
        <v>39816</v>
      </c>
      <c r="E765" s="4">
        <f>IF(DatiOriginali!E765 &gt;= SogliaPicchi!$B$9,"",DatiOriginali!E765)</f>
        <v>145400</v>
      </c>
      <c r="F765" s="4">
        <v>1113881</v>
      </c>
      <c r="G765" s="4">
        <f>IF(DatiOriginali!G765 &gt;= SogliaPicchi!$B$9,"",DatiOriginali!G765)</f>
        <v>271400</v>
      </c>
      <c r="H765" s="4">
        <v>1372250</v>
      </c>
      <c r="I765" s="4">
        <f>IF(DatiOriginali!I765 &gt;= SogliaPicchi!$B$9,"",DatiOriginali!I765)</f>
        <v>44000</v>
      </c>
      <c r="J765" s="4">
        <v>1366574</v>
      </c>
      <c r="K765" s="4">
        <f>IF(DatiOriginali!K765 &gt;= SogliaPicchi!$B$9,"",DatiOriginali!K765)</f>
        <v>50900</v>
      </c>
    </row>
    <row r="766" spans="1:11" x14ac:dyDescent="0.3">
      <c r="A766" s="4" t="s">
        <v>775</v>
      </c>
      <c r="B766" s="4">
        <v>79800</v>
      </c>
      <c r="C766" s="4">
        <f>IF(DatiOriginali!C766 &gt;= SogliaPicchi!$B$9,"",DatiOriginali!C766)</f>
        <v>549400</v>
      </c>
      <c r="D766" s="4">
        <v>40144</v>
      </c>
      <c r="E766" s="4">
        <f>IF(DatiOriginali!E766 &gt;= SogliaPicchi!$B$9,"",DatiOriginali!E766)</f>
        <v>142200</v>
      </c>
      <c r="F766" s="4">
        <v>1116853</v>
      </c>
      <c r="G766" s="4">
        <f>IF(DatiOriginali!G766 &gt;= SogliaPicchi!$B$9,"",DatiOriginali!G766)</f>
        <v>163600</v>
      </c>
      <c r="H766" s="4">
        <v>1376357</v>
      </c>
      <c r="I766" s="4">
        <f>IF(DatiOriginali!I766 &gt;= SogliaPicchi!$B$9,"",DatiOriginali!I766)</f>
        <v>49700</v>
      </c>
      <c r="J766" s="4">
        <v>1370097</v>
      </c>
      <c r="K766" s="4">
        <f>IF(DatiOriginali!K766 &gt;= SogliaPicchi!$B$9,"",DatiOriginali!K766)</f>
        <v>54200</v>
      </c>
    </row>
    <row r="767" spans="1:11" x14ac:dyDescent="0.3">
      <c r="A767" s="4" t="s">
        <v>776</v>
      </c>
      <c r="B767" s="4">
        <v>79800</v>
      </c>
      <c r="C767" s="4">
        <f>IF(DatiOriginali!C767 &gt;= SogliaPicchi!$B$9,"",DatiOriginali!C767)</f>
        <v>639300</v>
      </c>
      <c r="D767" s="4">
        <v>40774</v>
      </c>
      <c r="E767" s="4">
        <f>IF(DatiOriginali!E767 &gt;= SogliaPicchi!$B$9,"",DatiOriginali!E767)</f>
        <v>173500</v>
      </c>
      <c r="F767" s="4">
        <v>1119825</v>
      </c>
      <c r="G767" s="4">
        <f>IF(DatiOriginali!G767 &gt;= SogliaPicchi!$B$9,"",DatiOriginali!G767)</f>
        <v>171000</v>
      </c>
      <c r="H767" s="4">
        <v>1380395</v>
      </c>
      <c r="I767" s="4">
        <f>IF(DatiOriginali!I767 &gt;= SogliaPicchi!$B$9,"",DatiOriginali!I767)</f>
        <v>51700</v>
      </c>
      <c r="J767" s="4">
        <v>1374112</v>
      </c>
      <c r="K767" s="4">
        <f>IF(DatiOriginali!K767 &gt;= SogliaPicchi!$B$9,"",DatiOriginali!K767)</f>
        <v>61700</v>
      </c>
    </row>
    <row r="768" spans="1:11" x14ac:dyDescent="0.3">
      <c r="A768" s="4" t="s">
        <v>777</v>
      </c>
      <c r="B768" s="4">
        <v>79800</v>
      </c>
      <c r="C768" s="4">
        <f>IF(DatiOriginali!C768 &gt;= SogliaPicchi!$B$9,"",DatiOriginali!C768)</f>
        <v>671200</v>
      </c>
      <c r="D768" s="4">
        <v>40919</v>
      </c>
      <c r="E768" s="4">
        <f>IF(DatiOriginali!E768 &gt;= SogliaPicchi!$B$9,"",DatiOriginali!E768)</f>
        <v>151300</v>
      </c>
      <c r="F768" s="4">
        <v>1122780</v>
      </c>
      <c r="G768" s="4">
        <f>IF(DatiOriginali!G768 &gt;= SogliaPicchi!$B$9,"",DatiOriginali!G768)</f>
        <v>134700</v>
      </c>
      <c r="H768" s="4">
        <v>1384278</v>
      </c>
      <c r="I768" s="4">
        <f>IF(DatiOriginali!I768 &gt;= SogliaPicchi!$B$9,"",DatiOriginali!I768)</f>
        <v>43500</v>
      </c>
      <c r="J768" s="4">
        <v>1377455</v>
      </c>
      <c r="K768" s="4">
        <f>IF(DatiOriginali!K768 &gt;= SogliaPicchi!$B$9,"",DatiOriginali!K768)</f>
        <v>49200</v>
      </c>
    </row>
    <row r="769" spans="1:11" x14ac:dyDescent="0.3">
      <c r="A769" s="4" t="s">
        <v>778</v>
      </c>
      <c r="B769" s="4">
        <v>79800</v>
      </c>
      <c r="C769" s="4">
        <f>IF(DatiOriginali!C769 &gt;= SogliaPicchi!$B$9,"",DatiOriginali!C769)</f>
        <v>493100</v>
      </c>
      <c r="D769" s="4">
        <v>40317</v>
      </c>
      <c r="E769" s="4">
        <f>IF(DatiOriginali!E769 &gt;= SogliaPicchi!$B$9,"",DatiOriginali!E769)</f>
        <v>148100</v>
      </c>
      <c r="F769" s="4">
        <v>1125741</v>
      </c>
      <c r="G769" s="4">
        <f>IF(DatiOriginali!G769 &gt;= SogliaPicchi!$B$9,"",DatiOriginali!G769)</f>
        <v>135800</v>
      </c>
      <c r="H769" s="4">
        <v>1387646</v>
      </c>
      <c r="I769" s="4">
        <f>IF(DatiOriginali!I769 &gt;= SogliaPicchi!$B$9,"",DatiOriginali!I769)</f>
        <v>42900</v>
      </c>
      <c r="J769" s="4">
        <v>1381134</v>
      </c>
      <c r="K769" s="4">
        <f>IF(DatiOriginali!K769 &gt;= SogliaPicchi!$B$9,"",DatiOriginali!K769)</f>
        <v>54600</v>
      </c>
    </row>
    <row r="770" spans="1:11" x14ac:dyDescent="0.3">
      <c r="A770" s="4" t="s">
        <v>779</v>
      </c>
      <c r="B770" s="4">
        <v>79800</v>
      </c>
      <c r="C770" s="4">
        <f>IF(DatiOriginali!C770 &gt;= SogliaPicchi!$B$9,"",DatiOriginali!C770)</f>
        <v>496500</v>
      </c>
      <c r="D770" s="4">
        <v>41892</v>
      </c>
      <c r="E770" s="4">
        <f>IF(DatiOriginali!E770 &gt;= SogliaPicchi!$B$9,"",DatiOriginali!E770)</f>
        <v>151200</v>
      </c>
      <c r="F770" s="4">
        <v>1128700</v>
      </c>
      <c r="G770" s="4">
        <f>IF(DatiOriginali!G770 &gt;= SogliaPicchi!$B$9,"",DatiOriginali!G770)</f>
        <v>135300</v>
      </c>
      <c r="H770" s="4">
        <v>1391192</v>
      </c>
      <c r="I770" s="4">
        <f>IF(DatiOriginali!I770 &gt;= SogliaPicchi!$B$9,"",DatiOriginali!I770)</f>
        <v>43700</v>
      </c>
      <c r="J770" s="4">
        <v>1385042</v>
      </c>
      <c r="K770" s="4">
        <f>IF(DatiOriginali!K770 &gt;= SogliaPicchi!$B$9,"",DatiOriginali!K770)</f>
        <v>60000</v>
      </c>
    </row>
    <row r="771" spans="1:11" x14ac:dyDescent="0.3">
      <c r="A771" s="4" t="s">
        <v>780</v>
      </c>
      <c r="B771" s="4">
        <v>79800</v>
      </c>
      <c r="C771" s="4">
        <f>IF(DatiOriginali!C771 &gt;= SogliaPicchi!$B$9,"",DatiOriginali!C771)</f>
        <v>502800</v>
      </c>
      <c r="D771" s="4">
        <v>40200</v>
      </c>
      <c r="E771" s="4">
        <f>IF(DatiOriginali!E771 &gt;= SogliaPicchi!$B$9,"",DatiOriginali!E771)</f>
        <v>142200</v>
      </c>
      <c r="F771" s="4">
        <v>1131641</v>
      </c>
      <c r="G771" s="4">
        <f>IF(DatiOriginali!G771 &gt;= SogliaPicchi!$B$9,"",DatiOriginali!G771)</f>
        <v>132200</v>
      </c>
      <c r="H771" s="4">
        <v>1394913</v>
      </c>
      <c r="I771" s="4">
        <f>IF(DatiOriginali!I771 &gt;= SogliaPicchi!$B$9,"",DatiOriginali!I771)</f>
        <v>43000</v>
      </c>
      <c r="J771" s="4">
        <v>1389165</v>
      </c>
      <c r="K771" s="4">
        <f>IF(DatiOriginali!K771 &gt;= SogliaPicchi!$B$9,"",DatiOriginali!K771)</f>
        <v>54000</v>
      </c>
    </row>
    <row r="772" spans="1:11" x14ac:dyDescent="0.3">
      <c r="A772" s="4" t="s">
        <v>781</v>
      </c>
      <c r="B772" s="4">
        <v>79800</v>
      </c>
      <c r="C772" s="4">
        <f>IF(DatiOriginali!C772 &gt;= SogliaPicchi!$B$9,"",DatiOriginali!C772)</f>
        <v>718900</v>
      </c>
      <c r="D772" s="4">
        <v>41601</v>
      </c>
      <c r="E772" s="4">
        <f>IF(DatiOriginali!E772 &gt;= SogliaPicchi!$B$9,"",DatiOriginali!E772)</f>
        <v>151900</v>
      </c>
      <c r="F772" s="4">
        <v>1134610</v>
      </c>
      <c r="G772" s="4">
        <f>IF(DatiOriginali!G772 &gt;= SogliaPicchi!$B$9,"",DatiOriginali!G772)</f>
        <v>136200</v>
      </c>
      <c r="H772" s="4">
        <v>1398617</v>
      </c>
      <c r="I772" s="4">
        <f>IF(DatiOriginali!I772 &gt;= SogliaPicchi!$B$9,"",DatiOriginali!I772)</f>
        <v>45300</v>
      </c>
      <c r="J772" s="4">
        <v>1392758</v>
      </c>
      <c r="K772" s="4">
        <f>IF(DatiOriginali!K772 &gt;= SogliaPicchi!$B$9,"",DatiOriginali!K772)</f>
        <v>49200</v>
      </c>
    </row>
    <row r="773" spans="1:11" x14ac:dyDescent="0.3">
      <c r="A773" s="4" t="s">
        <v>782</v>
      </c>
      <c r="B773" s="4">
        <v>79800</v>
      </c>
      <c r="C773" s="4">
        <f>IF(DatiOriginali!C773 &gt;= SogliaPicchi!$B$9,"",DatiOriginali!C773)</f>
        <v>579500</v>
      </c>
      <c r="D773" s="4">
        <v>39004</v>
      </c>
      <c r="E773" s="4">
        <f>IF(DatiOriginali!E773 &gt;= SogliaPicchi!$B$9,"",DatiOriginali!E773)</f>
        <v>138200</v>
      </c>
      <c r="F773" s="4">
        <v>1137566</v>
      </c>
      <c r="G773" s="4">
        <f>IF(DatiOriginali!G773 &gt;= SogliaPicchi!$B$9,"",DatiOriginali!G773)</f>
        <v>134100</v>
      </c>
      <c r="H773" s="4">
        <v>1402389</v>
      </c>
      <c r="I773" s="4">
        <f>IF(DatiOriginali!I773 &gt;= SogliaPicchi!$B$9,"",DatiOriginali!I773)</f>
        <v>49600</v>
      </c>
      <c r="J773" s="4">
        <v>1396108</v>
      </c>
      <c r="K773" s="4">
        <f>IF(DatiOriginali!K773 &gt;= SogliaPicchi!$B$9,"",DatiOriginali!K773)</f>
        <v>49400</v>
      </c>
    </row>
    <row r="774" spans="1:11" x14ac:dyDescent="0.3">
      <c r="A774" s="4" t="s">
        <v>783</v>
      </c>
      <c r="B774" s="4">
        <v>79800</v>
      </c>
      <c r="C774" s="4">
        <f>IF(DatiOriginali!C774 &gt;= SogliaPicchi!$B$9,"",DatiOriginali!C774)</f>
        <v>552400</v>
      </c>
      <c r="D774" s="4">
        <v>41368</v>
      </c>
      <c r="E774" s="4">
        <f>IF(DatiOriginali!E774 &gt;= SogliaPicchi!$B$9,"",DatiOriginali!E774)</f>
        <v>146100</v>
      </c>
      <c r="F774" s="4">
        <v>1140540</v>
      </c>
      <c r="G774" s="4">
        <f>IF(DatiOriginali!G774 &gt;= SogliaPicchi!$B$9,"",DatiOriginali!G774)</f>
        <v>132500</v>
      </c>
      <c r="H774" s="4">
        <v>1406428</v>
      </c>
      <c r="I774" s="4">
        <f>IF(DatiOriginali!I774 &gt;= SogliaPicchi!$B$9,"",DatiOriginali!I774)</f>
        <v>45900</v>
      </c>
      <c r="J774" s="4">
        <v>1399804</v>
      </c>
      <c r="K774" s="4">
        <f>IF(DatiOriginali!K774 &gt;= SogliaPicchi!$B$9,"",DatiOriginali!K774)</f>
        <v>49700</v>
      </c>
    </row>
    <row r="775" spans="1:11" x14ac:dyDescent="0.3">
      <c r="A775" s="4" t="s">
        <v>784</v>
      </c>
      <c r="B775" s="4">
        <v>79800</v>
      </c>
      <c r="C775" s="4">
        <f>IF(DatiOriginali!C775 &gt;= SogliaPicchi!$B$9,"",DatiOriginali!C775)</f>
        <v>502200</v>
      </c>
      <c r="D775" s="4">
        <v>39936</v>
      </c>
      <c r="E775" s="4">
        <f>IF(DatiOriginali!E775 &gt;= SogliaPicchi!$B$9,"",DatiOriginali!E775)</f>
        <v>144800</v>
      </c>
      <c r="F775" s="4">
        <v>1143496</v>
      </c>
      <c r="G775" s="4">
        <f>IF(DatiOriginali!G775 &gt;= SogliaPicchi!$B$9,"",DatiOriginali!G775)</f>
        <v>131700</v>
      </c>
      <c r="H775" s="4">
        <v>1410694</v>
      </c>
      <c r="I775" s="4">
        <f>IF(DatiOriginali!I775 &gt;= SogliaPicchi!$B$9,"",DatiOriginali!I775)</f>
        <v>44900</v>
      </c>
      <c r="J775" s="4">
        <v>1403421</v>
      </c>
      <c r="K775" s="4">
        <f>IF(DatiOriginali!K775 &gt;= SogliaPicchi!$B$9,"",DatiOriginali!K775)</f>
        <v>56700</v>
      </c>
    </row>
    <row r="776" spans="1:11" x14ac:dyDescent="0.3">
      <c r="A776" s="4" t="s">
        <v>785</v>
      </c>
      <c r="B776" s="4">
        <v>79800</v>
      </c>
      <c r="C776" s="4">
        <f>IF(DatiOriginali!C776 &gt;= SogliaPicchi!$B$9,"",DatiOriginali!C776)</f>
        <v>503400</v>
      </c>
      <c r="D776" s="4">
        <v>40738</v>
      </c>
      <c r="E776" s="4">
        <f>IF(DatiOriginali!E776 &gt;= SogliaPicchi!$B$9,"",DatiOriginali!E776)</f>
        <v>144400</v>
      </c>
      <c r="F776" s="4">
        <v>1146452</v>
      </c>
      <c r="G776" s="4">
        <f>IF(DatiOriginali!G776 &gt;= SogliaPicchi!$B$9,"",DatiOriginali!G776)</f>
        <v>133600</v>
      </c>
      <c r="H776" s="4">
        <v>1414934</v>
      </c>
      <c r="I776" s="4">
        <f>IF(DatiOriginali!I776 &gt;= SogliaPicchi!$B$9,"",DatiOriginali!I776)</f>
        <v>44400</v>
      </c>
      <c r="J776" s="4">
        <v>1406863</v>
      </c>
      <c r="K776" s="4">
        <f>IF(DatiOriginali!K776 &gt;= SogliaPicchi!$B$9,"",DatiOriginali!K776)</f>
        <v>57100</v>
      </c>
    </row>
    <row r="777" spans="1:11" x14ac:dyDescent="0.3">
      <c r="A777" s="4" t="s">
        <v>786</v>
      </c>
      <c r="B777" s="4">
        <v>79800</v>
      </c>
      <c r="C777" s="4">
        <f>IF(DatiOriginali!C777 &gt;= SogliaPicchi!$B$9,"",DatiOriginali!C777)</f>
        <v>529000</v>
      </c>
      <c r="D777" s="4">
        <v>41142</v>
      </c>
      <c r="E777" s="4">
        <f>IF(DatiOriginali!E777 &gt;= SogliaPicchi!$B$9,"",DatiOriginali!E777)</f>
        <v>145900</v>
      </c>
      <c r="F777" s="4">
        <v>1149404</v>
      </c>
      <c r="G777" s="4">
        <f>IF(DatiOriginali!G777 &gt;= SogliaPicchi!$B$9,"",DatiOriginali!G777)</f>
        <v>133100</v>
      </c>
      <c r="H777" s="4">
        <v>1418519</v>
      </c>
      <c r="I777" s="4">
        <f>IF(DatiOriginali!I777 &gt;= SogliaPicchi!$B$9,"",DatiOriginali!I777)</f>
        <v>47600</v>
      </c>
      <c r="J777" s="4">
        <v>1410321</v>
      </c>
      <c r="K777" s="4">
        <f>IF(DatiOriginali!K777 &gt;= SogliaPicchi!$B$9,"",DatiOriginali!K777)</f>
        <v>48400</v>
      </c>
    </row>
    <row r="778" spans="1:11" x14ac:dyDescent="0.3">
      <c r="A778" s="4" t="s">
        <v>787</v>
      </c>
      <c r="B778" s="4">
        <v>79800</v>
      </c>
      <c r="C778" s="4">
        <f>IF(DatiOriginali!C778 &gt;= SogliaPicchi!$B$9,"",DatiOriginali!C778)</f>
        <v>539700</v>
      </c>
      <c r="D778" s="4">
        <v>41664</v>
      </c>
      <c r="E778" s="4">
        <f>IF(DatiOriginali!E778 &gt;= SogliaPicchi!$B$9,"",DatiOriginali!E778)</f>
        <v>147000</v>
      </c>
      <c r="F778" s="4">
        <v>1152366</v>
      </c>
      <c r="G778" s="4">
        <f>IF(DatiOriginali!G778 &gt;= SogliaPicchi!$B$9,"",DatiOriginali!G778)</f>
        <v>136800</v>
      </c>
      <c r="H778" s="4">
        <v>1422097</v>
      </c>
      <c r="I778" s="4">
        <f>IF(DatiOriginali!I778 &gt;= SogliaPicchi!$B$9,"",DatiOriginali!I778)</f>
        <v>47100</v>
      </c>
      <c r="J778" s="4">
        <v>1413974</v>
      </c>
      <c r="K778" s="4">
        <f>IF(DatiOriginali!K778 &gt;= SogliaPicchi!$B$9,"",DatiOriginali!K778)</f>
        <v>47900</v>
      </c>
    </row>
    <row r="779" spans="1:11" x14ac:dyDescent="0.3">
      <c r="A779" s="4" t="s">
        <v>788</v>
      </c>
      <c r="B779" s="4">
        <v>79800</v>
      </c>
      <c r="C779" s="4">
        <f>IF(DatiOriginali!C779 &gt;= SogliaPicchi!$B$9,"",DatiOriginali!C779)</f>
        <v>646400</v>
      </c>
      <c r="D779" s="4">
        <v>41736</v>
      </c>
      <c r="E779" s="4">
        <f>IF(DatiOriginali!E779 &gt;= SogliaPicchi!$B$9,"",DatiOriginali!E779)</f>
        <v>164300</v>
      </c>
      <c r="F779" s="4">
        <v>1155323</v>
      </c>
      <c r="G779" s="4">
        <f>IF(DatiOriginali!G779 &gt;= SogliaPicchi!$B$9,"",DatiOriginali!G779)</f>
        <v>151400</v>
      </c>
      <c r="H779" s="4">
        <v>1425762</v>
      </c>
      <c r="I779" s="4">
        <f>IF(DatiOriginali!I779 &gt;= SogliaPicchi!$B$9,"",DatiOriginali!I779)</f>
        <v>44900</v>
      </c>
      <c r="J779" s="4">
        <v>1417998</v>
      </c>
      <c r="K779" s="4">
        <f>IF(DatiOriginali!K779 &gt;= SogliaPicchi!$B$9,"",DatiOriginali!K779)</f>
        <v>51500</v>
      </c>
    </row>
    <row r="780" spans="1:11" x14ac:dyDescent="0.3">
      <c r="A780" s="4" t="s">
        <v>789</v>
      </c>
      <c r="B780" s="4">
        <v>79800</v>
      </c>
      <c r="C780" s="4">
        <f>IF(DatiOriginali!C780 &gt;= SogliaPicchi!$B$9,"",DatiOriginali!C780)</f>
        <v>536800</v>
      </c>
      <c r="D780" s="4">
        <v>42296</v>
      </c>
      <c r="E780" s="4">
        <f>IF(DatiOriginali!E780 &gt;= SogliaPicchi!$B$9,"",DatiOriginali!E780)</f>
        <v>149000</v>
      </c>
      <c r="F780" s="4">
        <v>1158275</v>
      </c>
      <c r="G780" s="4">
        <f>IF(DatiOriginali!G780 &gt;= SogliaPicchi!$B$9,"",DatiOriginali!G780)</f>
        <v>132500</v>
      </c>
      <c r="H780" s="4">
        <v>1429218</v>
      </c>
      <c r="I780" s="4">
        <f>IF(DatiOriginali!I780 &gt;= SogliaPicchi!$B$9,"",DatiOriginali!I780)</f>
        <v>47300</v>
      </c>
      <c r="J780" s="4">
        <v>1421781</v>
      </c>
      <c r="K780" s="4">
        <f>IF(DatiOriginali!K780 &gt;= SogliaPicchi!$B$9,"",DatiOriginali!K780)</f>
        <v>48500</v>
      </c>
    </row>
    <row r="781" spans="1:11" x14ac:dyDescent="0.3">
      <c r="A781" s="4" t="s">
        <v>790</v>
      </c>
      <c r="B781" s="4">
        <v>79800</v>
      </c>
      <c r="C781" s="4">
        <f>IF(DatiOriginali!C781 &gt;= SogliaPicchi!$B$9,"",DatiOriginali!C781)</f>
        <v>584500</v>
      </c>
      <c r="D781" s="4">
        <v>40434</v>
      </c>
      <c r="E781" s="4">
        <f>IF(DatiOriginali!E781 &gt;= SogliaPicchi!$B$9,"",DatiOriginali!E781)</f>
        <v>148600</v>
      </c>
      <c r="F781" s="4">
        <v>1161237</v>
      </c>
      <c r="G781" s="4">
        <f>IF(DatiOriginali!G781 &gt;= SogliaPicchi!$B$9,"",DatiOriginali!G781)</f>
        <v>140900</v>
      </c>
      <c r="H781" s="4">
        <v>1432784</v>
      </c>
      <c r="I781" s="4">
        <f>IF(DatiOriginali!I781 &gt;= SogliaPicchi!$B$9,"",DatiOriginali!I781)</f>
        <v>44200</v>
      </c>
      <c r="J781" s="4">
        <v>1425503</v>
      </c>
      <c r="K781" s="4">
        <f>IF(DatiOriginali!K781 &gt;= SogliaPicchi!$B$9,"",DatiOriginali!K781)</f>
        <v>48900</v>
      </c>
    </row>
    <row r="782" spans="1:11" x14ac:dyDescent="0.3">
      <c r="A782" s="4" t="s">
        <v>791</v>
      </c>
      <c r="B782" s="4">
        <v>79800</v>
      </c>
      <c r="C782" s="4">
        <f>IF(DatiOriginali!C782 &gt;= SogliaPicchi!$B$9,"",DatiOriginali!C782)</f>
        <v>513000</v>
      </c>
      <c r="D782" s="4">
        <v>37903</v>
      </c>
      <c r="E782" s="4">
        <f>IF(DatiOriginali!E782 &gt;= SogliaPicchi!$B$9,"",DatiOriginali!E782)</f>
        <v>139300</v>
      </c>
      <c r="F782" s="4">
        <v>1164221</v>
      </c>
      <c r="G782" s="4">
        <f>IF(DatiOriginali!G782 &gt;= SogliaPicchi!$B$9,"",DatiOriginali!G782)</f>
        <v>133500</v>
      </c>
      <c r="H782" s="4">
        <v>1436324</v>
      </c>
      <c r="I782" s="4">
        <f>IF(DatiOriginali!I782 &gt;= SogliaPicchi!$B$9,"",DatiOriginali!I782)</f>
        <v>43400</v>
      </c>
      <c r="J782" s="4">
        <v>1429430</v>
      </c>
      <c r="K782" s="4">
        <f>IF(DatiOriginali!K782 &gt;= SogliaPicchi!$B$9,"",DatiOriginali!K782)</f>
        <v>49600</v>
      </c>
    </row>
    <row r="783" spans="1:11" x14ac:dyDescent="0.3">
      <c r="A783" s="4" t="s">
        <v>792</v>
      </c>
      <c r="B783" s="4">
        <v>79800</v>
      </c>
      <c r="C783" s="4">
        <f>IF(DatiOriginali!C783 &gt;= SogliaPicchi!$B$9,"",DatiOriginali!C783)</f>
        <v>578300</v>
      </c>
      <c r="D783" s="4">
        <v>40893</v>
      </c>
      <c r="E783" s="4">
        <f>IF(DatiOriginali!E783 &gt;= SogliaPicchi!$B$9,"",DatiOriginali!E783)</f>
        <v>144300</v>
      </c>
      <c r="F783" s="4">
        <v>1167169</v>
      </c>
      <c r="G783" s="4">
        <f>IF(DatiOriginali!G783 &gt;= SogliaPicchi!$B$9,"",DatiOriginali!G783)</f>
        <v>133400</v>
      </c>
      <c r="H783" s="4">
        <v>1440124</v>
      </c>
      <c r="I783" s="4">
        <f>IF(DatiOriginali!I783 &gt;= SogliaPicchi!$B$9,"",DatiOriginali!I783)</f>
        <v>49900</v>
      </c>
      <c r="J783" s="4">
        <v>1433171</v>
      </c>
      <c r="K783" s="4">
        <f>IF(DatiOriginali!K783 &gt;= SogliaPicchi!$B$9,"",DatiOriginali!K783)</f>
        <v>50400</v>
      </c>
    </row>
    <row r="784" spans="1:11" x14ac:dyDescent="0.3">
      <c r="A784" s="4" t="s">
        <v>793</v>
      </c>
      <c r="B784" s="4">
        <v>79800</v>
      </c>
      <c r="C784" s="4">
        <f>IF(DatiOriginali!C784 &gt;= SogliaPicchi!$B$9,"",DatiOriginali!C784)</f>
        <v>636700</v>
      </c>
      <c r="D784" s="4">
        <v>41394</v>
      </c>
      <c r="E784" s="4">
        <f>IF(DatiOriginali!E784 &gt;= SogliaPicchi!$B$9,"",DatiOriginali!E784)</f>
        <v>176100</v>
      </c>
      <c r="F784" s="4">
        <v>1170108</v>
      </c>
      <c r="G784" s="4">
        <f>IF(DatiOriginali!G784 &gt;= SogliaPicchi!$B$9,"",DatiOriginali!G784)</f>
        <v>190900</v>
      </c>
      <c r="H784" s="4">
        <v>1443547</v>
      </c>
      <c r="I784" s="4">
        <f>IF(DatiOriginali!I784 &gt;= SogliaPicchi!$B$9,"",DatiOriginali!I784)</f>
        <v>53200</v>
      </c>
      <c r="J784" s="4">
        <v>1436788</v>
      </c>
      <c r="K784" s="4">
        <f>IF(DatiOriginali!K784 &gt;= SogliaPicchi!$B$9,"",DatiOriginali!K784)</f>
        <v>61300</v>
      </c>
    </row>
    <row r="785" spans="1:11" x14ac:dyDescent="0.3">
      <c r="A785" s="4" t="s">
        <v>794</v>
      </c>
      <c r="B785" s="4">
        <v>79800</v>
      </c>
      <c r="C785" s="4">
        <f>IF(DatiOriginali!C785 &gt;= SogliaPicchi!$B$9,"",DatiOriginali!C785)</f>
        <v>589900</v>
      </c>
      <c r="D785" s="4">
        <v>41423</v>
      </c>
      <c r="E785" s="4">
        <f>IF(DatiOriginali!E785 &gt;= SogliaPicchi!$B$9,"",DatiOriginali!E785)</f>
        <v>182700</v>
      </c>
      <c r="F785" s="4">
        <v>1173063</v>
      </c>
      <c r="G785" s="4">
        <f>IF(DatiOriginali!G785 &gt;= SogliaPicchi!$B$9,"",DatiOriginali!G785)</f>
        <v>171000</v>
      </c>
      <c r="H785" s="4">
        <v>1447767</v>
      </c>
      <c r="I785" s="4">
        <f>IF(DatiOriginali!I785 &gt;= SogliaPicchi!$B$9,"",DatiOriginali!I785)</f>
        <v>55400</v>
      </c>
      <c r="J785" s="4">
        <v>1440148</v>
      </c>
      <c r="K785" s="4">
        <f>IF(DatiOriginali!K785 &gt;= SogliaPicchi!$B$9,"",DatiOriginali!K785)</f>
        <v>60800</v>
      </c>
    </row>
    <row r="786" spans="1:11" x14ac:dyDescent="0.3">
      <c r="A786" s="4" t="s">
        <v>795</v>
      </c>
      <c r="B786" s="4">
        <v>79800</v>
      </c>
      <c r="C786" s="4">
        <f>IF(DatiOriginali!C786 &gt;= SogliaPicchi!$B$9,"",DatiOriginali!C786)</f>
        <v>614500</v>
      </c>
      <c r="D786" s="4">
        <v>39498</v>
      </c>
      <c r="E786" s="4">
        <f>IF(DatiOriginali!E786 &gt;= SogliaPicchi!$B$9,"",DatiOriginali!E786)</f>
        <v>140400</v>
      </c>
      <c r="F786" s="4">
        <v>1176019</v>
      </c>
      <c r="G786" s="4">
        <f>IF(DatiOriginali!G786 &gt;= SogliaPicchi!$B$9,"",DatiOriginali!G786)</f>
        <v>141100</v>
      </c>
      <c r="H786" s="4">
        <v>1451426</v>
      </c>
      <c r="I786" s="4">
        <f>IF(DatiOriginali!I786 &gt;= SogliaPicchi!$B$9,"",DatiOriginali!I786)</f>
        <v>43700</v>
      </c>
      <c r="J786" s="4">
        <v>1443952</v>
      </c>
      <c r="K786" s="4">
        <f>IF(DatiOriginali!K786 &gt;= SogliaPicchi!$B$9,"",DatiOriginali!K786)</f>
        <v>53700</v>
      </c>
    </row>
    <row r="787" spans="1:11" x14ac:dyDescent="0.3">
      <c r="A787" s="4" t="s">
        <v>796</v>
      </c>
      <c r="B787" s="4">
        <v>79800</v>
      </c>
      <c r="C787" s="4">
        <f>IF(DatiOriginali!C787 &gt;= SogliaPicchi!$B$9,"",DatiOriginali!C787)</f>
        <v>547000</v>
      </c>
      <c r="D787" s="4">
        <v>40177</v>
      </c>
      <c r="E787" s="4">
        <f>IF(DatiOriginali!E787 &gt;= SogliaPicchi!$B$9,"",DatiOriginali!E787)</f>
        <v>146500</v>
      </c>
      <c r="F787" s="4">
        <v>1178976</v>
      </c>
      <c r="G787" s="4">
        <f>IF(DatiOriginali!G787 &gt;= SogliaPicchi!$B$9,"",DatiOriginali!G787)</f>
        <v>133300</v>
      </c>
      <c r="H787" s="4">
        <v>1455080</v>
      </c>
      <c r="I787" s="4">
        <f>IF(DatiOriginali!I787 &gt;= SogliaPicchi!$B$9,"",DatiOriginali!I787)</f>
        <v>50100</v>
      </c>
      <c r="J787" s="4">
        <v>1447752</v>
      </c>
      <c r="K787" s="4">
        <f>IF(DatiOriginali!K787 &gt;= SogliaPicchi!$B$9,"",DatiOriginali!K787)</f>
        <v>50600</v>
      </c>
    </row>
    <row r="788" spans="1:11" x14ac:dyDescent="0.3">
      <c r="A788" s="4" t="s">
        <v>797</v>
      </c>
      <c r="B788" s="4">
        <v>79800</v>
      </c>
      <c r="C788" s="4">
        <f>IF(DatiOriginali!C788 &gt;= SogliaPicchi!$B$9,"",DatiOriginali!C788)</f>
        <v>595300</v>
      </c>
      <c r="D788" s="4">
        <v>39386</v>
      </c>
      <c r="E788" s="4">
        <f>IF(DatiOriginali!E788 &gt;= SogliaPicchi!$B$9,"",DatiOriginali!E788)</f>
        <v>167800</v>
      </c>
      <c r="F788" s="4">
        <v>1181939</v>
      </c>
      <c r="G788" s="4">
        <f>IF(DatiOriginali!G788 &gt;= SogliaPicchi!$B$9,"",DatiOriginali!G788)</f>
        <v>151200</v>
      </c>
      <c r="H788" s="4">
        <v>1458795</v>
      </c>
      <c r="I788" s="4">
        <f>IF(DatiOriginali!I788 &gt;= SogliaPicchi!$B$9,"",DatiOriginali!I788)</f>
        <v>44600</v>
      </c>
      <c r="J788" s="4">
        <v>1451039</v>
      </c>
      <c r="K788" s="4">
        <f>IF(DatiOriginali!K788 &gt;= SogliaPicchi!$B$9,"",DatiOriginali!K788)</f>
        <v>51300</v>
      </c>
    </row>
    <row r="789" spans="1:11" x14ac:dyDescent="0.3">
      <c r="A789" s="4" t="s">
        <v>798</v>
      </c>
      <c r="B789" s="4">
        <v>79800</v>
      </c>
      <c r="C789" s="4">
        <f>IF(DatiOriginali!C789 &gt;= SogliaPicchi!$B$9,"",DatiOriginali!C789)</f>
        <v>550700</v>
      </c>
      <c r="D789" s="4">
        <v>39616</v>
      </c>
      <c r="E789" s="4">
        <f>IF(DatiOriginali!E789 &gt;= SogliaPicchi!$B$9,"",DatiOriginali!E789)</f>
        <v>147000</v>
      </c>
      <c r="F789" s="4">
        <v>1184901</v>
      </c>
      <c r="G789" s="4">
        <f>IF(DatiOriginali!G789 &gt;= SogliaPicchi!$B$9,"",DatiOriginali!G789)</f>
        <v>144900</v>
      </c>
      <c r="H789" s="4">
        <v>1462374</v>
      </c>
      <c r="I789" s="4">
        <f>IF(DatiOriginali!I789 &gt;= SogliaPicchi!$B$9,"",DatiOriginali!I789)</f>
        <v>51900</v>
      </c>
      <c r="J789" s="4">
        <v>1454574</v>
      </c>
      <c r="K789" s="4">
        <f>IF(DatiOriginali!K789 &gt;= SogliaPicchi!$B$9,"",DatiOriginali!K789)</f>
        <v>63000</v>
      </c>
    </row>
    <row r="790" spans="1:11" x14ac:dyDescent="0.3">
      <c r="A790" s="4" t="s">
        <v>799</v>
      </c>
      <c r="B790" s="4">
        <v>79800</v>
      </c>
      <c r="C790" s="4">
        <f>IF(DatiOriginali!C790 &gt;= SogliaPicchi!$B$9,"",DatiOriginali!C790)</f>
        <v>479900</v>
      </c>
      <c r="D790" s="4">
        <v>39279</v>
      </c>
      <c r="E790" s="4">
        <f>IF(DatiOriginali!E790 &gt;= SogliaPicchi!$B$9,"",DatiOriginali!E790)</f>
        <v>143800</v>
      </c>
      <c r="F790" s="4">
        <v>1187850</v>
      </c>
      <c r="G790" s="4">
        <f>IF(DatiOriginali!G790 &gt;= SogliaPicchi!$B$9,"",DatiOriginali!G790)</f>
        <v>135800</v>
      </c>
      <c r="H790" s="4">
        <v>1466047</v>
      </c>
      <c r="I790" s="4">
        <f>IF(DatiOriginali!I790 &gt;= SogliaPicchi!$B$9,"",DatiOriginali!I790)</f>
        <v>42700</v>
      </c>
      <c r="J790" s="4">
        <v>1457916</v>
      </c>
      <c r="K790" s="4">
        <f>IF(DatiOriginali!K790 &gt;= SogliaPicchi!$B$9,"",DatiOriginali!K790)</f>
        <v>52900</v>
      </c>
    </row>
    <row r="791" spans="1:11" x14ac:dyDescent="0.3">
      <c r="A791" s="4" t="s">
        <v>800</v>
      </c>
      <c r="B791" s="4">
        <v>79800</v>
      </c>
      <c r="C791" s="4">
        <f>IF(DatiOriginali!C791 &gt;= SogliaPicchi!$B$9,"",DatiOriginali!C791)</f>
        <v>662700</v>
      </c>
      <c r="D791" s="4">
        <v>39650</v>
      </c>
      <c r="E791" s="4">
        <f>IF(DatiOriginali!E791 &gt;= SogliaPicchi!$B$9,"",DatiOriginali!E791)</f>
        <v>168800</v>
      </c>
      <c r="F791" s="4">
        <v>1190817</v>
      </c>
      <c r="G791" s="4">
        <f>IF(DatiOriginali!G791 &gt;= SogliaPicchi!$B$9,"",DatiOriginali!G791)</f>
        <v>147000</v>
      </c>
      <c r="H791" s="4">
        <v>1469491</v>
      </c>
      <c r="I791" s="4">
        <f>IF(DatiOriginali!I791 &gt;= SogliaPicchi!$B$9,"",DatiOriginali!I791)</f>
        <v>43800</v>
      </c>
      <c r="J791" s="4">
        <v>1461701</v>
      </c>
      <c r="K791" s="4">
        <f>IF(DatiOriginali!K791 &gt;= SogliaPicchi!$B$9,"",DatiOriginali!K791)</f>
        <v>50600</v>
      </c>
    </row>
    <row r="792" spans="1:11" x14ac:dyDescent="0.3">
      <c r="A792" s="4" t="s">
        <v>801</v>
      </c>
      <c r="B792" s="4">
        <v>79800</v>
      </c>
      <c r="C792" s="4">
        <f>IF(DatiOriginali!C792 &gt;= SogliaPicchi!$B$9,"",DatiOriginali!C792)</f>
        <v>631500</v>
      </c>
      <c r="D792" s="4">
        <v>37671</v>
      </c>
      <c r="E792" s="4">
        <f>IF(DatiOriginali!E792 &gt;= SogliaPicchi!$B$9,"",DatiOriginali!E792)</f>
        <v>173100</v>
      </c>
      <c r="F792" s="4">
        <v>1193796</v>
      </c>
      <c r="G792" s="4">
        <f>IF(DatiOriginali!G792 &gt;= SogliaPicchi!$B$9,"",DatiOriginali!G792)</f>
        <v>214400</v>
      </c>
      <c r="H792" s="4">
        <v>1473273</v>
      </c>
      <c r="I792" s="4">
        <f>IF(DatiOriginali!I792 &gt;= SogliaPicchi!$B$9,"",DatiOriginali!I792)</f>
        <v>54000</v>
      </c>
      <c r="J792" s="4">
        <v>1465817</v>
      </c>
      <c r="K792" s="4">
        <f>IF(DatiOriginali!K792 &gt;= SogliaPicchi!$B$9,"",DatiOriginali!K792)</f>
        <v>60700</v>
      </c>
    </row>
    <row r="793" spans="1:11" x14ac:dyDescent="0.3">
      <c r="A793" s="4" t="s">
        <v>802</v>
      </c>
      <c r="B793" s="4">
        <v>79800</v>
      </c>
      <c r="C793" s="4">
        <f>IF(DatiOriginali!C793 &gt;= SogliaPicchi!$B$9,"",DatiOriginali!C793)</f>
        <v>555600</v>
      </c>
      <c r="D793" s="4">
        <v>40119</v>
      </c>
      <c r="E793" s="4">
        <f>IF(DatiOriginali!E793 &gt;= SogliaPicchi!$B$9,"",DatiOriginali!E793)</f>
        <v>141600</v>
      </c>
      <c r="F793" s="4">
        <v>1196742</v>
      </c>
      <c r="G793" s="4">
        <f>IF(DatiOriginali!G793 &gt;= SogliaPicchi!$B$9,"",DatiOriginali!G793)</f>
        <v>135200</v>
      </c>
      <c r="H793" s="4">
        <v>1476830</v>
      </c>
      <c r="I793" s="4">
        <f>IF(DatiOriginali!I793 &gt;= SogliaPicchi!$B$9,"",DatiOriginali!I793)</f>
        <v>45000</v>
      </c>
      <c r="J793" s="4">
        <v>1469653</v>
      </c>
      <c r="K793" s="4">
        <f>IF(DatiOriginali!K793 &gt;= SogliaPicchi!$B$9,"",DatiOriginali!K793)</f>
        <v>52000</v>
      </c>
    </row>
    <row r="794" spans="1:11" x14ac:dyDescent="0.3">
      <c r="A794" s="4" t="s">
        <v>803</v>
      </c>
      <c r="B794" s="4">
        <v>79800</v>
      </c>
      <c r="C794" s="4">
        <f>IF(DatiOriginali!C794 &gt;= SogliaPicchi!$B$9,"",DatiOriginali!C794)</f>
        <v>533600</v>
      </c>
      <c r="D794" s="4">
        <v>39549</v>
      </c>
      <c r="E794" s="4">
        <f>IF(DatiOriginali!E794 &gt;= SogliaPicchi!$B$9,"",DatiOriginali!E794)</f>
        <v>140700</v>
      </c>
      <c r="F794" s="4">
        <v>1199715</v>
      </c>
      <c r="G794" s="4">
        <f>IF(DatiOriginali!G794 &gt;= SogliaPicchi!$B$9,"",DatiOriginali!G794)</f>
        <v>133700</v>
      </c>
      <c r="H794" s="4">
        <v>1480648</v>
      </c>
      <c r="I794" s="4">
        <f>IF(DatiOriginali!I794 &gt;= SogliaPicchi!$B$9,"",DatiOriginali!I794)</f>
        <v>47600</v>
      </c>
      <c r="J794" s="4">
        <v>1473072</v>
      </c>
      <c r="K794" s="4">
        <f>IF(DatiOriginali!K794 &gt;= SogliaPicchi!$B$9,"",DatiOriginali!K794)</f>
        <v>49100</v>
      </c>
    </row>
    <row r="795" spans="1:11" x14ac:dyDescent="0.3">
      <c r="A795" s="4" t="s">
        <v>804</v>
      </c>
      <c r="B795" s="4">
        <v>79800</v>
      </c>
      <c r="C795" s="4">
        <f>IF(DatiOriginali!C795 &gt;= SogliaPicchi!$B$9,"",DatiOriginali!C795)</f>
        <v>496600</v>
      </c>
      <c r="D795" s="4">
        <v>39523</v>
      </c>
      <c r="E795" s="4">
        <f>IF(DatiOriginali!E795 &gt;= SogliaPicchi!$B$9,"",DatiOriginali!E795)</f>
        <v>140200</v>
      </c>
      <c r="F795" s="4">
        <v>1202691</v>
      </c>
      <c r="G795" s="4">
        <f>IF(DatiOriginali!G795 &gt;= SogliaPicchi!$B$9,"",DatiOriginali!G795)</f>
        <v>132200</v>
      </c>
      <c r="H795" s="4">
        <v>1484445</v>
      </c>
      <c r="I795" s="4">
        <f>IF(DatiOriginali!I795 &gt;= SogliaPicchi!$B$9,"",DatiOriginali!I795)</f>
        <v>43700</v>
      </c>
      <c r="J795" s="4">
        <v>1476739</v>
      </c>
      <c r="K795" s="4">
        <f>IF(DatiOriginali!K795 &gt;= SogliaPicchi!$B$9,"",DatiOriginali!K795)</f>
        <v>57700</v>
      </c>
    </row>
    <row r="796" spans="1:11" x14ac:dyDescent="0.3">
      <c r="A796" s="4" t="s">
        <v>805</v>
      </c>
      <c r="B796" s="4">
        <v>79800</v>
      </c>
      <c r="C796" s="4">
        <f>IF(DatiOriginali!C796 &gt;= SogliaPicchi!$B$9,"",DatiOriginali!C796)</f>
        <v>517700</v>
      </c>
      <c r="D796" s="4">
        <v>39876</v>
      </c>
      <c r="E796" s="4">
        <f>IF(DatiOriginali!E796 &gt;= SogliaPicchi!$B$9,"",DatiOriginali!E796)</f>
        <v>141600</v>
      </c>
      <c r="F796" s="4">
        <v>1205651</v>
      </c>
      <c r="G796" s="4">
        <f>IF(DatiOriginali!G796 &gt;= SogliaPicchi!$B$9,"",DatiOriginali!G796)</f>
        <v>133900</v>
      </c>
      <c r="H796" s="4">
        <v>1487901</v>
      </c>
      <c r="I796" s="4">
        <f>IF(DatiOriginali!I796 &gt;= SogliaPicchi!$B$9,"",DatiOriginali!I796)</f>
        <v>44300</v>
      </c>
      <c r="J796" s="4">
        <v>1480397</v>
      </c>
      <c r="K796" s="4">
        <f>IF(DatiOriginali!K796 &gt;= SogliaPicchi!$B$9,"",DatiOriginali!K796)</f>
        <v>52700</v>
      </c>
    </row>
    <row r="797" spans="1:11" x14ac:dyDescent="0.3">
      <c r="A797" s="4" t="s">
        <v>806</v>
      </c>
      <c r="B797" s="4">
        <v>79800</v>
      </c>
      <c r="C797" s="4">
        <f>IF(DatiOriginali!C797 &gt;= SogliaPicchi!$B$9,"",DatiOriginali!C797)</f>
        <v>562700</v>
      </c>
      <c r="D797" s="4">
        <v>40222</v>
      </c>
      <c r="E797" s="4">
        <f>IF(DatiOriginali!E797 &gt;= SogliaPicchi!$B$9,"",DatiOriginali!E797)</f>
        <v>142600</v>
      </c>
      <c r="F797" s="4">
        <v>1208629</v>
      </c>
      <c r="G797" s="4">
        <f>IF(DatiOriginali!G797 &gt;= SogliaPicchi!$B$9,"",DatiOriginali!G797)</f>
        <v>139500</v>
      </c>
      <c r="H797" s="4">
        <v>1491784</v>
      </c>
      <c r="I797" s="4">
        <f>IF(DatiOriginali!I797 &gt;= SogliaPicchi!$B$9,"",DatiOriginali!I797)</f>
        <v>47900</v>
      </c>
      <c r="J797" s="4">
        <v>1483826</v>
      </c>
      <c r="K797" s="4">
        <f>IF(DatiOriginali!K797 &gt;= SogliaPicchi!$B$9,"",DatiOriginali!K797)</f>
        <v>48600</v>
      </c>
    </row>
    <row r="798" spans="1:11" x14ac:dyDescent="0.3">
      <c r="A798" s="4" t="s">
        <v>807</v>
      </c>
      <c r="B798" s="4">
        <v>79800</v>
      </c>
      <c r="C798" s="4">
        <f>IF(DatiOriginali!C798 &gt;= SogliaPicchi!$B$9,"",DatiOriginali!C798)</f>
        <v>553800</v>
      </c>
      <c r="D798" s="4">
        <v>37695</v>
      </c>
      <c r="E798" s="4">
        <f>IF(DatiOriginali!E798 &gt;= SogliaPicchi!$B$9,"",DatiOriginali!E798)</f>
        <v>137800</v>
      </c>
      <c r="F798" s="4">
        <v>1211603</v>
      </c>
      <c r="G798" s="4">
        <f>IF(DatiOriginali!G798 &gt;= SogliaPicchi!$B$9,"",DatiOriginali!G798)</f>
        <v>132300</v>
      </c>
      <c r="H798" s="4">
        <v>1496135</v>
      </c>
      <c r="I798" s="4">
        <f>IF(DatiOriginali!I798 &gt;= SogliaPicchi!$B$9,"",DatiOriginali!I798)</f>
        <v>46900</v>
      </c>
      <c r="J798" s="4">
        <v>1487274</v>
      </c>
      <c r="K798" s="4">
        <f>IF(DatiOriginali!K798 &gt;= SogliaPicchi!$B$9,"",DatiOriginali!K798)</f>
        <v>47200</v>
      </c>
    </row>
    <row r="799" spans="1:11" x14ac:dyDescent="0.3">
      <c r="A799" s="4" t="s">
        <v>808</v>
      </c>
      <c r="B799" s="4">
        <v>79800</v>
      </c>
      <c r="C799" s="4">
        <f>IF(DatiOriginali!C799 &gt;= SogliaPicchi!$B$9,"",DatiOriginali!C799)</f>
        <v>545400</v>
      </c>
      <c r="D799" s="4">
        <v>37675</v>
      </c>
      <c r="E799" s="4">
        <f>IF(DatiOriginali!E799 &gt;= SogliaPicchi!$B$9,"",DatiOriginali!E799)</f>
        <v>134000</v>
      </c>
      <c r="F799" s="4">
        <v>1214573</v>
      </c>
      <c r="G799" s="4">
        <f>IF(DatiOriginali!G799 &gt;= SogliaPicchi!$B$9,"",DatiOriginali!G799)</f>
        <v>132400</v>
      </c>
      <c r="H799" s="4">
        <v>1499752</v>
      </c>
      <c r="I799" s="4">
        <f>IF(DatiOriginali!I799 &gt;= SogliaPicchi!$B$9,"",DatiOriginali!I799)</f>
        <v>44700</v>
      </c>
      <c r="J799" s="4">
        <v>1491121</v>
      </c>
      <c r="K799" s="4">
        <f>IF(DatiOriginali!K799 &gt;= SogliaPicchi!$B$9,"",DatiOriginali!K799)</f>
        <v>49800</v>
      </c>
    </row>
    <row r="800" spans="1:11" x14ac:dyDescent="0.3">
      <c r="A800" s="4" t="s">
        <v>809</v>
      </c>
      <c r="B800" s="4">
        <v>79800</v>
      </c>
      <c r="C800" s="4">
        <f>IF(DatiOriginali!C800 &gt;= SogliaPicchi!$B$9,"",DatiOriginali!C800)</f>
        <v>615000</v>
      </c>
      <c r="D800" s="4">
        <v>40878</v>
      </c>
      <c r="E800" s="4">
        <f>IF(DatiOriginali!E800 &gt;= SogliaPicchi!$B$9,"",DatiOriginali!E800)</f>
        <v>145100</v>
      </c>
      <c r="F800" s="4">
        <v>1217524</v>
      </c>
      <c r="G800" s="4">
        <f>IF(DatiOriginali!G800 &gt;= SogliaPicchi!$B$9,"",DatiOriginali!G800)</f>
        <v>136100</v>
      </c>
      <c r="H800" s="4">
        <v>1503502</v>
      </c>
      <c r="I800" s="4">
        <f>IF(DatiOriginali!I800 &gt;= SogliaPicchi!$B$9,"",DatiOriginali!I800)</f>
        <v>45800</v>
      </c>
      <c r="J800" s="4">
        <v>1494754</v>
      </c>
      <c r="K800" s="4">
        <f>IF(DatiOriginali!K800 &gt;= SogliaPicchi!$B$9,"",DatiOriginali!K800)</f>
        <v>52500</v>
      </c>
    </row>
    <row r="801" spans="1:11" x14ac:dyDescent="0.3">
      <c r="A801" s="4" t="s">
        <v>810</v>
      </c>
      <c r="B801" s="4">
        <v>79800</v>
      </c>
      <c r="C801" s="4">
        <f>IF(DatiOriginali!C801 &gt;= SogliaPicchi!$B$9,"",DatiOriginali!C801)</f>
        <v>650400</v>
      </c>
      <c r="D801" s="4">
        <v>40096</v>
      </c>
      <c r="E801" s="4">
        <f>IF(DatiOriginali!E801 &gt;= SogliaPicchi!$B$9,"",DatiOriginali!E801)</f>
        <v>170300</v>
      </c>
      <c r="F801" s="4">
        <v>1220477</v>
      </c>
      <c r="G801" s="4">
        <f>IF(DatiOriginali!G801 &gt;= SogliaPicchi!$B$10,"",DatiOriginali!G801)</f>
        <v>171700</v>
      </c>
      <c r="H801" s="4">
        <v>1507050</v>
      </c>
      <c r="I801" s="4">
        <f>IF(DatiOriginali!I801 &gt;= SogliaPicchi!$B$10,"",DatiOriginali!I801)</f>
        <v>53100</v>
      </c>
      <c r="J801" s="4">
        <v>1498127</v>
      </c>
      <c r="K801" s="4">
        <f>IF(DatiOriginali!K801 &gt;= SogliaPicchi!$B$10,"",DatiOriginali!K801)</f>
        <v>60700</v>
      </c>
    </row>
    <row r="802" spans="1:11" x14ac:dyDescent="0.3">
      <c r="A802" s="4" t="s">
        <v>811</v>
      </c>
      <c r="B802" s="4">
        <v>101025</v>
      </c>
      <c r="C802" s="4">
        <f>IF(DatiOriginali!C802 &gt;= SogliaPicchi!$B$10,"",DatiOriginali!C802)</f>
        <v>726500</v>
      </c>
      <c r="D802" s="4">
        <v>50061</v>
      </c>
      <c r="E802" s="4">
        <f>IF(DatiOriginali!E802 &gt;= SogliaPicchi!$B$10,"",DatiOriginali!E802)</f>
        <v>185300</v>
      </c>
      <c r="F802" s="4">
        <v>1223897</v>
      </c>
      <c r="G802" s="4">
        <f>IF(DatiOriginali!G802 &gt;= SogliaPicchi!$B$10,"",DatiOriginali!G802)</f>
        <v>156600</v>
      </c>
      <c r="H802" s="4">
        <v>1511744</v>
      </c>
      <c r="I802" s="4">
        <f>IF(DatiOriginali!I802 &gt;= SogliaPicchi!$B$10,"",DatiOriginali!I802)</f>
        <v>53400</v>
      </c>
      <c r="J802" s="4">
        <v>1502989</v>
      </c>
      <c r="K802" s="4">
        <f>IF(DatiOriginali!K802 &gt;= SogliaPicchi!$B$10,"",DatiOriginali!K802)</f>
        <v>55300</v>
      </c>
    </row>
    <row r="803" spans="1:11" x14ac:dyDescent="0.3">
      <c r="A803" s="4" t="s">
        <v>812</v>
      </c>
      <c r="B803" s="4">
        <v>101025</v>
      </c>
      <c r="C803" s="4">
        <f>IF(DatiOriginali!C803 &gt;= SogliaPicchi!$B$10,"",DatiOriginali!C803)</f>
        <v>684200</v>
      </c>
      <c r="D803" s="4">
        <v>51476</v>
      </c>
      <c r="E803" s="4">
        <f>IF(DatiOriginali!E803 &gt;= SogliaPicchi!$B$10,"",DatiOriginali!E803)</f>
        <v>185000</v>
      </c>
      <c r="F803" s="4">
        <v>1227309</v>
      </c>
      <c r="G803" s="4">
        <f>IF(DatiOriginali!G803 &gt;= SogliaPicchi!$B$10,"",DatiOriginali!G803)</f>
        <v>157900</v>
      </c>
      <c r="H803" s="4">
        <v>1515782</v>
      </c>
      <c r="I803" s="4">
        <f>IF(DatiOriginali!I803 &gt;= SogliaPicchi!$B$10,"",DatiOriginali!I803)</f>
        <v>50600</v>
      </c>
      <c r="J803" s="4">
        <v>1507003</v>
      </c>
      <c r="K803" s="4">
        <f>IF(DatiOriginali!K803 &gt;= SogliaPicchi!$B$10,"",DatiOriginali!K803)</f>
        <v>56000</v>
      </c>
    </row>
    <row r="804" spans="1:11" x14ac:dyDescent="0.3">
      <c r="A804" s="4" t="s">
        <v>813</v>
      </c>
      <c r="B804" s="4">
        <v>101025</v>
      </c>
      <c r="C804" s="4">
        <f>IF(DatiOriginali!C804 &gt;= SogliaPicchi!$B$10,"",DatiOriginali!C804)</f>
        <v>677100</v>
      </c>
      <c r="D804" s="4">
        <v>51114</v>
      </c>
      <c r="E804" s="4">
        <f>IF(DatiOriginali!E804 &gt;= SogliaPicchi!$B$10,"",DatiOriginali!E804)</f>
        <v>182000</v>
      </c>
      <c r="F804" s="4">
        <v>1230713</v>
      </c>
      <c r="G804" s="4">
        <f>IF(DatiOriginali!G804 &gt;= SogliaPicchi!$B$10,"",DatiOriginali!G804)</f>
        <v>188500</v>
      </c>
      <c r="H804" s="4">
        <v>1519843</v>
      </c>
      <c r="I804" s="4">
        <f>IF(DatiOriginali!I804 &gt;= SogliaPicchi!$B$10,"",DatiOriginali!I804)</f>
        <v>49000</v>
      </c>
      <c r="J804" s="4">
        <v>1510892</v>
      </c>
      <c r="K804" s="4">
        <f>IF(DatiOriginali!K804 &gt;= SogliaPicchi!$B$10,"",DatiOriginali!K804)</f>
        <v>54800</v>
      </c>
    </row>
    <row r="805" spans="1:11" x14ac:dyDescent="0.3">
      <c r="A805" s="4" t="s">
        <v>814</v>
      </c>
      <c r="B805" s="4">
        <v>101025</v>
      </c>
      <c r="C805" s="4">
        <f>IF(DatiOriginali!C805 &gt;= SogliaPicchi!$B$10,"",DatiOriginali!C805)</f>
        <v>831200</v>
      </c>
      <c r="D805" s="4">
        <v>52611</v>
      </c>
      <c r="E805" s="4">
        <f>IF(DatiOriginali!E805 &gt;= SogliaPicchi!$B$10,"",DatiOriginali!E805)</f>
        <v>233000</v>
      </c>
      <c r="F805" s="4">
        <v>1234104</v>
      </c>
      <c r="G805" s="4">
        <f>IF(DatiOriginali!G805 &gt;= SogliaPicchi!$B$10,"",DatiOriginali!G805)</f>
        <v>188400</v>
      </c>
      <c r="H805" s="4">
        <v>1523877</v>
      </c>
      <c r="I805" s="4">
        <f>IF(DatiOriginali!I805 &gt;= SogliaPicchi!$B$10,"",DatiOriginali!I805)</f>
        <v>63700</v>
      </c>
      <c r="J805" s="4">
        <v>1515307</v>
      </c>
      <c r="K805" s="4">
        <f>IF(DatiOriginali!K805 &gt;= SogliaPicchi!$B$10,"",DatiOriginali!K805)</f>
        <v>72200</v>
      </c>
    </row>
    <row r="806" spans="1:11" x14ac:dyDescent="0.3">
      <c r="A806" s="4" t="s">
        <v>815</v>
      </c>
      <c r="B806" s="4">
        <v>101025</v>
      </c>
      <c r="C806" s="4">
        <f>IF(DatiOriginali!C806 &gt;= SogliaPicchi!$B$10,"",DatiOriginali!C806)</f>
        <v>672400</v>
      </c>
      <c r="D806" s="4">
        <v>53316</v>
      </c>
      <c r="E806" s="4">
        <f>IF(DatiOriginali!E806 &gt;= SogliaPicchi!$B$10,"",DatiOriginali!E806)</f>
        <v>192400</v>
      </c>
      <c r="F806" s="4">
        <v>1237517</v>
      </c>
      <c r="G806" s="4">
        <f>IF(DatiOriginali!G806 &gt;= SogliaPicchi!$B$10,"",DatiOriginali!G806)</f>
        <v>159700</v>
      </c>
      <c r="H806" s="4">
        <v>1528558</v>
      </c>
      <c r="I806" s="4">
        <f>IF(DatiOriginali!I806 &gt;= SogliaPicchi!$B$10,"",DatiOriginali!I806)</f>
        <v>49900</v>
      </c>
      <c r="J806" s="4">
        <v>1519398</v>
      </c>
      <c r="K806" s="4">
        <f>IF(DatiOriginali!K806 &gt;= SogliaPicchi!$B$10,"",DatiOriginali!K806)</f>
        <v>57800</v>
      </c>
    </row>
    <row r="807" spans="1:11" x14ac:dyDescent="0.3">
      <c r="A807" s="4" t="s">
        <v>816</v>
      </c>
      <c r="B807" s="4">
        <v>101025</v>
      </c>
      <c r="C807" s="4">
        <f>IF(DatiOriginali!C807 &gt;= SogliaPicchi!$B$10,"",DatiOriginali!C807)</f>
        <v>872300</v>
      </c>
      <c r="D807" s="4">
        <v>52782</v>
      </c>
      <c r="E807" s="4">
        <f>IF(DatiOriginali!E807 &gt;= SogliaPicchi!$B$10,"",DatiOriginali!E807)</f>
        <v>231000</v>
      </c>
      <c r="F807" s="4">
        <v>1240916</v>
      </c>
      <c r="G807" s="4">
        <f>IF(DatiOriginali!G807 &gt;= SogliaPicchi!$B$10,"",DatiOriginali!G807)</f>
        <v>181700</v>
      </c>
      <c r="H807" s="4">
        <v>1533349</v>
      </c>
      <c r="I807" s="4">
        <f>IF(DatiOriginali!I807 &gt;= SogliaPicchi!$B$10,"",DatiOriginali!I807)</f>
        <v>61800</v>
      </c>
      <c r="J807" s="4">
        <v>1523740</v>
      </c>
      <c r="K807" s="4">
        <f>IF(DatiOriginali!K807 &gt;= SogliaPicchi!$B$10,"",DatiOriginali!K807)</f>
        <v>60700</v>
      </c>
    </row>
    <row r="808" spans="1:11" x14ac:dyDescent="0.3">
      <c r="A808" s="4" t="s">
        <v>817</v>
      </c>
      <c r="B808" s="4">
        <v>101025</v>
      </c>
      <c r="C808" s="4">
        <f>IF(DatiOriginali!C808 &gt;= SogliaPicchi!$B$10,"",DatiOriginali!C808)</f>
        <v>789200</v>
      </c>
      <c r="D808" s="4">
        <v>51363</v>
      </c>
      <c r="E808" s="4">
        <f>IF(DatiOriginali!E808 &gt;= SogliaPicchi!$B$10,"",DatiOriginali!E808)</f>
        <v>228200</v>
      </c>
      <c r="F808" s="4">
        <v>1244324</v>
      </c>
      <c r="G808" s="4">
        <f>IF(DatiOriginali!G808 &gt;= SogliaPicchi!$B$10,"",DatiOriginali!G808)</f>
        <v>182500</v>
      </c>
      <c r="H808" s="4">
        <v>1537662</v>
      </c>
      <c r="I808" s="4">
        <f>IF(DatiOriginali!I808 &gt;= SogliaPicchi!$B$10,"",DatiOriginali!I808)</f>
        <v>61000</v>
      </c>
      <c r="J808" s="4">
        <v>1527957</v>
      </c>
      <c r="K808" s="4">
        <f>IF(DatiOriginali!K808 &gt;= SogliaPicchi!$B$10,"",DatiOriginali!K808)</f>
        <v>69700</v>
      </c>
    </row>
    <row r="809" spans="1:11" x14ac:dyDescent="0.3">
      <c r="A809" s="4" t="s">
        <v>818</v>
      </c>
      <c r="B809" s="4">
        <v>101025</v>
      </c>
      <c r="C809" s="4">
        <f>IF(DatiOriginali!C809 &gt;= SogliaPicchi!$B$10,"",DatiOriginali!C809)</f>
        <v>677300</v>
      </c>
      <c r="D809" s="4">
        <v>50358</v>
      </c>
      <c r="E809" s="4">
        <f>IF(DatiOriginali!E809 &gt;= SogliaPicchi!$B$10,"",DatiOriginali!E809)</f>
        <v>177100</v>
      </c>
      <c r="F809" s="4">
        <v>1247738</v>
      </c>
      <c r="G809" s="4">
        <f>IF(DatiOriginali!G809 &gt;= SogliaPicchi!$B$10,"",DatiOriginali!G809)</f>
        <v>161400</v>
      </c>
      <c r="H809" s="4">
        <v>1541530</v>
      </c>
      <c r="I809" s="4">
        <f>IF(DatiOriginali!I809 &gt;= SogliaPicchi!$B$10,"",DatiOriginali!I809)</f>
        <v>49500</v>
      </c>
      <c r="J809" s="4">
        <v>1531790</v>
      </c>
      <c r="K809" s="4">
        <f>IF(DatiOriginali!K809 &gt;= SogliaPicchi!$B$10,"",DatiOriginali!K809)</f>
        <v>57300</v>
      </c>
    </row>
    <row r="810" spans="1:11" x14ac:dyDescent="0.3">
      <c r="A810" s="4" t="s">
        <v>819</v>
      </c>
      <c r="B810" s="4">
        <v>101025</v>
      </c>
      <c r="C810" s="4">
        <f>IF(DatiOriginali!C810 &gt;= SogliaPicchi!$B$10,"",DatiOriginali!C810)</f>
        <v>660500</v>
      </c>
      <c r="D810" s="4">
        <v>51641</v>
      </c>
      <c r="E810" s="4">
        <f>IF(DatiOriginali!E810 &gt;= SogliaPicchi!$B$10,"",DatiOriginali!E810)</f>
        <v>181900</v>
      </c>
      <c r="F810" s="4">
        <v>1251148</v>
      </c>
      <c r="G810" s="4">
        <f>IF(DatiOriginali!G810 &gt;= SogliaPicchi!$B$10,"",DatiOriginali!G810)</f>
        <v>160800</v>
      </c>
      <c r="H810" s="4">
        <v>1545740</v>
      </c>
      <c r="I810" s="4">
        <f>IF(DatiOriginali!I810 &gt;= SogliaPicchi!$B$10,"",DatiOriginali!I810)</f>
        <v>49200</v>
      </c>
      <c r="J810" s="4">
        <v>1536065</v>
      </c>
      <c r="K810" s="4">
        <f>IF(DatiOriginali!K810 &gt;= SogliaPicchi!$B$10,"",DatiOriginali!K810)</f>
        <v>57200</v>
      </c>
    </row>
    <row r="811" spans="1:11" x14ac:dyDescent="0.3">
      <c r="A811" s="4" t="s">
        <v>820</v>
      </c>
      <c r="B811" s="4">
        <v>101025</v>
      </c>
      <c r="C811" s="4">
        <f>IF(DatiOriginali!C811 &gt;= SogliaPicchi!$B$10,"",DatiOriginali!C811)</f>
        <v>700800</v>
      </c>
      <c r="D811" s="4">
        <v>49704</v>
      </c>
      <c r="E811" s="4">
        <f>IF(DatiOriginali!E811 &gt;= SogliaPicchi!$B$10,"",DatiOriginali!E811)</f>
        <v>175100</v>
      </c>
      <c r="F811" s="4">
        <v>1254558</v>
      </c>
      <c r="G811" s="4">
        <f>IF(DatiOriginali!G811 &gt;= SogliaPicchi!$B$10,"",DatiOriginali!G811)</f>
        <v>159600</v>
      </c>
      <c r="H811" s="4">
        <v>1550302</v>
      </c>
      <c r="I811" s="4">
        <f>IF(DatiOriginali!I811 &gt;= SogliaPicchi!$B$10,"",DatiOriginali!I811)</f>
        <v>50600</v>
      </c>
      <c r="J811" s="4">
        <v>1539983</v>
      </c>
      <c r="K811" s="4">
        <f>IF(DatiOriginali!K811 &gt;= SogliaPicchi!$B$10,"",DatiOriginali!K811)</f>
        <v>55000</v>
      </c>
    </row>
    <row r="812" spans="1:11" x14ac:dyDescent="0.3">
      <c r="A812" s="4" t="s">
        <v>821</v>
      </c>
      <c r="B812" s="4">
        <v>101025</v>
      </c>
      <c r="C812" s="4">
        <f>IF(DatiOriginali!C812 &gt;= SogliaPicchi!$B$10,"",DatiOriginali!C812)</f>
        <v>671900</v>
      </c>
      <c r="D812" s="4">
        <v>52118</v>
      </c>
      <c r="E812" s="4">
        <f>IF(DatiOriginali!E812 &gt;= SogliaPicchi!$B$10,"",DatiOriginali!E812)</f>
        <v>183500</v>
      </c>
      <c r="F812" s="4">
        <v>1257959</v>
      </c>
      <c r="G812" s="4">
        <f>IF(DatiOriginali!G812 &gt;= SogliaPicchi!$B$10,"",DatiOriginali!G812)</f>
        <v>158900</v>
      </c>
      <c r="H812" s="4">
        <v>1554733</v>
      </c>
      <c r="I812" s="4">
        <f>IF(DatiOriginali!I812 &gt;= SogliaPicchi!$B$10,"",DatiOriginali!I812)</f>
        <v>50400</v>
      </c>
      <c r="J812" s="4">
        <v>1544441</v>
      </c>
      <c r="K812" s="4">
        <f>IF(DatiOriginali!K812 &gt;= SogliaPicchi!$B$10,"",DatiOriginali!K812)</f>
        <v>54500</v>
      </c>
    </row>
    <row r="813" spans="1:11" x14ac:dyDescent="0.3">
      <c r="A813" s="4" t="s">
        <v>822</v>
      </c>
      <c r="B813" s="4">
        <v>101025</v>
      </c>
      <c r="C813" s="4">
        <f>IF(DatiOriginali!C813 &gt;= SogliaPicchi!$B$10,"",DatiOriginali!C813)</f>
        <v>717100</v>
      </c>
      <c r="D813" s="4">
        <v>50745</v>
      </c>
      <c r="E813" s="4">
        <f>IF(DatiOriginali!E813 &gt;= SogliaPicchi!$B$10,"",DatiOriginali!E813)</f>
        <v>178000</v>
      </c>
      <c r="F813" s="4">
        <v>1261351</v>
      </c>
      <c r="G813" s="4">
        <f>IF(DatiOriginali!G813 &gt;= SogliaPicchi!$B$10,"",DatiOriginali!G813)</f>
        <v>154900</v>
      </c>
      <c r="H813" s="4">
        <v>1559136</v>
      </c>
      <c r="I813" s="4">
        <f>IF(DatiOriginali!I813 &gt;= SogliaPicchi!$B$10,"",DatiOriginali!I813)</f>
        <v>48800</v>
      </c>
      <c r="J813" s="4">
        <v>1548545</v>
      </c>
      <c r="K813" s="4">
        <f>IF(DatiOriginali!K813 &gt;= SogliaPicchi!$B$10,"",DatiOriginali!K813)</f>
        <v>56800</v>
      </c>
    </row>
    <row r="814" spans="1:11" x14ac:dyDescent="0.3">
      <c r="A814" s="4" t="s">
        <v>823</v>
      </c>
      <c r="B814" s="4">
        <v>101025</v>
      </c>
      <c r="C814" s="4">
        <f>IF(DatiOriginali!C814 &gt;= SogliaPicchi!$B$10,"",DatiOriginali!C814)</f>
        <v>694400</v>
      </c>
      <c r="D814" s="4">
        <v>49749</v>
      </c>
      <c r="E814" s="4">
        <f>IF(DatiOriginali!E814 &gt;= SogliaPicchi!$B$10,"",DatiOriginali!E814)</f>
        <v>179900</v>
      </c>
      <c r="F814" s="4">
        <v>1264760</v>
      </c>
      <c r="G814" s="4">
        <f>IF(DatiOriginali!G814 &gt;= SogliaPicchi!$B$10,"",DatiOriginali!G814)</f>
        <v>151700</v>
      </c>
      <c r="H814" s="4">
        <v>1563236</v>
      </c>
      <c r="I814" s="4">
        <f>IF(DatiOriginali!I814 &gt;= SogliaPicchi!$B$10,"",DatiOriginali!I814)</f>
        <v>47600</v>
      </c>
      <c r="J814" s="4">
        <v>1553168</v>
      </c>
      <c r="K814" s="4">
        <f>IF(DatiOriginali!K814 &gt;= SogliaPicchi!$B$10,"",DatiOriginali!K814)</f>
        <v>56000</v>
      </c>
    </row>
    <row r="815" spans="1:11" x14ac:dyDescent="0.3">
      <c r="A815" s="4" t="s">
        <v>824</v>
      </c>
      <c r="B815" s="4">
        <v>101025</v>
      </c>
      <c r="C815" s="4">
        <f>IF(DatiOriginali!C815 &gt;= SogliaPicchi!$B$10,"",DatiOriginali!C815)</f>
        <v>698800</v>
      </c>
      <c r="D815" s="4">
        <v>52263</v>
      </c>
      <c r="E815" s="4">
        <f>IF(DatiOriginali!E815 &gt;= SogliaPicchi!$B$10,"",DatiOriginali!E815)</f>
        <v>184800</v>
      </c>
      <c r="F815" s="4">
        <v>1268170</v>
      </c>
      <c r="G815" s="4">
        <f>IF(DatiOriginali!G815 &gt;= SogliaPicchi!$B$10,"",DatiOriginali!G815)</f>
        <v>204500</v>
      </c>
      <c r="H815" s="4">
        <v>1567272</v>
      </c>
      <c r="I815" s="4">
        <f>IF(DatiOriginali!I815 &gt;= SogliaPicchi!$B$10,"",DatiOriginali!I815)</f>
        <v>51600</v>
      </c>
      <c r="J815" s="4">
        <v>1557389</v>
      </c>
      <c r="K815" s="4">
        <f>IF(DatiOriginali!K815 &gt;= SogliaPicchi!$B$10,"",DatiOriginali!K815)</f>
        <v>57900</v>
      </c>
    </row>
    <row r="816" spans="1:11" x14ac:dyDescent="0.3">
      <c r="A816" s="4" t="s">
        <v>825</v>
      </c>
      <c r="B816" s="4">
        <v>101025</v>
      </c>
      <c r="C816" s="4">
        <f>IF(DatiOriginali!C816 &gt;= SogliaPicchi!$B$10,"",DatiOriginali!C816)</f>
        <v>846400</v>
      </c>
      <c r="D816" s="4">
        <v>50274</v>
      </c>
      <c r="E816" s="4">
        <f>IF(DatiOriginali!E816 &gt;= SogliaPicchi!$B$10,"",DatiOriginali!E816)</f>
        <v>222100</v>
      </c>
      <c r="F816" s="4">
        <v>1271561</v>
      </c>
      <c r="G816" s="4">
        <f>IF(DatiOriginali!G816 &gt;= SogliaPicchi!$B$10,"",DatiOriginali!G816)</f>
        <v>187800</v>
      </c>
      <c r="H816" s="4">
        <v>1571531</v>
      </c>
      <c r="I816" s="4">
        <f>IF(DatiOriginali!I816 &gt;= SogliaPicchi!$B$10,"",DatiOriginali!I816)</f>
        <v>64200</v>
      </c>
      <c r="J816" s="4">
        <v>1561586</v>
      </c>
      <c r="K816" s="4">
        <f>IF(DatiOriginali!K816 &gt;= SogliaPicchi!$B$10,"",DatiOriginali!K816)</f>
        <v>73200</v>
      </c>
    </row>
    <row r="817" spans="1:11" x14ac:dyDescent="0.3">
      <c r="A817" s="4" t="s">
        <v>826</v>
      </c>
      <c r="B817" s="4">
        <v>101025</v>
      </c>
      <c r="C817" s="4">
        <f>IF(DatiOriginali!C817 &gt;= SogliaPicchi!$B$10,"",DatiOriginali!C817)</f>
        <v>682100</v>
      </c>
      <c r="D817" s="4">
        <v>50796</v>
      </c>
      <c r="E817" s="4">
        <f>IF(DatiOriginali!E817 &gt;= SogliaPicchi!$B$10,"",DatiOriginali!E817)</f>
        <v>178400</v>
      </c>
      <c r="F817" s="4">
        <v>1274976</v>
      </c>
      <c r="G817" s="4">
        <f>IF(DatiOriginali!G817 &gt;= SogliaPicchi!$B$10,"",DatiOriginali!G817)</f>
        <v>160900</v>
      </c>
      <c r="H817" s="4">
        <v>1576788</v>
      </c>
      <c r="I817" s="4">
        <f>IF(DatiOriginali!I817 &gt;= SogliaPicchi!$B$10,"",DatiOriginali!I817)</f>
        <v>52600</v>
      </c>
      <c r="J817" s="4">
        <v>1565747</v>
      </c>
      <c r="K817" s="4">
        <f>IF(DatiOriginali!K817 &gt;= SogliaPicchi!$B$10,"",DatiOriginali!K817)</f>
        <v>57800</v>
      </c>
    </row>
    <row r="818" spans="1:11" x14ac:dyDescent="0.3">
      <c r="A818" s="4" t="s">
        <v>827</v>
      </c>
      <c r="B818" s="4">
        <v>101025</v>
      </c>
      <c r="C818" s="4">
        <f>IF(DatiOriginali!C818 &gt;= SogliaPicchi!$B$10,"",DatiOriginali!C818)</f>
        <v>671200</v>
      </c>
      <c r="D818" s="4">
        <v>53523</v>
      </c>
      <c r="E818" s="4">
        <f>IF(DatiOriginali!E818 &gt;= SogliaPicchi!$B$10,"",DatiOriginali!E818)</f>
        <v>192300</v>
      </c>
      <c r="F818" s="4">
        <v>1278408</v>
      </c>
      <c r="G818" s="4">
        <f>IF(DatiOriginali!G818 &gt;= SogliaPicchi!$B$10,"",DatiOriginali!G818)</f>
        <v>159100</v>
      </c>
      <c r="H818" s="4">
        <v>1580906</v>
      </c>
      <c r="I818" s="4">
        <f>IF(DatiOriginali!I818 &gt;= SogliaPicchi!$B$10,"",DatiOriginali!I818)</f>
        <v>49100</v>
      </c>
      <c r="J818" s="4">
        <v>1570444</v>
      </c>
      <c r="K818" s="4">
        <f>IF(DatiOriginali!K818 &gt;= SogliaPicchi!$B$10,"",DatiOriginali!K818)</f>
        <v>56900</v>
      </c>
    </row>
    <row r="819" spans="1:11" x14ac:dyDescent="0.3">
      <c r="A819" s="4" t="s">
        <v>828</v>
      </c>
      <c r="B819" s="4">
        <v>101025</v>
      </c>
      <c r="C819" s="4">
        <f>IF(DatiOriginali!C819 &gt;= SogliaPicchi!$B$10,"",DatiOriginali!C819)</f>
        <v>789200</v>
      </c>
      <c r="D819" s="4">
        <v>49434</v>
      </c>
      <c r="E819" s="4">
        <f>IF(DatiOriginali!E819 &gt;= SogliaPicchi!$B$10,"",DatiOriginali!E819)</f>
        <v>214800</v>
      </c>
      <c r="F819" s="4">
        <v>1281823</v>
      </c>
      <c r="G819" s="4">
        <f>IF(DatiOriginali!G819 &gt;= SogliaPicchi!$B$10,"",DatiOriginali!G819)</f>
        <v>183000</v>
      </c>
      <c r="H819" s="4">
        <v>1584887</v>
      </c>
      <c r="I819" s="4">
        <f>IF(DatiOriginali!I819 &gt;= SogliaPicchi!$B$10,"",DatiOriginali!I819)</f>
        <v>60900</v>
      </c>
      <c r="J819" s="4">
        <v>1575021</v>
      </c>
      <c r="K819" s="4">
        <f>IF(DatiOriginali!K819 &gt;= SogliaPicchi!$B$10,"",DatiOriginali!K819)</f>
        <v>74400</v>
      </c>
    </row>
    <row r="820" spans="1:11" x14ac:dyDescent="0.3">
      <c r="A820" s="4" t="s">
        <v>829</v>
      </c>
      <c r="B820" s="4">
        <v>101025</v>
      </c>
      <c r="C820" s="4">
        <f>IF(DatiOriginali!C820 &gt;= SogliaPicchi!$B$10,"",DatiOriginali!C820)</f>
        <v>830200</v>
      </c>
      <c r="D820" s="4">
        <v>51956</v>
      </c>
      <c r="E820" s="4">
        <f>IF(DatiOriginali!E820 &gt;= SogliaPicchi!$B$10,"",DatiOriginali!E820)</f>
        <v>189200</v>
      </c>
      <c r="F820" s="4">
        <v>1285214</v>
      </c>
      <c r="G820" s="4">
        <f>IF(DatiOriginali!G820 &gt;= SogliaPicchi!$B$10,"",DatiOriginali!G820)</f>
        <v>160100</v>
      </c>
      <c r="H820" s="4">
        <v>1588818</v>
      </c>
      <c r="I820" s="4">
        <f>IF(DatiOriginali!I820 &gt;= SogliaPicchi!$B$10,"",DatiOriginali!I820)</f>
        <v>50900</v>
      </c>
      <c r="J820" s="4">
        <v>1579205</v>
      </c>
      <c r="K820" s="4">
        <f>IF(DatiOriginali!K820 &gt;= SogliaPicchi!$B$10,"",DatiOriginali!K820)</f>
        <v>58800</v>
      </c>
    </row>
    <row r="821" spans="1:11" x14ac:dyDescent="0.3">
      <c r="A821" s="4" t="s">
        <v>830</v>
      </c>
      <c r="B821" s="4">
        <v>101025</v>
      </c>
      <c r="C821" s="4">
        <f>IF(DatiOriginali!C821 &gt;= SogliaPicchi!$B$10,"",DatiOriginali!C821)</f>
        <v>656100</v>
      </c>
      <c r="D821" s="4">
        <v>50298</v>
      </c>
      <c r="E821" s="4">
        <f>IF(DatiOriginali!E821 &gt;= SogliaPicchi!$B$10,"",DatiOriginali!E821)</f>
        <v>182800</v>
      </c>
      <c r="F821" s="4">
        <v>1288619</v>
      </c>
      <c r="G821" s="4">
        <f>IF(DatiOriginali!G821 &gt;= SogliaPicchi!$B$10,"",DatiOriginali!G821)</f>
        <v>163700</v>
      </c>
      <c r="H821" s="4">
        <v>1593186</v>
      </c>
      <c r="I821" s="4">
        <f>IF(DatiOriginali!I821 &gt;= SogliaPicchi!$B$10,"",DatiOriginali!I821)</f>
        <v>52100</v>
      </c>
      <c r="J821" s="4">
        <v>1583198</v>
      </c>
      <c r="K821" s="4">
        <f>IF(DatiOriginali!K821 &gt;= SogliaPicchi!$B$10,"",DatiOriginali!K821)</f>
        <v>57000</v>
      </c>
    </row>
    <row r="822" spans="1:11" x14ac:dyDescent="0.3">
      <c r="A822" s="4" t="s">
        <v>831</v>
      </c>
      <c r="B822" s="4">
        <v>101025</v>
      </c>
      <c r="C822" s="4">
        <f>IF(DatiOriginali!C822 &gt;= SogliaPicchi!$B$10,"",DatiOriginali!C822)</f>
        <v>715900</v>
      </c>
      <c r="D822" s="4">
        <v>48702</v>
      </c>
      <c r="E822" s="4">
        <f>IF(DatiOriginali!E822 &gt;= SogliaPicchi!$B$10,"",DatiOriginali!E822)</f>
        <v>176900</v>
      </c>
      <c r="F822" s="4">
        <v>1292047</v>
      </c>
      <c r="G822" s="4">
        <f>IF(DatiOriginali!G822 &gt;= SogliaPicchi!$B$10,"",DatiOriginali!G822)</f>
        <v>156300</v>
      </c>
      <c r="H822" s="4">
        <v>1597701</v>
      </c>
      <c r="I822" s="4">
        <f>IF(DatiOriginali!I822 &gt;= SogliaPicchi!$B$10,"",DatiOriginali!I822)</f>
        <v>49400</v>
      </c>
      <c r="J822" s="4">
        <v>1587592</v>
      </c>
      <c r="K822" s="4">
        <f>IF(DatiOriginali!K822 &gt;= SogliaPicchi!$B$10,"",DatiOriginali!K822)</f>
        <v>58300</v>
      </c>
    </row>
    <row r="823" spans="1:11" x14ac:dyDescent="0.3">
      <c r="A823" s="4" t="s">
        <v>832</v>
      </c>
      <c r="B823" s="4">
        <v>101025</v>
      </c>
      <c r="C823" s="4">
        <f>IF(DatiOriginali!C823 &gt;= SogliaPicchi!$B$10,"",DatiOriginali!C823)</f>
        <v>791000</v>
      </c>
      <c r="D823" s="4">
        <v>50728</v>
      </c>
      <c r="E823" s="4">
        <f>IF(DatiOriginali!E823 &gt;= SogliaPicchi!$B$10,"",DatiOriginali!E823)</f>
        <v>215500</v>
      </c>
      <c r="F823" s="4">
        <v>1295456</v>
      </c>
      <c r="G823" s="4">
        <f>IF(DatiOriginali!G823 &gt;= SogliaPicchi!$B$10,"",DatiOriginali!G823)</f>
        <v>183700</v>
      </c>
      <c r="H823" s="4">
        <v>1602609</v>
      </c>
      <c r="I823" s="4">
        <f>IF(DatiOriginali!I823 &gt;= SogliaPicchi!$B$10,"",DatiOriginali!I823)</f>
        <v>67200</v>
      </c>
      <c r="J823" s="4">
        <v>1592106</v>
      </c>
      <c r="K823" s="4">
        <f>IF(DatiOriginali!K823 &gt;= SogliaPicchi!$B$10,"",DatiOriginali!K823)</f>
        <v>72300</v>
      </c>
    </row>
    <row r="824" spans="1:11" x14ac:dyDescent="0.3">
      <c r="A824" s="4" t="s">
        <v>833</v>
      </c>
      <c r="B824" s="4">
        <v>101025</v>
      </c>
      <c r="C824" s="4">
        <f>IF(DatiOriginali!C824 &gt;= SogliaPicchi!$B$10,"",DatiOriginali!C824)</f>
        <v>876200</v>
      </c>
      <c r="D824" s="4">
        <v>53694</v>
      </c>
      <c r="E824" s="4">
        <f>IF(DatiOriginali!E824 &gt;= SogliaPicchi!$B$10,"",DatiOriginali!E824)</f>
        <v>212600</v>
      </c>
      <c r="F824" s="4">
        <v>1298858</v>
      </c>
      <c r="G824" s="4">
        <f>IF(DatiOriginali!G824 &gt;= SogliaPicchi!$B$10,"",DatiOriginali!G824)</f>
        <v>152200</v>
      </c>
      <c r="H824" s="4">
        <v>1607129</v>
      </c>
      <c r="I824" s="4">
        <f>IF(DatiOriginali!I824 &gt;= SogliaPicchi!$B$10,"",DatiOriginali!I824)</f>
        <v>51300</v>
      </c>
      <c r="J824" s="4">
        <v>1596248</v>
      </c>
      <c r="K824" s="4">
        <f>IF(DatiOriginali!K824 &gt;= SogliaPicchi!$B$10,"",DatiOriginali!K824)</f>
        <v>57400</v>
      </c>
    </row>
    <row r="825" spans="1:11" x14ac:dyDescent="0.3">
      <c r="A825" s="4" t="s">
        <v>834</v>
      </c>
      <c r="B825" s="4">
        <v>101025</v>
      </c>
      <c r="C825" s="4">
        <f>IF(DatiOriginali!C825 &gt;= SogliaPicchi!$B$10,"",DatiOriginali!C825)</f>
        <v>787900</v>
      </c>
      <c r="D825" s="4">
        <v>48304</v>
      </c>
      <c r="E825" s="4">
        <f>IF(DatiOriginali!E825 &gt;= SogliaPicchi!$B$10,"",DatiOriginali!E825)</f>
        <v>216000</v>
      </c>
      <c r="F825" s="4">
        <v>1302271</v>
      </c>
      <c r="G825" s="4">
        <f>IF(DatiOriginali!G825 &gt;= SogliaPicchi!$B$10,"",DatiOriginali!G825)</f>
        <v>182800</v>
      </c>
      <c r="H825" s="4">
        <v>1611506</v>
      </c>
      <c r="I825" s="4">
        <f>IF(DatiOriginali!I825 &gt;= SogliaPicchi!$B$10,"",DatiOriginali!I825)</f>
        <v>60300</v>
      </c>
      <c r="J825" s="4">
        <v>1600314</v>
      </c>
      <c r="K825" s="4">
        <f>IF(DatiOriginali!K825 &gt;= SogliaPicchi!$B$10,"",DatiOriginali!K825)</f>
        <v>68800</v>
      </c>
    </row>
    <row r="826" spans="1:11" x14ac:dyDescent="0.3">
      <c r="A826" s="4" t="s">
        <v>835</v>
      </c>
      <c r="B826" s="4">
        <v>101025</v>
      </c>
      <c r="C826" s="4">
        <f>IF(DatiOriginali!C826 &gt;= SogliaPicchi!$B$10,"",DatiOriginali!C826)</f>
        <v>684000</v>
      </c>
      <c r="D826" s="4">
        <v>48387</v>
      </c>
      <c r="E826" s="4">
        <f>IF(DatiOriginali!E826 &gt;= SogliaPicchi!$B$10,"",DatiOriginali!E826)</f>
        <v>174800</v>
      </c>
      <c r="F826" s="4">
        <v>1305659</v>
      </c>
      <c r="G826" s="4">
        <f>IF(DatiOriginali!G826 &gt;= SogliaPicchi!$B$10,"",DatiOriginali!G826)</f>
        <v>172000</v>
      </c>
      <c r="H826" s="4">
        <v>1615472</v>
      </c>
      <c r="I826" s="4">
        <f>IF(DatiOriginali!I826 &gt;= SogliaPicchi!$B$10,"",DatiOriginali!I826)</f>
        <v>49400</v>
      </c>
      <c r="J826" s="4">
        <v>1604467</v>
      </c>
      <c r="K826" s="4">
        <f>IF(DatiOriginali!K826 &gt;= SogliaPicchi!$B$10,"",DatiOriginali!K826)</f>
        <v>57700</v>
      </c>
    </row>
    <row r="827" spans="1:11" x14ac:dyDescent="0.3">
      <c r="A827" s="4" t="s">
        <v>836</v>
      </c>
      <c r="B827" s="4">
        <v>101025</v>
      </c>
      <c r="C827" s="4">
        <f>IF(DatiOriginali!C827 &gt;= SogliaPicchi!$B$10,"",DatiOriginali!C827)</f>
        <v>861200</v>
      </c>
      <c r="D827" s="4">
        <v>51109</v>
      </c>
      <c r="E827" s="4">
        <f>IF(DatiOriginali!E827 &gt;= SogliaPicchi!$B$10,"",DatiOriginali!E827)</f>
        <v>309200</v>
      </c>
      <c r="F827" s="4">
        <v>1309064</v>
      </c>
      <c r="G827" s="4">
        <f>IF(DatiOriginali!G827 &gt;= SogliaPicchi!$B$10,"",DatiOriginali!G827)</f>
        <v>226200</v>
      </c>
      <c r="H827" s="4">
        <v>1620235</v>
      </c>
      <c r="I827" s="4">
        <f>IF(DatiOriginali!I827 &gt;= SogliaPicchi!$B$10,"",DatiOriginali!I827)</f>
        <v>68700</v>
      </c>
      <c r="J827" s="4">
        <v>1608420</v>
      </c>
      <c r="K827" s="4">
        <f>IF(DatiOriginali!K827 &gt;= SogliaPicchi!$B$10,"",DatiOriginali!K827)</f>
        <v>71800</v>
      </c>
    </row>
    <row r="828" spans="1:11" x14ac:dyDescent="0.3">
      <c r="A828" s="4" t="s">
        <v>837</v>
      </c>
      <c r="B828" s="4">
        <v>101025</v>
      </c>
      <c r="C828" s="4">
        <f>IF(DatiOriginali!C828 &gt;= SogliaPicchi!$B$10,"",DatiOriginali!C828)</f>
        <v>799700</v>
      </c>
      <c r="D828" s="4">
        <v>50010</v>
      </c>
      <c r="E828" s="4">
        <f>IF(DatiOriginali!E828 &gt;= SogliaPicchi!$B$10,"",DatiOriginali!E828)</f>
        <v>285500</v>
      </c>
      <c r="F828" s="4">
        <v>1312478</v>
      </c>
      <c r="G828" s="4">
        <f>IF(DatiOriginali!G828 &gt;= SogliaPicchi!$B$10,"",DatiOriginali!G828)</f>
        <v>223100</v>
      </c>
      <c r="H828" s="4">
        <v>1624341</v>
      </c>
      <c r="I828" s="4">
        <f>IF(DatiOriginali!I828 &gt;= SogliaPicchi!$B$10,"",DatiOriginali!I828)</f>
        <v>68900</v>
      </c>
      <c r="J828" s="4">
        <v>1612676</v>
      </c>
      <c r="K828" s="4">
        <f>IF(DatiOriginali!K828 &gt;= SogliaPicchi!$B$10,"",DatiOriginali!K828)</f>
        <v>77200</v>
      </c>
    </row>
    <row r="829" spans="1:11" x14ac:dyDescent="0.3">
      <c r="A829" s="4" t="s">
        <v>838</v>
      </c>
      <c r="B829" s="4">
        <v>101025</v>
      </c>
      <c r="C829" s="4">
        <f>IF(DatiOriginali!C829 &gt;= SogliaPicchi!$B$10,"",DatiOriginali!C829)</f>
        <v>747200</v>
      </c>
      <c r="D829" s="4">
        <v>50639</v>
      </c>
      <c r="E829" s="4">
        <f>IF(DatiOriginali!E829 &gt;= SogliaPicchi!$B$10,"",DatiOriginali!E829)</f>
        <v>188900</v>
      </c>
      <c r="F829" s="4">
        <v>1315855</v>
      </c>
      <c r="G829" s="4">
        <f>IF(DatiOriginali!G829 &gt;= SogliaPicchi!$B$10,"",DatiOriginali!G829)</f>
        <v>152100</v>
      </c>
      <c r="H829" s="4">
        <v>1629156</v>
      </c>
      <c r="I829" s="4">
        <f>IF(DatiOriginali!I829 &gt;= SogliaPicchi!$B$10,"",DatiOriginali!I829)</f>
        <v>53100</v>
      </c>
      <c r="J829" s="4">
        <v>1616904</v>
      </c>
      <c r="K829" s="4">
        <f>IF(DatiOriginali!K829 &gt;= SogliaPicchi!$B$10,"",DatiOriginali!K829)</f>
        <v>59700</v>
      </c>
    </row>
    <row r="830" spans="1:11" x14ac:dyDescent="0.3">
      <c r="A830" s="4" t="s">
        <v>839</v>
      </c>
      <c r="B830" s="4">
        <v>101025</v>
      </c>
      <c r="C830" s="4">
        <f>IF(DatiOriginali!C830 &gt;= SogliaPicchi!$B$10,"",DatiOriginali!C830)</f>
        <v>683300</v>
      </c>
      <c r="D830" s="4">
        <v>50619</v>
      </c>
      <c r="E830" s="4">
        <f>IF(DatiOriginali!E830 &gt;= SogliaPicchi!$B$10,"",DatiOriginali!E830)</f>
        <v>179400</v>
      </c>
      <c r="F830" s="4">
        <v>1319260</v>
      </c>
      <c r="G830" s="4">
        <f>IF(DatiOriginali!G830 &gt;= SogliaPicchi!$B$10,"",DatiOriginali!G830)</f>
        <v>169700</v>
      </c>
      <c r="H830" s="4">
        <v>1633355</v>
      </c>
      <c r="I830" s="4">
        <f>IF(DatiOriginali!I830 &gt;= SogliaPicchi!$B$10,"",DatiOriginali!I830)</f>
        <v>50000</v>
      </c>
      <c r="J830" s="4">
        <v>1620819</v>
      </c>
      <c r="K830" s="4">
        <f>IF(DatiOriginali!K830 &gt;= SogliaPicchi!$B$10,"",DatiOriginali!K830)</f>
        <v>54900</v>
      </c>
    </row>
    <row r="831" spans="1:11" x14ac:dyDescent="0.3">
      <c r="A831" s="4" t="s">
        <v>840</v>
      </c>
      <c r="B831" s="4">
        <v>101025</v>
      </c>
      <c r="C831" s="4">
        <f>IF(DatiOriginali!C831 &gt;= SogliaPicchi!$B$10,"",DatiOriginali!C831)</f>
        <v>653700</v>
      </c>
      <c r="D831" s="4">
        <v>50177</v>
      </c>
      <c r="E831" s="4">
        <f>IF(DatiOriginali!E831 &gt;= SogliaPicchi!$B$10,"",DatiOriginali!E831)</f>
        <v>177800</v>
      </c>
      <c r="F831" s="4">
        <v>1322661</v>
      </c>
      <c r="G831" s="4">
        <f>IF(DatiOriginali!G831 &gt;= SogliaPicchi!$B$10,"",DatiOriginali!G831)</f>
        <v>164400</v>
      </c>
      <c r="H831" s="4">
        <v>1637378</v>
      </c>
      <c r="I831" s="4">
        <f>IF(DatiOriginali!I831 &gt;= SogliaPicchi!$B$10,"",DatiOriginali!I831)</f>
        <v>50500</v>
      </c>
      <c r="J831" s="4">
        <v>1625132</v>
      </c>
      <c r="K831" s="4">
        <f>IF(DatiOriginali!K831 &gt;= SogliaPicchi!$B$10,"",DatiOriginali!K831)</f>
        <v>57400</v>
      </c>
    </row>
    <row r="832" spans="1:11" x14ac:dyDescent="0.3">
      <c r="A832" s="4" t="s">
        <v>841</v>
      </c>
      <c r="B832" s="4">
        <v>101025</v>
      </c>
      <c r="C832" s="4">
        <f>IF(DatiOriginali!C832 &gt;= SogliaPicchi!$B$10,"",DatiOriginali!C832)</f>
        <v>834800</v>
      </c>
      <c r="D832" s="4">
        <v>51778</v>
      </c>
      <c r="E832" s="4">
        <f>IF(DatiOriginali!E832 &gt;= SogliaPicchi!$B$10,"",DatiOriginali!E832)</f>
        <v>190600</v>
      </c>
      <c r="F832" s="4">
        <v>1326069</v>
      </c>
      <c r="G832" s="4">
        <f>IF(DatiOriginali!G832 &gt;= SogliaPicchi!$B$10,"",DatiOriginali!G832)</f>
        <v>152700</v>
      </c>
      <c r="H832" s="4">
        <v>1641738</v>
      </c>
      <c r="I832" s="4">
        <f>IF(DatiOriginali!I832 &gt;= SogliaPicchi!$B$10,"",DatiOriginali!I832)</f>
        <v>51700</v>
      </c>
      <c r="J832" s="4">
        <v>1629285</v>
      </c>
      <c r="K832" s="4">
        <f>IF(DatiOriginali!K832 &gt;= SogliaPicchi!$B$10,"",DatiOriginali!K832)</f>
        <v>58100</v>
      </c>
    </row>
    <row r="833" spans="1:11" x14ac:dyDescent="0.3">
      <c r="A833" s="4" t="s">
        <v>842</v>
      </c>
      <c r="B833" s="4">
        <v>101025</v>
      </c>
      <c r="C833" s="4">
        <f>IF(DatiOriginali!C833 &gt;= SogliaPicchi!$B$10,"",DatiOriginali!C833)</f>
        <v>838700</v>
      </c>
      <c r="D833" s="4">
        <v>52923</v>
      </c>
      <c r="E833" s="4">
        <f>IF(DatiOriginali!E833 &gt;= SogliaPicchi!$B$10,"",DatiOriginali!E833)</f>
        <v>238200</v>
      </c>
      <c r="F833" s="4">
        <v>1329474</v>
      </c>
      <c r="G833" s="4">
        <f>IF(DatiOriginali!G833 &gt;= SogliaPicchi!$B$10,"",DatiOriginali!G833)</f>
        <v>184100</v>
      </c>
      <c r="H833" s="4">
        <v>1645708</v>
      </c>
      <c r="I833" s="4">
        <f>IF(DatiOriginali!I833 &gt;= SogliaPicchi!$B$10,"",DatiOriginali!I833)</f>
        <v>61100</v>
      </c>
      <c r="J833" s="4">
        <v>1633254</v>
      </c>
      <c r="K833" s="4">
        <f>IF(DatiOriginali!K833 &gt;= SogliaPicchi!$B$10,"",DatiOriginali!K833)</f>
        <v>69100</v>
      </c>
    </row>
    <row r="834" spans="1:11" x14ac:dyDescent="0.3">
      <c r="A834" s="4" t="s">
        <v>843</v>
      </c>
      <c r="B834" s="4">
        <v>101025</v>
      </c>
      <c r="C834" s="4">
        <f>IF(DatiOriginali!C834 &gt;= SogliaPicchi!$B$10,"",DatiOriginali!C834)</f>
        <v>833700</v>
      </c>
      <c r="D834" s="4">
        <v>50654</v>
      </c>
      <c r="E834" s="4">
        <f>IF(DatiOriginali!E834 &gt;= SogliaPicchi!$B$10,"",DatiOriginali!E834)</f>
        <v>209300</v>
      </c>
      <c r="F834" s="4">
        <v>1332869</v>
      </c>
      <c r="G834" s="4">
        <f>IF(DatiOriginali!G834 &gt;= SogliaPicchi!$B$10,"",DatiOriginali!G834)</f>
        <v>153100</v>
      </c>
      <c r="H834" s="4">
        <v>1650061</v>
      </c>
      <c r="I834" s="4">
        <f>IF(DatiOriginali!I834 &gt;= SogliaPicchi!$B$10,"",DatiOriginali!I834)</f>
        <v>49700</v>
      </c>
      <c r="J834" s="4">
        <v>1637295</v>
      </c>
      <c r="K834" s="4">
        <f>IF(DatiOriginali!K834 &gt;= SogliaPicchi!$B$10,"",DatiOriginali!K834)</f>
        <v>57200</v>
      </c>
    </row>
    <row r="835" spans="1:11" x14ac:dyDescent="0.3">
      <c r="A835" s="4" t="s">
        <v>844</v>
      </c>
      <c r="B835" s="4">
        <v>101025</v>
      </c>
      <c r="C835" s="4">
        <f>IF(DatiOriginali!C835 &gt;= SogliaPicchi!$B$10,"",DatiOriginali!C835)</f>
        <v>649200</v>
      </c>
      <c r="D835" s="4">
        <v>53460</v>
      </c>
      <c r="E835" s="4">
        <f>IF(DatiOriginali!E835 &gt;= SogliaPicchi!$B$10,"",DatiOriginali!E835)</f>
        <v>187700</v>
      </c>
      <c r="F835" s="4">
        <v>1336299</v>
      </c>
      <c r="G835" s="4">
        <f>IF(DatiOriginali!G835 &gt;= SogliaPicchi!$B$10,"",DatiOriginali!G835)</f>
        <v>161000</v>
      </c>
      <c r="H835" s="4">
        <v>1654159</v>
      </c>
      <c r="I835" s="4">
        <f>IF(DatiOriginali!I835 &gt;= SogliaPicchi!$B$10,"",DatiOriginali!I835)</f>
        <v>50000</v>
      </c>
      <c r="J835" s="4">
        <v>1641088</v>
      </c>
      <c r="K835" s="4">
        <f>IF(DatiOriginali!K835 &gt;= SogliaPicchi!$B$10,"",DatiOriginali!K835)</f>
        <v>57500</v>
      </c>
    </row>
    <row r="836" spans="1:11" x14ac:dyDescent="0.3">
      <c r="A836" s="4" t="s">
        <v>845</v>
      </c>
      <c r="B836" s="4">
        <v>101025</v>
      </c>
      <c r="C836" s="4">
        <f>IF(DatiOriginali!C836 &gt;= SogliaPicchi!$B$10,"",DatiOriginali!C836)</f>
        <v>681300</v>
      </c>
      <c r="D836" s="4">
        <v>48306</v>
      </c>
      <c r="E836" s="4">
        <f>IF(DatiOriginali!E836 &gt;= SogliaPicchi!$B$10,"",DatiOriginali!E836)</f>
        <v>171100</v>
      </c>
      <c r="F836" s="4">
        <v>1339709</v>
      </c>
      <c r="G836" s="4">
        <f>IF(DatiOriginali!G836 &gt;= SogliaPicchi!$B$10,"",DatiOriginali!G836)</f>
        <v>159900</v>
      </c>
      <c r="H836" s="4">
        <v>1658351</v>
      </c>
      <c r="I836" s="4">
        <f>IF(DatiOriginali!I836 &gt;= SogliaPicchi!$B$10,"",DatiOriginali!I836)</f>
        <v>49600</v>
      </c>
      <c r="J836" s="4">
        <v>1645184</v>
      </c>
      <c r="K836" s="4">
        <f>IF(DatiOriginali!K836 &gt;= SogliaPicchi!$B$10,"",DatiOriginali!K836)</f>
        <v>55900</v>
      </c>
    </row>
    <row r="837" spans="1:11" x14ac:dyDescent="0.3">
      <c r="A837" s="4" t="s">
        <v>846</v>
      </c>
      <c r="B837" s="4">
        <v>101025</v>
      </c>
      <c r="C837" s="4">
        <f>IF(DatiOriginali!C837 &gt;= SogliaPicchi!$B$10,"",DatiOriginali!C837)</f>
        <v>683700</v>
      </c>
      <c r="D837" s="4">
        <v>48985</v>
      </c>
      <c r="E837" s="4">
        <f>IF(DatiOriginali!E837 &gt;= SogliaPicchi!$B$10,"",DatiOriginali!E837)</f>
        <v>173000</v>
      </c>
      <c r="F837" s="4">
        <v>1343130</v>
      </c>
      <c r="G837" s="4">
        <f>IF(DatiOriginali!G837 &gt;= SogliaPicchi!$B$10,"",DatiOriginali!G837)</f>
        <v>157600</v>
      </c>
      <c r="H837" s="4">
        <v>1662705</v>
      </c>
      <c r="I837" s="4">
        <f>IF(DatiOriginali!I837 &gt;= SogliaPicchi!$B$10,"",DatiOriginali!I837)</f>
        <v>49700</v>
      </c>
      <c r="J837" s="4">
        <v>1649110</v>
      </c>
      <c r="K837" s="4">
        <f>IF(DatiOriginali!K837 &gt;= SogliaPicchi!$B$10,"",DatiOriginali!K837)</f>
        <v>56300</v>
      </c>
    </row>
    <row r="838" spans="1:11" x14ac:dyDescent="0.3">
      <c r="A838" s="4" t="s">
        <v>847</v>
      </c>
      <c r="B838" s="4">
        <v>101025</v>
      </c>
      <c r="C838" s="4">
        <f>IF(DatiOriginali!C838 &gt;= SogliaPicchi!$B$10,"",DatiOriginali!C838)</f>
        <v>713000</v>
      </c>
      <c r="D838" s="4">
        <v>48940</v>
      </c>
      <c r="E838" s="4">
        <f>IF(DatiOriginali!E838 &gt;= SogliaPicchi!$B$10,"",DatiOriginali!E838)</f>
        <v>178000</v>
      </c>
      <c r="F838" s="4">
        <v>1346534</v>
      </c>
      <c r="G838" s="4">
        <f>IF(DatiOriginali!G838 &gt;= SogliaPicchi!$B$10,"",DatiOriginali!G838)</f>
        <v>158700</v>
      </c>
      <c r="H838" s="4">
        <v>1667270</v>
      </c>
      <c r="I838" s="4">
        <f>IF(DatiOriginali!I838 &gt;= SogliaPicchi!$B$10,"",DatiOriginali!I838)</f>
        <v>51900</v>
      </c>
      <c r="J838" s="4">
        <v>1653092</v>
      </c>
      <c r="K838" s="4">
        <f>IF(DatiOriginali!K838 &gt;= SogliaPicchi!$B$10,"",DatiOriginali!K838)</f>
        <v>56800</v>
      </c>
    </row>
    <row r="839" spans="1:11" x14ac:dyDescent="0.3">
      <c r="A839" s="4" t="s">
        <v>848</v>
      </c>
      <c r="B839" s="4">
        <v>101025</v>
      </c>
      <c r="C839" s="4">
        <f>IF(DatiOriginali!C839 &gt;= SogliaPicchi!$B$10,"",DatiOriginali!C839)</f>
        <v>714900</v>
      </c>
      <c r="D839" s="4">
        <v>50197</v>
      </c>
      <c r="E839" s="4">
        <f>IF(DatiOriginali!E839 &gt;= SogliaPicchi!$B$10,"",DatiOriginali!E839)</f>
        <v>181600</v>
      </c>
      <c r="F839" s="4">
        <v>1349931</v>
      </c>
      <c r="G839" s="4">
        <f>IF(DatiOriginali!G839 &gt;= SogliaPicchi!$B$10,"",DatiOriginali!G839)</f>
        <v>150100</v>
      </c>
      <c r="H839" s="4">
        <v>1671570</v>
      </c>
      <c r="I839" s="4">
        <f>IF(DatiOriginali!I839 &gt;= SogliaPicchi!$B$10,"",DatiOriginali!I839)</f>
        <v>49700</v>
      </c>
      <c r="J839" s="4">
        <v>1658405</v>
      </c>
      <c r="K839" s="4">
        <f>IF(DatiOriginali!K839 &gt;= SogliaPicchi!$B$10,"",DatiOriginali!K839)</f>
        <v>58600</v>
      </c>
    </row>
    <row r="840" spans="1:11" x14ac:dyDescent="0.3">
      <c r="A840" s="4" t="s">
        <v>849</v>
      </c>
      <c r="B840" s="4">
        <v>101025</v>
      </c>
      <c r="C840" s="4">
        <f>IF(DatiOriginali!C840 &gt;= SogliaPicchi!$B$10,"",DatiOriginali!C840)</f>
        <v>692800</v>
      </c>
      <c r="D840" s="4">
        <v>51468</v>
      </c>
      <c r="E840" s="4">
        <f>IF(DatiOriginali!E840 &gt;= SogliaPicchi!$B$10,"",DatiOriginali!E840)</f>
        <v>181900</v>
      </c>
      <c r="F840" s="4">
        <v>1353347</v>
      </c>
      <c r="G840" s="4">
        <f>IF(DatiOriginali!G840 &gt;= SogliaPicchi!$B$10,"",DatiOriginali!G840)</f>
        <v>161000</v>
      </c>
      <c r="H840" s="4">
        <v>1675875</v>
      </c>
      <c r="I840" s="4">
        <f>IF(DatiOriginali!I840 &gt;= SogliaPicchi!$B$10,"",DatiOriginali!I840)</f>
        <v>49300</v>
      </c>
      <c r="J840" s="4">
        <v>1662628</v>
      </c>
      <c r="K840" s="4">
        <f>IF(DatiOriginali!K840 &gt;= SogliaPicchi!$B$10,"",DatiOriginali!K840)</f>
        <v>56500</v>
      </c>
    </row>
    <row r="841" spans="1:11" x14ac:dyDescent="0.3">
      <c r="A841" s="4" t="s">
        <v>850</v>
      </c>
      <c r="B841" s="4">
        <v>101025</v>
      </c>
      <c r="C841" s="4">
        <f>IF(DatiOriginali!C841 &gt;= SogliaPicchi!$B$10,"",DatiOriginali!C841)</f>
        <v>686300</v>
      </c>
      <c r="D841" s="4">
        <v>49522</v>
      </c>
      <c r="E841" s="4">
        <f>IF(DatiOriginali!E841 &gt;= SogliaPicchi!$B$10,"",DatiOriginali!E841)</f>
        <v>189300</v>
      </c>
      <c r="F841" s="4">
        <v>1356748</v>
      </c>
      <c r="G841" s="4">
        <f>IF(DatiOriginali!G841 &gt;= SogliaPicchi!$B$10,"",DatiOriginali!G841)</f>
        <v>151200</v>
      </c>
      <c r="H841" s="4">
        <v>1679924</v>
      </c>
      <c r="I841" s="4">
        <f>IF(DatiOriginali!I841 &gt;= SogliaPicchi!$B$10,"",DatiOriginali!I841)</f>
        <v>50400</v>
      </c>
      <c r="J841" s="4">
        <v>1666840</v>
      </c>
      <c r="K841" s="4">
        <f>IF(DatiOriginali!K841 &gt;= SogliaPicchi!$B$10,"",DatiOriginali!K841)</f>
        <v>58000</v>
      </c>
    </row>
    <row r="842" spans="1:11" x14ac:dyDescent="0.3">
      <c r="A842" s="4" t="s">
        <v>851</v>
      </c>
      <c r="B842" s="4">
        <v>101025</v>
      </c>
      <c r="C842" s="4">
        <f>IF(DatiOriginali!C842 &gt;= SogliaPicchi!$B$10,"",DatiOriginali!C842)</f>
        <v>709600</v>
      </c>
      <c r="D842" s="4">
        <v>51550</v>
      </c>
      <c r="E842" s="4">
        <f>IF(DatiOriginali!E842 &gt;= SogliaPicchi!$B$10,"",DatiOriginali!E842)</f>
        <v>186500</v>
      </c>
      <c r="F842" s="4">
        <v>1360152</v>
      </c>
      <c r="G842" s="4">
        <f>IF(DatiOriginali!G842 &gt;= SogliaPicchi!$B$10,"",DatiOriginali!G842)</f>
        <v>150600</v>
      </c>
      <c r="H842" s="4">
        <v>1684204</v>
      </c>
      <c r="I842" s="4">
        <f>IF(DatiOriginali!I842 &gt;= SogliaPicchi!$B$10,"",DatiOriginali!I842)</f>
        <v>54300</v>
      </c>
      <c r="J842" s="4">
        <v>1671526</v>
      </c>
      <c r="K842" s="4">
        <f>IF(DatiOriginali!K842 &gt;= SogliaPicchi!$B$10,"",DatiOriginali!K842)</f>
        <v>56200</v>
      </c>
    </row>
    <row r="843" spans="1:11" x14ac:dyDescent="0.3">
      <c r="A843" s="4" t="s">
        <v>852</v>
      </c>
      <c r="B843" s="4">
        <v>101025</v>
      </c>
      <c r="C843" s="4">
        <f>IF(DatiOriginali!C843 &gt;= SogliaPicchi!$B$10,"",DatiOriginali!C843)</f>
        <v>675200</v>
      </c>
      <c r="D843" s="4">
        <v>50581</v>
      </c>
      <c r="E843" s="4">
        <f>IF(DatiOriginali!E843 &gt;= SogliaPicchi!$B$10,"",DatiOriginali!E843)</f>
        <v>177800</v>
      </c>
      <c r="F843" s="4">
        <v>1363548</v>
      </c>
      <c r="G843" s="4">
        <f>IF(DatiOriginali!G843 &gt;= SogliaPicchi!$B$10,"",DatiOriginali!G843)</f>
        <v>156500</v>
      </c>
      <c r="H843" s="4">
        <v>1689315</v>
      </c>
      <c r="I843" s="4">
        <f>IF(DatiOriginali!I843 &gt;= SogliaPicchi!$B$10,"",DatiOriginali!I843)</f>
        <v>51600</v>
      </c>
      <c r="J843" s="4">
        <v>1675945</v>
      </c>
      <c r="K843" s="4">
        <f>IF(DatiOriginali!K843 &gt;= SogliaPicchi!$B$10,"",DatiOriginali!K843)</f>
        <v>56400</v>
      </c>
    </row>
    <row r="844" spans="1:11" x14ac:dyDescent="0.3">
      <c r="A844" s="4" t="s">
        <v>853</v>
      </c>
      <c r="B844" s="4">
        <v>101025</v>
      </c>
      <c r="C844" s="4">
        <f>IF(DatiOriginali!C844 &gt;= SogliaPicchi!$B$10,"",DatiOriginali!C844)</f>
        <v>690900</v>
      </c>
      <c r="D844" s="4">
        <v>52493</v>
      </c>
      <c r="E844" s="4">
        <f>IF(DatiOriginali!E844 &gt;= SogliaPicchi!$B$10,"",DatiOriginali!E844)</f>
        <v>185400</v>
      </c>
      <c r="F844" s="4">
        <v>1366928</v>
      </c>
      <c r="G844" s="4">
        <f>IF(DatiOriginali!G844 &gt;= SogliaPicchi!$B$10,"",DatiOriginali!G844)</f>
        <v>163900</v>
      </c>
      <c r="H844" s="4">
        <v>1693177</v>
      </c>
      <c r="I844" s="4">
        <f>IF(DatiOriginali!I844 &gt;= SogliaPicchi!$B$10,"",DatiOriginali!I844)</f>
        <v>50200</v>
      </c>
      <c r="J844" s="4">
        <v>1680133</v>
      </c>
      <c r="K844" s="4">
        <f>IF(DatiOriginali!K844 &gt;= SogliaPicchi!$B$10,"",DatiOriginali!K844)</f>
        <v>55500</v>
      </c>
    </row>
    <row r="845" spans="1:11" x14ac:dyDescent="0.3">
      <c r="A845" s="4" t="s">
        <v>854</v>
      </c>
      <c r="B845" s="4">
        <v>101025</v>
      </c>
      <c r="C845" s="4">
        <f>IF(DatiOriginali!C845 &gt;= SogliaPicchi!$B$10,"",DatiOriginali!C845)</f>
        <v>888700</v>
      </c>
      <c r="D845" s="4">
        <v>54507</v>
      </c>
      <c r="E845" s="4">
        <f>IF(DatiOriginali!E845 &gt;= SogliaPicchi!$B$10,"",DatiOriginali!E845)</f>
        <v>206200</v>
      </c>
      <c r="F845" s="4">
        <v>1370328</v>
      </c>
      <c r="G845" s="4">
        <f>IF(DatiOriginali!G845 &gt;= SogliaPicchi!$B$10,"",DatiOriginali!G845)</f>
        <v>155800</v>
      </c>
      <c r="H845" s="4">
        <v>1696860</v>
      </c>
      <c r="I845" s="4">
        <f>IF(DatiOriginali!I845 &gt;= SogliaPicchi!$B$10,"",DatiOriginali!I845)</f>
        <v>49300</v>
      </c>
      <c r="J845" s="4">
        <v>1684274</v>
      </c>
      <c r="K845" s="4">
        <f>IF(DatiOriginali!K845 &gt;= SogliaPicchi!$B$10,"",DatiOriginali!K845)</f>
        <v>58100</v>
      </c>
    </row>
    <row r="846" spans="1:11" x14ac:dyDescent="0.3">
      <c r="A846" s="4" t="s">
        <v>855</v>
      </c>
      <c r="B846" s="4">
        <v>101025</v>
      </c>
      <c r="C846" s="4">
        <f>IF(DatiOriginali!C846 &gt;= SogliaPicchi!$B$10,"",DatiOriginali!C846)</f>
        <v>756200</v>
      </c>
      <c r="D846" s="4">
        <v>50658</v>
      </c>
      <c r="E846" s="4">
        <f>IF(DatiOriginali!E846 &gt;= SogliaPicchi!$B$10,"",DatiOriginali!E846)</f>
        <v>225800</v>
      </c>
      <c r="F846" s="4">
        <v>1373734</v>
      </c>
      <c r="G846" s="4">
        <f>IF(DatiOriginali!G846 &gt;= SogliaPicchi!$B$10,"",DatiOriginali!G846)</f>
        <v>183000</v>
      </c>
      <c r="H846" s="4">
        <v>1700973</v>
      </c>
      <c r="I846" s="4">
        <f>IF(DatiOriginali!I846 &gt;= SogliaPicchi!$B$10,"",DatiOriginali!I846)</f>
        <v>59800</v>
      </c>
      <c r="J846" s="4">
        <v>1688266</v>
      </c>
      <c r="K846" s="4">
        <f>IF(DatiOriginali!K846 &gt;= SogliaPicchi!$B$10,"",DatiOriginali!K846)</f>
        <v>68100</v>
      </c>
    </row>
    <row r="847" spans="1:11" x14ac:dyDescent="0.3">
      <c r="A847" s="4" t="s">
        <v>856</v>
      </c>
      <c r="B847" s="4">
        <v>101025</v>
      </c>
      <c r="C847" s="4">
        <f>IF(DatiOriginali!C847 &gt;= SogliaPicchi!$B$10,"",DatiOriginali!C847)</f>
        <v>810200</v>
      </c>
      <c r="D847" s="4">
        <v>47713</v>
      </c>
      <c r="E847" s="4">
        <f>IF(DatiOriginali!E847 &gt;= SogliaPicchi!$B$10,"",DatiOriginali!E847)</f>
        <v>221400</v>
      </c>
      <c r="F847" s="4">
        <v>1377138</v>
      </c>
      <c r="G847" s="4">
        <f>IF(DatiOriginali!G847 &gt;= SogliaPicchi!$B$10,"",DatiOriginali!G847)</f>
        <v>153500</v>
      </c>
      <c r="H847" s="4">
        <v>1705385</v>
      </c>
      <c r="I847" s="4">
        <f>IF(DatiOriginali!I847 &gt;= SogliaPicchi!$B$10,"",DatiOriginali!I847)</f>
        <v>49000</v>
      </c>
      <c r="J847" s="4">
        <v>1692582</v>
      </c>
      <c r="K847" s="4">
        <f>IF(DatiOriginali!K847 &gt;= SogliaPicchi!$B$10,"",DatiOriginali!K847)</f>
        <v>58300</v>
      </c>
    </row>
    <row r="848" spans="1:11" x14ac:dyDescent="0.3">
      <c r="A848" s="4" t="s">
        <v>857</v>
      </c>
      <c r="B848" s="4">
        <v>101025</v>
      </c>
      <c r="C848" s="4">
        <f>IF(DatiOriginali!C848 &gt;= SogliaPicchi!$B$10,"",DatiOriginali!C848)</f>
        <v>819400</v>
      </c>
      <c r="D848" s="4">
        <v>52774</v>
      </c>
      <c r="E848" s="4">
        <f>IF(DatiOriginali!E848 &gt;= SogliaPicchi!$B$10,"",DatiOriginali!E848)</f>
        <v>238300</v>
      </c>
      <c r="F848" s="4">
        <v>1380532</v>
      </c>
      <c r="G848" s="4">
        <f>IF(DatiOriginali!G848 &gt;= SogliaPicchi!$B$10,"",DatiOriginali!G848)</f>
        <v>184900</v>
      </c>
      <c r="H848" s="4">
        <v>1709464</v>
      </c>
      <c r="I848" s="4">
        <f>IF(DatiOriginali!I848 &gt;= SogliaPicchi!$B$10,"",DatiOriginali!I848)</f>
        <v>62000</v>
      </c>
      <c r="J848" s="4">
        <v>1697471</v>
      </c>
      <c r="K848" s="4">
        <f>IF(DatiOriginali!K848 &gt;= SogliaPicchi!$B$10,"",DatiOriginali!K848)</f>
        <v>68100</v>
      </c>
    </row>
    <row r="849" spans="1:11" x14ac:dyDescent="0.3">
      <c r="A849" s="4" t="s">
        <v>858</v>
      </c>
      <c r="B849" s="4">
        <v>101025</v>
      </c>
      <c r="C849" s="4">
        <f>IF(DatiOriginali!C849 &gt;= SogliaPicchi!$B$10,"",DatiOriginali!C849)</f>
        <v>688200</v>
      </c>
      <c r="D849" s="4">
        <v>51731</v>
      </c>
      <c r="E849" s="4">
        <f>IF(DatiOriginali!E849 &gt;= SogliaPicchi!$B$10,"",DatiOriginali!E849)</f>
        <v>187600</v>
      </c>
      <c r="F849" s="4">
        <v>1383946</v>
      </c>
      <c r="G849" s="4">
        <f>IF(DatiOriginali!G849 &gt;= SogliaPicchi!$B$10,"",DatiOriginali!G849)</f>
        <v>160000</v>
      </c>
      <c r="H849" s="4">
        <v>1713777</v>
      </c>
      <c r="I849" s="4">
        <f>IF(DatiOriginali!I849 &gt;= SogliaPicchi!$B$10,"",DatiOriginali!I849)</f>
        <v>48300</v>
      </c>
      <c r="J849" s="4">
        <v>1701705</v>
      </c>
      <c r="K849" s="4">
        <f>IF(DatiOriginali!K849 &gt;= SogliaPicchi!$B$10,"",DatiOriginali!K849)</f>
        <v>54300</v>
      </c>
    </row>
    <row r="850" spans="1:11" x14ac:dyDescent="0.3">
      <c r="A850" s="4" t="s">
        <v>859</v>
      </c>
      <c r="B850" s="4">
        <v>101025</v>
      </c>
      <c r="C850" s="4">
        <f>IF(DatiOriginali!C850 &gt;= SogliaPicchi!$B$10,"",DatiOriginali!C850)</f>
        <v>675000</v>
      </c>
      <c r="D850" s="4">
        <v>52399</v>
      </c>
      <c r="E850" s="4">
        <f>IF(DatiOriginali!E850 &gt;= SogliaPicchi!$B$10,"",DatiOriginali!E850)</f>
        <v>185000</v>
      </c>
      <c r="F850" s="4">
        <v>1387341</v>
      </c>
      <c r="G850" s="4">
        <f>IF(DatiOriginali!G850 &gt;= SogliaPicchi!$B$10,"",DatiOriginali!G850)</f>
        <v>156800</v>
      </c>
      <c r="H850" s="4">
        <v>1717720</v>
      </c>
      <c r="I850" s="4">
        <f>IF(DatiOriginali!I850 &gt;= SogliaPicchi!$B$10,"",DatiOriginali!I850)</f>
        <v>51200</v>
      </c>
      <c r="J850" s="4">
        <v>1705380</v>
      </c>
      <c r="K850" s="4">
        <f>IF(DatiOriginali!K850 &gt;= SogliaPicchi!$B$10,"",DatiOriginali!K850)</f>
        <v>55000</v>
      </c>
    </row>
    <row r="851" spans="1:11" x14ac:dyDescent="0.3">
      <c r="A851" s="4" t="s">
        <v>860</v>
      </c>
      <c r="B851" s="4">
        <v>101025</v>
      </c>
      <c r="C851" s="4">
        <f>IF(DatiOriginali!C851 &gt;= SogliaPicchi!$B$10,"",DatiOriginali!C851)</f>
        <v>823000</v>
      </c>
      <c r="D851" s="4">
        <v>50539</v>
      </c>
      <c r="E851" s="4">
        <f>IF(DatiOriginali!E851 &gt;= SogliaPicchi!$B$10,"",DatiOriginali!E851)</f>
        <v>227900</v>
      </c>
      <c r="F851" s="4">
        <v>1390771</v>
      </c>
      <c r="G851" s="4">
        <f>IF(DatiOriginali!G851 &gt;= SogliaPicchi!$B$10,"",DatiOriginali!G851)</f>
        <v>168100</v>
      </c>
      <c r="H851" s="4">
        <v>1721729</v>
      </c>
      <c r="I851" s="4">
        <f>IF(DatiOriginali!I851 &gt;= SogliaPicchi!$B$10,"",DatiOriginali!I851)</f>
        <v>50900</v>
      </c>
      <c r="J851" s="4">
        <v>1709426</v>
      </c>
      <c r="K851" s="4">
        <f>IF(DatiOriginali!K851 &gt;= SogliaPicchi!$B$10,"",DatiOriginali!K851)</f>
        <v>56800</v>
      </c>
    </row>
    <row r="852" spans="1:11" x14ac:dyDescent="0.3">
      <c r="A852" s="4" t="s">
        <v>861</v>
      </c>
      <c r="B852" s="4">
        <v>101025</v>
      </c>
      <c r="C852" s="4">
        <f>IF(DatiOriginali!C852 &gt;= SogliaPicchi!$B$10,"",DatiOriginali!C852)</f>
        <v>879600</v>
      </c>
      <c r="D852" s="4">
        <v>50580</v>
      </c>
      <c r="E852" s="4">
        <f>IF(DatiOriginali!E852 &gt;= SogliaPicchi!$B$10,"",DatiOriginali!E852)</f>
        <v>224200</v>
      </c>
      <c r="F852" s="4">
        <v>1394201</v>
      </c>
      <c r="G852" s="4">
        <f>IF(DatiOriginali!G852 &gt;= SogliaPicchi!$B$10,"",DatiOriginali!G852)</f>
        <v>183200</v>
      </c>
      <c r="H852" s="4">
        <v>1725802</v>
      </c>
      <c r="I852" s="4">
        <f>IF(DatiOriginali!I852 &gt;= SogliaPicchi!$B$10,"",DatiOriginali!I852)</f>
        <v>61500</v>
      </c>
      <c r="J852" s="4">
        <v>1713415</v>
      </c>
      <c r="K852" s="4">
        <f>IF(DatiOriginali!K852 &gt;= SogliaPicchi!$B$10,"",DatiOriginali!K852)</f>
        <v>68700</v>
      </c>
    </row>
    <row r="853" spans="1:11" x14ac:dyDescent="0.3">
      <c r="A853" s="4" t="s">
        <v>862</v>
      </c>
      <c r="B853" s="4">
        <v>101025</v>
      </c>
      <c r="C853" s="4">
        <f>IF(DatiOriginali!C853 &gt;= SogliaPicchi!$B$10,"",DatiOriginali!C853)</f>
        <v>620400</v>
      </c>
      <c r="D853" s="4">
        <v>51871</v>
      </c>
      <c r="E853" s="4">
        <f>IF(DatiOriginali!E853 &gt;= SogliaPicchi!$B$10,"",DatiOriginali!E853)</f>
        <v>187100</v>
      </c>
      <c r="F853" s="4">
        <v>1397589</v>
      </c>
      <c r="G853" s="4">
        <f>IF(DatiOriginali!G853 &gt;= SogliaPicchi!$B$10,"",DatiOriginali!G853)</f>
        <v>155800</v>
      </c>
      <c r="H853" s="4">
        <v>1730295</v>
      </c>
      <c r="I853" s="4">
        <f>IF(DatiOriginali!I853 &gt;= SogliaPicchi!$B$10,"",DatiOriginali!I853)</f>
        <v>51300</v>
      </c>
      <c r="J853" s="4">
        <v>1717228</v>
      </c>
      <c r="K853" s="4">
        <f>IF(DatiOriginali!K853 &gt;= SogliaPicchi!$B$10,"",DatiOriginali!K853)</f>
        <v>57000</v>
      </c>
    </row>
    <row r="854" spans="1:11" x14ac:dyDescent="0.3">
      <c r="A854" s="4" t="s">
        <v>863</v>
      </c>
      <c r="B854" s="4">
        <v>101025</v>
      </c>
      <c r="C854" s="4">
        <f>IF(DatiOriginali!C854 &gt;= SogliaPicchi!$B$10,"",DatiOriginali!C854)</f>
        <v>651400</v>
      </c>
      <c r="D854" s="4">
        <v>51281</v>
      </c>
      <c r="E854" s="4">
        <f>IF(DatiOriginali!E854 &gt;= SogliaPicchi!$B$10,"",DatiOriginali!E854)</f>
        <v>180300</v>
      </c>
      <c r="F854" s="4">
        <v>1400993</v>
      </c>
      <c r="G854" s="4">
        <f>IF(DatiOriginali!G854 &gt;= SogliaPicchi!$B$10,"",DatiOriginali!G854)</f>
        <v>160800</v>
      </c>
      <c r="H854" s="4">
        <v>1734334</v>
      </c>
      <c r="I854" s="4">
        <f>IF(DatiOriginali!I854 &gt;= SogliaPicchi!$B$10,"",DatiOriginali!I854)</f>
        <v>50300</v>
      </c>
      <c r="J854" s="4">
        <v>1721061</v>
      </c>
      <c r="K854" s="4">
        <f>IF(DatiOriginali!K854 &gt;= SogliaPicchi!$B$10,"",DatiOriginali!K854)</f>
        <v>55100</v>
      </c>
    </row>
    <row r="855" spans="1:11" x14ac:dyDescent="0.3">
      <c r="A855" s="4" t="s">
        <v>864</v>
      </c>
      <c r="B855" s="4">
        <v>101025</v>
      </c>
      <c r="C855" s="4">
        <f>IF(DatiOriginali!C855 &gt;= SogliaPicchi!$B$10,"",DatiOriginali!C855)</f>
        <v>667300</v>
      </c>
      <c r="D855" s="4">
        <v>51267</v>
      </c>
      <c r="E855" s="4">
        <f>IF(DatiOriginali!E855 &gt;= SogliaPicchi!$B$10,"",DatiOriginali!E855)</f>
        <v>180700</v>
      </c>
      <c r="F855" s="4">
        <v>1404388</v>
      </c>
      <c r="G855" s="4">
        <f>IF(DatiOriginali!G855 &gt;= SogliaPicchi!$B$10,"",DatiOriginali!G855)</f>
        <v>158300</v>
      </c>
      <c r="H855" s="4">
        <v>1738293</v>
      </c>
      <c r="I855" s="4">
        <f>IF(DatiOriginali!I855 &gt;= SogliaPicchi!$B$10,"",DatiOriginali!I855)</f>
        <v>50800</v>
      </c>
      <c r="J855" s="4">
        <v>1725171</v>
      </c>
      <c r="K855" s="4">
        <f>IF(DatiOriginali!K855 &gt;= SogliaPicchi!$B$10,"",DatiOriginali!K855)</f>
        <v>55100</v>
      </c>
    </row>
    <row r="856" spans="1:11" x14ac:dyDescent="0.3">
      <c r="A856" s="4" t="s">
        <v>865</v>
      </c>
      <c r="B856" s="4">
        <v>101025</v>
      </c>
      <c r="C856" s="4">
        <f>IF(DatiOriginali!C856 &gt;= SogliaPicchi!$B$10,"",DatiOriginali!C856)</f>
        <v>687600</v>
      </c>
      <c r="D856" s="4">
        <v>52185</v>
      </c>
      <c r="E856" s="4">
        <f>IF(DatiOriginali!E856 &gt;= SogliaPicchi!$B$10,"",DatiOriginali!E856)</f>
        <v>190700</v>
      </c>
      <c r="F856" s="4">
        <v>1407780</v>
      </c>
      <c r="G856" s="4">
        <f>IF(DatiOriginali!G856 &gt;= SogliaPicchi!$B$10,"",DatiOriginali!G856)</f>
        <v>155900</v>
      </c>
      <c r="H856" s="4">
        <v>1742344</v>
      </c>
      <c r="I856" s="4">
        <f>IF(DatiOriginali!I856 &gt;= SogliaPicchi!$B$10,"",DatiOriginali!I856)</f>
        <v>50000</v>
      </c>
      <c r="J856" s="4">
        <v>1729291</v>
      </c>
      <c r="K856" s="4">
        <f>IF(DatiOriginali!K856 &gt;= SogliaPicchi!$B$10,"",DatiOriginali!K856)</f>
        <v>57200</v>
      </c>
    </row>
    <row r="857" spans="1:11" x14ac:dyDescent="0.3">
      <c r="A857" s="4" t="s">
        <v>866</v>
      </c>
      <c r="B857" s="4">
        <v>101025</v>
      </c>
      <c r="C857" s="4">
        <f>IF(DatiOriginali!C857 &gt;= SogliaPicchi!$B$10,"",DatiOriginali!C857)</f>
        <v>694800</v>
      </c>
      <c r="D857" s="4">
        <v>50810</v>
      </c>
      <c r="E857" s="4">
        <f>IF(DatiOriginali!E857 &gt;= SogliaPicchi!$B$10,"",DatiOriginali!E857)</f>
        <v>184100</v>
      </c>
      <c r="F857" s="4">
        <v>1411186</v>
      </c>
      <c r="G857" s="4">
        <f>IF(DatiOriginali!G857 &gt;= SogliaPicchi!$B$10,"",DatiOriginali!G857)</f>
        <v>154300</v>
      </c>
      <c r="H857" s="4">
        <v>1746388</v>
      </c>
      <c r="I857" s="4">
        <f>IF(DatiOriginali!I857 &gt;= SogliaPicchi!$B$10,"",DatiOriginali!I857)</f>
        <v>50000</v>
      </c>
      <c r="J857" s="4">
        <v>1733350</v>
      </c>
      <c r="K857" s="4">
        <f>IF(DatiOriginali!K857 &gt;= SogliaPicchi!$B$10,"",DatiOriginali!K857)</f>
        <v>56900</v>
      </c>
    </row>
    <row r="858" spans="1:11" x14ac:dyDescent="0.3">
      <c r="A858" s="4" t="s">
        <v>867</v>
      </c>
      <c r="B858" s="4">
        <v>101025</v>
      </c>
      <c r="C858" s="4">
        <f>IF(DatiOriginali!C858 &gt;= SogliaPicchi!$B$10,"",DatiOriginali!C858)</f>
        <v>711100</v>
      </c>
      <c r="D858" s="4">
        <v>49526</v>
      </c>
      <c r="E858" s="4">
        <f>IF(DatiOriginali!E858 &gt;= SogliaPicchi!$B$10,"",DatiOriginali!E858)</f>
        <v>174200</v>
      </c>
      <c r="F858" s="4">
        <v>1414604</v>
      </c>
      <c r="G858" s="4">
        <f>IF(DatiOriginali!G858 &gt;= SogliaPicchi!$B$10,"",DatiOriginali!G858)</f>
        <v>158600</v>
      </c>
      <c r="H858" s="4">
        <v>1750692</v>
      </c>
      <c r="I858" s="4">
        <f>IF(DatiOriginali!I858 &gt;= SogliaPicchi!$B$10,"",DatiOriginali!I858)</f>
        <v>48400</v>
      </c>
      <c r="J858" s="4">
        <v>1737246</v>
      </c>
      <c r="K858" s="4">
        <f>IF(DatiOriginali!K858 &gt;= SogliaPicchi!$B$10,"",DatiOriginali!K858)</f>
        <v>56100</v>
      </c>
    </row>
    <row r="859" spans="1:11" x14ac:dyDescent="0.3">
      <c r="A859" s="4" t="s">
        <v>868</v>
      </c>
      <c r="B859" s="4">
        <v>101025</v>
      </c>
      <c r="C859" s="4">
        <f>IF(DatiOriginali!C859 &gt;= SogliaPicchi!$B$10,"",DatiOriginali!C859)</f>
        <v>721900</v>
      </c>
      <c r="D859" s="4">
        <v>52800</v>
      </c>
      <c r="E859" s="4">
        <f>IF(DatiOriginali!E859 &gt;= SogliaPicchi!$B$10,"",DatiOriginali!E859)</f>
        <v>190900</v>
      </c>
      <c r="F859" s="4">
        <v>1418027</v>
      </c>
      <c r="G859" s="4">
        <f>IF(DatiOriginali!G859 &gt;= SogliaPicchi!$B$10,"",DatiOriginali!G859)</f>
        <v>190700</v>
      </c>
      <c r="H859" s="4">
        <v>1754992</v>
      </c>
      <c r="I859" s="4">
        <f>IF(DatiOriginali!I859 &gt;= SogliaPicchi!$B$10,"",DatiOriginali!I859)</f>
        <v>50000</v>
      </c>
      <c r="J859" s="4">
        <v>1741231</v>
      </c>
      <c r="K859" s="4">
        <f>IF(DatiOriginali!K859 &gt;= SogliaPicchi!$B$10,"",DatiOriginali!K859)</f>
        <v>56300</v>
      </c>
    </row>
    <row r="860" spans="1:11" x14ac:dyDescent="0.3">
      <c r="A860" s="4" t="s">
        <v>869</v>
      </c>
      <c r="B860" s="4">
        <v>101025</v>
      </c>
      <c r="C860" s="4">
        <f>IF(DatiOriginali!C860 &gt;= SogliaPicchi!$B$10,"",DatiOriginali!C860)</f>
        <v>691800</v>
      </c>
      <c r="D860" s="4">
        <v>49869</v>
      </c>
      <c r="E860" s="4">
        <f>IF(DatiOriginali!E860 &gt;= SogliaPicchi!$B$10,"",DatiOriginali!E860)</f>
        <v>179800</v>
      </c>
      <c r="F860" s="4">
        <v>1421430</v>
      </c>
      <c r="G860" s="4">
        <f>IF(DatiOriginali!G860 &gt;= SogliaPicchi!$B$10,"",DatiOriginali!G860)</f>
        <v>148400</v>
      </c>
      <c r="H860" s="4">
        <v>1759141</v>
      </c>
      <c r="I860" s="4">
        <f>IF(DatiOriginali!I860 &gt;= SogliaPicchi!$B$10,"",DatiOriginali!I860)</f>
        <v>48400</v>
      </c>
      <c r="J860" s="4">
        <v>1745363</v>
      </c>
      <c r="K860" s="4">
        <f>IF(DatiOriginali!K860 &gt;= SogliaPicchi!$B$10,"",DatiOriginali!K860)</f>
        <v>57200</v>
      </c>
    </row>
    <row r="861" spans="1:11" x14ac:dyDescent="0.3">
      <c r="A861" s="4" t="s">
        <v>870</v>
      </c>
      <c r="B861" s="4">
        <v>101025</v>
      </c>
      <c r="C861" s="4">
        <f>IF(DatiOriginali!C861 &gt;= SogliaPicchi!$B$10,"",DatiOriginali!C861)</f>
        <v>772300</v>
      </c>
      <c r="D861" s="4">
        <v>51004</v>
      </c>
      <c r="E861" s="4">
        <f>IF(DatiOriginali!E861 &gt;= SogliaPicchi!$B$10,"",DatiOriginali!E861)</f>
        <v>225000</v>
      </c>
      <c r="F861" s="4">
        <v>1424865</v>
      </c>
      <c r="G861" s="4">
        <f>IF(DatiOriginali!G861 &gt;= SogliaPicchi!$B$10,"",DatiOriginali!G861)</f>
        <v>183100</v>
      </c>
      <c r="H861" s="4">
        <v>1763250</v>
      </c>
      <c r="I861" s="4">
        <f>IF(DatiOriginali!I861 &gt;= SogliaPicchi!$B$10,"",DatiOriginali!I861)</f>
        <v>61100</v>
      </c>
      <c r="J861" s="4">
        <v>1749635</v>
      </c>
      <c r="K861" s="4">
        <f>IF(DatiOriginali!K861 &gt;= SogliaPicchi!$B$10,"",DatiOriginali!K861)</f>
        <v>75800</v>
      </c>
    </row>
    <row r="862" spans="1:11" x14ac:dyDescent="0.3">
      <c r="A862" s="4" t="s">
        <v>871</v>
      </c>
      <c r="B862" s="4">
        <v>101025</v>
      </c>
      <c r="C862" s="4">
        <f>IF(DatiOriginali!C862 &gt;= SogliaPicchi!$B$10,"",DatiOriginali!C862)</f>
        <v>663500</v>
      </c>
      <c r="D862" s="4">
        <v>51164</v>
      </c>
      <c r="E862" s="4">
        <f>IF(DatiOriginali!E862 &gt;= SogliaPicchi!$B$10,"",DatiOriginali!E862)</f>
        <v>180500</v>
      </c>
      <c r="F862" s="4">
        <v>1428271</v>
      </c>
      <c r="G862" s="4">
        <f>IF(DatiOriginali!G862 &gt;= SogliaPicchi!$B$10,"",DatiOriginali!G862)</f>
        <v>158900</v>
      </c>
      <c r="H862" s="4">
        <v>1767404</v>
      </c>
      <c r="I862" s="4">
        <f>IF(DatiOriginali!I862 &gt;= SogliaPicchi!$B$10,"",DatiOriginali!I862)</f>
        <v>50000</v>
      </c>
      <c r="J862" s="4">
        <v>1753626</v>
      </c>
      <c r="K862" s="4">
        <f>IF(DatiOriginali!K862 &gt;= SogliaPicchi!$B$10,"",DatiOriginali!K862)</f>
        <v>62700</v>
      </c>
    </row>
    <row r="863" spans="1:11" x14ac:dyDescent="0.3">
      <c r="A863" s="4" t="s">
        <v>872</v>
      </c>
      <c r="B863" s="4">
        <v>101025</v>
      </c>
      <c r="C863" s="4">
        <f>IF(DatiOriginali!C863 &gt;= SogliaPicchi!$B$10,"",DatiOriginali!C863)</f>
        <v>806900</v>
      </c>
      <c r="D863" s="4">
        <v>51282</v>
      </c>
      <c r="E863" s="4">
        <f>IF(DatiOriginali!E863 &gt;= SogliaPicchi!$B$10,"",DatiOriginali!E863)</f>
        <v>259500</v>
      </c>
      <c r="F863" s="4">
        <v>1431676</v>
      </c>
      <c r="G863" s="4">
        <f>IF(DatiOriginali!G863 &gt;= SogliaPicchi!$B$10,"",DatiOriginali!G863)</f>
        <v>183400</v>
      </c>
      <c r="H863" s="4">
        <v>1772165</v>
      </c>
      <c r="I863" s="4">
        <f>IF(DatiOriginali!I863 &gt;= SogliaPicchi!$B$10,"",DatiOriginali!I863)</f>
        <v>63900</v>
      </c>
      <c r="J863" s="4">
        <v>1757671</v>
      </c>
      <c r="K863" s="4">
        <f>IF(DatiOriginali!K863 &gt;= SogliaPicchi!$B$10,"",DatiOriginali!K863)</f>
        <v>73200</v>
      </c>
    </row>
    <row r="864" spans="1:11" x14ac:dyDescent="0.3">
      <c r="A864" s="4" t="s">
        <v>873</v>
      </c>
      <c r="B864" s="4">
        <v>101025</v>
      </c>
      <c r="C864" s="4">
        <f>IF(DatiOriginali!C864 &gt;= SogliaPicchi!$B$10,"",DatiOriginali!C864)</f>
        <v>870100</v>
      </c>
      <c r="D864" s="4">
        <v>52926</v>
      </c>
      <c r="E864" s="4">
        <f>IF(DatiOriginali!E864 &gt;= SogliaPicchi!$B$10,"",DatiOriginali!E864)</f>
        <v>240300</v>
      </c>
      <c r="F864" s="4">
        <v>1435071</v>
      </c>
      <c r="G864" s="4">
        <f>IF(DatiOriginali!G864 &gt;= SogliaPicchi!$B$10,"",DatiOriginali!G864)</f>
        <v>182800</v>
      </c>
      <c r="H864" s="4">
        <v>1776115</v>
      </c>
      <c r="I864" s="4">
        <f>IF(DatiOriginali!I864 &gt;= SogliaPicchi!$B$10,"",DatiOriginali!I864)</f>
        <v>59900</v>
      </c>
      <c r="J864" s="4">
        <v>1761851</v>
      </c>
      <c r="K864" s="4">
        <f>IF(DatiOriginali!K864 &gt;= SogliaPicchi!$B$10,"",DatiOriginali!K864)</f>
        <v>70700</v>
      </c>
    </row>
    <row r="865" spans="1:11" x14ac:dyDescent="0.3">
      <c r="A865" s="4" t="s">
        <v>874</v>
      </c>
      <c r="B865" s="4">
        <v>101025</v>
      </c>
      <c r="C865" s="4">
        <f>IF(DatiOriginali!C865 &gt;= SogliaPicchi!$B$10,"",DatiOriginali!C865)</f>
        <v>810200</v>
      </c>
      <c r="D865" s="4">
        <v>51248</v>
      </c>
      <c r="E865" s="4">
        <f>IF(DatiOriginali!E865 &gt;= SogliaPicchi!$B$10,"",DatiOriginali!E865)</f>
        <v>224900</v>
      </c>
      <c r="F865" s="4">
        <v>1438463</v>
      </c>
      <c r="G865" s="4">
        <f>IF(DatiOriginali!G865 &gt;= SogliaPicchi!$B$10,"",DatiOriginali!G865)</f>
        <v>183000</v>
      </c>
      <c r="H865" s="4">
        <v>1780196</v>
      </c>
      <c r="I865" s="4">
        <f>IF(DatiOriginali!I865 &gt;= SogliaPicchi!$B$10,"",DatiOriginali!I865)</f>
        <v>51700</v>
      </c>
      <c r="J865" s="4">
        <v>1766006</v>
      </c>
      <c r="K865" s="4">
        <f>IF(DatiOriginali!K865 &gt;= SogliaPicchi!$B$10,"",DatiOriginali!K865)</f>
        <v>57500</v>
      </c>
    </row>
    <row r="866" spans="1:11" x14ac:dyDescent="0.3">
      <c r="A866" s="4" t="s">
        <v>875</v>
      </c>
      <c r="B866" s="4">
        <v>101025</v>
      </c>
      <c r="C866" s="4">
        <f>IF(DatiOriginali!C866 &gt;= SogliaPicchi!$B$10,"",DatiOriginali!C866)</f>
        <v>711200</v>
      </c>
      <c r="D866" s="4">
        <v>51360</v>
      </c>
      <c r="E866" s="4">
        <f>IF(DatiOriginali!E866 &gt;= SogliaPicchi!$B$10,"",DatiOriginali!E866)</f>
        <v>186600</v>
      </c>
      <c r="F866" s="4">
        <v>1441874</v>
      </c>
      <c r="G866" s="4">
        <f>IF(DatiOriginali!G866 &gt;= SogliaPicchi!$B$10,"",DatiOriginali!G866)</f>
        <v>151000</v>
      </c>
      <c r="H866" s="4">
        <v>1784244</v>
      </c>
      <c r="I866" s="4">
        <f>IF(DatiOriginali!I866 &gt;= SogliaPicchi!$B$10,"",DatiOriginali!I866)</f>
        <v>50700</v>
      </c>
      <c r="J866" s="4">
        <v>1770274</v>
      </c>
      <c r="K866" s="4">
        <f>IF(DatiOriginali!K866 &gt;= SogliaPicchi!$B$10,"",DatiOriginali!K866)</f>
        <v>57900</v>
      </c>
    </row>
    <row r="867" spans="1:11" x14ac:dyDescent="0.3">
      <c r="A867" s="4" t="s">
        <v>876</v>
      </c>
      <c r="B867" s="4">
        <v>101025</v>
      </c>
      <c r="C867" s="4">
        <f>IF(DatiOriginali!C867 &gt;= SogliaPicchi!$B$10,"",DatiOriginali!C867)</f>
        <v>675400</v>
      </c>
      <c r="D867" s="4">
        <v>52560</v>
      </c>
      <c r="E867" s="4">
        <f>IF(DatiOriginali!E867 &gt;= SogliaPicchi!$B$10,"",DatiOriginali!E867)</f>
        <v>184000</v>
      </c>
      <c r="F867" s="4">
        <v>1445257</v>
      </c>
      <c r="G867" s="4">
        <f>IF(DatiOriginali!G867 &gt;= SogliaPicchi!$B$10,"",DatiOriginali!G867)</f>
        <v>157600</v>
      </c>
      <c r="H867" s="4">
        <v>1788340</v>
      </c>
      <c r="I867" s="4">
        <f>IF(DatiOriginali!I867 &gt;= SogliaPicchi!$B$10,"",DatiOriginali!I867)</f>
        <v>48700</v>
      </c>
      <c r="J867" s="4">
        <v>1774368</v>
      </c>
      <c r="K867" s="4">
        <f>IF(DatiOriginali!K867 &gt;= SogliaPicchi!$B$10,"",DatiOriginali!K867)</f>
        <v>55100</v>
      </c>
    </row>
    <row r="868" spans="1:11" x14ac:dyDescent="0.3">
      <c r="A868" s="4" t="s">
        <v>877</v>
      </c>
      <c r="B868" s="4">
        <v>101025</v>
      </c>
      <c r="C868" s="4">
        <f>IF(DatiOriginali!C868 &gt;= SogliaPicchi!$B$10,"",DatiOriginali!C868)</f>
        <v>765700</v>
      </c>
      <c r="D868" s="4">
        <v>50994</v>
      </c>
      <c r="E868" s="4">
        <f>IF(DatiOriginali!E868 &gt;= SogliaPicchi!$B$10,"",DatiOriginali!E868)</f>
        <v>251400</v>
      </c>
      <c r="F868" s="4">
        <v>1448672</v>
      </c>
      <c r="G868" s="4">
        <f>IF(DatiOriginali!G868 &gt;= SogliaPicchi!$B$10,"",DatiOriginali!G868)</f>
        <v>182000</v>
      </c>
      <c r="H868" s="4">
        <v>1792446</v>
      </c>
      <c r="I868" s="4">
        <f>IF(DatiOriginali!I868 &gt;= SogliaPicchi!$B$10,"",DatiOriginali!I868)</f>
        <v>57800</v>
      </c>
      <c r="J868" s="4">
        <v>1779162</v>
      </c>
      <c r="K868" s="4">
        <f>IF(DatiOriginali!K868 &gt;= SogliaPicchi!$B$10,"",DatiOriginali!K868)</f>
        <v>57000</v>
      </c>
    </row>
    <row r="869" spans="1:11" x14ac:dyDescent="0.3">
      <c r="A869" s="4" t="s">
        <v>878</v>
      </c>
      <c r="B869" s="4">
        <v>101025</v>
      </c>
      <c r="C869" s="4">
        <f>IF(DatiOriginali!C869 &gt;= SogliaPicchi!$B$10,"",DatiOriginali!C869)</f>
        <v>659700</v>
      </c>
      <c r="D869" s="4">
        <v>52654</v>
      </c>
      <c r="E869" s="4">
        <f>IF(DatiOriginali!E869 &gt;= SogliaPicchi!$B$10,"",DatiOriginali!E869)</f>
        <v>184900</v>
      </c>
      <c r="F869" s="4">
        <v>1452085</v>
      </c>
      <c r="G869" s="4">
        <f>IF(DatiOriginali!G869 &gt;= SogliaPicchi!$B$10,"",DatiOriginali!G869)</f>
        <v>153800</v>
      </c>
      <c r="H869" s="4">
        <v>1796772</v>
      </c>
      <c r="I869" s="4">
        <f>IF(DatiOriginali!I869 &gt;= SogliaPicchi!$B$10,"",DatiOriginali!I869)</f>
        <v>50800</v>
      </c>
      <c r="J869" s="4">
        <v>1783379</v>
      </c>
      <c r="K869" s="4">
        <f>IF(DatiOriginali!K869 &gt;= SogliaPicchi!$B$10,"",DatiOriginali!K869)</f>
        <v>57500</v>
      </c>
    </row>
    <row r="870" spans="1:11" x14ac:dyDescent="0.3">
      <c r="A870" s="4" t="s">
        <v>879</v>
      </c>
      <c r="B870" s="4">
        <v>101025</v>
      </c>
      <c r="C870" s="4">
        <f>IF(DatiOriginali!C870 &gt;= SogliaPicchi!$B$10,"",DatiOriginali!C870)</f>
        <v>669800</v>
      </c>
      <c r="D870" s="4">
        <v>49753</v>
      </c>
      <c r="E870" s="4">
        <f>IF(DatiOriginali!E870 &gt;= SogliaPicchi!$B$10,"",DatiOriginali!E870)</f>
        <v>175200</v>
      </c>
      <c r="F870" s="4">
        <v>1455499</v>
      </c>
      <c r="G870" s="4">
        <f>IF(DatiOriginali!G870 &gt;= SogliaPicchi!$B$10,"",DatiOriginali!G870)</f>
        <v>159400</v>
      </c>
      <c r="H870" s="4">
        <v>1800864</v>
      </c>
      <c r="I870" s="4">
        <f>IF(DatiOriginali!I870 &gt;= SogliaPicchi!$B$10,"",DatiOriginali!I870)</f>
        <v>55400</v>
      </c>
      <c r="J870" s="4">
        <v>1788507</v>
      </c>
      <c r="K870" s="4">
        <f>IF(DatiOriginali!K870 &gt;= SogliaPicchi!$B$10,"",DatiOriginali!K870)</f>
        <v>58600</v>
      </c>
    </row>
    <row r="871" spans="1:11" x14ac:dyDescent="0.3">
      <c r="A871" s="4" t="s">
        <v>880</v>
      </c>
      <c r="B871" s="4">
        <v>101025</v>
      </c>
      <c r="C871" s="4">
        <f>IF(DatiOriginali!C871 &gt;= SogliaPicchi!$B$10,"",DatiOriginali!C871)</f>
        <v>648400</v>
      </c>
      <c r="D871" s="4">
        <v>52651</v>
      </c>
      <c r="E871" s="4">
        <f>IF(DatiOriginali!E871 &gt;= SogliaPicchi!$B$10,"",DatiOriginali!E871)</f>
        <v>186200</v>
      </c>
      <c r="F871" s="4">
        <v>1458891</v>
      </c>
      <c r="G871" s="4">
        <f>IF(DatiOriginali!G871 &gt;= SogliaPicchi!$B$10,"",DatiOriginali!G871)</f>
        <v>159400</v>
      </c>
      <c r="H871" s="4">
        <v>1804845</v>
      </c>
      <c r="I871" s="4">
        <f>IF(DatiOriginali!I871 &gt;= SogliaPicchi!$B$10,"",DatiOriginali!I871)</f>
        <v>49100</v>
      </c>
      <c r="J871" s="4">
        <v>1792652</v>
      </c>
      <c r="K871" s="4">
        <f>IF(DatiOriginali!K871 &gt;= SogliaPicchi!$B$10,"",DatiOriginali!K871)</f>
        <v>56400</v>
      </c>
    </row>
    <row r="872" spans="1:11" x14ac:dyDescent="0.3">
      <c r="A872" s="4" t="s">
        <v>881</v>
      </c>
      <c r="B872" s="4">
        <v>101025</v>
      </c>
      <c r="C872" s="4">
        <f>IF(DatiOriginali!C872 &gt;= SogliaPicchi!$B$10,"",DatiOriginali!C872)</f>
        <v>672900</v>
      </c>
      <c r="D872" s="4">
        <v>51365</v>
      </c>
      <c r="E872" s="4">
        <f>IF(DatiOriginali!E872 &gt;= SogliaPicchi!$B$10,"",DatiOriginali!E872)</f>
        <v>181000</v>
      </c>
      <c r="F872" s="4">
        <v>1462277</v>
      </c>
      <c r="G872" s="4">
        <f>IF(DatiOriginali!G872 &gt;= SogliaPicchi!$B$10,"",DatiOriginali!G872)</f>
        <v>163200</v>
      </c>
      <c r="H872" s="4">
        <v>1809214</v>
      </c>
      <c r="I872" s="4">
        <f>IF(DatiOriginali!I872 &gt;= SogliaPicchi!$B$10,"",DatiOriginali!I872)</f>
        <v>50700</v>
      </c>
      <c r="J872" s="4">
        <v>1796815</v>
      </c>
      <c r="K872" s="4">
        <f>IF(DatiOriginali!K872 &gt;= SogliaPicchi!$B$10,"",DatiOriginali!K872)</f>
        <v>54300</v>
      </c>
    </row>
    <row r="873" spans="1:11" x14ac:dyDescent="0.3">
      <c r="A873" s="4" t="s">
        <v>882</v>
      </c>
      <c r="B873" s="4">
        <v>101025</v>
      </c>
      <c r="C873" s="4">
        <f>IF(DatiOriginali!C873 &gt;= SogliaPicchi!$B$10,"",DatiOriginali!C873)</f>
        <v>706800</v>
      </c>
      <c r="D873" s="4">
        <v>48793</v>
      </c>
      <c r="E873" s="4">
        <f>IF(DatiOriginali!E873 &gt;= SogliaPicchi!$B$10,"",DatiOriginali!E873)</f>
        <v>246400</v>
      </c>
      <c r="F873" s="4">
        <v>1465694</v>
      </c>
      <c r="G873" s="4">
        <f>IF(DatiOriginali!G873 &gt;= SogliaPicchi!$B$10,"",DatiOriginali!G873)</f>
        <v>151300</v>
      </c>
      <c r="H873" s="4">
        <v>1813890</v>
      </c>
      <c r="I873" s="4">
        <f>IF(DatiOriginali!I873 &gt;= SogliaPicchi!$B$10,"",DatiOriginali!I873)</f>
        <v>51000</v>
      </c>
      <c r="J873" s="4">
        <v>1801032</v>
      </c>
      <c r="K873" s="4">
        <f>IF(DatiOriginali!K873 &gt;= SogliaPicchi!$B$10,"",DatiOriginali!K873)</f>
        <v>55600</v>
      </c>
    </row>
    <row r="874" spans="1:11" x14ac:dyDescent="0.3">
      <c r="A874" s="4" t="s">
        <v>883</v>
      </c>
      <c r="B874" s="4">
        <v>101025</v>
      </c>
      <c r="C874" s="4">
        <f>IF(DatiOriginali!C874 &gt;= SogliaPicchi!$B$10,"",DatiOriginali!C874)</f>
        <v>676600</v>
      </c>
      <c r="D874" s="4">
        <v>51107</v>
      </c>
      <c r="E874" s="4">
        <f>IF(DatiOriginali!E874 &gt;= SogliaPicchi!$B$10,"",DatiOriginali!E874)</f>
        <v>180100</v>
      </c>
      <c r="F874" s="4">
        <v>1469115</v>
      </c>
      <c r="G874" s="4">
        <f>IF(DatiOriginali!G874 &gt;= SogliaPicchi!$B$10,"",DatiOriginali!G874)</f>
        <v>163200</v>
      </c>
      <c r="H874" s="4">
        <v>1818001</v>
      </c>
      <c r="I874" s="4">
        <f>IF(DatiOriginali!I874 &gt;= SogliaPicchi!$B$10,"",DatiOriginali!I874)</f>
        <v>49700</v>
      </c>
      <c r="J874" s="4">
        <v>1805448</v>
      </c>
      <c r="K874" s="4">
        <f>IF(DatiOriginali!K874 &gt;= SogliaPicchi!$B$10,"",DatiOriginali!K874)</f>
        <v>57300</v>
      </c>
    </row>
    <row r="875" spans="1:11" x14ac:dyDescent="0.3">
      <c r="A875" s="4" t="s">
        <v>884</v>
      </c>
      <c r="B875" s="4">
        <v>101025</v>
      </c>
      <c r="C875" s="4">
        <f>IF(DatiOriginali!C875 &gt;= SogliaPicchi!$B$10,"",DatiOriginali!C875)</f>
        <v>830300</v>
      </c>
      <c r="D875" s="4">
        <v>50301</v>
      </c>
      <c r="E875" s="4">
        <f>IF(DatiOriginali!E875 &gt;= SogliaPicchi!$B$10,"",DatiOriginali!E875)</f>
        <v>224300</v>
      </c>
      <c r="F875" s="4">
        <v>1472529</v>
      </c>
      <c r="G875" s="4">
        <f>IF(DatiOriginali!G875 &gt;= SogliaPicchi!$B$10,"",DatiOriginali!G875)</f>
        <v>182400</v>
      </c>
      <c r="H875" s="4">
        <v>1822147</v>
      </c>
      <c r="I875" s="4">
        <f>IF(DatiOriginali!I875 &gt;= SogliaPicchi!$B$10,"",DatiOriginali!I875)</f>
        <v>60400</v>
      </c>
      <c r="J875" s="4">
        <v>1809240</v>
      </c>
      <c r="K875" s="4">
        <f>IF(DatiOriginali!K875 &gt;= SogliaPicchi!$B$10,"",DatiOriginali!K875)</f>
        <v>67700</v>
      </c>
    </row>
    <row r="876" spans="1:11" x14ac:dyDescent="0.3">
      <c r="A876" s="4" t="s">
        <v>885</v>
      </c>
      <c r="B876" s="4">
        <v>101025</v>
      </c>
      <c r="C876" s="4">
        <f>IF(DatiOriginali!C876 &gt;= SogliaPicchi!$B$10,"",DatiOriginali!C876)</f>
        <v>1023500</v>
      </c>
      <c r="D876" s="4">
        <v>51023</v>
      </c>
      <c r="E876" s="4">
        <f>IF(DatiOriginali!E876 &gt;= SogliaPicchi!$B$10,"",DatiOriginali!E876)</f>
        <v>211300</v>
      </c>
      <c r="F876" s="4">
        <v>1475949</v>
      </c>
      <c r="G876" s="4">
        <f>IF(DatiOriginali!G876 &gt;= SogliaPicchi!$B$10,"",DatiOriginali!G876)</f>
        <v>161600</v>
      </c>
      <c r="H876" s="4">
        <v>1826111</v>
      </c>
      <c r="I876" s="4">
        <f>IF(DatiOriginali!I876 &gt;= SogliaPicchi!$B$10,"",DatiOriginali!I876)</f>
        <v>66700</v>
      </c>
      <c r="J876" s="4">
        <v>1813950</v>
      </c>
      <c r="K876" s="4">
        <f>IF(DatiOriginali!K876 &gt;= SogliaPicchi!$B$10,"",DatiOriginali!K876)</f>
        <v>81800</v>
      </c>
    </row>
    <row r="877" spans="1:11" x14ac:dyDescent="0.3">
      <c r="A877" s="4" t="s">
        <v>886</v>
      </c>
      <c r="B877" s="4">
        <v>101025</v>
      </c>
      <c r="C877" s="4">
        <f>IF(DatiOriginali!C877 &gt;= SogliaPicchi!$B$10,"",DatiOriginali!C877)</f>
        <v>712500</v>
      </c>
      <c r="D877" s="4">
        <v>54474</v>
      </c>
      <c r="E877" s="4">
        <f>IF(DatiOriginali!E877 &gt;= SogliaPicchi!$B$10,"",DatiOriginali!E877)</f>
        <v>213700</v>
      </c>
      <c r="F877" s="4">
        <v>1479373</v>
      </c>
      <c r="G877" s="4">
        <f>IF(DatiOriginali!G877 &gt;= SogliaPicchi!$B$10,"",DatiOriginali!G877)</f>
        <v>157200</v>
      </c>
      <c r="H877" s="4">
        <v>1830372</v>
      </c>
      <c r="I877" s="4">
        <f>IF(DatiOriginali!I877 &gt;= SogliaPicchi!$B$10,"",DatiOriginali!I877)</f>
        <v>49600</v>
      </c>
      <c r="J877" s="4">
        <v>1818463</v>
      </c>
      <c r="K877" s="4">
        <f>IF(DatiOriginali!K877 &gt;= SogliaPicchi!$B$10,"",DatiOriginali!K877)</f>
        <v>57200</v>
      </c>
    </row>
    <row r="878" spans="1:11" x14ac:dyDescent="0.3">
      <c r="A878" s="4" t="s">
        <v>887</v>
      </c>
      <c r="B878" s="4">
        <v>101025</v>
      </c>
      <c r="C878" s="4">
        <f>IF(DatiOriginali!C878 &gt;= SogliaPicchi!$B$10,"",DatiOriginali!C878)</f>
        <v>827500</v>
      </c>
      <c r="D878" s="4">
        <v>49961</v>
      </c>
      <c r="E878" s="4">
        <f>IF(DatiOriginali!E878 &gt;= SogliaPicchi!$B$10,"",DatiOriginali!E878)</f>
        <v>223700</v>
      </c>
      <c r="F878" s="4">
        <v>1482799</v>
      </c>
      <c r="G878" s="4">
        <f>IF(DatiOriginali!G878 &gt;= SogliaPicchi!$B$10,"",DatiOriginali!G878)</f>
        <v>185300</v>
      </c>
      <c r="H878" s="4">
        <v>1834400</v>
      </c>
      <c r="I878" s="4">
        <f>IF(DatiOriginali!I878 &gt;= SogliaPicchi!$B$10,"",DatiOriginali!I878)</f>
        <v>61000</v>
      </c>
      <c r="J878" s="4">
        <v>1822696</v>
      </c>
      <c r="K878" s="4">
        <f>IF(DatiOriginali!K878 &gt;= SogliaPicchi!$B$10,"",DatiOriginali!K878)</f>
        <v>67900</v>
      </c>
    </row>
    <row r="879" spans="1:11" x14ac:dyDescent="0.3">
      <c r="A879" s="4" t="s">
        <v>888</v>
      </c>
      <c r="B879" s="4">
        <v>101025</v>
      </c>
      <c r="C879" s="4">
        <f>IF(DatiOriginali!C879 &gt;= SogliaPicchi!$B$10,"",DatiOriginali!C879)</f>
        <v>830700</v>
      </c>
      <c r="D879" s="4">
        <v>54127</v>
      </c>
      <c r="E879" s="4">
        <f>IF(DatiOriginali!E879 &gt;= SogliaPicchi!$B$10,"",DatiOriginali!E879)</f>
        <v>344800</v>
      </c>
      <c r="F879" s="4">
        <v>1486209</v>
      </c>
      <c r="G879" s="4">
        <f>IF(DatiOriginali!G879 &gt;= SogliaPicchi!$B$10,"",DatiOriginali!G879)</f>
        <v>195400</v>
      </c>
      <c r="H879" s="4">
        <v>1838624</v>
      </c>
      <c r="I879" s="4">
        <f>IF(DatiOriginali!I879 &gt;= SogliaPicchi!$B$10,"",DatiOriginali!I879)</f>
        <v>50500</v>
      </c>
      <c r="J879" s="4">
        <v>1826852</v>
      </c>
      <c r="K879" s="4">
        <f>IF(DatiOriginali!K879 &gt;= SogliaPicchi!$B$10,"",DatiOriginali!K879)</f>
        <v>59500</v>
      </c>
    </row>
    <row r="880" spans="1:11" x14ac:dyDescent="0.3">
      <c r="A880" s="4" t="s">
        <v>889</v>
      </c>
      <c r="B880" s="4">
        <v>101025</v>
      </c>
      <c r="C880" s="4">
        <f>IF(DatiOriginali!C880 &gt;= SogliaPicchi!$B$10,"",DatiOriginali!C880)</f>
        <v>733900</v>
      </c>
      <c r="D880" s="4">
        <v>49929</v>
      </c>
      <c r="E880" s="4">
        <f>IF(DatiOriginali!E880 &gt;= SogliaPicchi!$B$10,"",DatiOriginali!E880)</f>
        <v>195900</v>
      </c>
      <c r="F880" s="4">
        <v>1489608</v>
      </c>
      <c r="G880" s="4">
        <f>IF(DatiOriginali!G880 &gt;= SogliaPicchi!$B$10,"",DatiOriginali!G880)</f>
        <v>155900</v>
      </c>
      <c r="H880" s="4">
        <v>1842857</v>
      </c>
      <c r="I880" s="4">
        <f>IF(DatiOriginali!I880 &gt;= SogliaPicchi!$B$10,"",DatiOriginali!I880)</f>
        <v>50100</v>
      </c>
      <c r="J880" s="4">
        <v>1831193</v>
      </c>
      <c r="K880" s="4">
        <f>IF(DatiOriginali!K880 &gt;= SogliaPicchi!$B$10,"",DatiOriginali!K880)</f>
        <v>57700</v>
      </c>
    </row>
    <row r="881" spans="1:11" x14ac:dyDescent="0.3">
      <c r="A881" s="4" t="s">
        <v>890</v>
      </c>
      <c r="B881" s="4">
        <v>101025</v>
      </c>
      <c r="C881" s="4">
        <f>IF(DatiOriginali!C881 &gt;= SogliaPicchi!$B$10,"",DatiOriginali!C881)</f>
        <v>637200</v>
      </c>
      <c r="D881" s="4">
        <v>51844</v>
      </c>
      <c r="E881" s="4">
        <f>IF(DatiOriginali!E881 &gt;= SogliaPicchi!$B$10,"",DatiOriginali!E881)</f>
        <v>182700</v>
      </c>
      <c r="F881" s="4">
        <v>1493021</v>
      </c>
      <c r="G881" s="4">
        <f>IF(DatiOriginali!G881 &gt;= SogliaPicchi!$B$10,"",DatiOriginali!G881)</f>
        <v>159000</v>
      </c>
      <c r="H881" s="4">
        <v>1846959</v>
      </c>
      <c r="I881" s="4">
        <f>IF(DatiOriginali!I881 &gt;= SogliaPicchi!$B$10,"",DatiOriginali!I881)</f>
        <v>48400</v>
      </c>
      <c r="J881" s="4">
        <v>1835285</v>
      </c>
      <c r="K881" s="4">
        <f>IF(DatiOriginali!K881 &gt;= SogliaPicchi!$B$10,"",DatiOriginali!K881)</f>
        <v>58000</v>
      </c>
    </row>
    <row r="882" spans="1:11" x14ac:dyDescent="0.3">
      <c r="A882" s="4" t="s">
        <v>891</v>
      </c>
      <c r="B882" s="4">
        <v>101025</v>
      </c>
      <c r="C882" s="4">
        <f>IF(DatiOriginali!C882 &gt;= SogliaPicchi!$B$10,"",DatiOriginali!C882)</f>
        <v>704000</v>
      </c>
      <c r="D882" s="4">
        <v>52190</v>
      </c>
      <c r="E882" s="4">
        <f>IF(DatiOriginali!E882 &gt;= SogliaPicchi!$B$10,"",DatiOriginali!E882)</f>
        <v>308700</v>
      </c>
      <c r="F882" s="4">
        <v>1496436</v>
      </c>
      <c r="G882" s="4">
        <f>IF(DatiOriginali!G882 &gt;= SogliaPicchi!$B$10,"",DatiOriginali!G882)</f>
        <v>207900</v>
      </c>
      <c r="H882" s="4">
        <v>1851156</v>
      </c>
      <c r="I882" s="4">
        <f>IF(DatiOriginali!I882 &gt;= SogliaPicchi!$B$10,"",DatiOriginali!I882)</f>
        <v>60100</v>
      </c>
      <c r="J882" s="4">
        <v>1839531</v>
      </c>
      <c r="K882" s="4">
        <f>IF(DatiOriginali!K882 &gt;= SogliaPicchi!$B$10,"",DatiOriginali!K882)</f>
        <v>57100</v>
      </c>
    </row>
    <row r="883" spans="1:11" x14ac:dyDescent="0.3">
      <c r="A883" s="4" t="s">
        <v>892</v>
      </c>
      <c r="B883" s="4">
        <v>101025</v>
      </c>
      <c r="C883" s="4">
        <f>IF(DatiOriginali!C883 &gt;= SogliaPicchi!$B$10,"",DatiOriginali!C883)</f>
        <v>631000</v>
      </c>
      <c r="D883" s="4">
        <v>52102</v>
      </c>
      <c r="E883" s="4">
        <f>IF(DatiOriginali!E883 &gt;= SogliaPicchi!$B$10,"",DatiOriginali!E883)</f>
        <v>183700</v>
      </c>
      <c r="F883" s="4">
        <v>1499846</v>
      </c>
      <c r="G883" s="4">
        <f>IF(DatiOriginali!G883 &gt;= SogliaPicchi!$B$10,"",DatiOriginali!G883)</f>
        <v>158400</v>
      </c>
      <c r="H883" s="4">
        <v>1855410</v>
      </c>
      <c r="I883" s="4">
        <f>IF(DatiOriginali!I883 &gt;= SogliaPicchi!$B$10,"",DatiOriginali!I883)</f>
        <v>51300</v>
      </c>
      <c r="J883" s="4">
        <v>1843817</v>
      </c>
      <c r="K883" s="4">
        <f>IF(DatiOriginali!K883 &gt;= SogliaPicchi!$B$10,"",DatiOriginali!K883)</f>
        <v>57100</v>
      </c>
    </row>
    <row r="884" spans="1:11" x14ac:dyDescent="0.3">
      <c r="A884" s="4" t="s">
        <v>893</v>
      </c>
      <c r="B884" s="4">
        <v>101025</v>
      </c>
      <c r="C884" s="4">
        <f>IF(DatiOriginali!C884 &gt;= SogliaPicchi!$B$10,"",DatiOriginali!C884)</f>
        <v>686000</v>
      </c>
      <c r="D884" s="4">
        <v>51562</v>
      </c>
      <c r="E884" s="4">
        <f>IF(DatiOriginali!E884 &gt;= SogliaPicchi!$B$10,"",DatiOriginali!E884)</f>
        <v>181400</v>
      </c>
      <c r="F884" s="4">
        <v>1503236</v>
      </c>
      <c r="G884" s="4">
        <f>IF(DatiOriginali!G884 &gt;= SogliaPicchi!$B$10,"",DatiOriginali!G884)</f>
        <v>219900</v>
      </c>
      <c r="H884" s="4">
        <v>1859615</v>
      </c>
      <c r="I884" s="4">
        <f>IF(DatiOriginali!I884 &gt;= SogliaPicchi!$B$10,"",DatiOriginali!I884)</f>
        <v>51100</v>
      </c>
      <c r="J884" s="4">
        <v>1847640</v>
      </c>
      <c r="K884" s="4">
        <f>IF(DatiOriginali!K884 &gt;= SogliaPicchi!$B$10,"",DatiOriginali!K884)</f>
        <v>56200</v>
      </c>
    </row>
    <row r="885" spans="1:11" x14ac:dyDescent="0.3">
      <c r="A885" s="4" t="s">
        <v>894</v>
      </c>
      <c r="B885" s="4">
        <v>101025</v>
      </c>
      <c r="C885" s="4">
        <f>IF(DatiOriginali!C885 &gt;= SogliaPicchi!$B$10,"",DatiOriginali!C885)</f>
        <v>685300</v>
      </c>
      <c r="D885" s="4">
        <v>52856</v>
      </c>
      <c r="E885" s="4">
        <f>IF(DatiOriginali!E885 &gt;= SogliaPicchi!$B$10,"",DatiOriginali!E885)</f>
        <v>201000</v>
      </c>
      <c r="F885" s="4">
        <v>1506637</v>
      </c>
      <c r="G885" s="4">
        <f>IF(DatiOriginali!G885 &gt;= SogliaPicchi!$B$10,"",DatiOriginali!G885)</f>
        <v>227700</v>
      </c>
      <c r="H885" s="4">
        <v>1864086</v>
      </c>
      <c r="I885" s="4">
        <f>IF(DatiOriginali!I885 &gt;= SogliaPicchi!$B$10,"",DatiOriginali!I885)</f>
        <v>69900</v>
      </c>
      <c r="J885" s="4">
        <v>1851849</v>
      </c>
      <c r="K885" s="4">
        <f>IF(DatiOriginali!K885 &gt;= SogliaPicchi!$B$10,"",DatiOriginali!K885)</f>
        <v>66000</v>
      </c>
    </row>
    <row r="886" spans="1:11" x14ac:dyDescent="0.3">
      <c r="A886" s="4" t="s">
        <v>895</v>
      </c>
      <c r="B886" s="4">
        <v>101025</v>
      </c>
      <c r="C886" s="4">
        <f>IF(DatiOriginali!C886 &gt;= SogliaPicchi!$B$10,"",DatiOriginali!C886)</f>
        <v>686600</v>
      </c>
      <c r="D886" s="4">
        <v>50304</v>
      </c>
      <c r="E886" s="4">
        <f>IF(DatiOriginali!E886 &gt;= SogliaPicchi!$B$10,"",DatiOriginali!E886)</f>
        <v>176700</v>
      </c>
      <c r="F886" s="4">
        <v>1510055</v>
      </c>
      <c r="G886" s="4">
        <f>IF(DatiOriginali!G886 &gt;= SogliaPicchi!$B$10,"",DatiOriginali!G886)</f>
        <v>163400</v>
      </c>
      <c r="H886" s="4">
        <v>1868262</v>
      </c>
      <c r="I886" s="4">
        <f>IF(DatiOriginali!I886 &gt;= SogliaPicchi!$B$10,"",DatiOriginali!I886)</f>
        <v>50300</v>
      </c>
      <c r="J886" s="4">
        <v>1856066</v>
      </c>
      <c r="K886" s="4">
        <f>IF(DatiOriginali!K886 &gt;= SogliaPicchi!$B$10,"",DatiOriginali!K886)</f>
        <v>57400</v>
      </c>
    </row>
    <row r="887" spans="1:11" x14ac:dyDescent="0.3">
      <c r="A887" s="4" t="s">
        <v>896</v>
      </c>
      <c r="B887" s="4">
        <v>101025</v>
      </c>
      <c r="C887" s="4">
        <f>IF(DatiOriginali!C887 &gt;= SogliaPicchi!$B$10,"",DatiOriginali!C887)</f>
        <v>897900</v>
      </c>
      <c r="D887" s="4">
        <v>50912</v>
      </c>
      <c r="E887" s="4">
        <f>IF(DatiOriginali!E887 &gt;= SogliaPicchi!$B$10,"",DatiOriginali!E887)</f>
        <v>235000</v>
      </c>
      <c r="F887" s="4">
        <v>1513473</v>
      </c>
      <c r="G887" s="4">
        <f>IF(DatiOriginali!G887 &gt;= SogliaPicchi!$B$10,"",DatiOriginali!G887)</f>
        <v>183500</v>
      </c>
      <c r="H887" s="4">
        <v>1872423</v>
      </c>
      <c r="I887" s="4">
        <f>IF(DatiOriginali!I887 &gt;= SogliaPicchi!$B$10,"",DatiOriginali!I887)</f>
        <v>60200</v>
      </c>
      <c r="J887" s="4">
        <v>1860426</v>
      </c>
      <c r="K887" s="4">
        <f>IF(DatiOriginali!K887 &gt;= SogliaPicchi!$B$10,"",DatiOriginali!K887)</f>
        <v>71300</v>
      </c>
    </row>
    <row r="888" spans="1:11" x14ac:dyDescent="0.3">
      <c r="A888" s="4" t="s">
        <v>897</v>
      </c>
      <c r="B888" s="4">
        <v>101025</v>
      </c>
      <c r="C888" s="4">
        <f>IF(DatiOriginali!C888 &gt;= SogliaPicchi!$B$10,"",DatiOriginali!C888)</f>
        <v>766400</v>
      </c>
      <c r="D888" s="4">
        <v>50727</v>
      </c>
      <c r="E888" s="4">
        <f>IF(DatiOriginali!E888 &gt;= SogliaPicchi!$B$10,"",DatiOriginali!E888)</f>
        <v>354600</v>
      </c>
      <c r="F888" s="4">
        <v>1516877</v>
      </c>
      <c r="G888" s="4">
        <f>IF(DatiOriginali!G888 &gt;= SogliaPicchi!$B$10,"",DatiOriginali!G888)</f>
        <v>271300</v>
      </c>
      <c r="H888" s="4">
        <v>1876522</v>
      </c>
      <c r="I888" s="4">
        <f>IF(DatiOriginali!I888 &gt;= SogliaPicchi!$B$10,"",DatiOriginali!I888)</f>
        <v>63400</v>
      </c>
      <c r="J888" s="4">
        <v>1864524</v>
      </c>
      <c r="K888" s="4">
        <f>IF(DatiOriginali!K888 &gt;= SogliaPicchi!$B$10,"",DatiOriginali!K888)</f>
        <v>69100</v>
      </c>
    </row>
    <row r="889" spans="1:11" x14ac:dyDescent="0.3">
      <c r="A889" s="4" t="s">
        <v>898</v>
      </c>
      <c r="B889" s="4">
        <v>101025</v>
      </c>
      <c r="C889" s="4">
        <f>IF(DatiOriginali!C889 &gt;= SogliaPicchi!$B$10,"",DatiOriginali!C889)</f>
        <v>667200</v>
      </c>
      <c r="D889" s="4">
        <v>52113</v>
      </c>
      <c r="E889" s="4">
        <f>IF(DatiOriginali!E889 &gt;= SogliaPicchi!$B$10,"",DatiOriginali!E889)</f>
        <v>183300</v>
      </c>
      <c r="F889" s="4">
        <v>1520269</v>
      </c>
      <c r="G889" s="4">
        <f>IF(DatiOriginali!G889 &gt;= SogliaPicchi!$B$10,"",DatiOriginali!G889)</f>
        <v>192800</v>
      </c>
      <c r="H889" s="4">
        <v>1881213</v>
      </c>
      <c r="I889" s="4">
        <f>IF(DatiOriginali!I889 &gt;= SogliaPicchi!$B$10,"",DatiOriginali!I889)</f>
        <v>49800</v>
      </c>
      <c r="J889" s="4">
        <v>1869190</v>
      </c>
      <c r="K889" s="4">
        <f>IF(DatiOriginali!K889 &gt;= SogliaPicchi!$B$10,"",DatiOriginali!K889)</f>
        <v>58000</v>
      </c>
    </row>
    <row r="890" spans="1:11" x14ac:dyDescent="0.3">
      <c r="A890" s="4" t="s">
        <v>899</v>
      </c>
      <c r="B890" s="4">
        <v>101025</v>
      </c>
      <c r="C890" s="4">
        <f>IF(DatiOriginali!C890 &gt;= SogliaPicchi!$B$10,"",DatiOriginali!C890)</f>
        <v>686800</v>
      </c>
      <c r="D890" s="4">
        <v>52256</v>
      </c>
      <c r="E890" s="4">
        <f>IF(DatiOriginali!E890 &gt;= SogliaPicchi!$B$10,"",DatiOriginali!E890)</f>
        <v>192300</v>
      </c>
      <c r="F890" s="4">
        <v>1523654</v>
      </c>
      <c r="G890" s="4">
        <f>IF(DatiOriginali!G890 &gt;= SogliaPicchi!$B$10,"",DatiOriginali!G890)</f>
        <v>158300</v>
      </c>
      <c r="H890" s="4">
        <v>1886224</v>
      </c>
      <c r="I890" s="4">
        <f>IF(DatiOriginali!I890 &gt;= SogliaPicchi!$B$10,"",DatiOriginali!I890)</f>
        <v>50800</v>
      </c>
      <c r="J890" s="4">
        <v>1873667</v>
      </c>
      <c r="K890" s="4">
        <f>IF(DatiOriginali!K890 &gt;= SogliaPicchi!$B$10,"",DatiOriginali!K890)</f>
        <v>57800</v>
      </c>
    </row>
    <row r="891" spans="1:11" x14ac:dyDescent="0.3">
      <c r="A891" s="4" t="s">
        <v>900</v>
      </c>
      <c r="B891" s="4">
        <v>101025</v>
      </c>
      <c r="C891" s="4">
        <f>IF(DatiOriginali!C891 &gt;= SogliaPicchi!$B$10,"",DatiOriginali!C891)</f>
        <v>738700</v>
      </c>
      <c r="D891" s="4">
        <v>49068</v>
      </c>
      <c r="E891" s="4">
        <f>IF(DatiOriginali!E891 &gt;= SogliaPicchi!$B$10,"",DatiOriginali!E891)</f>
        <v>299600</v>
      </c>
      <c r="F891" s="4">
        <v>1527063</v>
      </c>
      <c r="G891" s="4">
        <f>IF(DatiOriginali!G891 &gt;= SogliaPicchi!$B$10,"",DatiOriginali!G891)</f>
        <v>156700</v>
      </c>
      <c r="H891" s="4">
        <v>1890182</v>
      </c>
      <c r="I891" s="4">
        <f>IF(DatiOriginali!I891 &gt;= SogliaPicchi!$B$10,"",DatiOriginali!I891)</f>
        <v>50300</v>
      </c>
      <c r="J891" s="4">
        <v>1877771</v>
      </c>
      <c r="K891" s="4">
        <f>IF(DatiOriginali!K891 &gt;= SogliaPicchi!$B$10,"",DatiOriginali!K891)</f>
        <v>55800</v>
      </c>
    </row>
    <row r="892" spans="1:11" x14ac:dyDescent="0.3">
      <c r="A892" s="4" t="s">
        <v>901</v>
      </c>
      <c r="B892" s="4">
        <v>101025</v>
      </c>
      <c r="C892" s="4">
        <f>IF(DatiOriginali!C892 &gt;= SogliaPicchi!$B$10,"",DatiOriginali!C892)</f>
        <v>710800</v>
      </c>
      <c r="D892" s="4">
        <v>50027</v>
      </c>
      <c r="E892" s="4">
        <f>IF(DatiOriginali!E892 &gt;= SogliaPicchi!$B$10,"",DatiOriginali!E892)</f>
        <v>178400</v>
      </c>
      <c r="F892" s="4">
        <v>1530471</v>
      </c>
      <c r="G892" s="4">
        <f>IF(DatiOriginali!G892 &gt;= SogliaPicchi!$B$10,"",DatiOriginali!G892)</f>
        <v>153200</v>
      </c>
      <c r="H892" s="4">
        <v>1894714</v>
      </c>
      <c r="I892" s="4">
        <f>IF(DatiOriginali!I892 &gt;= SogliaPicchi!$B$10,"",DatiOriginali!I892)</f>
        <v>50500</v>
      </c>
      <c r="J892" s="4">
        <v>1881781</v>
      </c>
      <c r="K892" s="4">
        <f>IF(DatiOriginali!K892 &gt;= SogliaPicchi!$B$10,"",DatiOriginali!K892)</f>
        <v>55900</v>
      </c>
    </row>
    <row r="893" spans="1:11" x14ac:dyDescent="0.3">
      <c r="A893" s="4" t="s">
        <v>902</v>
      </c>
      <c r="B893" s="4">
        <v>101025</v>
      </c>
      <c r="C893" s="4">
        <f>IF(DatiOriginali!C893 &gt;= SogliaPicchi!$B$10,"",DatiOriginali!C893)</f>
        <v>699500</v>
      </c>
      <c r="D893" s="4">
        <v>51024</v>
      </c>
      <c r="E893" s="4">
        <f>IF(DatiOriginali!E893 &gt;= SogliaPicchi!$B$10,"",DatiOriginali!E893)</f>
        <v>189500</v>
      </c>
      <c r="F893" s="4">
        <v>1533894</v>
      </c>
      <c r="G893" s="4">
        <f>IF(DatiOriginali!G893 &gt;= SogliaPicchi!$B$10,"",DatiOriginali!G893)</f>
        <v>163200</v>
      </c>
      <c r="H893" s="4">
        <v>1898762</v>
      </c>
      <c r="I893" s="4">
        <f>IF(DatiOriginali!I893 &gt;= SogliaPicchi!$B$10,"",DatiOriginali!I893)</f>
        <v>49100</v>
      </c>
      <c r="J893" s="4">
        <v>1885925</v>
      </c>
      <c r="K893" s="4">
        <f>IF(DatiOriginali!K893 &gt;= SogliaPicchi!$B$10,"",DatiOriginali!K893)</f>
        <v>55400</v>
      </c>
    </row>
    <row r="894" spans="1:11" x14ac:dyDescent="0.3">
      <c r="A894" s="4" t="s">
        <v>903</v>
      </c>
      <c r="B894" s="4">
        <v>101025</v>
      </c>
      <c r="C894" s="4">
        <f>IF(DatiOriginali!C894 &gt;= SogliaPicchi!$B$10,"",DatiOriginali!C894)</f>
        <v>608900</v>
      </c>
      <c r="D894" s="4">
        <v>50614</v>
      </c>
      <c r="E894" s="4">
        <f>IF(DatiOriginali!E894 &gt;= SogliaPicchi!$B$10,"",DatiOriginali!E894)</f>
        <v>182500</v>
      </c>
      <c r="F894" s="4">
        <v>1537275</v>
      </c>
      <c r="G894" s="4">
        <f>IF(DatiOriginali!G894 &gt;= SogliaPicchi!$B$10,"",DatiOriginali!G894)</f>
        <v>230500</v>
      </c>
      <c r="H894" s="4">
        <v>1902655</v>
      </c>
      <c r="I894" s="4">
        <f>IF(DatiOriginali!I894 &gt;= SogliaPicchi!$B$10,"",DatiOriginali!I894)</f>
        <v>68500</v>
      </c>
      <c r="J894" s="4">
        <v>1890063</v>
      </c>
      <c r="K894" s="4">
        <f>IF(DatiOriginali!K894 &gt;= SogliaPicchi!$B$10,"",DatiOriginali!K894)</f>
        <v>78800</v>
      </c>
    </row>
    <row r="895" spans="1:11" x14ac:dyDescent="0.3">
      <c r="A895" s="4" t="s">
        <v>904</v>
      </c>
      <c r="B895" s="4">
        <v>101025</v>
      </c>
      <c r="C895" s="4">
        <f>IF(DatiOriginali!C895 &gt;= SogliaPicchi!$B$10,"",DatiOriginali!C895)</f>
        <v>645500</v>
      </c>
      <c r="D895" s="4">
        <v>48270</v>
      </c>
      <c r="E895" s="4">
        <f>IF(DatiOriginali!E895 &gt;= SogliaPicchi!$B$10,"",DatiOriginali!E895)</f>
        <v>170500</v>
      </c>
      <c r="F895" s="4">
        <v>1540699</v>
      </c>
      <c r="G895" s="4">
        <f>IF(DatiOriginali!G895 &gt;= SogliaPicchi!$B$10,"",DatiOriginali!G895)</f>
        <v>159800</v>
      </c>
      <c r="H895" s="4">
        <v>1906695</v>
      </c>
      <c r="I895" s="4">
        <f>IF(DatiOriginali!I895 &gt;= SogliaPicchi!$B$10,"",DatiOriginali!I895)</f>
        <v>48900</v>
      </c>
      <c r="J895" s="4">
        <v>1894527</v>
      </c>
      <c r="K895" s="4">
        <f>IF(DatiOriginali!K895 &gt;= SogliaPicchi!$B$10,"",DatiOriginali!K895)</f>
        <v>55800</v>
      </c>
    </row>
    <row r="896" spans="1:11" x14ac:dyDescent="0.3">
      <c r="A896" s="4" t="s">
        <v>905</v>
      </c>
      <c r="B896" s="4">
        <v>101025</v>
      </c>
      <c r="C896" s="4">
        <f>IF(DatiOriginali!C896 &gt;= SogliaPicchi!$B$10,"",DatiOriginali!C896)</f>
        <v>681300</v>
      </c>
      <c r="D896" s="4">
        <v>51034</v>
      </c>
      <c r="E896" s="4">
        <f>IF(DatiOriginali!E896 &gt;= SogliaPicchi!$B$10,"",DatiOriginali!E896)</f>
        <v>179300</v>
      </c>
      <c r="F896" s="4">
        <v>1544109</v>
      </c>
      <c r="G896" s="4">
        <f>IF(DatiOriginali!G896 &gt;= SogliaPicchi!$B$10,"",DatiOriginali!G896)</f>
        <v>157700</v>
      </c>
      <c r="H896" s="4">
        <v>1911003</v>
      </c>
      <c r="I896" s="4">
        <f>IF(DatiOriginali!I896 &gt;= SogliaPicchi!$B$10,"",DatiOriginali!I896)</f>
        <v>49400</v>
      </c>
      <c r="J896" s="4">
        <v>1898808</v>
      </c>
      <c r="K896" s="4">
        <f>IF(DatiOriginali!K896 &gt;= SogliaPicchi!$B$10,"",DatiOriginali!K896)</f>
        <v>57500</v>
      </c>
    </row>
    <row r="897" spans="1:11" x14ac:dyDescent="0.3">
      <c r="A897" s="4" t="s">
        <v>906</v>
      </c>
      <c r="B897" s="4">
        <v>101025</v>
      </c>
      <c r="C897" s="4">
        <f>IF(DatiOriginali!C897 &gt;= SogliaPicchi!$B$10,"",DatiOriginali!C897)</f>
        <v>690600</v>
      </c>
      <c r="D897" s="4">
        <v>52815</v>
      </c>
      <c r="E897" s="4">
        <f>IF(DatiOriginali!E897 &gt;= SogliaPicchi!$B$10,"",DatiOriginali!E897)</f>
        <v>185400</v>
      </c>
      <c r="F897" s="4">
        <v>1547511</v>
      </c>
      <c r="G897" s="4">
        <f>IF(DatiOriginali!G897 &gt;= SogliaPicchi!$B$10,"",DatiOriginali!G897)</f>
        <v>158500</v>
      </c>
      <c r="H897" s="4">
        <v>1914772</v>
      </c>
      <c r="I897" s="4">
        <f>IF(DatiOriginali!I897 &gt;= SogliaPicchi!$B$10,"",DatiOriginali!I897)</f>
        <v>48900</v>
      </c>
      <c r="J897" s="4">
        <v>1902997</v>
      </c>
      <c r="K897" s="4">
        <f>IF(DatiOriginali!K897 &gt;= SogliaPicchi!$B$10,"",DatiOriginali!K897)</f>
        <v>54900</v>
      </c>
    </row>
    <row r="898" spans="1:11" x14ac:dyDescent="0.3">
      <c r="A898" s="4" t="s">
        <v>907</v>
      </c>
      <c r="B898" s="4">
        <v>101025</v>
      </c>
      <c r="C898" s="4">
        <f>IF(DatiOriginali!C898 &gt;= SogliaPicchi!$B$10,"",DatiOriginali!C898)</f>
        <v>668500</v>
      </c>
      <c r="D898" s="4">
        <v>48486</v>
      </c>
      <c r="E898" s="4">
        <f>IF(DatiOriginali!E898 &gt;= SogliaPicchi!$B$10,"",DatiOriginali!E898)</f>
        <v>170900</v>
      </c>
      <c r="F898" s="4">
        <v>1550905</v>
      </c>
      <c r="G898" s="4">
        <f>IF(DatiOriginali!G898 &gt;= SogliaPicchi!$B$10,"",DatiOriginali!G898)</f>
        <v>157900</v>
      </c>
      <c r="H898" s="4">
        <v>1918918</v>
      </c>
      <c r="I898" s="4">
        <f>IF(DatiOriginali!I898 &gt;= SogliaPicchi!$B$10,"",DatiOriginali!I898)</f>
        <v>47200</v>
      </c>
      <c r="J898" s="4">
        <v>1906927</v>
      </c>
      <c r="K898" s="4">
        <f>IF(DatiOriginali!K898 &gt;= SogliaPicchi!$B$10,"",DatiOriginali!K898)</f>
        <v>54900</v>
      </c>
    </row>
    <row r="899" spans="1:11" x14ac:dyDescent="0.3">
      <c r="A899" s="4" t="s">
        <v>908</v>
      </c>
      <c r="B899" s="4">
        <v>101025</v>
      </c>
      <c r="C899" s="4">
        <f>IF(DatiOriginali!C899 &gt;= SogliaPicchi!$B$10,"",DatiOriginali!C899)</f>
        <v>650100</v>
      </c>
      <c r="D899" s="4">
        <v>50617</v>
      </c>
      <c r="E899" s="4">
        <f>IF(DatiOriginali!E899 &gt;= SogliaPicchi!$B$10,"",DatiOriginali!E899)</f>
        <v>178300</v>
      </c>
      <c r="F899" s="4">
        <v>1554300</v>
      </c>
      <c r="G899" s="4">
        <f>IF(DatiOriginali!G899 &gt;= SogliaPicchi!$B$10,"",DatiOriginali!G899)</f>
        <v>155200</v>
      </c>
      <c r="H899" s="4">
        <v>1922959</v>
      </c>
      <c r="I899" s="4">
        <f>IF(DatiOriginali!I899 &gt;= SogliaPicchi!$B$10,"",DatiOriginali!I899)</f>
        <v>51100</v>
      </c>
      <c r="J899" s="4">
        <v>1911555</v>
      </c>
      <c r="K899" s="4">
        <f>IF(DatiOriginali!K899 &gt;= SogliaPicchi!$B$10,"",DatiOriginali!K899)</f>
        <v>55700</v>
      </c>
    </row>
    <row r="900" spans="1:11" x14ac:dyDescent="0.3">
      <c r="A900" s="4" t="s">
        <v>909</v>
      </c>
      <c r="B900" s="4">
        <v>101025</v>
      </c>
      <c r="C900" s="4">
        <f>IF(DatiOriginali!C900 &gt;= SogliaPicchi!$B$10,"",DatiOriginali!C900)</f>
        <v>715900</v>
      </c>
      <c r="D900" s="4">
        <v>51311</v>
      </c>
      <c r="E900" s="4">
        <f>IF(DatiOriginali!E900 &gt;= SogliaPicchi!$B$10,"",DatiOriginali!E900)</f>
        <v>181600</v>
      </c>
      <c r="F900" s="4">
        <v>1557696</v>
      </c>
      <c r="G900" s="4">
        <f>IF(DatiOriginali!G900 &gt;= SogliaPicchi!$B$10,"",DatiOriginali!G900)</f>
        <v>159700</v>
      </c>
      <c r="H900" s="4">
        <v>1926786</v>
      </c>
      <c r="I900" s="4">
        <f>IF(DatiOriginali!I900 &gt;= SogliaPicchi!$B$10,"",DatiOriginali!I900)</f>
        <v>49500</v>
      </c>
      <c r="J900" s="4">
        <v>1915583</v>
      </c>
      <c r="K900" s="4">
        <f>IF(DatiOriginali!K900 &gt;= SogliaPicchi!$B$10,"",DatiOriginali!K900)</f>
        <v>53100</v>
      </c>
    </row>
    <row r="901" spans="1:11" x14ac:dyDescent="0.3">
      <c r="A901" s="4" t="s">
        <v>910</v>
      </c>
      <c r="B901" s="4">
        <v>101025</v>
      </c>
      <c r="C901" s="4">
        <f>IF(DatiOriginali!C901 &gt;= SogliaPicchi!$B$10,"",DatiOriginali!C901)</f>
        <v>715400</v>
      </c>
      <c r="D901" s="4">
        <v>51432</v>
      </c>
      <c r="E901" s="4">
        <f>IF(DatiOriginali!E901 &gt;= SogliaPicchi!$B$10,"",DatiOriginali!E901)</f>
        <v>186300</v>
      </c>
      <c r="F901" s="4">
        <v>1561118</v>
      </c>
      <c r="G901" s="4">
        <f>IF(DatiOriginali!G901 &gt;= SogliaPicchi!$B$11,"",DatiOriginali!G901)</f>
        <v>149600</v>
      </c>
      <c r="H901" s="4">
        <v>1930954</v>
      </c>
      <c r="I901" s="4">
        <f>IF(DatiOriginali!I901 &gt;= SogliaPicchi!$B$11,"",DatiOriginali!I901)</f>
        <v>51800</v>
      </c>
      <c r="J901" s="4">
        <v>1919835</v>
      </c>
      <c r="K901" s="4">
        <f>IF(DatiOriginali!K901 &gt;= SogliaPicchi!$B$11,"",DatiOriginali!K901)</f>
        <v>56500</v>
      </c>
    </row>
    <row r="902" spans="1:11" x14ac:dyDescent="0.3">
      <c r="A902" s="4" t="s">
        <v>911</v>
      </c>
      <c r="B902" s="4">
        <v>124750</v>
      </c>
      <c r="C902" s="4">
        <f>IF(DatiOriginali!C902 &gt;= SogliaPicchi!$B$11,"",DatiOriginali!C902)</f>
        <v>912800</v>
      </c>
      <c r="D902" s="4">
        <v>59053</v>
      </c>
      <c r="E902" s="4">
        <f>IF(DatiOriginali!E902 &gt;= SogliaPicchi!$B$11,"",DatiOriginali!E902)</f>
        <v>219900</v>
      </c>
      <c r="F902" s="4">
        <v>1564994</v>
      </c>
      <c r="G902" s="4">
        <f>IF(DatiOriginali!G902 &gt;= SogliaPicchi!$B$11,"",DatiOriginali!G902)</f>
        <v>172700</v>
      </c>
      <c r="H902" s="4">
        <v>1935733</v>
      </c>
      <c r="I902" s="4">
        <f>IF(DatiOriginali!I902 &gt;= SogliaPicchi!$B$11,"",DatiOriginali!I902)</f>
        <v>57000</v>
      </c>
      <c r="J902" s="4">
        <v>1924631</v>
      </c>
      <c r="K902" s="4">
        <f>IF(DatiOriginali!K902 &gt;= SogliaPicchi!$B$11,"",DatiOriginali!K902)</f>
        <v>64200</v>
      </c>
    </row>
    <row r="903" spans="1:11" x14ac:dyDescent="0.3">
      <c r="A903" s="4" t="s">
        <v>912</v>
      </c>
      <c r="B903" s="4">
        <v>124750</v>
      </c>
      <c r="C903" s="4">
        <f>IF(DatiOriginali!C903 &gt;= SogliaPicchi!$B$11,"",DatiOriginali!C903)</f>
        <v>875300</v>
      </c>
      <c r="D903" s="4">
        <v>60950</v>
      </c>
      <c r="E903" s="4">
        <f>IF(DatiOriginali!E903 &gt;= SogliaPicchi!$B$11,"",DatiOriginali!E903)</f>
        <v>294600</v>
      </c>
      <c r="F903" s="4">
        <v>1568848</v>
      </c>
      <c r="G903" s="4">
        <f>IF(DatiOriginali!G903 &gt;= SogliaPicchi!$B$11,"",DatiOriginali!G903)</f>
        <v>171900</v>
      </c>
      <c r="H903" s="4">
        <v>1940619</v>
      </c>
      <c r="I903" s="4">
        <f>IF(DatiOriginali!I903 &gt;= SogliaPicchi!$B$11,"",DatiOriginali!I903)</f>
        <v>54300</v>
      </c>
      <c r="J903" s="4">
        <v>1929648</v>
      </c>
      <c r="K903" s="4">
        <f>IF(DatiOriginali!K903 &gt;= SogliaPicchi!$B$11,"",DatiOriginali!K903)</f>
        <v>64900</v>
      </c>
    </row>
    <row r="904" spans="1:11" x14ac:dyDescent="0.3">
      <c r="A904" s="4" t="s">
        <v>913</v>
      </c>
      <c r="B904" s="4">
        <v>124750</v>
      </c>
      <c r="C904" s="4">
        <f>IF(DatiOriginali!C904 &gt;= SogliaPicchi!$B$11,"",DatiOriginali!C904)</f>
        <v>1124700</v>
      </c>
      <c r="D904" s="4">
        <v>60636</v>
      </c>
      <c r="E904" s="4">
        <f>IF(DatiOriginali!E904 &gt;= SogliaPicchi!$B$11,"",DatiOriginali!E904)</f>
        <v>264100</v>
      </c>
      <c r="F904" s="4">
        <v>1572692</v>
      </c>
      <c r="G904" s="4">
        <f>IF(DatiOriginali!G904 &gt;= SogliaPicchi!$B$11,"",DatiOriginali!G904)</f>
        <v>208800</v>
      </c>
      <c r="H904" s="4">
        <v>1945214</v>
      </c>
      <c r="I904" s="4">
        <f>IF(DatiOriginali!I904 &gt;= SogliaPicchi!$B$11,"",DatiOriginali!I904)</f>
        <v>72200</v>
      </c>
      <c r="J904" s="4">
        <v>1934724</v>
      </c>
      <c r="K904" s="4">
        <f>IF(DatiOriginali!K904 &gt;= SogliaPicchi!$B$11,"",DatiOriginali!K904)</f>
        <v>78700</v>
      </c>
    </row>
    <row r="905" spans="1:11" x14ac:dyDescent="0.3">
      <c r="A905" s="4" t="s">
        <v>914</v>
      </c>
      <c r="B905" s="4">
        <v>124750</v>
      </c>
      <c r="C905" s="4">
        <f>IF(DatiOriginali!C905 &gt;= SogliaPicchi!$B$11,"",DatiOriginali!C905)</f>
        <v>1024200</v>
      </c>
      <c r="D905" s="4">
        <v>62772</v>
      </c>
      <c r="E905" s="4">
        <f>IF(DatiOriginali!E905 &gt;= SogliaPicchi!$B$11,"",DatiOriginali!E905)</f>
        <v>265200</v>
      </c>
      <c r="F905" s="4">
        <v>1576534</v>
      </c>
      <c r="G905" s="4">
        <f>IF(DatiOriginali!G905 &gt;= SogliaPicchi!$B$11,"",DatiOriginali!G905)</f>
        <v>205900</v>
      </c>
      <c r="H905" s="4">
        <v>1950314</v>
      </c>
      <c r="I905" s="4">
        <f>IF(DatiOriginali!I905 &gt;= SogliaPicchi!$B$11,"",DatiOriginali!I905)</f>
        <v>68100</v>
      </c>
      <c r="J905" s="4">
        <v>1939330</v>
      </c>
      <c r="K905" s="4">
        <f>IF(DatiOriginali!K905 &gt;= SogliaPicchi!$B$11,"",DatiOriginali!K905)</f>
        <v>68100</v>
      </c>
    </row>
    <row r="906" spans="1:11" x14ac:dyDescent="0.3">
      <c r="A906" s="4" t="s">
        <v>915</v>
      </c>
      <c r="B906" s="4">
        <v>124750</v>
      </c>
      <c r="C906" s="4">
        <f>IF(DatiOriginali!C906 &gt;= SogliaPicchi!$B$11,"",DatiOriginali!C906)</f>
        <v>887000</v>
      </c>
      <c r="D906" s="4">
        <v>62631</v>
      </c>
      <c r="E906" s="4">
        <f>IF(DatiOriginali!E906 &gt;= SogliaPicchi!$B$11,"",DatiOriginali!E906)</f>
        <v>224400</v>
      </c>
      <c r="F906" s="4">
        <v>1580374</v>
      </c>
      <c r="G906" s="4">
        <f>IF(DatiOriginali!G906 &gt;= SogliaPicchi!$B$11,"",DatiOriginali!G906)</f>
        <v>170200</v>
      </c>
      <c r="H906" s="4">
        <v>1954781</v>
      </c>
      <c r="I906" s="4">
        <f>IF(DatiOriginali!I906 &gt;= SogliaPicchi!$B$11,"",DatiOriginali!I906)</f>
        <v>57200</v>
      </c>
      <c r="J906" s="4">
        <v>1943808</v>
      </c>
      <c r="K906" s="4">
        <f>IF(DatiOriginali!K906 &gt;= SogliaPicchi!$B$11,"",DatiOriginali!K906)</f>
        <v>65800</v>
      </c>
    </row>
    <row r="907" spans="1:11" x14ac:dyDescent="0.3">
      <c r="A907" s="4" t="s">
        <v>916</v>
      </c>
      <c r="B907" s="4">
        <v>124750</v>
      </c>
      <c r="C907" s="4">
        <f>IF(DatiOriginali!C907 &gt;= SogliaPicchi!$B$11,"",DatiOriginali!C907)</f>
        <v>853200</v>
      </c>
      <c r="D907" s="4">
        <v>64623</v>
      </c>
      <c r="E907" s="4">
        <f>IF(DatiOriginali!E907 &gt;= SogliaPicchi!$B$11,"",DatiOriginali!E907)</f>
        <v>235700</v>
      </c>
      <c r="F907" s="4">
        <v>1584240</v>
      </c>
      <c r="G907" s="4">
        <f>IF(DatiOriginali!G907 &gt;= SogliaPicchi!$B$11,"",DatiOriginali!G907)</f>
        <v>169400</v>
      </c>
      <c r="H907" s="4">
        <v>1959693</v>
      </c>
      <c r="I907" s="4">
        <f>IF(DatiOriginali!I907 &gt;= SogliaPicchi!$B$11,"",DatiOriginali!I907)</f>
        <v>55800</v>
      </c>
      <c r="J907" s="4">
        <v>1948366</v>
      </c>
      <c r="K907" s="4">
        <f>IF(DatiOriginali!K907 &gt;= SogliaPicchi!$B$11,"",DatiOriginali!K907)</f>
        <v>63600</v>
      </c>
    </row>
    <row r="908" spans="1:11" x14ac:dyDescent="0.3">
      <c r="A908" s="4" t="s">
        <v>917</v>
      </c>
      <c r="B908" s="4">
        <v>124750</v>
      </c>
      <c r="C908" s="4">
        <f>IF(DatiOriginali!C908 &gt;= SogliaPicchi!$B$11,"",DatiOriginali!C908)</f>
        <v>1016200</v>
      </c>
      <c r="D908" s="4">
        <v>65591</v>
      </c>
      <c r="E908" s="4">
        <f>IF(DatiOriginali!E908 &gt;= SogliaPicchi!$B$11,"",DatiOriginali!E908)</f>
        <v>344000</v>
      </c>
      <c r="F908" s="4">
        <v>1588081</v>
      </c>
      <c r="G908" s="4">
        <f>IF(DatiOriginali!G908 &gt;= SogliaPicchi!$B$11,"",DatiOriginali!G908)</f>
        <v>173600</v>
      </c>
      <c r="H908" s="4">
        <v>1964300</v>
      </c>
      <c r="I908" s="4">
        <f>IF(DatiOriginali!I908 &gt;= SogliaPicchi!$B$11,"",DatiOriginali!I908)</f>
        <v>58000</v>
      </c>
      <c r="J908" s="4">
        <v>1952888</v>
      </c>
      <c r="K908" s="4">
        <f>IF(DatiOriginali!K908 &gt;= SogliaPicchi!$B$11,"",DatiOriginali!K908)</f>
        <v>65200</v>
      </c>
    </row>
    <row r="909" spans="1:11" x14ac:dyDescent="0.3">
      <c r="A909" s="4" t="s">
        <v>918</v>
      </c>
      <c r="B909" s="4">
        <v>124750</v>
      </c>
      <c r="C909" s="4">
        <f>IF(DatiOriginali!C909 &gt;= SogliaPicchi!$B$11,"",DatiOriginali!C909)</f>
        <v>897000</v>
      </c>
      <c r="D909" s="4">
        <v>63295</v>
      </c>
      <c r="E909" s="4">
        <f>IF(DatiOriginali!E909 &gt;= SogliaPicchi!$B$11,"",DatiOriginali!E909)</f>
        <v>225900</v>
      </c>
      <c r="F909" s="4">
        <v>1591924</v>
      </c>
      <c r="G909" s="4">
        <f>IF(DatiOriginali!G909 &gt;= SogliaPicchi!$B$11,"",DatiOriginali!G909)</f>
        <v>287400</v>
      </c>
      <c r="H909" s="4">
        <v>1968759</v>
      </c>
      <c r="I909" s="4">
        <f>IF(DatiOriginali!I909 &gt;= SogliaPicchi!$B$11,"",DatiOriginali!I909)</f>
        <v>104200</v>
      </c>
      <c r="J909" s="4">
        <v>1957190</v>
      </c>
      <c r="K909" s="4">
        <f>IF(DatiOriginali!K909 &gt;= SogliaPicchi!$B$11,"",DatiOriginali!K909)</f>
        <v>86500</v>
      </c>
    </row>
    <row r="910" spans="1:11" x14ac:dyDescent="0.3">
      <c r="A910" s="4" t="s">
        <v>919</v>
      </c>
      <c r="B910" s="4">
        <v>124750</v>
      </c>
      <c r="C910" s="4">
        <f>IF(DatiOriginali!C910 &gt;= SogliaPicchi!$B$11,"",DatiOriginali!C910)</f>
        <v>904100</v>
      </c>
      <c r="D910" s="4">
        <v>65096</v>
      </c>
      <c r="E910" s="4">
        <f>IF(DatiOriginali!E910 &gt;= SogliaPicchi!$B$11,"",DatiOriginali!E910)</f>
        <v>230700</v>
      </c>
      <c r="F910" s="4">
        <v>1595768</v>
      </c>
      <c r="G910" s="4">
        <f>IF(DatiOriginali!G910 &gt;= SogliaPicchi!$B$11,"",DatiOriginali!G910)</f>
        <v>171600</v>
      </c>
      <c r="H910" s="4">
        <v>1973549</v>
      </c>
      <c r="I910" s="4">
        <f>IF(DatiOriginali!I910 &gt;= SogliaPicchi!$B$11,"",DatiOriginali!I910)</f>
        <v>56900</v>
      </c>
      <c r="J910" s="4">
        <v>1961759</v>
      </c>
      <c r="K910" s="4">
        <f>IF(DatiOriginali!K910 &gt;= SogliaPicchi!$B$11,"",DatiOriginali!K910)</f>
        <v>64400</v>
      </c>
    </row>
    <row r="911" spans="1:11" x14ac:dyDescent="0.3">
      <c r="A911" s="4" t="s">
        <v>920</v>
      </c>
      <c r="B911" s="4">
        <v>124750</v>
      </c>
      <c r="C911" s="4">
        <f>IF(DatiOriginali!C911 &gt;= SogliaPicchi!$B$11,"",DatiOriginali!C911)</f>
        <v>873000</v>
      </c>
      <c r="D911" s="4">
        <v>60074</v>
      </c>
      <c r="E911" s="4">
        <f>IF(DatiOriginali!E911 &gt;= SogliaPicchi!$B$11,"",DatiOriginali!E911)</f>
        <v>221400</v>
      </c>
      <c r="F911" s="4">
        <v>1599633</v>
      </c>
      <c r="G911" s="4">
        <f>IF(DatiOriginali!G911 &gt;= SogliaPicchi!$B$11,"",DatiOriginali!G911)</f>
        <v>170500</v>
      </c>
      <c r="H911" s="4">
        <v>1978014</v>
      </c>
      <c r="I911" s="4">
        <f>IF(DatiOriginali!I911 &gt;= SogliaPicchi!$B$11,"",DatiOriginali!I911)</f>
        <v>57500</v>
      </c>
      <c r="J911" s="4">
        <v>1966236</v>
      </c>
      <c r="K911" s="4">
        <f>IF(DatiOriginali!K911 &gt;= SogliaPicchi!$B$11,"",DatiOriginali!K911)</f>
        <v>62800</v>
      </c>
    </row>
    <row r="912" spans="1:11" x14ac:dyDescent="0.3">
      <c r="A912" s="4" t="s">
        <v>921</v>
      </c>
      <c r="B912" s="4">
        <v>124750</v>
      </c>
      <c r="C912" s="4">
        <f>IF(DatiOriginali!C912 &gt;= SogliaPicchi!$B$11,"",DatiOriginali!C912)</f>
        <v>859300</v>
      </c>
      <c r="D912" s="4">
        <v>66379</v>
      </c>
      <c r="E912" s="4">
        <f>IF(DatiOriginali!E912 &gt;= SogliaPicchi!$B$11,"",DatiOriginali!E912)</f>
        <v>242200</v>
      </c>
      <c r="F912" s="4">
        <v>1603492</v>
      </c>
      <c r="G912" s="4">
        <f>IF(DatiOriginali!G912 &gt;= SogliaPicchi!$B$11,"",DatiOriginali!G912)</f>
        <v>178000</v>
      </c>
      <c r="H912" s="4">
        <v>1982725</v>
      </c>
      <c r="I912" s="4">
        <f>IF(DatiOriginali!I912 &gt;= SogliaPicchi!$B$11,"",DatiOriginali!I912)</f>
        <v>56500</v>
      </c>
      <c r="J912" s="4">
        <v>1970792</v>
      </c>
      <c r="K912" s="4">
        <f>IF(DatiOriginali!K912 &gt;= SogliaPicchi!$B$11,"",DatiOriginali!K912)</f>
        <v>65000</v>
      </c>
    </row>
    <row r="913" spans="1:11" x14ac:dyDescent="0.3">
      <c r="A913" s="4" t="s">
        <v>922</v>
      </c>
      <c r="B913" s="4">
        <v>124750</v>
      </c>
      <c r="C913" s="4">
        <f>IF(DatiOriginali!C913 &gt;= SogliaPicchi!$B$11,"",DatiOriginali!C913)</f>
        <v>882300</v>
      </c>
      <c r="D913" s="4">
        <v>64338</v>
      </c>
      <c r="E913" s="4">
        <f>IF(DatiOriginali!E913 &gt;= SogliaPicchi!$B$11,"",DatiOriginali!E913)</f>
        <v>226200</v>
      </c>
      <c r="F913" s="4">
        <v>1607369</v>
      </c>
      <c r="G913" s="4">
        <f>IF(DatiOriginali!G913 &gt;= SogliaPicchi!$B$11,"",DatiOriginali!G913)</f>
        <v>169300</v>
      </c>
      <c r="H913" s="4">
        <v>1988198</v>
      </c>
      <c r="I913" s="4">
        <f>IF(DatiOriginali!I913 &gt;= SogliaPicchi!$B$11,"",DatiOriginali!I913)</f>
        <v>56800</v>
      </c>
      <c r="J913" s="4">
        <v>1975763</v>
      </c>
      <c r="K913" s="4">
        <f>IF(DatiOriginali!K913 &gt;= SogliaPicchi!$B$11,"",DatiOriginali!K913)</f>
        <v>65000</v>
      </c>
    </row>
    <row r="914" spans="1:11" x14ac:dyDescent="0.3">
      <c r="A914" s="4" t="s">
        <v>923</v>
      </c>
      <c r="B914" s="4">
        <v>124750</v>
      </c>
      <c r="C914" s="4">
        <f>IF(DatiOriginali!C914 &gt;= SogliaPicchi!$B$11,"",DatiOriginali!C914)</f>
        <v>774500</v>
      </c>
      <c r="D914" s="4">
        <v>59432</v>
      </c>
      <c r="E914" s="4">
        <f>IF(DatiOriginali!E914 &gt;= SogliaPicchi!$B$11,"",DatiOriginali!E914)</f>
        <v>222100</v>
      </c>
      <c r="F914" s="4">
        <v>1611208</v>
      </c>
      <c r="G914" s="4">
        <f>IF(DatiOriginali!G914 &gt;= SogliaPicchi!$B$11,"",DatiOriginali!G914)</f>
        <v>171600</v>
      </c>
      <c r="H914" s="4">
        <v>1992935</v>
      </c>
      <c r="I914" s="4">
        <f>IF(DatiOriginali!I914 &gt;= SogliaPicchi!$B$11,"",DatiOriginali!I914)</f>
        <v>69600</v>
      </c>
      <c r="J914" s="4">
        <v>1980307</v>
      </c>
      <c r="K914" s="4">
        <f>IF(DatiOriginali!K914 &gt;= SogliaPicchi!$B$11,"",DatiOriginali!K914)</f>
        <v>63100</v>
      </c>
    </row>
    <row r="915" spans="1:11" x14ac:dyDescent="0.3">
      <c r="A915" s="4" t="s">
        <v>924</v>
      </c>
      <c r="B915" s="4">
        <v>124750</v>
      </c>
      <c r="C915" s="4">
        <f>IF(DatiOriginali!C915 &gt;= SogliaPicchi!$B$11,"",DatiOriginali!C915)</f>
        <v>871900</v>
      </c>
      <c r="D915" s="4">
        <v>62112</v>
      </c>
      <c r="E915" s="4">
        <f>IF(DatiOriginali!E915 &gt;= SogliaPicchi!$B$11,"",DatiOriginali!E915)</f>
        <v>223100</v>
      </c>
      <c r="F915" s="4">
        <v>1615065</v>
      </c>
      <c r="G915" s="4">
        <f>IF(DatiOriginali!G915 &gt;= SogliaPicchi!$B$11,"",DatiOriginali!G915)</f>
        <v>170000</v>
      </c>
      <c r="H915" s="4">
        <v>1998034</v>
      </c>
      <c r="I915" s="4">
        <f>IF(DatiOriginali!I915 &gt;= SogliaPicchi!$B$11,"",DatiOriginali!I915)</f>
        <v>56800</v>
      </c>
      <c r="J915" s="4">
        <v>1985327</v>
      </c>
      <c r="K915" s="4">
        <f>IF(DatiOriginali!K915 &gt;= SogliaPicchi!$B$11,"",DatiOriginali!K915)</f>
        <v>62900</v>
      </c>
    </row>
    <row r="916" spans="1:11" x14ac:dyDescent="0.3">
      <c r="A916" s="4" t="s">
        <v>925</v>
      </c>
      <c r="B916" s="4">
        <v>124750</v>
      </c>
      <c r="C916" s="4">
        <f>IF(DatiOriginali!C916 &gt;= SogliaPicchi!$B$11,"",DatiOriginali!C916)</f>
        <v>1052200</v>
      </c>
      <c r="D916" s="4">
        <v>61690</v>
      </c>
      <c r="E916" s="4">
        <f>IF(DatiOriginali!E916 &gt;= SogliaPicchi!$B$11,"",DatiOriginali!E916)</f>
        <v>282300</v>
      </c>
      <c r="F916" s="4">
        <v>1618917</v>
      </c>
      <c r="G916" s="4">
        <f>IF(DatiOriginali!G916 &gt;= SogliaPicchi!$B$11,"",DatiOriginali!G916)</f>
        <v>183800</v>
      </c>
      <c r="H916" s="4">
        <v>2002343</v>
      </c>
      <c r="I916" s="4">
        <f>IF(DatiOriginali!I916 &gt;= SogliaPicchi!$B$11,"",DatiOriginali!I916)</f>
        <v>65700</v>
      </c>
      <c r="J916" s="4">
        <v>1989985</v>
      </c>
      <c r="K916" s="4">
        <f>IF(DatiOriginali!K916 &gt;= SogliaPicchi!$B$11,"",DatiOriginali!K916)</f>
        <v>72200</v>
      </c>
    </row>
    <row r="917" spans="1:11" x14ac:dyDescent="0.3">
      <c r="A917" s="4" t="s">
        <v>926</v>
      </c>
      <c r="B917" s="4">
        <v>124750</v>
      </c>
      <c r="C917" s="4">
        <f>IF(DatiOriginali!C917 &gt;= SogliaPicchi!$B$11,"",DatiOriginali!C917)</f>
        <v>873500</v>
      </c>
      <c r="D917" s="4">
        <v>64965</v>
      </c>
      <c r="E917" s="4">
        <f>IF(DatiOriginali!E917 &gt;= SogliaPicchi!$B$11,"",DatiOriginali!E917)</f>
        <v>236600</v>
      </c>
      <c r="F917" s="4">
        <v>1622782</v>
      </c>
      <c r="G917" s="4">
        <f>IF(DatiOriginali!G917 &gt;= SogliaPicchi!$B$11,"",DatiOriginali!G917)</f>
        <v>173100</v>
      </c>
      <c r="H917" s="4">
        <v>2007338</v>
      </c>
      <c r="I917" s="4">
        <f>IF(DatiOriginali!I917 &gt;= SogliaPicchi!$B$11,"",DatiOriginali!I917)</f>
        <v>57700</v>
      </c>
      <c r="J917" s="4">
        <v>1994514</v>
      </c>
      <c r="K917" s="4">
        <f>IF(DatiOriginali!K917 &gt;= SogliaPicchi!$B$11,"",DatiOriginali!K917)</f>
        <v>65400</v>
      </c>
    </row>
    <row r="918" spans="1:11" x14ac:dyDescent="0.3">
      <c r="A918" s="4" t="s">
        <v>927</v>
      </c>
      <c r="B918" s="4">
        <v>124750</v>
      </c>
      <c r="C918" s="4">
        <f>IF(DatiOriginali!C918 &gt;= SogliaPicchi!$B$11,"",DatiOriginali!C918)</f>
        <v>1039700</v>
      </c>
      <c r="D918" s="4">
        <v>60272</v>
      </c>
      <c r="E918" s="4">
        <f>IF(DatiOriginali!E918 &gt;= SogliaPicchi!$B$11,"",DatiOriginali!E918)</f>
        <v>254900</v>
      </c>
      <c r="F918" s="4">
        <v>1626648</v>
      </c>
      <c r="G918" s="4">
        <f>IF(DatiOriginali!G918 &gt;= SogliaPicchi!$B$11,"",DatiOriginali!G918)</f>
        <v>192600</v>
      </c>
      <c r="H918" s="4">
        <v>2012672</v>
      </c>
      <c r="I918" s="4">
        <f>IF(DatiOriginali!I918 &gt;= SogliaPicchi!$B$11,"",DatiOriginali!I918)</f>
        <v>60400</v>
      </c>
      <c r="J918" s="4">
        <v>1999667</v>
      </c>
      <c r="K918" s="4">
        <f>IF(DatiOriginali!K918 &gt;= SogliaPicchi!$B$11,"",DatiOriginali!K918)</f>
        <v>73100</v>
      </c>
    </row>
    <row r="919" spans="1:11" x14ac:dyDescent="0.3">
      <c r="A919" s="4" t="s">
        <v>928</v>
      </c>
      <c r="B919" s="4">
        <v>124750</v>
      </c>
      <c r="C919" s="4">
        <f>IF(DatiOriginali!C919 &gt;= SogliaPicchi!$B$11,"",DatiOriginali!C919)</f>
        <v>827800</v>
      </c>
      <c r="D919" s="4">
        <v>65412</v>
      </c>
      <c r="E919" s="4">
        <f>IF(DatiOriginali!E919 &gt;= SogliaPicchi!$B$11,"",DatiOriginali!E919)</f>
        <v>350500</v>
      </c>
      <c r="F919" s="4">
        <v>1630508</v>
      </c>
      <c r="G919" s="4">
        <f>IF(DatiOriginali!G919 &gt;= SogliaPicchi!$B$11,"",DatiOriginali!G919)</f>
        <v>179000</v>
      </c>
      <c r="H919" s="4">
        <v>2017613</v>
      </c>
      <c r="I919" s="4">
        <f>IF(DatiOriginali!I919 &gt;= SogliaPicchi!$B$11,"",DatiOriginali!I919)</f>
        <v>57300</v>
      </c>
      <c r="J919" s="4">
        <v>2004870</v>
      </c>
      <c r="K919" s="4">
        <f>IF(DatiOriginali!K919 &gt;= SogliaPicchi!$B$11,"",DatiOriginali!K919)</f>
        <v>67400</v>
      </c>
    </row>
    <row r="920" spans="1:11" x14ac:dyDescent="0.3">
      <c r="A920" s="4" t="s">
        <v>929</v>
      </c>
      <c r="B920" s="4">
        <v>124750</v>
      </c>
      <c r="C920" s="4">
        <f>IF(DatiOriginali!C920 &gt;= SogliaPicchi!$B$11,"",DatiOriginali!C920)</f>
        <v>1030200</v>
      </c>
      <c r="D920" s="4">
        <v>66790</v>
      </c>
      <c r="E920" s="4">
        <f>IF(DatiOriginali!E920 &gt;= SogliaPicchi!$B$11,"",DatiOriginali!E920)</f>
        <v>288500</v>
      </c>
      <c r="F920" s="4">
        <v>1634326</v>
      </c>
      <c r="G920" s="4">
        <f>IF(DatiOriginali!G920 &gt;= SogliaPicchi!$B$11,"",DatiOriginali!G920)</f>
        <v>205400</v>
      </c>
      <c r="H920" s="4">
        <v>2022352</v>
      </c>
      <c r="I920" s="4">
        <f>IF(DatiOriginali!I920 &gt;= SogliaPicchi!$B$11,"",DatiOriginali!I920)</f>
        <v>67600</v>
      </c>
      <c r="J920" s="4">
        <v>2009373</v>
      </c>
      <c r="K920" s="4">
        <f>IF(DatiOriginali!K920 &gt;= SogliaPicchi!$B$11,"",DatiOriginali!K920)</f>
        <v>72400</v>
      </c>
    </row>
    <row r="921" spans="1:11" x14ac:dyDescent="0.3">
      <c r="A921" s="4" t="s">
        <v>930</v>
      </c>
      <c r="B921" s="4">
        <v>124750</v>
      </c>
      <c r="C921" s="4">
        <f>IF(DatiOriginali!C921 &gt;= SogliaPicchi!$B$11,"",DatiOriginali!C921)</f>
        <v>871900</v>
      </c>
      <c r="D921" s="4">
        <v>62984</v>
      </c>
      <c r="E921" s="4">
        <f>IF(DatiOriginali!E921 &gt;= SogliaPicchi!$B$11,"",DatiOriginali!E921)</f>
        <v>237900</v>
      </c>
      <c r="F921" s="4">
        <v>1638178</v>
      </c>
      <c r="G921" s="4">
        <f>IF(DatiOriginali!G921 &gt;= SogliaPicchi!$B$11,"",DatiOriginali!G921)</f>
        <v>172200</v>
      </c>
      <c r="H921" s="4">
        <v>2027942</v>
      </c>
      <c r="I921" s="4">
        <f>IF(DatiOriginali!I921 &gt;= SogliaPicchi!$B$11,"",DatiOriginali!I921)</f>
        <v>55600</v>
      </c>
      <c r="J921" s="4">
        <v>2014549</v>
      </c>
      <c r="K921" s="4">
        <f>IF(DatiOriginali!K921 &gt;= SogliaPicchi!$B$11,"",DatiOriginali!K921)</f>
        <v>63600</v>
      </c>
    </row>
    <row r="922" spans="1:11" x14ac:dyDescent="0.3">
      <c r="A922" s="4" t="s">
        <v>931</v>
      </c>
      <c r="B922" s="4">
        <v>124750</v>
      </c>
      <c r="C922" s="4">
        <f>IF(DatiOriginali!C922 &gt;= SogliaPicchi!$B$11,"",DatiOriginali!C922)</f>
        <v>911100</v>
      </c>
      <c r="D922" s="4">
        <v>60598</v>
      </c>
      <c r="E922" s="4">
        <f>IF(DatiOriginali!E922 &gt;= SogliaPicchi!$B$11,"",DatiOriginali!E922)</f>
        <v>224000</v>
      </c>
      <c r="F922" s="4">
        <v>1642031</v>
      </c>
      <c r="G922" s="4">
        <f>IF(DatiOriginali!G922 &gt;= SogliaPicchi!$B$11,"",DatiOriginali!G922)</f>
        <v>172100</v>
      </c>
      <c r="H922" s="4">
        <v>2032502</v>
      </c>
      <c r="I922" s="4">
        <f>IF(DatiOriginali!I922 &gt;= SogliaPicchi!$B$11,"",DatiOriginali!I922)</f>
        <v>58000</v>
      </c>
      <c r="J922" s="4">
        <v>2019022</v>
      </c>
      <c r="K922" s="4">
        <f>IF(DatiOriginali!K922 &gt;= SogliaPicchi!$B$11,"",DatiOriginali!K922)</f>
        <v>64300</v>
      </c>
    </row>
    <row r="923" spans="1:11" x14ac:dyDescent="0.3">
      <c r="A923" s="4" t="s">
        <v>932</v>
      </c>
      <c r="B923" s="4">
        <v>124750</v>
      </c>
      <c r="C923" s="4">
        <f>IF(DatiOriginali!C923 &gt;= SogliaPicchi!$B$11,"",DatiOriginali!C923)</f>
        <v>870500</v>
      </c>
      <c r="D923" s="4">
        <v>62830</v>
      </c>
      <c r="E923" s="4">
        <f>IF(DatiOriginali!E923 &gt;= SogliaPicchi!$B$11,"",DatiOriginali!E923)</f>
        <v>228700</v>
      </c>
      <c r="F923" s="4">
        <v>1645887</v>
      </c>
      <c r="G923" s="4">
        <f>IF(DatiOriginali!G923 &gt;= SogliaPicchi!$B$11,"",DatiOriginali!G923)</f>
        <v>171700</v>
      </c>
      <c r="H923" s="4">
        <v>2037133</v>
      </c>
      <c r="I923" s="4">
        <f>IF(DatiOriginali!I923 &gt;= SogliaPicchi!$B$11,"",DatiOriginali!I923)</f>
        <v>55800</v>
      </c>
      <c r="J923" s="4">
        <v>2024010</v>
      </c>
      <c r="K923" s="4">
        <f>IF(DatiOriginali!K923 &gt;= SogliaPicchi!$B$11,"",DatiOriginali!K923)</f>
        <v>62800</v>
      </c>
    </row>
    <row r="924" spans="1:11" x14ac:dyDescent="0.3">
      <c r="A924" s="4" t="s">
        <v>933</v>
      </c>
      <c r="B924" s="4">
        <v>124750</v>
      </c>
      <c r="C924" s="4">
        <f>IF(DatiOriginali!C924 &gt;= SogliaPicchi!$B$11,"",DatiOriginali!C924)</f>
        <v>861300</v>
      </c>
      <c r="D924" s="4">
        <v>60644</v>
      </c>
      <c r="E924" s="4">
        <f>IF(DatiOriginali!E924 &gt;= SogliaPicchi!$B$11,"",DatiOriginali!E924)</f>
        <v>369800</v>
      </c>
      <c r="F924" s="4">
        <v>1649726</v>
      </c>
      <c r="G924" s="4">
        <f>IF(DatiOriginali!G924 &gt;= SogliaPicchi!$B$11,"",DatiOriginali!G924)</f>
        <v>185700</v>
      </c>
      <c r="H924" s="4">
        <v>2041609</v>
      </c>
      <c r="I924" s="4">
        <f>IF(DatiOriginali!I924 &gt;= SogliaPicchi!$B$11,"",DatiOriginali!I924)</f>
        <v>56700</v>
      </c>
      <c r="J924" s="4">
        <v>2029013</v>
      </c>
      <c r="K924" s="4">
        <f>IF(DatiOriginali!K924 &gt;= SogliaPicchi!$B$11,"",DatiOriginali!K924)</f>
        <v>64100</v>
      </c>
    </row>
    <row r="925" spans="1:11" x14ac:dyDescent="0.3">
      <c r="A925" s="4" t="s">
        <v>934</v>
      </c>
      <c r="B925" s="4">
        <v>124750</v>
      </c>
      <c r="C925" s="4">
        <f>IF(DatiOriginali!C925 &gt;= SogliaPicchi!$B$11,"",DatiOriginali!C925)</f>
        <v>876700</v>
      </c>
      <c r="D925" s="4">
        <v>63527</v>
      </c>
      <c r="E925" s="4">
        <f>IF(DatiOriginali!E925 &gt;= SogliaPicchi!$B$11,"",DatiOriginali!E925)</f>
        <v>232700</v>
      </c>
      <c r="F925" s="4">
        <v>1653560</v>
      </c>
      <c r="G925" s="4">
        <f>IF(DatiOriginali!G925 &gt;= SogliaPicchi!$B$11,"",DatiOriginali!G925)</f>
        <v>169800</v>
      </c>
      <c r="H925" s="4">
        <v>2046391</v>
      </c>
      <c r="I925" s="4">
        <f>IF(DatiOriginali!I925 &gt;= SogliaPicchi!$B$11,"",DatiOriginali!I925)</f>
        <v>55200</v>
      </c>
      <c r="J925" s="4">
        <v>2034572</v>
      </c>
      <c r="K925" s="4">
        <f>IF(DatiOriginali!K925 &gt;= SogliaPicchi!$B$11,"",DatiOriginali!K925)</f>
        <v>65800</v>
      </c>
    </row>
    <row r="926" spans="1:11" x14ac:dyDescent="0.3">
      <c r="A926" s="4" t="s">
        <v>935</v>
      </c>
      <c r="B926" s="4">
        <v>124750</v>
      </c>
      <c r="C926" s="4">
        <f>IF(DatiOriginali!C926 &gt;= SogliaPicchi!$B$11,"",DatiOriginali!C926)</f>
        <v>1126800</v>
      </c>
      <c r="D926" s="4">
        <v>62780</v>
      </c>
      <c r="E926" s="4">
        <f>IF(DatiOriginali!E926 &gt;= SogliaPicchi!$B$11,"",DatiOriginali!E926)</f>
        <v>272900</v>
      </c>
      <c r="F926" s="4">
        <v>1657412</v>
      </c>
      <c r="G926" s="4">
        <f>IF(DatiOriginali!G926 &gt;= SogliaPicchi!$B$11,"",DatiOriginali!G926)</f>
        <v>170400</v>
      </c>
      <c r="H926" s="4">
        <v>2051225</v>
      </c>
      <c r="I926" s="4">
        <f>IF(DatiOriginali!I926 &gt;= SogliaPicchi!$B$11,"",DatiOriginali!I926)</f>
        <v>64000</v>
      </c>
      <c r="J926" s="4">
        <v>2039076</v>
      </c>
      <c r="K926" s="4">
        <f>IF(DatiOriginali!K926 &gt;= SogliaPicchi!$B$11,"",DatiOriginali!K926)</f>
        <v>64400</v>
      </c>
    </row>
    <row r="927" spans="1:11" x14ac:dyDescent="0.3">
      <c r="A927" s="4" t="s">
        <v>936</v>
      </c>
      <c r="B927" s="4">
        <v>124750</v>
      </c>
      <c r="C927" s="4">
        <f>IF(DatiOriginali!C927 &gt;= SogliaPicchi!$B$11,"",DatiOriginali!C927)</f>
        <v>902600</v>
      </c>
      <c r="D927" s="4">
        <v>64273</v>
      </c>
      <c r="E927" s="4">
        <f>IF(DatiOriginali!E927 &gt;= SogliaPicchi!$B$11,"",DatiOriginali!E927)</f>
        <v>231200</v>
      </c>
      <c r="F927" s="4">
        <v>1661255</v>
      </c>
      <c r="G927" s="4">
        <f>IF(DatiOriginali!G927 &gt;= SogliaPicchi!$B$11,"",DatiOriginali!G927)</f>
        <v>173300</v>
      </c>
      <c r="H927" s="4">
        <v>2055726</v>
      </c>
      <c r="I927" s="4">
        <f>IF(DatiOriginali!I927 &gt;= SogliaPicchi!$B$11,"",DatiOriginali!I927)</f>
        <v>56500</v>
      </c>
      <c r="J927" s="4">
        <v>2044156</v>
      </c>
      <c r="K927" s="4">
        <f>IF(DatiOriginali!K927 &gt;= SogliaPicchi!$B$11,"",DatiOriginali!K927)</f>
        <v>64600</v>
      </c>
    </row>
    <row r="928" spans="1:11" x14ac:dyDescent="0.3">
      <c r="A928" s="4" t="s">
        <v>937</v>
      </c>
      <c r="B928" s="4">
        <v>124750</v>
      </c>
      <c r="C928" s="4">
        <f>IF(DatiOriginali!C928 &gt;= SogliaPicchi!$B$11,"",DatiOriginali!C928)</f>
        <v>821500</v>
      </c>
      <c r="D928" s="4">
        <v>62497</v>
      </c>
      <c r="E928" s="4">
        <f>IF(DatiOriginali!E928 &gt;= SogliaPicchi!$B$11,"",DatiOriginali!E928)</f>
        <v>236200</v>
      </c>
      <c r="F928" s="4">
        <v>1665087</v>
      </c>
      <c r="G928" s="4">
        <f>IF(DatiOriginali!G928 &gt;= SogliaPicchi!$B$11,"",DatiOriginali!G928)</f>
        <v>169100</v>
      </c>
      <c r="H928" s="4">
        <v>2061060</v>
      </c>
      <c r="I928" s="4">
        <f>IF(DatiOriginali!I928 &gt;= SogliaPicchi!$B$11,"",DatiOriginali!I928)</f>
        <v>56300</v>
      </c>
      <c r="J928" s="4">
        <v>2048887</v>
      </c>
      <c r="K928" s="4">
        <f>IF(DatiOriginali!K928 &gt;= SogliaPicchi!$B$11,"",DatiOriginali!K928)</f>
        <v>62100</v>
      </c>
    </row>
    <row r="929" spans="1:11" x14ac:dyDescent="0.3">
      <c r="A929" s="4" t="s">
        <v>938</v>
      </c>
      <c r="B929" s="4">
        <v>124750</v>
      </c>
      <c r="C929" s="4">
        <f>IF(DatiOriginali!C929 &gt;= SogliaPicchi!$B$11,"",DatiOriginali!C929)</f>
        <v>860600</v>
      </c>
      <c r="D929" s="4">
        <v>63076</v>
      </c>
      <c r="E929" s="4">
        <f>IF(DatiOriginali!E929 &gt;= SogliaPicchi!$B$11,"",DatiOriginali!E929)</f>
        <v>228400</v>
      </c>
      <c r="F929" s="4">
        <v>1668946</v>
      </c>
      <c r="G929" s="4">
        <f>IF(DatiOriginali!G929 &gt;= SogliaPicchi!$B$11,"",DatiOriginali!G929)</f>
        <v>168600</v>
      </c>
      <c r="H929" s="4">
        <v>2065452</v>
      </c>
      <c r="I929" s="4">
        <f>IF(DatiOriginali!I929 &gt;= SogliaPicchi!$B$11,"",DatiOriginali!I929)</f>
        <v>56200</v>
      </c>
      <c r="J929" s="4">
        <v>2053457</v>
      </c>
      <c r="K929" s="4">
        <f>IF(DatiOriginali!K929 &gt;= SogliaPicchi!$B$11,"",DatiOriginali!K929)</f>
        <v>62500</v>
      </c>
    </row>
    <row r="930" spans="1:11" x14ac:dyDescent="0.3">
      <c r="A930" s="4" t="s">
        <v>939</v>
      </c>
      <c r="B930" s="4">
        <v>124750</v>
      </c>
      <c r="C930" s="4">
        <f>IF(DatiOriginali!C930 &gt;= SogliaPicchi!$B$11,"",DatiOriginali!C930)</f>
        <v>1040000</v>
      </c>
      <c r="D930" s="4">
        <v>59184</v>
      </c>
      <c r="E930" s="4">
        <f>IF(DatiOriginali!E930 &gt;= SogliaPicchi!$B$11,"",DatiOriginali!E930)</f>
        <v>227700</v>
      </c>
      <c r="F930" s="4">
        <v>1672792</v>
      </c>
      <c r="G930" s="4">
        <f>IF(DatiOriginali!G930 &gt;= SogliaPicchi!$B$11,"",DatiOriginali!G930)</f>
        <v>179800</v>
      </c>
      <c r="H930" s="4">
        <v>2070090</v>
      </c>
      <c r="I930" s="4">
        <f>IF(DatiOriginali!I930 &gt;= SogliaPicchi!$B$11,"",DatiOriginali!I930)</f>
        <v>57600</v>
      </c>
      <c r="J930" s="4">
        <v>2058482</v>
      </c>
      <c r="K930" s="4">
        <f>IF(DatiOriginali!K930 &gt;= SogliaPicchi!$B$11,"",DatiOriginali!K930)</f>
        <v>67000</v>
      </c>
    </row>
    <row r="931" spans="1:11" x14ac:dyDescent="0.3">
      <c r="A931" s="4" t="s">
        <v>940</v>
      </c>
      <c r="B931" s="4">
        <v>124750</v>
      </c>
      <c r="C931" s="4">
        <f>IF(DatiOriginali!C931 &gt;= SogliaPicchi!$B$11,"",DatiOriginali!C931)</f>
        <v>1014800</v>
      </c>
      <c r="D931" s="4">
        <v>62698</v>
      </c>
      <c r="E931" s="4">
        <f>IF(DatiOriginali!E931 &gt;= SogliaPicchi!$B$11,"",DatiOriginali!E931)</f>
        <v>264400</v>
      </c>
      <c r="F931" s="4">
        <v>1676648</v>
      </c>
      <c r="G931" s="4">
        <f>IF(DatiOriginali!G931 &gt;= SogliaPicchi!$B$11,"",DatiOriginali!G931)</f>
        <v>206200</v>
      </c>
      <c r="H931" s="4">
        <v>2074518</v>
      </c>
      <c r="I931" s="4">
        <f>IF(DatiOriginali!I931 &gt;= SogliaPicchi!$B$11,"",DatiOriginali!I931)</f>
        <v>67200</v>
      </c>
      <c r="J931" s="4">
        <v>2063519</v>
      </c>
      <c r="K931" s="4">
        <f>IF(DatiOriginali!K931 &gt;= SogliaPicchi!$B$11,"",DatiOriginali!K931)</f>
        <v>85300</v>
      </c>
    </row>
    <row r="932" spans="1:11" x14ac:dyDescent="0.3">
      <c r="A932" s="4" t="s">
        <v>941</v>
      </c>
      <c r="B932" s="4">
        <v>124750</v>
      </c>
      <c r="C932" s="4">
        <f>IF(DatiOriginali!C932 &gt;= SogliaPicchi!$B$11,"",DatiOriginali!C932)</f>
        <v>941000</v>
      </c>
      <c r="D932" s="4">
        <v>65096</v>
      </c>
      <c r="E932" s="4">
        <f>IF(DatiOriginali!E932 &gt;= SogliaPicchi!$B$11,"",DatiOriginali!E932)</f>
        <v>236100</v>
      </c>
      <c r="F932" s="4">
        <v>1680493</v>
      </c>
      <c r="G932" s="4">
        <f>IF(DatiOriginali!G932 &gt;= SogliaPicchi!$B$11,"",DatiOriginali!G932)</f>
        <v>171700</v>
      </c>
      <c r="H932" s="4">
        <v>2079430</v>
      </c>
      <c r="I932" s="4">
        <f>IF(DatiOriginali!I932 &gt;= SogliaPicchi!$B$11,"",DatiOriginali!I932)</f>
        <v>57400</v>
      </c>
      <c r="J932" s="4">
        <v>2068670</v>
      </c>
      <c r="K932" s="4">
        <f>IF(DatiOriginali!K932 &gt;= SogliaPicchi!$B$11,"",DatiOriginali!K932)</f>
        <v>64700</v>
      </c>
    </row>
    <row r="933" spans="1:11" x14ac:dyDescent="0.3">
      <c r="A933" s="4" t="s">
        <v>942</v>
      </c>
      <c r="B933" s="4">
        <v>124750</v>
      </c>
      <c r="C933" s="4">
        <f>IF(DatiOriginali!C933 &gt;= SogliaPicchi!$B$11,"",DatiOriginali!C933)</f>
        <v>1059500</v>
      </c>
      <c r="D933" s="4">
        <v>63841</v>
      </c>
      <c r="E933" s="4">
        <f>IF(DatiOriginali!E933 &gt;= SogliaPicchi!$B$11,"",DatiOriginali!E933)</f>
        <v>268900</v>
      </c>
      <c r="F933" s="4">
        <v>1684342</v>
      </c>
      <c r="G933" s="4">
        <f>IF(DatiOriginali!G933 &gt;= SogliaPicchi!$B$11,"",DatiOriginali!G933)</f>
        <v>205600</v>
      </c>
      <c r="H933" s="4">
        <v>2084209</v>
      </c>
      <c r="I933" s="4">
        <f>IF(DatiOriginali!I933 &gt;= SogliaPicchi!$B$11,"",DatiOriginali!I933)</f>
        <v>68200</v>
      </c>
      <c r="J933" s="4">
        <v>2073344</v>
      </c>
      <c r="K933" s="4">
        <f>IF(DatiOriginali!K933 &gt;= SogliaPicchi!$B$11,"",DatiOriginali!K933)</f>
        <v>78500</v>
      </c>
    </row>
    <row r="934" spans="1:11" x14ac:dyDescent="0.3">
      <c r="A934" s="4" t="s">
        <v>943</v>
      </c>
      <c r="B934" s="4">
        <v>124750</v>
      </c>
      <c r="C934" s="4">
        <f>IF(DatiOriginali!C934 &gt;= SogliaPicchi!$B$11,"",DatiOriginali!C934)</f>
        <v>998500</v>
      </c>
      <c r="D934" s="4">
        <v>63037</v>
      </c>
      <c r="E934" s="4">
        <f>IF(DatiOriginali!E934 &gt;= SogliaPicchi!$B$11,"",DatiOriginali!E934)</f>
        <v>269300</v>
      </c>
      <c r="F934" s="4">
        <v>1688192</v>
      </c>
      <c r="G934" s="4">
        <f>IF(DatiOriginali!G934 &gt;= SogliaPicchi!$B$11,"",DatiOriginali!G934)</f>
        <v>206700</v>
      </c>
      <c r="H934" s="4">
        <v>2088805</v>
      </c>
      <c r="I934" s="4">
        <f>IF(DatiOriginali!I934 &gt;= SogliaPicchi!$B$11,"",DatiOriginali!I934)</f>
        <v>70300</v>
      </c>
      <c r="J934" s="4">
        <v>2078237</v>
      </c>
      <c r="K934" s="4">
        <f>IF(DatiOriginali!K934 &gt;= SogliaPicchi!$B$11,"",DatiOriginali!K934)</f>
        <v>75800</v>
      </c>
    </row>
    <row r="935" spans="1:11" x14ac:dyDescent="0.3">
      <c r="A935" s="4" t="s">
        <v>944</v>
      </c>
      <c r="B935" s="4">
        <v>124750</v>
      </c>
      <c r="C935" s="4">
        <f>IF(DatiOriginali!C935 &gt;= SogliaPicchi!$B$11,"",DatiOriginali!C935)</f>
        <v>841500</v>
      </c>
      <c r="D935" s="4">
        <v>64502</v>
      </c>
      <c r="E935" s="4">
        <f>IF(DatiOriginali!E935 &gt;= SogliaPicchi!$B$11,"",DatiOriginali!E935)</f>
        <v>231600</v>
      </c>
      <c r="F935" s="4">
        <v>1692045</v>
      </c>
      <c r="G935" s="4">
        <f>IF(DatiOriginali!G935 &gt;= SogliaPicchi!$B$11,"",DatiOriginali!G935)</f>
        <v>172600</v>
      </c>
      <c r="H935" s="4">
        <v>2093407</v>
      </c>
      <c r="I935" s="4">
        <f>IF(DatiOriginali!I935 &gt;= SogliaPicchi!$B$11,"",DatiOriginali!I935)</f>
        <v>55300</v>
      </c>
      <c r="J935" s="4">
        <v>2082950</v>
      </c>
      <c r="K935" s="4">
        <f>IF(DatiOriginali!K935 &gt;= SogliaPicchi!$B$11,"",DatiOriginali!K935)</f>
        <v>63200</v>
      </c>
    </row>
    <row r="936" spans="1:11" x14ac:dyDescent="0.3">
      <c r="A936" s="4" t="s">
        <v>945</v>
      </c>
      <c r="B936" s="4">
        <v>124750</v>
      </c>
      <c r="C936" s="4">
        <f>IF(DatiOriginali!C936 &gt;= SogliaPicchi!$B$11,"",DatiOriginali!C936)</f>
        <v>1107900</v>
      </c>
      <c r="D936" s="4">
        <v>62193</v>
      </c>
      <c r="E936" s="4">
        <f>IF(DatiOriginali!E936 &gt;= SogliaPicchi!$B$11,"",DatiOriginali!E936)</f>
        <v>264900</v>
      </c>
      <c r="F936" s="4">
        <v>1695905</v>
      </c>
      <c r="G936" s="4">
        <f>IF(DatiOriginali!G936 &gt;= SogliaPicchi!$B$11,"",DatiOriginali!G936)</f>
        <v>210000</v>
      </c>
      <c r="H936" s="4">
        <v>2098476</v>
      </c>
      <c r="I936" s="4">
        <f>IF(DatiOriginali!I936 &gt;= SogliaPicchi!$B$11,"",DatiOriginali!I936)</f>
        <v>76900</v>
      </c>
      <c r="J936" s="4">
        <v>2087376</v>
      </c>
      <c r="K936" s="4">
        <f>IF(DatiOriginali!K936 &gt;= SogliaPicchi!$B$11,"",DatiOriginali!K936)</f>
        <v>78200</v>
      </c>
    </row>
    <row r="937" spans="1:11" x14ac:dyDescent="0.3">
      <c r="A937" s="4" t="s">
        <v>946</v>
      </c>
      <c r="B937" s="4">
        <v>124750</v>
      </c>
      <c r="C937" s="4">
        <f>IF(DatiOriginali!C937 &gt;= SogliaPicchi!$B$11,"",DatiOriginali!C937)</f>
        <v>1048400</v>
      </c>
      <c r="D937" s="4">
        <v>63329</v>
      </c>
      <c r="E937" s="4">
        <f>IF(DatiOriginali!E937 &gt;= SogliaPicchi!$B$11,"",DatiOriginali!E937)</f>
        <v>350300</v>
      </c>
      <c r="F937" s="4">
        <v>1699761</v>
      </c>
      <c r="G937" s="4">
        <f>IF(DatiOriginali!G937 &gt;= SogliaPicchi!$B$11,"",DatiOriginali!G937)</f>
        <v>268600</v>
      </c>
      <c r="H937" s="4">
        <v>2103611</v>
      </c>
      <c r="I937" s="4">
        <f>IF(DatiOriginali!I937 &gt;= SogliaPicchi!$B$11,"",DatiOriginali!I937)</f>
        <v>60700</v>
      </c>
      <c r="J937" s="4">
        <v>2091799</v>
      </c>
      <c r="K937" s="4">
        <f>IF(DatiOriginali!K937 &gt;= SogliaPicchi!$B$11,"",DatiOriginali!K937)</f>
        <v>65200</v>
      </c>
    </row>
    <row r="938" spans="1:11" x14ac:dyDescent="0.3">
      <c r="A938" s="4" t="s">
        <v>947</v>
      </c>
      <c r="B938" s="4">
        <v>124750</v>
      </c>
      <c r="C938" s="4">
        <f>IF(DatiOriginali!C938 &gt;= SogliaPicchi!$B$11,"",DatiOriginali!C938)</f>
        <v>858800</v>
      </c>
      <c r="D938" s="4">
        <v>60597</v>
      </c>
      <c r="E938" s="4">
        <f>IF(DatiOriginali!E938 &gt;= SogliaPicchi!$B$11,"",DatiOriginali!E938)</f>
        <v>224600</v>
      </c>
      <c r="F938" s="4">
        <v>1703609</v>
      </c>
      <c r="G938" s="4">
        <f>IF(DatiOriginali!G938 &gt;= SogliaPicchi!$B$11,"",DatiOriginali!G938)</f>
        <v>169300</v>
      </c>
      <c r="H938" s="4">
        <v>2108405</v>
      </c>
      <c r="I938" s="4">
        <f>IF(DatiOriginali!I938 &gt;= SogliaPicchi!$B$11,"",DatiOriginali!I938)</f>
        <v>57500</v>
      </c>
      <c r="J938" s="4">
        <v>2096662</v>
      </c>
      <c r="K938" s="4">
        <f>IF(DatiOriginali!K938 &gt;= SogliaPicchi!$B$11,"",DatiOriginali!K938)</f>
        <v>62500</v>
      </c>
    </row>
    <row r="939" spans="1:11" x14ac:dyDescent="0.3">
      <c r="A939" s="4" t="s">
        <v>948</v>
      </c>
      <c r="B939" s="4">
        <v>124750</v>
      </c>
      <c r="C939" s="4">
        <f>IF(DatiOriginali!C939 &gt;= SogliaPicchi!$B$11,"",DatiOriginali!C939)</f>
        <v>824900</v>
      </c>
      <c r="D939" s="4">
        <v>64587</v>
      </c>
      <c r="E939" s="4">
        <f>IF(DatiOriginali!E939 &gt;= SogliaPicchi!$B$11,"",DatiOriginali!E939)</f>
        <v>285200</v>
      </c>
      <c r="F939" s="4">
        <v>1707472</v>
      </c>
      <c r="G939" s="4">
        <f>IF(DatiOriginali!G939 &gt;= SogliaPicchi!$B$11,"",DatiOriginali!G939)</f>
        <v>252800</v>
      </c>
      <c r="H939" s="4">
        <v>2113119</v>
      </c>
      <c r="I939" s="4">
        <f>IF(DatiOriginali!I939 &gt;= SogliaPicchi!$B$11,"",DatiOriginali!I939)</f>
        <v>57200</v>
      </c>
      <c r="J939" s="4">
        <v>2101701</v>
      </c>
      <c r="K939" s="4">
        <f>IF(DatiOriginali!K939 &gt;= SogliaPicchi!$B$11,"",DatiOriginali!K939)</f>
        <v>64800</v>
      </c>
    </row>
    <row r="940" spans="1:11" x14ac:dyDescent="0.3">
      <c r="A940" s="4" t="s">
        <v>949</v>
      </c>
      <c r="B940" s="4">
        <v>124750</v>
      </c>
      <c r="C940" s="4">
        <f>IF(DatiOriginali!C940 &gt;= SogliaPicchi!$B$11,"",DatiOriginali!C940)</f>
        <v>842500</v>
      </c>
      <c r="D940" s="4">
        <v>60358</v>
      </c>
      <c r="E940" s="4">
        <f>IF(DatiOriginali!E940 &gt;= SogliaPicchi!$B$11,"",DatiOriginali!E940)</f>
        <v>257800</v>
      </c>
      <c r="F940" s="4">
        <v>1711308</v>
      </c>
      <c r="G940" s="4">
        <f>IF(DatiOriginali!G940 &gt;= SogliaPicchi!$B$11,"",DatiOriginali!G940)</f>
        <v>169400</v>
      </c>
      <c r="H940" s="4">
        <v>2118098</v>
      </c>
      <c r="I940" s="4">
        <f>IF(DatiOriginali!I940 &gt;= SogliaPicchi!$B$11,"",DatiOriginali!I940)</f>
        <v>54700</v>
      </c>
      <c r="J940" s="4">
        <v>2106964</v>
      </c>
      <c r="K940" s="4">
        <f>IF(DatiOriginali!K940 &gt;= SogliaPicchi!$B$11,"",DatiOriginali!K940)</f>
        <v>64700</v>
      </c>
    </row>
    <row r="941" spans="1:11" x14ac:dyDescent="0.3">
      <c r="A941" s="4" t="s">
        <v>950</v>
      </c>
      <c r="B941" s="4">
        <v>124750</v>
      </c>
      <c r="C941" s="4">
        <f>IF(DatiOriginali!C941 &gt;= SogliaPicchi!$B$11,"",DatiOriginali!C941)</f>
        <v>1041000</v>
      </c>
      <c r="D941" s="4">
        <v>63179</v>
      </c>
      <c r="E941" s="4">
        <f>IF(DatiOriginali!E941 &gt;= SogliaPicchi!$B$11,"",DatiOriginali!E941)</f>
        <v>275400</v>
      </c>
      <c r="F941" s="4">
        <v>1715145</v>
      </c>
      <c r="G941" s="4">
        <f>IF(DatiOriginali!G941 &gt;= SogliaPicchi!$B$11,"",DatiOriginali!G941)</f>
        <v>208500</v>
      </c>
      <c r="H941" s="4">
        <v>2123025</v>
      </c>
      <c r="I941" s="4">
        <f>IF(DatiOriginali!I941 &gt;= SogliaPicchi!$B$11,"",DatiOriginali!I941)</f>
        <v>70400</v>
      </c>
      <c r="J941" s="4">
        <v>2112224</v>
      </c>
      <c r="K941" s="4">
        <f>IF(DatiOriginali!K941 &gt;= SogliaPicchi!$B$11,"",DatiOriginali!K941)</f>
        <v>83800</v>
      </c>
    </row>
    <row r="942" spans="1:11" x14ac:dyDescent="0.3">
      <c r="A942" s="4" t="s">
        <v>951</v>
      </c>
      <c r="B942" s="4">
        <v>124750</v>
      </c>
      <c r="C942" s="4">
        <f>IF(DatiOriginali!C942 &gt;= SogliaPicchi!$B$11,"",DatiOriginali!C942)</f>
        <v>986900</v>
      </c>
      <c r="D942" s="4">
        <v>64149</v>
      </c>
      <c r="E942" s="4">
        <f>IF(DatiOriginali!E942 &gt;= SogliaPicchi!$B$11,"",DatiOriginali!E942)</f>
        <v>224900</v>
      </c>
      <c r="F942" s="4">
        <v>1719011</v>
      </c>
      <c r="G942" s="4">
        <f>IF(DatiOriginali!G942 &gt;= SogliaPicchi!$B$11,"",DatiOriginali!G942)</f>
        <v>172300</v>
      </c>
      <c r="H942" s="4">
        <v>2127470</v>
      </c>
      <c r="I942" s="4">
        <f>IF(DatiOriginali!I942 &gt;= SogliaPicchi!$B$11,"",DatiOriginali!I942)</f>
        <v>54900</v>
      </c>
      <c r="J942" s="4">
        <v>2117106</v>
      </c>
      <c r="K942" s="4">
        <f>IF(DatiOriginali!K942 &gt;= SogliaPicchi!$B$11,"",DatiOriginali!K942)</f>
        <v>65700</v>
      </c>
    </row>
    <row r="943" spans="1:11" x14ac:dyDescent="0.3">
      <c r="A943" s="4" t="s">
        <v>952</v>
      </c>
      <c r="B943" s="4">
        <v>124750</v>
      </c>
      <c r="C943" s="4">
        <f>IF(DatiOriginali!C943 &gt;= SogliaPicchi!$B$11,"",DatiOriginali!C943)</f>
        <v>860900</v>
      </c>
      <c r="D943" s="4">
        <v>64058</v>
      </c>
      <c r="E943" s="4">
        <f>IF(DatiOriginali!E943 &gt;= SogliaPicchi!$B$11,"",DatiOriginali!E943)</f>
        <v>243800</v>
      </c>
      <c r="F943" s="4">
        <v>1722852</v>
      </c>
      <c r="G943" s="4">
        <f>IF(DatiOriginali!G943 &gt;= SogliaPicchi!$B$11,"",DatiOriginali!G943)</f>
        <v>171800</v>
      </c>
      <c r="H943" s="4">
        <v>2132556</v>
      </c>
      <c r="I943" s="4">
        <f>IF(DatiOriginali!I943 &gt;= SogliaPicchi!$B$11,"",DatiOriginali!I943)</f>
        <v>58500</v>
      </c>
      <c r="J943" s="4">
        <v>2121705</v>
      </c>
      <c r="K943" s="4">
        <f>IF(DatiOriginali!K943 &gt;= SogliaPicchi!$B$11,"",DatiOriginali!K943)</f>
        <v>63400</v>
      </c>
    </row>
    <row r="944" spans="1:11" x14ac:dyDescent="0.3">
      <c r="A944" s="4" t="s">
        <v>953</v>
      </c>
      <c r="B944" s="4">
        <v>124750</v>
      </c>
      <c r="C944" s="4">
        <f>IF(DatiOriginali!C944 &gt;= SogliaPicchi!$B$11,"",DatiOriginali!C944)</f>
        <v>972800</v>
      </c>
      <c r="D944" s="4">
        <v>63588</v>
      </c>
      <c r="E944" s="4">
        <f>IF(DatiOriginali!E944 &gt;= SogliaPicchi!$B$11,"",DatiOriginali!E944)</f>
        <v>281300</v>
      </c>
      <c r="F944" s="4">
        <v>1726716</v>
      </c>
      <c r="G944" s="4">
        <f>IF(DatiOriginali!G944 &gt;= SogliaPicchi!$B$11,"",DatiOriginali!G944)</f>
        <v>203300</v>
      </c>
      <c r="H944" s="4">
        <v>2137285</v>
      </c>
      <c r="I944" s="4">
        <f>IF(DatiOriginali!I944 &gt;= SogliaPicchi!$B$11,"",DatiOriginali!I944)</f>
        <v>68600</v>
      </c>
      <c r="J944" s="4">
        <v>2126492</v>
      </c>
      <c r="K944" s="4">
        <f>IF(DatiOriginali!K944 &gt;= SogliaPicchi!$B$11,"",DatiOriginali!K944)</f>
        <v>82600</v>
      </c>
    </row>
    <row r="945" spans="1:11" x14ac:dyDescent="0.3">
      <c r="A945" s="4" t="s">
        <v>954</v>
      </c>
      <c r="B945" s="4">
        <v>124750</v>
      </c>
      <c r="C945" s="4">
        <f>IF(DatiOriginali!C945 &gt;= SogliaPicchi!$B$11,"",DatiOriginali!C945)</f>
        <v>1168700</v>
      </c>
      <c r="D945" s="4">
        <v>62509</v>
      </c>
      <c r="E945" s="4">
        <f>IF(DatiOriginali!E945 &gt;= SogliaPicchi!$B$11,"",DatiOriginali!E945)</f>
        <v>275300</v>
      </c>
      <c r="F945" s="4">
        <v>1730575</v>
      </c>
      <c r="G945" s="4">
        <f>IF(DatiOriginali!G945 &gt;= SogliaPicchi!$B$11,"",DatiOriginali!G945)</f>
        <v>248900</v>
      </c>
      <c r="H945" s="4">
        <v>2141787</v>
      </c>
      <c r="I945" s="4">
        <f>IF(DatiOriginali!I945 &gt;= SogliaPicchi!$B$11,"",DatiOriginali!I945)</f>
        <v>70600</v>
      </c>
      <c r="J945" s="4">
        <v>2131552</v>
      </c>
      <c r="K945" s="4">
        <f>IF(DatiOriginali!K945 &gt;= SogliaPicchi!$B$11,"",DatiOriginali!K945)</f>
        <v>78000</v>
      </c>
    </row>
    <row r="946" spans="1:11" x14ac:dyDescent="0.3">
      <c r="A946" s="4" t="s">
        <v>955</v>
      </c>
      <c r="B946" s="4">
        <v>124750</v>
      </c>
      <c r="C946" s="4">
        <f>IF(DatiOriginali!C946 &gt;= SogliaPicchi!$B$11,"",DatiOriginali!C946)</f>
        <v>979100</v>
      </c>
      <c r="D946" s="4">
        <v>62882</v>
      </c>
      <c r="E946" s="4">
        <f>IF(DatiOriginali!E946 &gt;= SogliaPicchi!$B$11,"",DatiOriginali!E946)</f>
        <v>265800</v>
      </c>
      <c r="F946" s="4">
        <v>1734428</v>
      </c>
      <c r="G946" s="4">
        <f>IF(DatiOriginali!G946 &gt;= SogliaPicchi!$B$11,"",DatiOriginali!G946)</f>
        <v>205100</v>
      </c>
      <c r="H946" s="4">
        <v>2146646</v>
      </c>
      <c r="I946" s="4">
        <f>IF(DatiOriginali!I946 &gt;= SogliaPicchi!$B$11,"",DatiOriginali!I946)</f>
        <v>68600</v>
      </c>
      <c r="J946" s="4">
        <v>2136421</v>
      </c>
      <c r="K946" s="4">
        <f>IF(DatiOriginali!K946 &gt;= SogliaPicchi!$B$11,"",DatiOriginali!K946)</f>
        <v>83400</v>
      </c>
    </row>
    <row r="947" spans="1:11" x14ac:dyDescent="0.3">
      <c r="A947" s="4" t="s">
        <v>956</v>
      </c>
      <c r="B947" s="4">
        <v>124750</v>
      </c>
      <c r="C947" s="4">
        <f>IF(DatiOriginali!C947 &gt;= SogliaPicchi!$B$11,"",DatiOriginali!C947)</f>
        <v>1059400</v>
      </c>
      <c r="D947" s="4">
        <v>65562</v>
      </c>
      <c r="E947" s="4">
        <f>IF(DatiOriginali!E947 &gt;= SogliaPicchi!$B$11,"",DatiOriginali!E947)</f>
        <v>284400</v>
      </c>
      <c r="F947" s="4">
        <v>1738298</v>
      </c>
      <c r="G947" s="4">
        <f>IF(DatiOriginali!G947 &gt;= SogliaPicchi!$B$11,"",DatiOriginali!G947)</f>
        <v>196400</v>
      </c>
      <c r="H947" s="4">
        <v>2151495</v>
      </c>
      <c r="I947" s="4">
        <f>IF(DatiOriginali!I947 &gt;= SogliaPicchi!$B$11,"",DatiOriginali!I947)</f>
        <v>58100</v>
      </c>
      <c r="J947" s="4">
        <v>2140897</v>
      </c>
      <c r="K947" s="4">
        <f>IF(DatiOriginali!K947 &gt;= SogliaPicchi!$B$11,"",DatiOriginali!K947)</f>
        <v>72900</v>
      </c>
    </row>
    <row r="948" spans="1:11" x14ac:dyDescent="0.3">
      <c r="A948" s="4" t="s">
        <v>957</v>
      </c>
      <c r="B948" s="4">
        <v>124750</v>
      </c>
      <c r="C948" s="4">
        <f>IF(DatiOriginali!C948 &gt;= SogliaPicchi!$B$11,"",DatiOriginali!C948)</f>
        <v>995000</v>
      </c>
      <c r="D948" s="4">
        <v>65038</v>
      </c>
      <c r="E948" s="4">
        <f>IF(DatiOriginali!E948 &gt;= SogliaPicchi!$B$11,"",DatiOriginali!E948)</f>
        <v>236300</v>
      </c>
      <c r="F948" s="4">
        <v>1742150</v>
      </c>
      <c r="G948" s="4">
        <f>IF(DatiOriginali!G948 &gt;= SogliaPicchi!$B$11,"",DatiOriginali!G948)</f>
        <v>172400</v>
      </c>
      <c r="H948" s="4">
        <v>2156143</v>
      </c>
      <c r="I948" s="4">
        <f>IF(DatiOriginali!I948 &gt;= SogliaPicchi!$B$11,"",DatiOriginali!I948)</f>
        <v>57100</v>
      </c>
      <c r="J948" s="4">
        <v>2145724</v>
      </c>
      <c r="K948" s="4">
        <f>IF(DatiOriginali!K948 &gt;= SogliaPicchi!$B$11,"",DatiOriginali!K948)</f>
        <v>63200</v>
      </c>
    </row>
    <row r="949" spans="1:11" x14ac:dyDescent="0.3">
      <c r="A949" s="4" t="s">
        <v>958</v>
      </c>
      <c r="B949" s="4">
        <v>124750</v>
      </c>
      <c r="C949" s="4">
        <f>IF(DatiOriginali!C949 &gt;= SogliaPicchi!$B$11,"",DatiOriginali!C949)</f>
        <v>1044700</v>
      </c>
      <c r="D949" s="4">
        <v>62495</v>
      </c>
      <c r="E949" s="4">
        <f>IF(DatiOriginali!E949 &gt;= SogliaPicchi!$B$11,"",DatiOriginali!E949)</f>
        <v>264400</v>
      </c>
      <c r="F949" s="4">
        <v>1745985</v>
      </c>
      <c r="G949" s="4">
        <f>IF(DatiOriginali!G949 &gt;= SogliaPicchi!$B$11,"",DatiOriginali!G949)</f>
        <v>213100</v>
      </c>
      <c r="H949" s="4">
        <v>2160518</v>
      </c>
      <c r="I949" s="4">
        <f>IF(DatiOriginali!I949 &gt;= SogliaPicchi!$B$11,"",DatiOriginali!I949)</f>
        <v>67200</v>
      </c>
      <c r="J949" s="4">
        <v>2150495</v>
      </c>
      <c r="K949" s="4">
        <f>IF(DatiOriginali!K949 &gt;= SogliaPicchi!$B$11,"",DatiOriginali!K949)</f>
        <v>74000</v>
      </c>
    </row>
    <row r="950" spans="1:11" x14ac:dyDescent="0.3">
      <c r="A950" s="4" t="s">
        <v>959</v>
      </c>
      <c r="B950" s="4">
        <v>124750</v>
      </c>
      <c r="C950" s="4">
        <f>IF(DatiOriginali!C950 &gt;= SogliaPicchi!$B$11,"",DatiOriginali!C950)</f>
        <v>1091200</v>
      </c>
      <c r="D950" s="4">
        <v>61858</v>
      </c>
      <c r="E950" s="4">
        <f>IF(DatiOriginali!E950 &gt;= SogliaPicchi!$B$11,"",DatiOriginali!E950)</f>
        <v>269200</v>
      </c>
      <c r="F950" s="4">
        <v>1749842</v>
      </c>
      <c r="G950" s="4">
        <f>IF(DatiOriginali!G950 &gt;= SogliaPicchi!$B$11,"",DatiOriginali!G950)</f>
        <v>303900</v>
      </c>
      <c r="H950" s="4">
        <v>2165215</v>
      </c>
      <c r="I950" s="4">
        <f>IF(DatiOriginali!I950 &gt;= SogliaPicchi!$B$11,"",DatiOriginali!I950)</f>
        <v>77200</v>
      </c>
      <c r="J950" s="4">
        <v>2155024</v>
      </c>
      <c r="K950" s="4">
        <f>IF(DatiOriginali!K950 &gt;= SogliaPicchi!$B$11,"",DatiOriginali!K950)</f>
        <v>88700</v>
      </c>
    </row>
    <row r="951" spans="1:11" x14ac:dyDescent="0.3">
      <c r="A951" s="4" t="s">
        <v>960</v>
      </c>
      <c r="B951" s="4">
        <v>124750</v>
      </c>
      <c r="C951" s="4">
        <f>IF(DatiOriginali!C951 &gt;= SogliaPicchi!$B$11,"",DatiOriginali!C951)</f>
        <v>937500</v>
      </c>
      <c r="D951" s="4">
        <v>63396</v>
      </c>
      <c r="E951" s="4">
        <f>IF(DatiOriginali!E951 &gt;= SogliaPicchi!$B$11,"",DatiOriginali!E951)</f>
        <v>225500</v>
      </c>
      <c r="F951" s="4">
        <v>1753703</v>
      </c>
      <c r="G951" s="4">
        <f>IF(DatiOriginali!G951 &gt;= SogliaPicchi!$B$11,"",DatiOriginali!G951)</f>
        <v>172600</v>
      </c>
      <c r="H951" s="4">
        <v>2170295</v>
      </c>
      <c r="I951" s="4">
        <f>IF(DatiOriginali!I951 &gt;= SogliaPicchi!$B$11,"",DatiOriginali!I951)</f>
        <v>57300</v>
      </c>
      <c r="J951" s="4">
        <v>2159869</v>
      </c>
      <c r="K951" s="4">
        <f>IF(DatiOriginali!K951 &gt;= SogliaPicchi!$B$11,"",DatiOriginali!K951)</f>
        <v>66300</v>
      </c>
    </row>
    <row r="952" spans="1:11" x14ac:dyDescent="0.3">
      <c r="A952" s="4" t="s">
        <v>961</v>
      </c>
      <c r="B952" s="4">
        <v>124750</v>
      </c>
      <c r="C952" s="4">
        <f>IF(DatiOriginali!C952 &gt;= SogliaPicchi!$B$11,"",DatiOriginali!C952)</f>
        <v>842700</v>
      </c>
      <c r="D952" s="4">
        <v>62256</v>
      </c>
      <c r="E952" s="4">
        <f>IF(DatiOriginali!E952 &gt;= SogliaPicchi!$B$11,"",DatiOriginali!E952)</f>
        <v>231100</v>
      </c>
      <c r="F952" s="4">
        <v>1757553</v>
      </c>
      <c r="G952" s="4">
        <f>IF(DatiOriginali!G952 &gt;= SogliaPicchi!$B$11,"",DatiOriginali!G952)</f>
        <v>171500</v>
      </c>
      <c r="H952" s="4">
        <v>2175345</v>
      </c>
      <c r="I952" s="4">
        <f>IF(DatiOriginali!I952 &gt;= SogliaPicchi!$B$11,"",DatiOriginali!I952)</f>
        <v>58900</v>
      </c>
      <c r="J952" s="4">
        <v>2164685</v>
      </c>
      <c r="K952" s="4">
        <f>IF(DatiOriginali!K952 &gt;= SogliaPicchi!$B$11,"",DatiOriginali!K952)</f>
        <v>65600</v>
      </c>
    </row>
    <row r="953" spans="1:11" x14ac:dyDescent="0.3">
      <c r="A953" s="4" t="s">
        <v>962</v>
      </c>
      <c r="B953" s="4">
        <v>124750</v>
      </c>
      <c r="C953" s="4">
        <f>IF(DatiOriginali!C953 &gt;= SogliaPicchi!$B$11,"",DatiOriginali!C953)</f>
        <v>859000</v>
      </c>
      <c r="D953" s="4">
        <v>60893</v>
      </c>
      <c r="E953" s="4">
        <f>IF(DatiOriginali!E953 &gt;= SogliaPicchi!$B$11,"",DatiOriginali!E953)</f>
        <v>213800</v>
      </c>
      <c r="F953" s="4">
        <v>1761413</v>
      </c>
      <c r="G953" s="4">
        <f>IF(DatiOriginali!G953 &gt;= SogliaPicchi!$B$11,"",DatiOriginali!G953)</f>
        <v>174800</v>
      </c>
      <c r="H953" s="4">
        <v>2180392</v>
      </c>
      <c r="I953" s="4">
        <f>IF(DatiOriginali!I953 &gt;= SogliaPicchi!$B$11,"",DatiOriginali!I953)</f>
        <v>55100</v>
      </c>
      <c r="J953" s="4">
        <v>2169300</v>
      </c>
      <c r="K953" s="4">
        <f>IF(DatiOriginali!K953 &gt;= SogliaPicchi!$B$11,"",DatiOriginali!K953)</f>
        <v>62900</v>
      </c>
    </row>
    <row r="954" spans="1:11" x14ac:dyDescent="0.3">
      <c r="A954" s="4" t="s">
        <v>963</v>
      </c>
      <c r="B954" s="4">
        <v>124750</v>
      </c>
      <c r="C954" s="4">
        <f>IF(DatiOriginali!C954 &gt;= SogliaPicchi!$B$11,"",DatiOriginali!C954)</f>
        <v>990100</v>
      </c>
      <c r="D954" s="4">
        <v>62160</v>
      </c>
      <c r="E954" s="4">
        <f>IF(DatiOriginali!E954 &gt;= SogliaPicchi!$B$11,"",DatiOriginali!E954)</f>
        <v>252400</v>
      </c>
      <c r="F954" s="4">
        <v>1765260</v>
      </c>
      <c r="G954" s="4">
        <f>IF(DatiOriginali!G954 &gt;= SogliaPicchi!$B$11,"",DatiOriginali!G954)</f>
        <v>172800</v>
      </c>
      <c r="H954" s="4">
        <v>2185454</v>
      </c>
      <c r="I954" s="4">
        <f>IF(DatiOriginali!I954 &gt;= SogliaPicchi!$B$11,"",DatiOriginali!I954)</f>
        <v>56700</v>
      </c>
      <c r="J954" s="4">
        <v>2174246</v>
      </c>
      <c r="K954" s="4">
        <f>IF(DatiOriginali!K954 &gt;= SogliaPicchi!$B$11,"",DatiOriginali!K954)</f>
        <v>65000</v>
      </c>
    </row>
    <row r="955" spans="1:11" x14ac:dyDescent="0.3">
      <c r="A955" s="4" t="s">
        <v>964</v>
      </c>
      <c r="B955" s="4">
        <v>124750</v>
      </c>
      <c r="C955" s="4">
        <f>IF(DatiOriginali!C955 &gt;= SogliaPicchi!$B$11,"",DatiOriginali!C955)</f>
        <v>1243200</v>
      </c>
      <c r="D955" s="4">
        <v>62742</v>
      </c>
      <c r="E955" s="4">
        <f>IF(DatiOriginali!E955 &gt;= SogliaPicchi!$B$11,"",DatiOriginali!E955)</f>
        <v>383600</v>
      </c>
      <c r="F955" s="4">
        <v>1769123</v>
      </c>
      <c r="G955" s="4">
        <f>IF(DatiOriginali!G955 &gt;= SogliaPicchi!$B$11,"",DatiOriginali!G955)</f>
        <v>258500</v>
      </c>
      <c r="H955" s="4">
        <v>2190027</v>
      </c>
      <c r="I955" s="4">
        <f>IF(DatiOriginali!I955 &gt;= SogliaPicchi!$B$11,"",DatiOriginali!I955)</f>
        <v>76400</v>
      </c>
      <c r="J955" s="4">
        <v>2178787</v>
      </c>
      <c r="K955" s="4">
        <f>IF(DatiOriginali!K955 &gt;= SogliaPicchi!$B$11,"",DatiOriginali!K955)</f>
        <v>94400</v>
      </c>
    </row>
    <row r="956" spans="1:11" x14ac:dyDescent="0.3">
      <c r="A956" s="4" t="s">
        <v>965</v>
      </c>
      <c r="B956" s="4">
        <v>124750</v>
      </c>
      <c r="C956" s="4">
        <f>IF(DatiOriginali!C956 &gt;= SogliaPicchi!$B$11,"",DatiOriginali!C956)</f>
        <v>1185500</v>
      </c>
      <c r="D956" s="4">
        <v>62258</v>
      </c>
      <c r="E956" s="4">
        <f>IF(DatiOriginali!E956 &gt;= SogliaPicchi!$B$11,"",DatiOriginali!E956)</f>
        <v>382700</v>
      </c>
      <c r="F956" s="4">
        <v>1772977</v>
      </c>
      <c r="G956" s="4">
        <f>IF(DatiOriginali!G956 &gt;= SogliaPicchi!$B$11,"",DatiOriginali!G956)</f>
        <v>254700</v>
      </c>
      <c r="H956" s="4">
        <v>2195056</v>
      </c>
      <c r="I956" s="4">
        <f>IF(DatiOriginali!I956 &gt;= SogliaPicchi!$B$11,"",DatiOriginali!I956)</f>
        <v>77900</v>
      </c>
      <c r="J956" s="4">
        <v>2183173</v>
      </c>
      <c r="K956" s="4">
        <f>IF(DatiOriginali!K956 &gt;= SogliaPicchi!$B$11,"",DatiOriginali!K956)</f>
        <v>87200</v>
      </c>
    </row>
    <row r="957" spans="1:11" x14ac:dyDescent="0.3">
      <c r="A957" s="4" t="s">
        <v>966</v>
      </c>
      <c r="B957" s="4">
        <v>124750</v>
      </c>
      <c r="C957" s="4">
        <f>IF(DatiOriginali!C957 &gt;= SogliaPicchi!$B$11,"",DatiOriginali!C957)</f>
        <v>1062900</v>
      </c>
      <c r="D957" s="4">
        <v>66923</v>
      </c>
      <c r="E957" s="4">
        <f>IF(DatiOriginali!E957 &gt;= SogliaPicchi!$B$11,"",DatiOriginali!E957)</f>
        <v>314600</v>
      </c>
      <c r="F957" s="4">
        <v>1776819</v>
      </c>
      <c r="G957" s="4">
        <f>IF(DatiOriginali!G957 &gt;= SogliaPicchi!$B$11,"",DatiOriginali!G957)</f>
        <v>214600</v>
      </c>
      <c r="H957" s="4">
        <v>2199620</v>
      </c>
      <c r="I957" s="4">
        <f>IF(DatiOriginali!I957 &gt;= SogliaPicchi!$B$11,"",DatiOriginali!I957)</f>
        <v>77300</v>
      </c>
      <c r="J957" s="4">
        <v>2187776</v>
      </c>
      <c r="K957" s="4">
        <f>IF(DatiOriginali!K957 &gt;= SogliaPicchi!$B$11,"",DatiOriginali!K957)</f>
        <v>87400</v>
      </c>
    </row>
    <row r="958" spans="1:11" x14ac:dyDescent="0.3">
      <c r="A958" s="4" t="s">
        <v>967</v>
      </c>
      <c r="B958" s="4">
        <v>124750</v>
      </c>
      <c r="C958" s="4">
        <f>IF(DatiOriginali!C958 &gt;= SogliaPicchi!$B$11,"",DatiOriginali!C958)</f>
        <v>1120800</v>
      </c>
      <c r="D958" s="4">
        <v>66990</v>
      </c>
      <c r="E958" s="4">
        <f>IF(DatiOriginali!E958 &gt;= SogliaPicchi!$B$11,"",DatiOriginali!E958)</f>
        <v>353500</v>
      </c>
      <c r="F958" s="4">
        <v>1780682</v>
      </c>
      <c r="G958" s="4">
        <f>IF(DatiOriginali!G958 &gt;= SogliaPicchi!$B$11,"",DatiOriginali!G958)</f>
        <v>230800</v>
      </c>
      <c r="H958" s="4">
        <v>2204088</v>
      </c>
      <c r="I958" s="4">
        <f>IF(DatiOriginali!I958 &gt;= SogliaPicchi!$B$11,"",DatiOriginali!I958)</f>
        <v>74200</v>
      </c>
      <c r="J958" s="4">
        <v>2192328</v>
      </c>
      <c r="K958" s="4">
        <f>IF(DatiOriginali!K958 &gt;= SogliaPicchi!$B$11,"",DatiOriginali!K958)</f>
        <v>87200</v>
      </c>
    </row>
    <row r="959" spans="1:11" x14ac:dyDescent="0.3">
      <c r="A959" s="4" t="s">
        <v>968</v>
      </c>
      <c r="B959" s="4">
        <v>124750</v>
      </c>
      <c r="C959" s="4">
        <f>IF(DatiOriginali!C959 &gt;= SogliaPicchi!$B$11,"",DatiOriginali!C959)</f>
        <v>1098200</v>
      </c>
      <c r="D959" s="4">
        <v>62149</v>
      </c>
      <c r="E959" s="4">
        <f>IF(DatiOriginali!E959 &gt;= SogliaPicchi!$B$11,"",DatiOriginali!E959)</f>
        <v>218400</v>
      </c>
      <c r="F959" s="4">
        <v>1784528</v>
      </c>
      <c r="G959" s="4">
        <f>IF(DatiOriginali!G959 &gt;= SogliaPicchi!$B$11,"",DatiOriginali!G959)</f>
        <v>175000</v>
      </c>
      <c r="H959" s="4">
        <v>2209120</v>
      </c>
      <c r="I959" s="4">
        <f>IF(DatiOriginali!I959 &gt;= SogliaPicchi!$B$11,"",DatiOriginali!I959)</f>
        <v>56100</v>
      </c>
      <c r="J959" s="4">
        <v>2197428</v>
      </c>
      <c r="K959" s="4">
        <f>IF(DatiOriginali!K959 &gt;= SogliaPicchi!$B$11,"",DatiOriginali!K959)</f>
        <v>66700</v>
      </c>
    </row>
    <row r="960" spans="1:11" x14ac:dyDescent="0.3">
      <c r="A960" s="4" t="s">
        <v>969</v>
      </c>
      <c r="B960" s="4">
        <v>124750</v>
      </c>
      <c r="C960" s="4">
        <f>IF(DatiOriginali!C960 &gt;= SogliaPicchi!$B$11,"",DatiOriginali!C960)</f>
        <v>868400</v>
      </c>
      <c r="D960" s="4">
        <v>59081</v>
      </c>
      <c r="E960" s="4">
        <f>IF(DatiOriginali!E960 &gt;= SogliaPicchi!$B$11,"",DatiOriginali!E960)</f>
        <v>211600</v>
      </c>
      <c r="F960" s="4">
        <v>1788380</v>
      </c>
      <c r="G960" s="4">
        <f>IF(DatiOriginali!G960 &gt;= SogliaPicchi!$B$11,"",DatiOriginali!G960)</f>
        <v>171500</v>
      </c>
      <c r="H960" s="4">
        <v>2214214</v>
      </c>
      <c r="I960" s="4">
        <f>IF(DatiOriginali!I960 &gt;= SogliaPicchi!$B$11,"",DatiOriginali!I960)</f>
        <v>59900</v>
      </c>
      <c r="J960" s="4">
        <v>2202587</v>
      </c>
      <c r="K960" s="4">
        <f>IF(DatiOriginali!K960 &gt;= SogliaPicchi!$B$11,"",DatiOriginali!K960)</f>
        <v>66100</v>
      </c>
    </row>
    <row r="961" spans="1:11" x14ac:dyDescent="0.3">
      <c r="A961" s="4" t="s">
        <v>970</v>
      </c>
      <c r="B961" s="4">
        <v>124750</v>
      </c>
      <c r="C961" s="4">
        <f>IF(DatiOriginali!C961 &gt;= SogliaPicchi!$B$11,"",DatiOriginali!C961)</f>
        <v>904800</v>
      </c>
      <c r="D961" s="4">
        <v>61842</v>
      </c>
      <c r="E961" s="4">
        <f>IF(DatiOriginali!E961 &gt;= SogliaPicchi!$B$11,"",DatiOriginali!E961)</f>
        <v>216900</v>
      </c>
      <c r="F961" s="4">
        <v>1792218</v>
      </c>
      <c r="G961" s="4">
        <f>IF(DatiOriginali!G961 &gt;= SogliaPicchi!$B$11,"",DatiOriginali!G961)</f>
        <v>169000</v>
      </c>
      <c r="H961" s="4">
        <v>2218898</v>
      </c>
      <c r="I961" s="4">
        <f>IF(DatiOriginali!I961 &gt;= SogliaPicchi!$B$11,"",DatiOriginali!I961)</f>
        <v>56300</v>
      </c>
      <c r="J961" s="4">
        <v>2207257</v>
      </c>
      <c r="K961" s="4">
        <f>IF(DatiOriginali!K961 &gt;= SogliaPicchi!$B$11,"",DatiOriginali!K961)</f>
        <v>64500</v>
      </c>
    </row>
    <row r="962" spans="1:11" x14ac:dyDescent="0.3">
      <c r="A962" s="4" t="s">
        <v>971</v>
      </c>
      <c r="B962" s="4">
        <v>124750</v>
      </c>
      <c r="C962" s="4">
        <f>IF(DatiOriginali!C962 &gt;= SogliaPicchi!$B$11,"",DatiOriginali!C962)</f>
        <v>899700</v>
      </c>
      <c r="D962" s="4">
        <v>62090</v>
      </c>
      <c r="E962" s="4">
        <f>IF(DatiOriginali!E962 &gt;= SogliaPicchi!$B$11,"",DatiOriginali!E962)</f>
        <v>218300</v>
      </c>
      <c r="F962" s="4">
        <v>1796068</v>
      </c>
      <c r="G962" s="4">
        <f>IF(DatiOriginali!G962 &gt;= SogliaPicchi!$B$11,"",DatiOriginali!G962)</f>
        <v>177800</v>
      </c>
      <c r="H962" s="4">
        <v>2223569</v>
      </c>
      <c r="I962" s="4">
        <f>IF(DatiOriginali!I962 &gt;= SogliaPicchi!$B$11,"",DatiOriginali!I962)</f>
        <v>58500</v>
      </c>
      <c r="J962" s="4">
        <v>2211970</v>
      </c>
      <c r="K962" s="4">
        <f>IF(DatiOriginali!K962 &gt;= SogliaPicchi!$B$11,"",DatiOriginali!K962)</f>
        <v>65600</v>
      </c>
    </row>
    <row r="963" spans="1:11" x14ac:dyDescent="0.3">
      <c r="A963" s="4" t="s">
        <v>972</v>
      </c>
      <c r="B963" s="4">
        <v>124750</v>
      </c>
      <c r="C963" s="4">
        <f>IF(DatiOriginali!C963 &gt;= SogliaPicchi!$B$11,"",DatiOriginali!C963)</f>
        <v>898800</v>
      </c>
      <c r="D963" s="4">
        <v>63210</v>
      </c>
      <c r="E963" s="4">
        <f>IF(DatiOriginali!E963 &gt;= SogliaPicchi!$B$11,"",DatiOriginali!E963)</f>
        <v>241600</v>
      </c>
      <c r="F963" s="4">
        <v>1799920</v>
      </c>
      <c r="G963" s="4">
        <f>IF(DatiOriginali!G963 &gt;= SogliaPicchi!$B$11,"",DatiOriginali!G963)</f>
        <v>174800</v>
      </c>
      <c r="H963" s="4">
        <v>2227891</v>
      </c>
      <c r="I963" s="4">
        <f>IF(DatiOriginali!I963 &gt;= SogliaPicchi!$B$11,"",DatiOriginali!I963)</f>
        <v>56800</v>
      </c>
      <c r="J963" s="4">
        <v>2216502</v>
      </c>
      <c r="K963" s="4">
        <f>IF(DatiOriginali!K963 &gt;= SogliaPicchi!$B$11,"",DatiOriginali!K963)</f>
        <v>64600</v>
      </c>
    </row>
    <row r="964" spans="1:11" x14ac:dyDescent="0.3">
      <c r="A964" s="4" t="s">
        <v>973</v>
      </c>
      <c r="B964" s="4">
        <v>124750</v>
      </c>
      <c r="C964" s="4">
        <f>IF(DatiOriginali!C964 &gt;= SogliaPicchi!$B$11,"",DatiOriginali!C964)</f>
        <v>957800</v>
      </c>
      <c r="D964" s="4">
        <v>65252</v>
      </c>
      <c r="E964" s="4">
        <f>IF(DatiOriginali!E964 &gt;= SogliaPicchi!$B$11,"",DatiOriginali!E964)</f>
        <v>229300</v>
      </c>
      <c r="F964" s="4">
        <v>1803787</v>
      </c>
      <c r="G964" s="4">
        <f>IF(DatiOriginali!G964 &gt;= SogliaPicchi!$B$11,"",DatiOriginali!G964)</f>
        <v>171400</v>
      </c>
      <c r="H964" s="4">
        <v>2232624</v>
      </c>
      <c r="I964" s="4">
        <f>IF(DatiOriginali!I964 &gt;= SogliaPicchi!$B$11,"",DatiOriginali!I964)</f>
        <v>56900</v>
      </c>
      <c r="J964" s="4">
        <v>2221072</v>
      </c>
      <c r="K964" s="4">
        <f>IF(DatiOriginali!K964 &gt;= SogliaPicchi!$B$11,"",DatiOriginali!K964)</f>
        <v>65700</v>
      </c>
    </row>
    <row r="965" spans="1:11" x14ac:dyDescent="0.3">
      <c r="A965" s="4" t="s">
        <v>974</v>
      </c>
      <c r="B965" s="4">
        <v>124750</v>
      </c>
      <c r="C965" s="4">
        <f>IF(DatiOriginali!C965 &gt;= SogliaPicchi!$B$11,"",DatiOriginali!C965)</f>
        <v>836800</v>
      </c>
      <c r="D965" s="4">
        <v>62561</v>
      </c>
      <c r="E965" s="4">
        <f>IF(DatiOriginali!E965 &gt;= SogliaPicchi!$B$11,"",DatiOriginali!E965)</f>
        <v>231400</v>
      </c>
      <c r="F965" s="4">
        <v>1807657</v>
      </c>
      <c r="G965" s="4">
        <f>IF(DatiOriginali!G965 &gt;= SogliaPicchi!$B$11,"",DatiOriginali!G965)</f>
        <v>170400</v>
      </c>
      <c r="H965" s="4">
        <v>2237554</v>
      </c>
      <c r="I965" s="4">
        <f>IF(DatiOriginali!I965 &gt;= SogliaPicchi!$B$11,"",DatiOriginali!I965)</f>
        <v>58100</v>
      </c>
      <c r="J965" s="4">
        <v>2226718</v>
      </c>
      <c r="K965" s="4">
        <f>IF(DatiOriginali!K965 &gt;= SogliaPicchi!$B$11,"",DatiOriginali!K965)</f>
        <v>68000</v>
      </c>
    </row>
    <row r="966" spans="1:11" x14ac:dyDescent="0.3">
      <c r="A966" s="4" t="s">
        <v>975</v>
      </c>
      <c r="B966" s="4">
        <v>124750</v>
      </c>
      <c r="C966" s="4">
        <f>IF(DatiOriginali!C966 &gt;= SogliaPicchi!$B$11,"",DatiOriginali!C966)</f>
        <v>833700</v>
      </c>
      <c r="D966" s="4">
        <v>61592</v>
      </c>
      <c r="E966" s="4">
        <f>IF(DatiOriginali!E966 &gt;= SogliaPicchi!$B$11,"",DatiOriginali!E966)</f>
        <v>223900</v>
      </c>
      <c r="F966" s="4">
        <v>1811533</v>
      </c>
      <c r="G966" s="4">
        <f>IF(DatiOriginali!G966 &gt;= SogliaPicchi!$B$11,"",DatiOriginali!G966)</f>
        <v>173500</v>
      </c>
      <c r="H966" s="4">
        <v>2242057</v>
      </c>
      <c r="I966" s="4">
        <f>IF(DatiOriginali!I966 &gt;= SogliaPicchi!$B$11,"",DatiOriginali!I966)</f>
        <v>56500</v>
      </c>
      <c r="J966" s="4">
        <v>2231339</v>
      </c>
      <c r="K966" s="4">
        <f>IF(DatiOriginali!K966 &gt;= SogliaPicchi!$B$11,"",DatiOriginali!K966)</f>
        <v>63800</v>
      </c>
    </row>
    <row r="967" spans="1:11" x14ac:dyDescent="0.3">
      <c r="A967" s="4" t="s">
        <v>976</v>
      </c>
      <c r="B967" s="4">
        <v>124750</v>
      </c>
      <c r="C967" s="4">
        <f>IF(DatiOriginali!C967 &gt;= SogliaPicchi!$B$11,"",DatiOriginali!C967)</f>
        <v>1063700</v>
      </c>
      <c r="D967" s="4">
        <v>60860</v>
      </c>
      <c r="E967" s="4">
        <f>IF(DatiOriginali!E967 &gt;= SogliaPicchi!$B$11,"",DatiOriginali!E967)</f>
        <v>320100</v>
      </c>
      <c r="F967" s="4">
        <v>1815428</v>
      </c>
      <c r="G967" s="4">
        <f>IF(DatiOriginali!G967 &gt;= SogliaPicchi!$B$11,"",DatiOriginali!G967)</f>
        <v>184800</v>
      </c>
      <c r="H967" s="4">
        <v>2246778</v>
      </c>
      <c r="I967" s="4">
        <f>IF(DatiOriginali!I967 &gt;= SogliaPicchi!$B$11,"",DatiOriginali!I967)</f>
        <v>56500</v>
      </c>
      <c r="J967" s="4">
        <v>2235822</v>
      </c>
      <c r="K967" s="4">
        <f>IF(DatiOriginali!K967 &gt;= SogliaPicchi!$B$11,"",DatiOriginali!K967)</f>
        <v>65000</v>
      </c>
    </row>
    <row r="968" spans="1:11" x14ac:dyDescent="0.3">
      <c r="A968" s="4" t="s">
        <v>977</v>
      </c>
      <c r="B968" s="4">
        <v>124750</v>
      </c>
      <c r="C968" s="4">
        <f>IF(DatiOriginali!C968 &gt;= SogliaPicchi!$B$11,"",DatiOriginali!C968)</f>
        <v>1019400</v>
      </c>
      <c r="D968" s="4">
        <v>62191</v>
      </c>
      <c r="E968" s="4">
        <f>IF(DatiOriginali!E968 &gt;= SogliaPicchi!$B$11,"",DatiOriginali!E968)</f>
        <v>224900</v>
      </c>
      <c r="F968" s="4">
        <v>1819278</v>
      </c>
      <c r="G968" s="4">
        <f>IF(DatiOriginali!G968 &gt;= SogliaPicchi!$B$11,"",DatiOriginali!G968)</f>
        <v>172800</v>
      </c>
      <c r="H968" s="4">
        <v>2251522</v>
      </c>
      <c r="I968" s="4">
        <f>IF(DatiOriginali!I968 &gt;= SogliaPicchi!$B$11,"",DatiOriginali!I968)</f>
        <v>57500</v>
      </c>
      <c r="J968" s="4">
        <v>2240128</v>
      </c>
      <c r="K968" s="4">
        <f>IF(DatiOriginali!K968 &gt;= SogliaPicchi!$B$11,"",DatiOriginali!K968)</f>
        <v>64600</v>
      </c>
    </row>
    <row r="969" spans="1:11" x14ac:dyDescent="0.3">
      <c r="A969" s="4" t="s">
        <v>978</v>
      </c>
      <c r="B969" s="4">
        <v>124750</v>
      </c>
      <c r="C969" s="4">
        <f>IF(DatiOriginali!C969 &gt;= SogliaPicchi!$B$11,"",DatiOriginali!C969)</f>
        <v>795700</v>
      </c>
      <c r="D969" s="4">
        <v>63834</v>
      </c>
      <c r="E969" s="4">
        <f>IF(DatiOriginali!E969 &gt;= SogliaPicchi!$B$11,"",DatiOriginali!E969)</f>
        <v>230100</v>
      </c>
      <c r="F969" s="4">
        <v>1823121</v>
      </c>
      <c r="G969" s="4">
        <f>IF(DatiOriginali!G969 &gt;= SogliaPicchi!$B$11,"",DatiOriginali!G969)</f>
        <v>173500</v>
      </c>
      <c r="H969" s="4">
        <v>2255735</v>
      </c>
      <c r="I969" s="4">
        <f>IF(DatiOriginali!I969 &gt;= SogliaPicchi!$B$11,"",DatiOriginali!I969)</f>
        <v>56600</v>
      </c>
      <c r="J969" s="4">
        <v>2244840</v>
      </c>
      <c r="K969" s="4">
        <f>IF(DatiOriginali!K969 &gt;= SogliaPicchi!$B$11,"",DatiOriginali!K969)</f>
        <v>65400</v>
      </c>
    </row>
    <row r="970" spans="1:11" x14ac:dyDescent="0.3">
      <c r="A970" s="4" t="s">
        <v>979</v>
      </c>
      <c r="B970" s="4">
        <v>124750</v>
      </c>
      <c r="C970" s="4">
        <f>IF(DatiOriginali!C970 &gt;= SogliaPicchi!$B$11,"",DatiOriginali!C970)</f>
        <v>836500</v>
      </c>
      <c r="D970" s="4">
        <v>65784</v>
      </c>
      <c r="E970" s="4">
        <f>IF(DatiOriginali!E970 &gt;= SogliaPicchi!$B$11,"",DatiOriginali!E970)</f>
        <v>244300</v>
      </c>
      <c r="F970" s="4">
        <v>1826982</v>
      </c>
      <c r="G970" s="4">
        <f>IF(DatiOriginali!G970 &gt;= SogliaPicchi!$B$11,"",DatiOriginali!G970)</f>
        <v>170500</v>
      </c>
      <c r="H970" s="4">
        <v>2260079</v>
      </c>
      <c r="I970" s="4">
        <f>IF(DatiOriginali!I970 &gt;= SogliaPicchi!$B$11,"",DatiOriginali!I970)</f>
        <v>55200</v>
      </c>
      <c r="J970" s="4">
        <v>2249231</v>
      </c>
      <c r="K970" s="4">
        <f>IF(DatiOriginali!K970 &gt;= SogliaPicchi!$B$11,"",DatiOriginali!K970)</f>
        <v>64600</v>
      </c>
    </row>
    <row r="971" spans="1:11" x14ac:dyDescent="0.3">
      <c r="A971" s="4" t="s">
        <v>980</v>
      </c>
      <c r="B971" s="4">
        <v>124750</v>
      </c>
      <c r="C971" s="4">
        <f>IF(DatiOriginali!C971 &gt;= SogliaPicchi!$B$11,"",DatiOriginali!C971)</f>
        <v>820500</v>
      </c>
      <c r="D971" s="4">
        <v>63105</v>
      </c>
      <c r="E971" s="4">
        <f>IF(DatiOriginali!E971 &gt;= SogliaPicchi!$B$11,"",DatiOriginali!E971)</f>
        <v>228700</v>
      </c>
      <c r="F971" s="4">
        <v>1830824</v>
      </c>
      <c r="G971" s="4">
        <f>IF(DatiOriginali!G971 &gt;= SogliaPicchi!$B$11,"",DatiOriginali!G971)</f>
        <v>172900</v>
      </c>
      <c r="H971" s="4">
        <v>2264890</v>
      </c>
      <c r="I971" s="4">
        <f>IF(DatiOriginali!I971 &gt;= SogliaPicchi!$B$11,"",DatiOriginali!I971)</f>
        <v>55800</v>
      </c>
      <c r="J971" s="4">
        <v>2254394</v>
      </c>
      <c r="K971" s="4">
        <f>IF(DatiOriginali!K971 &gt;= SogliaPicchi!$B$11,"",DatiOriginali!K971)</f>
        <v>65000</v>
      </c>
    </row>
    <row r="972" spans="1:11" x14ac:dyDescent="0.3">
      <c r="A972" s="4" t="s">
        <v>981</v>
      </c>
      <c r="B972" s="4">
        <v>124750</v>
      </c>
      <c r="C972" s="4">
        <f>IF(DatiOriginali!C972 &gt;= SogliaPicchi!$B$11,"",DatiOriginali!C972)</f>
        <v>1167400</v>
      </c>
      <c r="D972" s="4">
        <v>62905</v>
      </c>
      <c r="E972" s="4">
        <f>IF(DatiOriginali!E972 &gt;= SogliaPicchi!$B$11,"",DatiOriginali!E972)</f>
        <v>367600</v>
      </c>
      <c r="F972" s="4">
        <v>1834680</v>
      </c>
      <c r="G972" s="4">
        <f>IF(DatiOriginali!G972 &gt;= SogliaPicchi!$B$11,"",DatiOriginali!G972)</f>
        <v>212200</v>
      </c>
      <c r="H972" s="4">
        <v>2269343</v>
      </c>
      <c r="I972" s="4">
        <f>IF(DatiOriginali!I972 &gt;= SogliaPicchi!$B$11,"",DatiOriginali!I972)</f>
        <v>77400</v>
      </c>
      <c r="J972" s="4">
        <v>2259314</v>
      </c>
      <c r="K972" s="4">
        <f>IF(DatiOriginali!K972 &gt;= SogliaPicchi!$B$11,"",DatiOriginali!K972)</f>
        <v>98600</v>
      </c>
    </row>
    <row r="973" spans="1:11" x14ac:dyDescent="0.3">
      <c r="A973" s="4" t="s">
        <v>982</v>
      </c>
      <c r="B973" s="4">
        <v>124750</v>
      </c>
      <c r="C973" s="4">
        <f>IF(DatiOriginali!C973 &gt;= SogliaPicchi!$B$11,"",DatiOriginali!C973)</f>
        <v>996600</v>
      </c>
      <c r="D973" s="4">
        <v>62439</v>
      </c>
      <c r="E973" s="4">
        <f>IF(DatiOriginali!E973 &gt;= SogliaPicchi!$B$11,"",DatiOriginali!E973)</f>
        <v>274500</v>
      </c>
      <c r="F973" s="4">
        <v>1838507</v>
      </c>
      <c r="G973" s="4">
        <f>IF(DatiOriginali!G973 &gt;= SogliaPicchi!$B$11,"",DatiOriginali!G973)</f>
        <v>214300</v>
      </c>
      <c r="H973" s="4">
        <v>2273960</v>
      </c>
      <c r="I973" s="4">
        <f>IF(DatiOriginali!I973 &gt;= SogliaPicchi!$B$11,"",DatiOriginali!I973)</f>
        <v>68900</v>
      </c>
      <c r="J973" s="4">
        <v>2264402</v>
      </c>
      <c r="K973" s="4">
        <f>IF(DatiOriginali!K973 &gt;= SogliaPicchi!$B$11,"",DatiOriginali!K973)</f>
        <v>85200</v>
      </c>
    </row>
    <row r="974" spans="1:11" x14ac:dyDescent="0.3">
      <c r="A974" s="4" t="s">
        <v>983</v>
      </c>
      <c r="B974" s="4">
        <v>124750</v>
      </c>
      <c r="C974" s="4">
        <f>IF(DatiOriginali!C974 &gt;= SogliaPicchi!$B$11,"",DatiOriginali!C974)</f>
        <v>830600</v>
      </c>
      <c r="D974" s="4">
        <v>61243</v>
      </c>
      <c r="E974" s="4">
        <f>IF(DatiOriginali!E974 &gt;= SogliaPicchi!$B$11,"",DatiOriginali!E974)</f>
        <v>222600</v>
      </c>
      <c r="F974" s="4">
        <v>1842359</v>
      </c>
      <c r="G974" s="4">
        <f>IF(DatiOriginali!G974 &gt;= SogliaPicchi!$B$11,"",DatiOriginali!G974)</f>
        <v>170700</v>
      </c>
      <c r="H974" s="4">
        <v>2278383</v>
      </c>
      <c r="I974" s="4">
        <f>IF(DatiOriginali!I974 &gt;= SogliaPicchi!$B$11,"",DatiOriginali!I974)</f>
        <v>54800</v>
      </c>
      <c r="J974" s="4">
        <v>2269115</v>
      </c>
      <c r="K974" s="4">
        <f>IF(DatiOriginali!K974 &gt;= SogliaPicchi!$B$11,"",DatiOriginali!K974)</f>
        <v>62800</v>
      </c>
    </row>
    <row r="975" spans="1:11" x14ac:dyDescent="0.3">
      <c r="A975" s="4" t="s">
        <v>984</v>
      </c>
      <c r="B975" s="4">
        <v>124750</v>
      </c>
      <c r="C975" s="4">
        <f>IF(DatiOriginali!C975 &gt;= SogliaPicchi!$B$11,"",DatiOriginali!C975)</f>
        <v>1060800</v>
      </c>
      <c r="D975" s="4">
        <v>63810</v>
      </c>
      <c r="E975" s="4">
        <f>IF(DatiOriginali!E975 &gt;= SogliaPicchi!$B$11,"",DatiOriginali!E975)</f>
        <v>228700</v>
      </c>
      <c r="F975" s="4">
        <v>1846204</v>
      </c>
      <c r="G975" s="4">
        <f>IF(DatiOriginali!G975 &gt;= SogliaPicchi!$B$11,"",DatiOriginali!G975)</f>
        <v>172500</v>
      </c>
      <c r="H975" s="4">
        <v>2283072</v>
      </c>
      <c r="I975" s="4">
        <f>IF(DatiOriginali!I975 &gt;= SogliaPicchi!$B$11,"",DatiOriginali!I975)</f>
        <v>56900</v>
      </c>
      <c r="J975" s="4">
        <v>2273618</v>
      </c>
      <c r="K975" s="4">
        <f>IF(DatiOriginali!K975 &gt;= SogliaPicchi!$B$11,"",DatiOriginali!K975)</f>
        <v>65800</v>
      </c>
    </row>
    <row r="976" spans="1:11" x14ac:dyDescent="0.3">
      <c r="A976" s="4" t="s">
        <v>985</v>
      </c>
      <c r="B976" s="4">
        <v>124750</v>
      </c>
      <c r="C976" s="4">
        <f>IF(DatiOriginali!C976 &gt;= SogliaPicchi!$B$11,"",DatiOriginali!C976)</f>
        <v>885300</v>
      </c>
      <c r="D976" s="4">
        <v>65908</v>
      </c>
      <c r="E976" s="4">
        <f>IF(DatiOriginali!E976 &gt;= SogliaPicchi!$B$11,"",DatiOriginali!E976)</f>
        <v>231100</v>
      </c>
      <c r="F976" s="4">
        <v>1850049</v>
      </c>
      <c r="G976" s="4">
        <f>IF(DatiOriginali!G976 &gt;= SogliaPicchi!$B$11,"",DatiOriginali!G976)</f>
        <v>170300</v>
      </c>
      <c r="H976" s="4">
        <v>2287563</v>
      </c>
      <c r="I976" s="4">
        <f>IF(DatiOriginali!I976 &gt;= SogliaPicchi!$B$11,"",DatiOriginali!I976)</f>
        <v>58000</v>
      </c>
      <c r="J976" s="4">
        <v>2278605</v>
      </c>
      <c r="K976" s="4">
        <f>IF(DatiOriginali!K976 &gt;= SogliaPicchi!$B$11,"",DatiOriginali!K976)</f>
        <v>65700</v>
      </c>
    </row>
    <row r="977" spans="1:11" x14ac:dyDescent="0.3">
      <c r="A977" s="4" t="s">
        <v>986</v>
      </c>
      <c r="B977" s="4">
        <v>124750</v>
      </c>
      <c r="C977" s="4">
        <f>IF(DatiOriginali!C977 &gt;= SogliaPicchi!$B$11,"",DatiOriginali!C977)</f>
        <v>1381600</v>
      </c>
      <c r="D977" s="4">
        <v>63609</v>
      </c>
      <c r="E977" s="4">
        <f>IF(DatiOriginali!E977 &gt;= SogliaPicchi!$B$11,"",DatiOriginali!E977)</f>
        <v>268500</v>
      </c>
      <c r="F977" s="4">
        <v>1853888</v>
      </c>
      <c r="G977" s="4">
        <f>IF(DatiOriginali!G977 &gt;= SogliaPicchi!$B$11,"",DatiOriginali!G977)</f>
        <v>205300</v>
      </c>
      <c r="H977" s="4">
        <v>2292717</v>
      </c>
      <c r="I977" s="4">
        <f>IF(DatiOriginali!I977 &gt;= SogliaPicchi!$B$11,"",DatiOriginali!I977)</f>
        <v>68700</v>
      </c>
      <c r="J977" s="4">
        <v>2283111</v>
      </c>
      <c r="K977" s="4">
        <f>IF(DatiOriginali!K977 &gt;= SogliaPicchi!$B$11,"",DatiOriginali!K977)</f>
        <v>78900</v>
      </c>
    </row>
    <row r="978" spans="1:11" x14ac:dyDescent="0.3">
      <c r="A978" s="4" t="s">
        <v>987</v>
      </c>
      <c r="B978" s="4">
        <v>124750</v>
      </c>
      <c r="C978" s="4">
        <f>IF(DatiOriginali!C978 &gt;= SogliaPicchi!$B$11,"",DatiOriginali!C978)</f>
        <v>973100</v>
      </c>
      <c r="D978" s="4">
        <v>62736</v>
      </c>
      <c r="E978" s="4">
        <f>IF(DatiOriginali!E978 &gt;= SogliaPicchi!$B$11,"",DatiOriginali!E978)</f>
        <v>259700</v>
      </c>
      <c r="F978" s="4">
        <v>1857742</v>
      </c>
      <c r="G978" s="4">
        <f>IF(DatiOriginali!G978 &gt;= SogliaPicchi!$B$11,"",DatiOriginali!G978)</f>
        <v>174100</v>
      </c>
      <c r="H978" s="4">
        <v>2297411</v>
      </c>
      <c r="I978" s="4">
        <f>IF(DatiOriginali!I978 &gt;= SogliaPicchi!$B$11,"",DatiOriginali!I978)</f>
        <v>56700</v>
      </c>
      <c r="J978" s="4">
        <v>2288461</v>
      </c>
      <c r="K978" s="4">
        <f>IF(DatiOriginali!K978 &gt;= SogliaPicchi!$B$11,"",DatiOriginali!K978)</f>
        <v>63700</v>
      </c>
    </row>
    <row r="979" spans="1:11" x14ac:dyDescent="0.3">
      <c r="A979" s="4" t="s">
        <v>988</v>
      </c>
      <c r="B979" s="4">
        <v>124750</v>
      </c>
      <c r="C979" s="4">
        <f>IF(DatiOriginali!C979 &gt;= SogliaPicchi!$B$11,"",DatiOriginali!C979)</f>
        <v>880600</v>
      </c>
      <c r="D979" s="4">
        <v>60502</v>
      </c>
      <c r="E979" s="4">
        <f>IF(DatiOriginali!E979 &gt;= SogliaPicchi!$B$11,"",DatiOriginali!E979)</f>
        <v>212900</v>
      </c>
      <c r="F979" s="4">
        <v>1861582</v>
      </c>
      <c r="G979" s="4">
        <f>IF(DatiOriginali!G979 &gt;= SogliaPicchi!$B$11,"",DatiOriginali!G979)</f>
        <v>175800</v>
      </c>
      <c r="H979" s="4">
        <v>2302241</v>
      </c>
      <c r="I979" s="4">
        <f>IF(DatiOriginali!I979 &gt;= SogliaPicchi!$B$11,"",DatiOriginali!I979)</f>
        <v>58200</v>
      </c>
      <c r="J979" s="4">
        <v>2293154</v>
      </c>
      <c r="K979" s="4">
        <f>IF(DatiOriginali!K979 &gt;= SogliaPicchi!$B$11,"",DatiOriginali!K979)</f>
        <v>63400</v>
      </c>
    </row>
    <row r="980" spans="1:11" x14ac:dyDescent="0.3">
      <c r="A980" s="4" t="s">
        <v>989</v>
      </c>
      <c r="B980" s="4">
        <v>124750</v>
      </c>
      <c r="C980" s="4">
        <f>IF(DatiOriginali!C980 &gt;= SogliaPicchi!$B$11,"",DatiOriginali!C980)</f>
        <v>844700</v>
      </c>
      <c r="D980" s="4">
        <v>59548</v>
      </c>
      <c r="E980" s="4">
        <f>IF(DatiOriginali!E980 &gt;= SogliaPicchi!$B$11,"",DatiOriginali!E980)</f>
        <v>225400</v>
      </c>
      <c r="F980" s="4">
        <v>1865438</v>
      </c>
      <c r="G980" s="4">
        <f>IF(DatiOriginali!G980 &gt;= SogliaPicchi!$B$11,"",DatiOriginali!G980)</f>
        <v>171300</v>
      </c>
      <c r="H980" s="4">
        <v>2307432</v>
      </c>
      <c r="I980" s="4">
        <f>IF(DatiOriginali!I980 &gt;= SogliaPicchi!$B$11,"",DatiOriginali!I980)</f>
        <v>59400</v>
      </c>
      <c r="J980" s="4">
        <v>2298193</v>
      </c>
      <c r="K980" s="4">
        <f>IF(DatiOriginali!K980 &gt;= SogliaPicchi!$B$11,"",DatiOriginali!K980)</f>
        <v>62500</v>
      </c>
    </row>
    <row r="981" spans="1:11" x14ac:dyDescent="0.3">
      <c r="A981" s="4" t="s">
        <v>990</v>
      </c>
      <c r="B981" s="4">
        <v>124750</v>
      </c>
      <c r="C981" s="4">
        <f>IF(DatiOriginali!C981 &gt;= SogliaPicchi!$B$11,"",DatiOriginali!C981)</f>
        <v>806100</v>
      </c>
      <c r="D981" s="4">
        <v>62039</v>
      </c>
      <c r="E981" s="4">
        <f>IF(DatiOriginali!E981 &gt;= SogliaPicchi!$B$11,"",DatiOriginali!E981)</f>
        <v>225100</v>
      </c>
      <c r="F981" s="4">
        <v>1869301</v>
      </c>
      <c r="G981" s="4">
        <f>IF(DatiOriginali!G981 &gt;= SogliaPicchi!$B$11,"",DatiOriginali!G981)</f>
        <v>171600</v>
      </c>
      <c r="H981" s="4">
        <v>2311866</v>
      </c>
      <c r="I981" s="4">
        <f>IF(DatiOriginali!I981 &gt;= SogliaPicchi!$B$11,"",DatiOriginali!I981)</f>
        <v>56400</v>
      </c>
      <c r="J981" s="4">
        <v>2303154</v>
      </c>
      <c r="K981" s="4">
        <f>IF(DatiOriginali!K981 &gt;= SogliaPicchi!$B$11,"",DatiOriginali!K981)</f>
        <v>64000</v>
      </c>
    </row>
    <row r="982" spans="1:11" x14ac:dyDescent="0.3">
      <c r="A982" s="4" t="s">
        <v>991</v>
      </c>
      <c r="B982" s="4">
        <v>124750</v>
      </c>
      <c r="C982" s="4">
        <f>IF(DatiOriginali!C982 &gt;= SogliaPicchi!$B$11,"",DatiOriginali!C982)</f>
        <v>894700</v>
      </c>
      <c r="D982" s="4">
        <v>62241</v>
      </c>
      <c r="E982" s="4">
        <f>IF(DatiOriginali!E982 &gt;= SogliaPicchi!$B$11,"",DatiOriginali!E982)</f>
        <v>219300</v>
      </c>
      <c r="F982" s="4">
        <v>1873163</v>
      </c>
      <c r="G982" s="4">
        <f>IF(DatiOriginali!G982 &gt;= SogliaPicchi!$B$11,"",DatiOriginali!G982)</f>
        <v>184600</v>
      </c>
      <c r="H982" s="4">
        <v>2316297</v>
      </c>
      <c r="I982" s="4">
        <f>IF(DatiOriginali!I982 &gt;= SogliaPicchi!$B$11,"",DatiOriginali!I982)</f>
        <v>56800</v>
      </c>
      <c r="J982" s="4">
        <v>2307741</v>
      </c>
      <c r="K982" s="4">
        <f>IF(DatiOriginali!K982 &gt;= SogliaPicchi!$B$11,"",DatiOriginali!K982)</f>
        <v>64500</v>
      </c>
    </row>
    <row r="983" spans="1:11" x14ac:dyDescent="0.3">
      <c r="A983" s="4" t="s">
        <v>992</v>
      </c>
      <c r="B983" s="4">
        <v>124750</v>
      </c>
      <c r="C983" s="4">
        <f>IF(DatiOriginali!C983 &gt;= SogliaPicchi!$B$11,"",DatiOriginali!C983)</f>
        <v>823400</v>
      </c>
      <c r="D983" s="4">
        <v>59041</v>
      </c>
      <c r="E983" s="4">
        <f>IF(DatiOriginali!E983 &gt;= SogliaPicchi!$B$11,"",DatiOriginali!E983)</f>
        <v>215200</v>
      </c>
      <c r="F983" s="4">
        <v>1877029</v>
      </c>
      <c r="G983" s="4">
        <f>IF(DatiOriginali!G983 &gt;= SogliaPicchi!$B$11,"",DatiOriginali!G983)</f>
        <v>171900</v>
      </c>
      <c r="H983" s="4">
        <v>2320674</v>
      </c>
      <c r="I983" s="4">
        <f>IF(DatiOriginali!I983 &gt;= SogliaPicchi!$B$11,"",DatiOriginali!I983)</f>
        <v>58000</v>
      </c>
      <c r="J983" s="4">
        <v>2312763</v>
      </c>
      <c r="K983" s="4">
        <f>IF(DatiOriginali!K983 &gt;= SogliaPicchi!$B$11,"",DatiOriginali!K983)</f>
        <v>66000</v>
      </c>
    </row>
    <row r="984" spans="1:11" x14ac:dyDescent="0.3">
      <c r="A984" s="4" t="s">
        <v>993</v>
      </c>
      <c r="B984" s="4">
        <v>124750</v>
      </c>
      <c r="C984" s="4">
        <f>IF(DatiOriginali!C984 &gt;= SogliaPicchi!$B$11,"",DatiOriginali!C984)</f>
        <v>864400</v>
      </c>
      <c r="D984" s="4">
        <v>62330</v>
      </c>
      <c r="E984" s="4">
        <f>IF(DatiOriginali!E984 &gt;= SogliaPicchi!$B$11,"",DatiOriginali!E984)</f>
        <v>228600</v>
      </c>
      <c r="F984" s="4">
        <v>1880875</v>
      </c>
      <c r="G984" s="4">
        <f>IF(DatiOriginali!G984 &gt;= SogliaPicchi!$B$11,"",DatiOriginali!G984)</f>
        <v>173000</v>
      </c>
      <c r="H984" s="4">
        <v>2326235</v>
      </c>
      <c r="I984" s="4">
        <f>IF(DatiOriginali!I984 &gt;= SogliaPicchi!$B$11,"",DatiOriginali!I984)</f>
        <v>60800</v>
      </c>
      <c r="J984" s="4">
        <v>2317700</v>
      </c>
      <c r="K984" s="4">
        <f>IF(DatiOriginali!K984 &gt;= SogliaPicchi!$B$11,"",DatiOriginali!K984)</f>
        <v>64400</v>
      </c>
    </row>
    <row r="985" spans="1:11" x14ac:dyDescent="0.3">
      <c r="A985" s="4" t="s">
        <v>994</v>
      </c>
      <c r="B985" s="4">
        <v>124750</v>
      </c>
      <c r="C985" s="4">
        <f>IF(DatiOriginali!C985 &gt;= SogliaPicchi!$B$11,"",DatiOriginali!C985)</f>
        <v>814100</v>
      </c>
      <c r="D985" s="4">
        <v>64110</v>
      </c>
      <c r="E985" s="4">
        <f>IF(DatiOriginali!E985 &gt;= SogliaPicchi!$B$11,"",DatiOriginali!E985)</f>
        <v>236200</v>
      </c>
      <c r="F985" s="4">
        <v>1884732</v>
      </c>
      <c r="G985" s="4">
        <f>IF(DatiOriginali!G985 &gt;= SogliaPicchi!$B$11,"",DatiOriginali!G985)</f>
        <v>174400</v>
      </c>
      <c r="H985" s="4">
        <v>2330949</v>
      </c>
      <c r="I985" s="4">
        <f>IF(DatiOriginali!I985 &gt;= SogliaPicchi!$B$11,"",DatiOriginali!I985)</f>
        <v>54500</v>
      </c>
      <c r="J985" s="4">
        <v>2322235</v>
      </c>
      <c r="K985" s="4">
        <f>IF(DatiOriginali!K985 &gt;= SogliaPicchi!$B$11,"",DatiOriginali!K985)</f>
        <v>76300</v>
      </c>
    </row>
    <row r="986" spans="1:11" x14ac:dyDescent="0.3">
      <c r="A986" s="4" t="s">
        <v>995</v>
      </c>
      <c r="B986" s="4">
        <v>124750</v>
      </c>
      <c r="C986" s="4">
        <f>IF(DatiOriginali!C986 &gt;= SogliaPicchi!$B$11,"",DatiOriginali!C986)</f>
        <v>855900</v>
      </c>
      <c r="D986" s="4">
        <v>63332</v>
      </c>
      <c r="E986" s="4">
        <f>IF(DatiOriginali!E986 &gt;= SogliaPicchi!$B$11,"",DatiOriginali!E986)</f>
        <v>226800</v>
      </c>
      <c r="F986" s="4">
        <v>1888581</v>
      </c>
      <c r="G986" s="4">
        <f>IF(DatiOriginali!G986 &gt;= SogliaPicchi!$B$11,"",DatiOriginali!G986)</f>
        <v>171200</v>
      </c>
      <c r="H986" s="4">
        <v>2335373</v>
      </c>
      <c r="I986" s="4">
        <f>IF(DatiOriginali!I986 &gt;= SogliaPicchi!$B$11,"",DatiOriginali!I986)</f>
        <v>57000</v>
      </c>
      <c r="J986" s="4">
        <v>2326663</v>
      </c>
      <c r="K986" s="4">
        <f>IF(DatiOriginali!K986 &gt;= SogliaPicchi!$B$11,"",DatiOriginali!K986)</f>
        <v>64700</v>
      </c>
    </row>
    <row r="987" spans="1:11" x14ac:dyDescent="0.3">
      <c r="A987" s="4" t="s">
        <v>996</v>
      </c>
      <c r="B987" s="4">
        <v>124750</v>
      </c>
      <c r="C987" s="4">
        <f>IF(DatiOriginali!C987 &gt;= SogliaPicchi!$B$11,"",DatiOriginali!C987)</f>
        <v>830800</v>
      </c>
      <c r="D987" s="4">
        <v>64968</v>
      </c>
      <c r="E987" s="4">
        <f>IF(DatiOriginali!E987 &gt;= SogliaPicchi!$B$11,"",DatiOriginali!E987)</f>
        <v>240600</v>
      </c>
      <c r="F987" s="4">
        <v>1892452</v>
      </c>
      <c r="G987" s="4">
        <f>IF(DatiOriginali!G987 &gt;= SogliaPicchi!$B$11,"",DatiOriginali!G987)</f>
        <v>171500</v>
      </c>
      <c r="H987" s="4">
        <v>2339743</v>
      </c>
      <c r="I987" s="4">
        <f>IF(DatiOriginali!I987 &gt;= SogliaPicchi!$B$11,"",DatiOriginali!I987)</f>
        <v>57400</v>
      </c>
      <c r="J987" s="4">
        <v>2331193</v>
      </c>
      <c r="K987" s="4">
        <f>IF(DatiOriginali!K987 &gt;= SogliaPicchi!$B$11,"",DatiOriginali!K987)</f>
        <v>64900</v>
      </c>
    </row>
    <row r="988" spans="1:11" x14ac:dyDescent="0.3">
      <c r="A988" s="4" t="s">
        <v>997</v>
      </c>
      <c r="B988" s="4">
        <v>124750</v>
      </c>
      <c r="C988" s="4">
        <f>IF(DatiOriginali!C988 &gt;= SogliaPicchi!$B$11,"",DatiOriginali!C988)</f>
        <v>849500</v>
      </c>
      <c r="D988" s="4">
        <v>63585</v>
      </c>
      <c r="E988" s="4">
        <f>IF(DatiOriginali!E988 &gt;= SogliaPicchi!$B$11,"",DatiOriginali!E988)</f>
        <v>242200</v>
      </c>
      <c r="F988" s="4">
        <v>1896289</v>
      </c>
      <c r="G988" s="4">
        <f>IF(DatiOriginali!G988 &gt;= SogliaPicchi!$B$11,"",DatiOriginali!G988)</f>
        <v>171100</v>
      </c>
      <c r="H988" s="4">
        <v>2344503</v>
      </c>
      <c r="I988" s="4">
        <f>IF(DatiOriginali!I988 &gt;= SogliaPicchi!$B$11,"",DatiOriginali!I988)</f>
        <v>56000</v>
      </c>
      <c r="J988" s="4">
        <v>2336024</v>
      </c>
      <c r="K988" s="4">
        <f>IF(DatiOriginali!K988 &gt;= SogliaPicchi!$B$11,"",DatiOriginali!K988)</f>
        <v>64200</v>
      </c>
    </row>
    <row r="989" spans="1:11" x14ac:dyDescent="0.3">
      <c r="A989" s="4" t="s">
        <v>998</v>
      </c>
      <c r="B989" s="4">
        <v>124750</v>
      </c>
      <c r="C989" s="4">
        <f>IF(DatiOriginali!C989 &gt;= SogliaPicchi!$B$11,"",DatiOriginali!C989)</f>
        <v>852800</v>
      </c>
      <c r="D989" s="4">
        <v>64119</v>
      </c>
      <c r="E989" s="4">
        <f>IF(DatiOriginali!E989 &gt;= SogliaPicchi!$B$11,"",DatiOriginali!E989)</f>
        <v>238400</v>
      </c>
      <c r="F989" s="4">
        <v>1900162</v>
      </c>
      <c r="G989" s="4">
        <f>IF(DatiOriginali!G989 &gt;= SogliaPicchi!$B$11,"",DatiOriginali!G989)</f>
        <v>171400</v>
      </c>
      <c r="H989" s="4">
        <v>2349207</v>
      </c>
      <c r="I989" s="4">
        <f>IF(DatiOriginali!I989 &gt;= SogliaPicchi!$B$11,"",DatiOriginali!I989)</f>
        <v>58200</v>
      </c>
      <c r="J989" s="4">
        <v>2340804</v>
      </c>
      <c r="K989" s="4">
        <f>IF(DatiOriginali!K989 &gt;= SogliaPicchi!$B$11,"",DatiOriginali!K989)</f>
        <v>66300</v>
      </c>
    </row>
    <row r="990" spans="1:11" x14ac:dyDescent="0.3">
      <c r="A990" s="4" t="s">
        <v>999</v>
      </c>
      <c r="B990" s="4">
        <v>124750</v>
      </c>
      <c r="C990" s="4">
        <f>IF(DatiOriginali!C990 &gt;= SogliaPicchi!$B$11,"",DatiOriginali!C990)</f>
        <v>1117500</v>
      </c>
      <c r="D990" s="4">
        <v>62055</v>
      </c>
      <c r="E990" s="4">
        <f>IF(DatiOriginali!E990 &gt;= SogliaPicchi!$B$11,"",DatiOriginali!E990)</f>
        <v>262700</v>
      </c>
      <c r="F990" s="4">
        <v>1904016</v>
      </c>
      <c r="G990" s="4">
        <f>IF(DatiOriginali!G990 &gt;= SogliaPicchi!$B$11,"",DatiOriginali!G990)</f>
        <v>205200</v>
      </c>
      <c r="H990" s="4">
        <v>2353580</v>
      </c>
      <c r="I990" s="4">
        <f>IF(DatiOriginali!I990 &gt;= SogliaPicchi!$B$11,"",DatiOriginali!I990)</f>
        <v>68000</v>
      </c>
      <c r="J990" s="4">
        <v>2345877</v>
      </c>
      <c r="K990" s="4">
        <f>IF(DatiOriginali!K990 &gt;= SogliaPicchi!$B$11,"",DatiOriginali!K990)</f>
        <v>66700</v>
      </c>
    </row>
    <row r="991" spans="1:11" x14ac:dyDescent="0.3">
      <c r="A991" s="4" t="s">
        <v>1000</v>
      </c>
      <c r="B991" s="4">
        <v>124750</v>
      </c>
      <c r="C991" s="4">
        <f>IF(DatiOriginali!C991 &gt;= SogliaPicchi!$B$11,"",DatiOriginali!C991)</f>
        <v>1044500</v>
      </c>
      <c r="D991" s="4">
        <v>62256</v>
      </c>
      <c r="E991" s="4">
        <f>IF(DatiOriginali!E991 &gt;= SogliaPicchi!$B$11,"",DatiOriginali!E991)</f>
        <v>263700</v>
      </c>
      <c r="F991" s="4">
        <v>1907872</v>
      </c>
      <c r="G991" s="4">
        <f>IF(DatiOriginali!G991 &gt;= SogliaPicchi!$B$11,"",DatiOriginali!G991)</f>
        <v>213300</v>
      </c>
      <c r="H991" s="4">
        <v>2358839</v>
      </c>
      <c r="I991" s="4">
        <f>IF(DatiOriginali!I991 &gt;= SogliaPicchi!$B$11,"",DatiOriginali!I991)</f>
        <v>67700</v>
      </c>
      <c r="J991" s="4">
        <v>2350507</v>
      </c>
      <c r="K991" s="4">
        <f>IF(DatiOriginali!K991 &gt;= SogliaPicchi!$B$11,"",DatiOriginali!K991)</f>
        <v>81700</v>
      </c>
    </row>
    <row r="992" spans="1:11" x14ac:dyDescent="0.3">
      <c r="A992" s="4" t="s">
        <v>1001</v>
      </c>
      <c r="B992" s="4">
        <v>124750</v>
      </c>
      <c r="C992" s="4">
        <f>IF(DatiOriginali!C992 &gt;= SogliaPicchi!$B$11,"",DatiOriginali!C992)</f>
        <v>817700</v>
      </c>
      <c r="D992" s="4">
        <v>62109</v>
      </c>
      <c r="E992" s="4">
        <f>IF(DatiOriginali!E992 &gt;= SogliaPicchi!$B$11,"",DatiOriginali!E992)</f>
        <v>230400</v>
      </c>
      <c r="F992" s="4">
        <v>1911715</v>
      </c>
      <c r="G992" s="4">
        <f>IF(DatiOriginali!G992 &gt;= SogliaPicchi!$B$11,"",DatiOriginali!G992)</f>
        <v>170800</v>
      </c>
      <c r="H992" s="4">
        <v>2363845</v>
      </c>
      <c r="I992" s="4">
        <f>IF(DatiOriginali!I992 &gt;= SogliaPicchi!$B$11,"",DatiOriginali!I992)</f>
        <v>58700</v>
      </c>
      <c r="J992" s="4">
        <v>2355325</v>
      </c>
      <c r="K992" s="4">
        <f>IF(DatiOriginali!K992 &gt;= SogliaPicchi!$B$11,"",DatiOriginali!K992)</f>
        <v>65000</v>
      </c>
    </row>
    <row r="993" spans="1:11" x14ac:dyDescent="0.3">
      <c r="A993" s="4" t="s">
        <v>1002</v>
      </c>
      <c r="B993" s="4">
        <v>124750</v>
      </c>
      <c r="C993" s="4">
        <f>IF(DatiOriginali!C993 &gt;= SogliaPicchi!$B$11,"",DatiOriginali!C993)</f>
        <v>856100</v>
      </c>
      <c r="D993" s="4">
        <v>65200</v>
      </c>
      <c r="E993" s="4">
        <f>IF(DatiOriginali!E993 &gt;= SogliaPicchi!$B$11,"",DatiOriginali!E993)</f>
        <v>239300</v>
      </c>
      <c r="F993" s="4">
        <v>1915569</v>
      </c>
      <c r="G993" s="4">
        <f>IF(DatiOriginali!G993 &gt;= SogliaPicchi!$B$11,"",DatiOriginali!G993)</f>
        <v>171000</v>
      </c>
      <c r="H993" s="4">
        <v>2368819</v>
      </c>
      <c r="I993" s="4">
        <f>IF(DatiOriginali!I993 &gt;= SogliaPicchi!$B$11,"",DatiOriginali!I993)</f>
        <v>54400</v>
      </c>
      <c r="J993" s="4">
        <v>2360039</v>
      </c>
      <c r="K993" s="4">
        <f>IF(DatiOriginali!K993 &gt;= SogliaPicchi!$B$11,"",DatiOriginali!K993)</f>
        <v>63500</v>
      </c>
    </row>
    <row r="994" spans="1:11" x14ac:dyDescent="0.3">
      <c r="A994" s="4" t="s">
        <v>1003</v>
      </c>
      <c r="B994" s="4">
        <v>124750</v>
      </c>
      <c r="C994" s="4">
        <f>IF(DatiOriginali!C994 &gt;= SogliaPicchi!$B$11,"",DatiOriginali!C994)</f>
        <v>938700</v>
      </c>
      <c r="D994" s="4">
        <v>62487</v>
      </c>
      <c r="E994" s="4">
        <f>IF(DatiOriginali!E994 &gt;= SogliaPicchi!$B$11,"",DatiOriginali!E994)</f>
        <v>224000</v>
      </c>
      <c r="F994" s="4">
        <v>1919426</v>
      </c>
      <c r="G994" s="4">
        <f>IF(DatiOriginali!G994 &gt;= SogliaPicchi!$B$11,"",DatiOriginali!G994)</f>
        <v>172300</v>
      </c>
      <c r="H994" s="4">
        <v>2373543</v>
      </c>
      <c r="I994" s="4">
        <f>IF(DatiOriginali!I994 &gt;= SogliaPicchi!$B$11,"",DatiOriginali!I994)</f>
        <v>56500</v>
      </c>
      <c r="J994" s="4">
        <v>2364908</v>
      </c>
      <c r="K994" s="4">
        <f>IF(DatiOriginali!K994 &gt;= SogliaPicchi!$B$11,"",DatiOriginali!K994)</f>
        <v>69300</v>
      </c>
    </row>
    <row r="995" spans="1:11" x14ac:dyDescent="0.3">
      <c r="A995" s="4" t="s">
        <v>1004</v>
      </c>
      <c r="B995" s="4">
        <v>124750</v>
      </c>
      <c r="C995" s="4">
        <f>IF(DatiOriginali!C995 &gt;= SogliaPicchi!$B$11,"",DatiOriginali!C995)</f>
        <v>866800</v>
      </c>
      <c r="D995" s="4">
        <v>64163</v>
      </c>
      <c r="E995" s="4">
        <f>IF(DatiOriginali!E995 &gt;= SogliaPicchi!$B$11,"",DatiOriginali!E995)</f>
        <v>235700</v>
      </c>
      <c r="F995" s="4">
        <v>1923266</v>
      </c>
      <c r="G995" s="4">
        <f>IF(DatiOriginali!G995 &gt;= SogliaPicchi!$B$11,"",DatiOriginali!G995)</f>
        <v>178600</v>
      </c>
      <c r="H995" s="4">
        <v>2378115</v>
      </c>
      <c r="I995" s="4">
        <f>IF(DatiOriginali!I995 &gt;= SogliaPicchi!$B$11,"",DatiOriginali!I995)</f>
        <v>56300</v>
      </c>
      <c r="J995" s="4">
        <v>2369717</v>
      </c>
      <c r="K995" s="4">
        <f>IF(DatiOriginali!K995 &gt;= SogliaPicchi!$B$11,"",DatiOriginali!K995)</f>
        <v>64500</v>
      </c>
    </row>
    <row r="996" spans="1:11" x14ac:dyDescent="0.3">
      <c r="A996" s="4" t="s">
        <v>1005</v>
      </c>
      <c r="B996" s="4">
        <v>124750</v>
      </c>
      <c r="C996" s="4">
        <f>IF(DatiOriginali!C996 &gt;= SogliaPicchi!$B$11,"",DatiOriginali!C996)</f>
        <v>836800</v>
      </c>
      <c r="D996" s="4">
        <v>63537</v>
      </c>
      <c r="E996" s="4">
        <f>IF(DatiOriginali!E996 &gt;= SogliaPicchi!$B$11,"",DatiOriginali!E996)</f>
        <v>230200</v>
      </c>
      <c r="F996" s="4">
        <v>1927117</v>
      </c>
      <c r="G996" s="4">
        <f>IF(DatiOriginali!G996 &gt;= SogliaPicchi!$B$11,"",DatiOriginali!G996)</f>
        <v>171300</v>
      </c>
      <c r="H996" s="4">
        <v>2382975</v>
      </c>
      <c r="I996" s="4">
        <f>IF(DatiOriginali!I996 &gt;= SogliaPicchi!$B$11,"",DatiOriginali!I996)</f>
        <v>57500</v>
      </c>
      <c r="J996" s="4">
        <v>2374715</v>
      </c>
      <c r="K996" s="4">
        <f>IF(DatiOriginali!K996 &gt;= SogliaPicchi!$B$11,"",DatiOriginali!K996)</f>
        <v>67500</v>
      </c>
    </row>
    <row r="997" spans="1:11" x14ac:dyDescent="0.3">
      <c r="A997" s="4" t="s">
        <v>1006</v>
      </c>
      <c r="B997" s="4">
        <v>124750</v>
      </c>
      <c r="C997" s="4">
        <f>IF(DatiOriginali!C997 &gt;= SogliaPicchi!$B$11,"",DatiOriginali!C997)</f>
        <v>1038400</v>
      </c>
      <c r="D997" s="4">
        <v>63802</v>
      </c>
      <c r="E997" s="4">
        <f>IF(DatiOriginali!E997 &gt;= SogliaPicchi!$B$11,"",DatiOriginali!E997)</f>
        <v>246900</v>
      </c>
      <c r="F997" s="4">
        <v>1930982</v>
      </c>
      <c r="G997" s="4">
        <f>IF(DatiOriginali!G997 &gt;= SogliaPicchi!$B$11,"",DatiOriginali!G997)</f>
        <v>176500</v>
      </c>
      <c r="H997" s="4">
        <v>2387998</v>
      </c>
      <c r="I997" s="4">
        <f>IF(DatiOriginali!I997 &gt;= SogliaPicchi!$B$11,"",DatiOriginali!I997)</f>
        <v>57000</v>
      </c>
      <c r="J997" s="4">
        <v>2380056</v>
      </c>
      <c r="K997" s="4">
        <f>IF(DatiOriginali!K997 &gt;= SogliaPicchi!$B$11,"",DatiOriginali!K997)</f>
        <v>66300</v>
      </c>
    </row>
    <row r="998" spans="1:11" x14ac:dyDescent="0.3">
      <c r="A998" s="4" t="s">
        <v>1007</v>
      </c>
      <c r="B998" s="4">
        <v>124750</v>
      </c>
      <c r="C998" s="4">
        <f>IF(DatiOriginali!C998 &gt;= SogliaPicchi!$B$11,"",DatiOriginali!C998)</f>
        <v>996800</v>
      </c>
      <c r="D998" s="4">
        <v>66116</v>
      </c>
      <c r="E998" s="4">
        <f>IF(DatiOriginali!E998 &gt;= SogliaPicchi!$B$11,"",DatiOriginali!E998)</f>
        <v>287600</v>
      </c>
      <c r="F998" s="4">
        <v>1934806</v>
      </c>
      <c r="G998" s="4">
        <f>IF(DatiOriginali!G998 &gt;= SogliaPicchi!$B$11,"",DatiOriginali!G998)</f>
        <v>172100</v>
      </c>
      <c r="H998" s="4">
        <v>2392762</v>
      </c>
      <c r="I998" s="4">
        <f>IF(DatiOriginali!I998 &gt;= SogliaPicchi!$B$11,"",DatiOriginali!I998)</f>
        <v>58300</v>
      </c>
      <c r="J998" s="4">
        <v>2385550</v>
      </c>
      <c r="K998" s="4">
        <f>IF(DatiOriginali!K998 &gt;= SogliaPicchi!$B$11,"",DatiOriginali!K998)</f>
        <v>66200</v>
      </c>
    </row>
    <row r="999" spans="1:11" x14ac:dyDescent="0.3">
      <c r="A999" s="4" t="s">
        <v>1008</v>
      </c>
      <c r="B999" s="4">
        <v>124750</v>
      </c>
      <c r="C999" s="4">
        <f>IF(DatiOriginali!C999 &gt;= SogliaPicchi!$B$11,"",DatiOriginali!C999)</f>
        <v>1044600</v>
      </c>
      <c r="D999" s="4">
        <v>61571</v>
      </c>
      <c r="E999" s="4">
        <f>IF(DatiOriginali!E999 &gt;= SogliaPicchi!$B$11,"",DatiOriginali!E999)</f>
        <v>332300</v>
      </c>
      <c r="F999" s="4">
        <v>1938672</v>
      </c>
      <c r="G999" s="4">
        <f>IF(DatiOriginali!G999 &gt;= SogliaPicchi!$B$11,"",DatiOriginali!G999)</f>
        <v>213400</v>
      </c>
      <c r="H999" s="4">
        <v>2397723</v>
      </c>
      <c r="I999" s="4">
        <f>IF(DatiOriginali!I999 &gt;= SogliaPicchi!$B$11,"",DatiOriginali!I999)</f>
        <v>75400</v>
      </c>
      <c r="J999" s="4">
        <v>2389852</v>
      </c>
      <c r="K999" s="4">
        <f>IF(DatiOriginali!K999 &gt;= SogliaPicchi!$B$11,"",DatiOriginali!K999)</f>
        <v>78400</v>
      </c>
    </row>
    <row r="1000" spans="1:11" x14ac:dyDescent="0.3">
      <c r="A1000" s="4" t="s">
        <v>1009</v>
      </c>
      <c r="B1000" s="4">
        <v>124750</v>
      </c>
      <c r="C1000" s="4">
        <f>IF(DatiOriginali!C1000 &gt;= SogliaPicchi!$B$11,"",DatiOriginali!C1000)</f>
        <v>886100</v>
      </c>
      <c r="D1000" s="4">
        <v>62143</v>
      </c>
      <c r="E1000" s="4">
        <f>IF(DatiOriginali!E1000 &gt;= SogliaPicchi!$B$11,"",DatiOriginali!E1000)</f>
        <v>221100</v>
      </c>
      <c r="F1000" s="4">
        <v>1942536</v>
      </c>
      <c r="G1000" s="4">
        <f>IF(DatiOriginali!G1000 &gt;= SogliaPicchi!$B$11,"",DatiOriginali!G1000)</f>
        <v>172200</v>
      </c>
      <c r="H1000" s="4">
        <v>2402787</v>
      </c>
      <c r="I1000" s="4">
        <f>IF(DatiOriginali!I1000 &gt;= SogliaPicchi!$B$11,"",DatiOriginali!I1000)</f>
        <v>58900</v>
      </c>
      <c r="J1000" s="4">
        <v>2394732</v>
      </c>
      <c r="K1000" s="4">
        <f>IF(DatiOriginali!K1000 &gt;= SogliaPicchi!$B$11,"",DatiOriginali!K1000)</f>
        <v>66000</v>
      </c>
    </row>
    <row r="1001" spans="1:11" x14ac:dyDescent="0.3">
      <c r="A1001" s="4" t="s">
        <v>1010</v>
      </c>
      <c r="B1001" s="4">
        <v>124750</v>
      </c>
      <c r="C1001" s="4">
        <f>IF(DatiOriginali!C1001 &gt;= SogliaPicchi!$B$11,"",DatiOriginali!C1001)</f>
        <v>911700</v>
      </c>
      <c r="D1001" s="4">
        <v>63140</v>
      </c>
      <c r="E1001" s="4">
        <f>IF(DatiOriginali!E1001 &gt;= SogliaPicchi!$B$11,"",DatiOriginali!E1001)</f>
        <v>221900</v>
      </c>
      <c r="F1001" s="4">
        <v>1946372</v>
      </c>
      <c r="G1001" s="4">
        <f>IF(DatiOriginali!G1001 &gt;= SogliaPicchi!$B$12,"",DatiOriginali!G1001)</f>
        <v>173800</v>
      </c>
      <c r="H1001" s="4">
        <v>2407597</v>
      </c>
      <c r="I1001" s="4">
        <f>IF(DatiOriginali!I1001 &gt;= SogliaPicchi!$B$12,"",DatiOriginali!I1001)</f>
        <v>57800</v>
      </c>
      <c r="J1001" s="4">
        <v>2399168</v>
      </c>
      <c r="K1001" s="4">
        <f>IF(DatiOriginali!K1001 &gt;= SogliaPicchi!$B$12,"",DatiOriginali!K1001)</f>
        <v>65200</v>
      </c>
    </row>
    <row r="1002" spans="1:11" x14ac:dyDescent="0.3">
      <c r="A1002" s="4" t="s">
        <v>1011</v>
      </c>
      <c r="B1002" s="4">
        <v>150975</v>
      </c>
      <c r="C1002" s="4">
        <f>IF(DatiOriginali!C1002 &gt;= SogliaPicchi!$B$12,"",DatiOriginali!C1002)</f>
        <v>1019200</v>
      </c>
      <c r="D1002" s="4">
        <v>74910</v>
      </c>
      <c r="E1002" s="4">
        <f>IF(DatiOriginali!E1002 &gt;= SogliaPicchi!$B$12,"",DatiOriginali!E1002)</f>
        <v>265900</v>
      </c>
      <c r="F1002" s="4">
        <v>1950689</v>
      </c>
      <c r="G1002" s="4">
        <f>IF(DatiOriginali!G1002 &gt;= SogliaPicchi!$B$12,"",DatiOriginali!G1002)</f>
        <v>193700</v>
      </c>
      <c r="H1002" s="4">
        <v>2413055</v>
      </c>
      <c r="I1002" s="4">
        <f>IF(DatiOriginali!I1002 &gt;= SogliaPicchi!$B$12,"",DatiOriginali!I1002)</f>
        <v>65200</v>
      </c>
      <c r="J1002" s="4">
        <v>2404407</v>
      </c>
      <c r="K1002" s="4">
        <f>IF(DatiOriginali!K1002 &gt;= SogliaPicchi!$B$12,"",DatiOriginali!K1002)</f>
        <v>72900</v>
      </c>
    </row>
    <row r="1003" spans="1:11" x14ac:dyDescent="0.3">
      <c r="A1003" s="4" t="s">
        <v>1012</v>
      </c>
      <c r="B1003" s="4">
        <v>150975</v>
      </c>
      <c r="C1003" s="4">
        <f>IF(DatiOriginali!C1003 &gt;= SogliaPicchi!$B$12,"",DatiOriginali!C1003)</f>
        <v>1311500</v>
      </c>
      <c r="D1003" s="4">
        <v>75665</v>
      </c>
      <c r="E1003" s="4">
        <f>IF(DatiOriginali!E1003 &gt;= SogliaPicchi!$B$12,"",DatiOriginali!E1003)</f>
        <v>270800</v>
      </c>
      <c r="F1003" s="4">
        <v>1955009</v>
      </c>
      <c r="G1003" s="4">
        <f>IF(DatiOriginali!G1003 &gt;= SogliaPicchi!$B$12,"",DatiOriginali!G1003)</f>
        <v>197200</v>
      </c>
      <c r="H1003" s="4">
        <v>2418085</v>
      </c>
      <c r="I1003" s="4">
        <f>IF(DatiOriginali!I1003 &gt;= SogliaPicchi!$B$12,"",DatiOriginali!I1003)</f>
        <v>61600</v>
      </c>
      <c r="J1003" s="4">
        <v>2410133</v>
      </c>
      <c r="K1003" s="4">
        <f>IF(DatiOriginali!K1003 &gt;= SogliaPicchi!$B$12,"",DatiOriginali!K1003)</f>
        <v>73000</v>
      </c>
    </row>
    <row r="1004" spans="1:11" x14ac:dyDescent="0.3">
      <c r="A1004" s="4" t="s">
        <v>1013</v>
      </c>
      <c r="B1004" s="4">
        <v>150975</v>
      </c>
      <c r="C1004" s="4">
        <f>IF(DatiOriginali!C1004 &gt;= SogliaPicchi!$B$12,"",DatiOriginali!C1004)</f>
        <v>1203200</v>
      </c>
      <c r="D1004" s="4">
        <v>77472</v>
      </c>
      <c r="E1004" s="4">
        <f>IF(DatiOriginali!E1004 &gt;= SogliaPicchi!$B$12,"",DatiOriginali!E1004)</f>
        <v>274900</v>
      </c>
      <c r="F1004" s="4">
        <v>1959321</v>
      </c>
      <c r="G1004" s="4">
        <f>IF(DatiOriginali!G1004 &gt;= SogliaPicchi!$B$12,"",DatiOriginali!G1004)</f>
        <v>193500</v>
      </c>
      <c r="H1004" s="4">
        <v>2423323</v>
      </c>
      <c r="I1004" s="4">
        <f>IF(DatiOriginali!I1004 &gt;= SogliaPicchi!$B$12,"",DatiOriginali!I1004)</f>
        <v>63100</v>
      </c>
      <c r="J1004" s="4">
        <v>2415430</v>
      </c>
      <c r="K1004" s="4">
        <f>IF(DatiOriginali!K1004 &gt;= SogliaPicchi!$B$12,"",DatiOriginali!K1004)</f>
        <v>71100</v>
      </c>
    </row>
    <row r="1005" spans="1:11" x14ac:dyDescent="0.3">
      <c r="A1005" s="4" t="s">
        <v>1014</v>
      </c>
      <c r="B1005" s="4">
        <v>150975</v>
      </c>
      <c r="C1005" s="4">
        <f>IF(DatiOriginali!C1005 &gt;= SogliaPicchi!$B$12,"",DatiOriginali!C1005)</f>
        <v>1477100</v>
      </c>
      <c r="D1005" s="4">
        <v>74048</v>
      </c>
      <c r="E1005" s="4">
        <f>IF(DatiOriginali!E1005 &gt;= SogliaPicchi!$B$12,"",DatiOriginali!E1005)</f>
        <v>348300</v>
      </c>
      <c r="F1005" s="4">
        <v>1963635</v>
      </c>
      <c r="G1005" s="4">
        <f>IF(DatiOriginali!G1005 &gt;= SogliaPicchi!$B$12,"",DatiOriginali!G1005)</f>
        <v>230500</v>
      </c>
      <c r="H1005" s="4">
        <v>2428141</v>
      </c>
      <c r="I1005" s="4">
        <f>IF(DatiOriginali!I1005 &gt;= SogliaPicchi!$B$12,"",DatiOriginali!I1005)</f>
        <v>76300</v>
      </c>
      <c r="J1005" s="4">
        <v>2420608</v>
      </c>
      <c r="K1005" s="4">
        <f>IF(DatiOriginali!K1005 &gt;= SogliaPicchi!$B$12,"",DatiOriginali!K1005)</f>
        <v>88300</v>
      </c>
    </row>
    <row r="1006" spans="1:11" x14ac:dyDescent="0.3">
      <c r="A1006" s="4" t="s">
        <v>1015</v>
      </c>
      <c r="B1006" s="4">
        <v>150975</v>
      </c>
      <c r="C1006" s="4">
        <f>IF(DatiOriginali!C1006 &gt;= SogliaPicchi!$B$12,"",DatiOriginali!C1006)</f>
        <v>1259300</v>
      </c>
      <c r="D1006" s="4">
        <v>71551</v>
      </c>
      <c r="E1006" s="4">
        <f>IF(DatiOriginali!E1006 &gt;= SogliaPicchi!$B$12,"",DatiOriginali!E1006)</f>
        <v>306400</v>
      </c>
      <c r="F1006" s="4">
        <v>1967965</v>
      </c>
      <c r="G1006" s="4">
        <f>IF(DatiOriginali!G1006 &gt;= SogliaPicchi!$B$12,"",DatiOriginali!G1006)</f>
        <v>240600</v>
      </c>
      <c r="H1006" s="4">
        <v>2433287</v>
      </c>
      <c r="I1006" s="4">
        <f>IF(DatiOriginali!I1006 &gt;= SogliaPicchi!$B$12,"",DatiOriginali!I1006)</f>
        <v>77800</v>
      </c>
      <c r="J1006" s="4">
        <v>2426376</v>
      </c>
      <c r="K1006" s="4">
        <f>IF(DatiOriginali!K1006 &gt;= SogliaPicchi!$B$12,"",DatiOriginali!K1006)</f>
        <v>86100</v>
      </c>
    </row>
    <row r="1007" spans="1:11" x14ac:dyDescent="0.3">
      <c r="A1007" s="4" t="s">
        <v>1016</v>
      </c>
      <c r="B1007" s="4">
        <v>150975</v>
      </c>
      <c r="C1007" s="4">
        <f>IF(DatiOriginali!C1007 &gt;= SogliaPicchi!$B$12,"",DatiOriginali!C1007)</f>
        <v>1296900</v>
      </c>
      <c r="D1007" s="4">
        <v>75464</v>
      </c>
      <c r="E1007" s="4">
        <f>IF(DatiOriginali!E1007 &gt;= SogliaPicchi!$B$12,"",DatiOriginali!E1007)</f>
        <v>331300</v>
      </c>
      <c r="F1007" s="4">
        <v>1972275</v>
      </c>
      <c r="G1007" s="4">
        <f>IF(DatiOriginali!G1007 &gt;= SogliaPicchi!$B$12,"",DatiOriginali!G1007)</f>
        <v>227000</v>
      </c>
      <c r="H1007" s="4">
        <v>2438622</v>
      </c>
      <c r="I1007" s="4">
        <f>IF(DatiOriginali!I1007 &gt;= SogliaPicchi!$B$12,"",DatiOriginali!I1007)</f>
        <v>60800</v>
      </c>
      <c r="J1007" s="4">
        <v>2431899</v>
      </c>
      <c r="K1007" s="4">
        <f>IF(DatiOriginali!K1007 &gt;= SogliaPicchi!$B$12,"",DatiOriginali!K1007)</f>
        <v>73400</v>
      </c>
    </row>
    <row r="1008" spans="1:11" x14ac:dyDescent="0.3">
      <c r="A1008" s="4" t="s">
        <v>1017</v>
      </c>
      <c r="B1008" s="4">
        <v>150975</v>
      </c>
      <c r="C1008" s="4">
        <f>IF(DatiOriginali!C1008 &gt;= SogliaPicchi!$B$12,"",DatiOriginali!C1008)</f>
        <v>1136600</v>
      </c>
      <c r="D1008" s="4">
        <v>76652</v>
      </c>
      <c r="E1008" s="4">
        <f>IF(DatiOriginali!E1008 &gt;= SogliaPicchi!$B$12,"",DatiOriginali!E1008)</f>
        <v>396700</v>
      </c>
      <c r="F1008" s="4">
        <v>1976606</v>
      </c>
      <c r="G1008" s="4">
        <f>IF(DatiOriginali!G1008 &gt;= SogliaPicchi!$B$12,"",DatiOriginali!G1008)</f>
        <v>225700</v>
      </c>
      <c r="H1008" s="4">
        <v>2443883</v>
      </c>
      <c r="I1008" s="4">
        <f>IF(DatiOriginali!I1008 &gt;= SogliaPicchi!$B$12,"",DatiOriginali!I1008)</f>
        <v>77400</v>
      </c>
      <c r="J1008" s="4">
        <v>2437176</v>
      </c>
      <c r="K1008" s="4">
        <f>IF(DatiOriginali!K1008 &gt;= SogliaPicchi!$B$12,"",DatiOriginali!K1008)</f>
        <v>86900</v>
      </c>
    </row>
    <row r="1009" spans="1:11" x14ac:dyDescent="0.3">
      <c r="A1009" s="4" t="s">
        <v>1018</v>
      </c>
      <c r="B1009" s="4">
        <v>150975</v>
      </c>
      <c r="C1009" s="4">
        <f>IF(DatiOriginali!C1009 &gt;= SogliaPicchi!$B$12,"",DatiOriginali!C1009)</f>
        <v>1318300</v>
      </c>
      <c r="D1009" s="4">
        <v>70914</v>
      </c>
      <c r="E1009" s="4">
        <f>IF(DatiOriginali!E1009 &gt;= SogliaPicchi!$B$12,"",DatiOriginali!E1009)</f>
        <v>281300</v>
      </c>
      <c r="F1009" s="4">
        <v>1980908</v>
      </c>
      <c r="G1009" s="4">
        <f>IF(DatiOriginali!G1009 &gt;= SogliaPicchi!$B$12,"",DatiOriginali!G1009)</f>
        <v>201300</v>
      </c>
      <c r="H1009" s="4">
        <v>2449262</v>
      </c>
      <c r="I1009" s="4">
        <f>IF(DatiOriginali!I1009 &gt;= SogliaPicchi!$B$12,"",DatiOriginali!I1009)</f>
        <v>65800</v>
      </c>
      <c r="J1009" s="4">
        <v>2443237</v>
      </c>
      <c r="K1009" s="4">
        <f>IF(DatiOriginali!K1009 &gt;= SogliaPicchi!$B$12,"",DatiOriginali!K1009)</f>
        <v>74800</v>
      </c>
    </row>
    <row r="1010" spans="1:11" x14ac:dyDescent="0.3">
      <c r="A1010" s="4" t="s">
        <v>1019</v>
      </c>
      <c r="B1010" s="4">
        <v>150975</v>
      </c>
      <c r="C1010" s="4">
        <f>IF(DatiOriginali!C1010 &gt;= SogliaPicchi!$B$12,"",DatiOriginali!C1010)</f>
        <v>1018400</v>
      </c>
      <c r="D1010" s="4">
        <v>77565</v>
      </c>
      <c r="E1010" s="4">
        <f>IF(DatiOriginali!E1010 &gt;= SogliaPicchi!$B$12,"",DatiOriginali!E1010)</f>
        <v>274200</v>
      </c>
      <c r="F1010" s="4">
        <v>1985209</v>
      </c>
      <c r="G1010" s="4">
        <f>IF(DatiOriginali!G1010 &gt;= SogliaPicchi!$B$12,"",DatiOriginali!G1010)</f>
        <v>191600</v>
      </c>
      <c r="H1010" s="4">
        <v>2454334</v>
      </c>
      <c r="I1010" s="4">
        <f>IF(DatiOriginali!I1010 &gt;= SogliaPicchi!$B$12,"",DatiOriginali!I1010)</f>
        <v>62400</v>
      </c>
      <c r="J1010" s="4">
        <v>2449012</v>
      </c>
      <c r="K1010" s="4">
        <f>IF(DatiOriginali!K1010 &gt;= SogliaPicchi!$B$12,"",DatiOriginali!K1010)</f>
        <v>72300</v>
      </c>
    </row>
    <row r="1011" spans="1:11" x14ac:dyDescent="0.3">
      <c r="A1011" s="4" t="s">
        <v>1020</v>
      </c>
      <c r="B1011" s="4">
        <v>150975</v>
      </c>
      <c r="C1011" s="4">
        <f>IF(DatiOriginali!C1011 &gt;= SogliaPicchi!$B$12,"",DatiOriginali!C1011)</f>
        <v>1013400</v>
      </c>
      <c r="D1011" s="4">
        <v>74799</v>
      </c>
      <c r="E1011" s="4">
        <f>IF(DatiOriginali!E1011 &gt;= SogliaPicchi!$B$12,"",DatiOriginali!E1011)</f>
        <v>266800</v>
      </c>
      <c r="F1011" s="4">
        <v>1989524</v>
      </c>
      <c r="G1011" s="4">
        <f>IF(DatiOriginali!G1011 &gt;= SogliaPicchi!$B$12,"",DatiOriginali!G1011)</f>
        <v>190600</v>
      </c>
      <c r="H1011" s="4">
        <v>2459938</v>
      </c>
      <c r="I1011" s="4">
        <f>IF(DatiOriginali!I1011 &gt;= SogliaPicchi!$B$12,"",DatiOriginali!I1011)</f>
        <v>62000</v>
      </c>
      <c r="J1011" s="4">
        <v>2454884</v>
      </c>
      <c r="K1011" s="4">
        <f>IF(DatiOriginali!K1011 &gt;= SogliaPicchi!$B$12,"",DatiOriginali!K1011)</f>
        <v>71500</v>
      </c>
    </row>
    <row r="1012" spans="1:11" x14ac:dyDescent="0.3">
      <c r="A1012" s="4" t="s">
        <v>1021</v>
      </c>
      <c r="B1012" s="4">
        <v>150975</v>
      </c>
      <c r="C1012" s="4">
        <f>IF(DatiOriginali!C1012 &gt;= SogliaPicchi!$B$12,"",DatiOriginali!C1012)</f>
        <v>1188900</v>
      </c>
      <c r="D1012" s="4">
        <v>74550</v>
      </c>
      <c r="E1012" s="4">
        <f>IF(DatiOriginali!E1012 &gt;= SogliaPicchi!$B$12,"",DatiOriginali!E1012)</f>
        <v>265900</v>
      </c>
      <c r="F1012" s="4">
        <v>1993836</v>
      </c>
      <c r="G1012" s="4">
        <f>IF(DatiOriginali!G1012 &gt;= SogliaPicchi!$B$12,"",DatiOriginali!G1012)</f>
        <v>193800</v>
      </c>
      <c r="H1012" s="4">
        <v>2464938</v>
      </c>
      <c r="I1012" s="4">
        <f>IF(DatiOriginali!I1012 &gt;= SogliaPicchi!$B$12,"",DatiOriginali!I1012)</f>
        <v>62900</v>
      </c>
      <c r="J1012" s="4">
        <v>2460154</v>
      </c>
      <c r="K1012" s="4">
        <f>IF(DatiOriginali!K1012 &gt;= SogliaPicchi!$B$12,"",DatiOriginali!K1012)</f>
        <v>70200</v>
      </c>
    </row>
    <row r="1013" spans="1:11" x14ac:dyDescent="0.3">
      <c r="A1013" s="4" t="s">
        <v>1022</v>
      </c>
      <c r="B1013" s="4">
        <v>150975</v>
      </c>
      <c r="C1013" s="4">
        <f>IF(DatiOriginali!C1013 &gt;= SogliaPicchi!$B$12,"",DatiOriginali!C1013)</f>
        <v>1040600</v>
      </c>
      <c r="D1013" s="4">
        <v>75112</v>
      </c>
      <c r="E1013" s="4">
        <f>IF(DatiOriginali!E1013 &gt;= SogliaPicchi!$B$12,"",DatiOriginali!E1013)</f>
        <v>266500</v>
      </c>
      <c r="F1013" s="4">
        <v>1998162</v>
      </c>
      <c r="G1013" s="4">
        <f>IF(DatiOriginali!G1013 &gt;= SogliaPicchi!$B$12,"",DatiOriginali!G1013)</f>
        <v>189800</v>
      </c>
      <c r="H1013" s="4">
        <v>2470028</v>
      </c>
      <c r="I1013" s="4">
        <f>IF(DatiOriginali!I1013 &gt;= SogliaPicchi!$B$12,"",DatiOriginali!I1013)</f>
        <v>61900</v>
      </c>
      <c r="J1013" s="4">
        <v>2465938</v>
      </c>
      <c r="K1013" s="4">
        <f>IF(DatiOriginali!K1013 &gt;= SogliaPicchi!$B$12,"",DatiOriginali!K1013)</f>
        <v>72600</v>
      </c>
    </row>
    <row r="1014" spans="1:11" x14ac:dyDescent="0.3">
      <c r="A1014" s="4" t="s">
        <v>1023</v>
      </c>
      <c r="B1014" s="4">
        <v>150975</v>
      </c>
      <c r="C1014" s="4">
        <f>IF(DatiOriginali!C1014 &gt;= SogliaPicchi!$B$12,"",DatiOriginali!C1014)</f>
        <v>1130500</v>
      </c>
      <c r="D1014" s="4">
        <v>74439</v>
      </c>
      <c r="E1014" s="4">
        <f>IF(DatiOriginali!E1014 &gt;= SogliaPicchi!$B$12,"",DatiOriginali!E1014)</f>
        <v>264600</v>
      </c>
      <c r="F1014" s="4">
        <v>2002470</v>
      </c>
      <c r="G1014" s="4">
        <f>IF(DatiOriginali!G1014 &gt;= SogliaPicchi!$B$12,"",DatiOriginali!G1014)</f>
        <v>194700</v>
      </c>
      <c r="H1014" s="4">
        <v>2475260</v>
      </c>
      <c r="I1014" s="4">
        <f>IF(DatiOriginali!I1014 &gt;= SogliaPicchi!$B$12,"",DatiOriginali!I1014)</f>
        <v>62700</v>
      </c>
      <c r="J1014" s="4">
        <v>2471516</v>
      </c>
      <c r="K1014" s="4">
        <f>IF(DatiOriginali!K1014 &gt;= SogliaPicchi!$B$12,"",DatiOriginali!K1014)</f>
        <v>73300</v>
      </c>
    </row>
    <row r="1015" spans="1:11" x14ac:dyDescent="0.3">
      <c r="A1015" s="4" t="s">
        <v>1024</v>
      </c>
      <c r="B1015" s="4">
        <v>150975</v>
      </c>
      <c r="C1015" s="4">
        <f>IF(DatiOriginali!C1015 &gt;= SogliaPicchi!$B$12,"",DatiOriginali!C1015)</f>
        <v>1169600</v>
      </c>
      <c r="D1015" s="4">
        <v>76362</v>
      </c>
      <c r="E1015" s="4">
        <f>IF(DatiOriginali!E1015 &gt;= SogliaPicchi!$B$12,"",DatiOriginali!E1015)</f>
        <v>277500</v>
      </c>
      <c r="F1015" s="4">
        <v>2006758</v>
      </c>
      <c r="G1015" s="4">
        <f>IF(DatiOriginali!G1015 &gt;= SogliaPicchi!$B$12,"",DatiOriginali!G1015)</f>
        <v>193100</v>
      </c>
      <c r="H1015" s="4">
        <v>2480691</v>
      </c>
      <c r="I1015" s="4">
        <f>IF(DatiOriginali!I1015 &gt;= SogliaPicchi!$B$12,"",DatiOriginali!I1015)</f>
        <v>64100</v>
      </c>
      <c r="J1015" s="4">
        <v>2476829</v>
      </c>
      <c r="K1015" s="4">
        <f>IF(DatiOriginali!K1015 &gt;= SogliaPicchi!$B$12,"",DatiOriginali!K1015)</f>
        <v>71800</v>
      </c>
    </row>
    <row r="1016" spans="1:11" x14ac:dyDescent="0.3">
      <c r="A1016" s="4" t="s">
        <v>1025</v>
      </c>
      <c r="B1016" s="4">
        <v>150975</v>
      </c>
      <c r="C1016" s="4">
        <f>IF(DatiOriginali!C1016 &gt;= SogliaPicchi!$B$12,"",DatiOriginali!C1016)</f>
        <v>1052000</v>
      </c>
      <c r="D1016" s="4">
        <v>72672</v>
      </c>
      <c r="E1016" s="4">
        <f>IF(DatiOriginali!E1016 &gt;= SogliaPicchi!$B$12,"",DatiOriginali!E1016)</f>
        <v>265300</v>
      </c>
      <c r="F1016" s="4">
        <v>2011094</v>
      </c>
      <c r="G1016" s="4">
        <f>IF(DatiOriginali!G1016 &gt;= SogliaPicchi!$B$12,"",DatiOriginali!G1016)</f>
        <v>190100</v>
      </c>
      <c r="H1016" s="4">
        <v>2487167</v>
      </c>
      <c r="I1016" s="4">
        <f>IF(DatiOriginali!I1016 &gt;= SogliaPicchi!$B$12,"",DatiOriginali!I1016)</f>
        <v>65600</v>
      </c>
      <c r="J1016" s="4">
        <v>2482196</v>
      </c>
      <c r="K1016" s="4">
        <f>IF(DatiOriginali!K1016 &gt;= SogliaPicchi!$B$12,"",DatiOriginali!K1016)</f>
        <v>75400</v>
      </c>
    </row>
    <row r="1017" spans="1:11" x14ac:dyDescent="0.3">
      <c r="A1017" s="4" t="s">
        <v>1026</v>
      </c>
      <c r="B1017" s="4">
        <v>150975</v>
      </c>
      <c r="C1017" s="4">
        <f>IF(DatiOriginali!C1017 &gt;= SogliaPicchi!$B$12,"",DatiOriginali!C1017)</f>
        <v>1076300</v>
      </c>
      <c r="D1017" s="4">
        <v>76407</v>
      </c>
      <c r="E1017" s="4">
        <f>IF(DatiOriginali!E1017 &gt;= SogliaPicchi!$B$12,"",DatiOriginali!E1017)</f>
        <v>272200</v>
      </c>
      <c r="F1017" s="4">
        <v>2015431</v>
      </c>
      <c r="G1017" s="4">
        <f>IF(DatiOriginali!G1017 &gt;= SogliaPicchi!$B$12,"",DatiOriginali!G1017)</f>
        <v>192700</v>
      </c>
      <c r="H1017" s="4">
        <v>2492457</v>
      </c>
      <c r="I1017" s="4">
        <f>IF(DatiOriginali!I1017 &gt;= SogliaPicchi!$B$12,"",DatiOriginali!I1017)</f>
        <v>63700</v>
      </c>
      <c r="J1017" s="4">
        <v>2487589</v>
      </c>
      <c r="K1017" s="4">
        <f>IF(DatiOriginali!K1017 &gt;= SogliaPicchi!$B$12,"",DatiOriginali!K1017)</f>
        <v>71200</v>
      </c>
    </row>
    <row r="1018" spans="1:11" x14ac:dyDescent="0.3">
      <c r="A1018" s="4" t="s">
        <v>1027</v>
      </c>
      <c r="B1018" s="4">
        <v>150975</v>
      </c>
      <c r="C1018" s="4">
        <f>IF(DatiOriginali!C1018 &gt;= SogliaPicchi!$B$12,"",DatiOriginali!C1018)</f>
        <v>1323700</v>
      </c>
      <c r="D1018" s="4">
        <v>77065</v>
      </c>
      <c r="E1018" s="4">
        <f>IF(DatiOriginali!E1018 &gt;= SogliaPicchi!$B$12,"",DatiOriginali!E1018)</f>
        <v>327900</v>
      </c>
      <c r="F1018" s="4">
        <v>2019758</v>
      </c>
      <c r="G1018" s="4">
        <f>IF(DatiOriginali!G1018 &gt;= SogliaPicchi!$B$12,"",DatiOriginali!G1018)</f>
        <v>224500</v>
      </c>
      <c r="H1018" s="4">
        <v>2497724</v>
      </c>
      <c r="I1018" s="4">
        <f>IF(DatiOriginali!I1018 &gt;= SogliaPicchi!$B$12,"",DatiOriginali!I1018)</f>
        <v>63500</v>
      </c>
      <c r="J1018" s="4">
        <v>2492893</v>
      </c>
      <c r="K1018" s="4">
        <f>IF(DatiOriginali!K1018 &gt;= SogliaPicchi!$B$12,"",DatiOriginali!K1018)</f>
        <v>70500</v>
      </c>
    </row>
    <row r="1019" spans="1:11" x14ac:dyDescent="0.3">
      <c r="A1019" s="4" t="s">
        <v>1028</v>
      </c>
      <c r="B1019" s="4">
        <v>150975</v>
      </c>
      <c r="C1019" s="4">
        <f>IF(DatiOriginali!C1019 &gt;= SogliaPicchi!$B$12,"",DatiOriginali!C1019)</f>
        <v>1326600</v>
      </c>
      <c r="D1019" s="4">
        <v>75486</v>
      </c>
      <c r="E1019" s="4">
        <f>IF(DatiOriginali!E1019 &gt;= SogliaPicchi!$B$12,"",DatiOriginali!E1019)</f>
        <v>377100</v>
      </c>
      <c r="F1019" s="4">
        <v>2024063</v>
      </c>
      <c r="G1019" s="4">
        <f>IF(DatiOriginali!G1019 &gt;= SogliaPicchi!$B$12,"",DatiOriginali!G1019)</f>
        <v>295700</v>
      </c>
      <c r="H1019" s="4">
        <v>2503245</v>
      </c>
      <c r="I1019" s="4">
        <f>IF(DatiOriginali!I1019 &gt;= SogliaPicchi!$B$12,"",DatiOriginali!I1019)</f>
        <v>106600</v>
      </c>
      <c r="J1019" s="4">
        <v>2497807</v>
      </c>
      <c r="K1019" s="4">
        <f>IF(DatiOriginali!K1019 &gt;= SogliaPicchi!$B$12,"",DatiOriginali!K1019)</f>
        <v>87100</v>
      </c>
    </row>
    <row r="1020" spans="1:11" x14ac:dyDescent="0.3">
      <c r="A1020" s="4" t="s">
        <v>1029</v>
      </c>
      <c r="B1020" s="4">
        <v>150975</v>
      </c>
      <c r="C1020" s="4">
        <f>IF(DatiOriginali!C1020 &gt;= SogliaPicchi!$B$12,"",DatiOriginali!C1020)</f>
        <v>1072500</v>
      </c>
      <c r="D1020" s="4">
        <v>76381</v>
      </c>
      <c r="E1020" s="4">
        <f>IF(DatiOriginali!E1020 &gt;= SogliaPicchi!$B$12,"",DatiOriginali!E1020)</f>
        <v>271300</v>
      </c>
      <c r="F1020" s="4">
        <v>2028382</v>
      </c>
      <c r="G1020" s="4">
        <f>IF(DatiOriginali!G1020 &gt;= SogliaPicchi!$B$12,"",DatiOriginali!G1020)</f>
        <v>192300</v>
      </c>
      <c r="H1020" s="4">
        <v>2509613</v>
      </c>
      <c r="I1020" s="4">
        <f>IF(DatiOriginali!I1020 &gt;= SogliaPicchi!$B$12,"",DatiOriginali!I1020)</f>
        <v>64300</v>
      </c>
      <c r="J1020" s="4">
        <v>2503264</v>
      </c>
      <c r="K1020" s="4">
        <f>IF(DatiOriginali!K1020 &gt;= SogliaPicchi!$B$12,"",DatiOriginali!K1020)</f>
        <v>71200</v>
      </c>
    </row>
    <row r="1021" spans="1:11" x14ac:dyDescent="0.3">
      <c r="A1021" s="4" t="s">
        <v>1030</v>
      </c>
      <c r="B1021" s="4">
        <v>150975</v>
      </c>
      <c r="C1021" s="4">
        <f>IF(DatiOriginali!C1021 &gt;= SogliaPicchi!$B$12,"",DatiOriginali!C1021)</f>
        <v>1257100</v>
      </c>
      <c r="D1021" s="4">
        <v>73390</v>
      </c>
      <c r="E1021" s="4">
        <f>IF(DatiOriginali!E1021 &gt;= SogliaPicchi!$B$12,"",DatiOriginali!E1021)</f>
        <v>312800</v>
      </c>
      <c r="F1021" s="4">
        <v>2032704</v>
      </c>
      <c r="G1021" s="4">
        <f>IF(DatiOriginali!G1021 &gt;= SogliaPicchi!$B$12,"",DatiOriginali!G1021)</f>
        <v>238300</v>
      </c>
      <c r="H1021" s="4">
        <v>2514805</v>
      </c>
      <c r="I1021" s="4">
        <f>IF(DatiOriginali!I1021 &gt;= SogliaPicchi!$B$12,"",DatiOriginali!I1021)</f>
        <v>77400</v>
      </c>
      <c r="J1021" s="4">
        <v>2509148</v>
      </c>
      <c r="K1021" s="4">
        <f>IF(DatiOriginali!K1021 &gt;= SogliaPicchi!$B$12,"",DatiOriginali!K1021)</f>
        <v>86800</v>
      </c>
    </row>
    <row r="1022" spans="1:11" x14ac:dyDescent="0.3">
      <c r="A1022" s="4" t="s">
        <v>1031</v>
      </c>
      <c r="B1022" s="4">
        <v>150975</v>
      </c>
      <c r="C1022" s="4">
        <f>IF(DatiOriginali!C1022 &gt;= SogliaPicchi!$B$12,"",DatiOriginali!C1022)</f>
        <v>1116400</v>
      </c>
      <c r="D1022" s="4">
        <v>74129</v>
      </c>
      <c r="E1022" s="4">
        <f>IF(DatiOriginali!E1022 &gt;= SogliaPicchi!$B$12,"",DatiOriginali!E1022)</f>
        <v>262900</v>
      </c>
      <c r="F1022" s="4">
        <v>2037026</v>
      </c>
      <c r="G1022" s="4">
        <f>IF(DatiOriginali!G1022 &gt;= SogliaPicchi!$B$12,"",DatiOriginali!G1022)</f>
        <v>191400</v>
      </c>
      <c r="H1022" s="4">
        <v>2521117</v>
      </c>
      <c r="I1022" s="4">
        <f>IF(DatiOriginali!I1022 &gt;= SogliaPicchi!$B$12,"",DatiOriginali!I1022)</f>
        <v>69700</v>
      </c>
      <c r="J1022" s="4">
        <v>2514015</v>
      </c>
      <c r="K1022" s="4">
        <f>IF(DatiOriginali!K1022 &gt;= SogliaPicchi!$B$12,"",DatiOriginali!K1022)</f>
        <v>71700</v>
      </c>
    </row>
    <row r="1023" spans="1:11" x14ac:dyDescent="0.3">
      <c r="A1023" s="4" t="s">
        <v>1032</v>
      </c>
      <c r="B1023" s="4">
        <v>150975</v>
      </c>
      <c r="C1023" s="4">
        <f>IF(DatiOriginali!C1023 &gt;= SogliaPicchi!$B$12,"",DatiOriginali!C1023)</f>
        <v>1215000</v>
      </c>
      <c r="D1023" s="4">
        <v>78632</v>
      </c>
      <c r="E1023" s="4">
        <f>IF(DatiOriginali!E1023 &gt;= SogliaPicchi!$B$12,"",DatiOriginali!E1023)</f>
        <v>334400</v>
      </c>
      <c r="F1023" s="4">
        <v>2041337</v>
      </c>
      <c r="G1023" s="4">
        <f>IF(DatiOriginali!G1023 &gt;= SogliaPicchi!$B$12,"",DatiOriginali!G1023)</f>
        <v>239700</v>
      </c>
      <c r="H1023" s="4">
        <v>2526098</v>
      </c>
      <c r="I1023" s="4">
        <f>IF(DatiOriginali!I1023 &gt;= SogliaPicchi!$B$12,"",DatiOriginali!I1023)</f>
        <v>75500</v>
      </c>
      <c r="J1023" s="4">
        <v>2519350</v>
      </c>
      <c r="K1023" s="4">
        <f>IF(DatiOriginali!K1023 &gt;= SogliaPicchi!$B$12,"",DatiOriginali!K1023)</f>
        <v>70900</v>
      </c>
    </row>
    <row r="1024" spans="1:11" x14ac:dyDescent="0.3">
      <c r="A1024" s="4" t="s">
        <v>1033</v>
      </c>
      <c r="B1024" s="4">
        <v>150975</v>
      </c>
      <c r="C1024" s="4">
        <f>IF(DatiOriginali!C1024 &gt;= SogliaPicchi!$B$12,"",DatiOriginali!C1024)</f>
        <v>1100800</v>
      </c>
      <c r="D1024" s="4">
        <v>77642</v>
      </c>
      <c r="E1024" s="4">
        <f>IF(DatiOriginali!E1024 &gt;= SogliaPicchi!$B$12,"",DatiOriginali!E1024)</f>
        <v>275300</v>
      </c>
      <c r="F1024" s="4">
        <v>2045646</v>
      </c>
      <c r="G1024" s="4">
        <f>IF(DatiOriginali!G1024 &gt;= SogliaPicchi!$B$12,"",DatiOriginali!G1024)</f>
        <v>195600</v>
      </c>
      <c r="H1024" s="4">
        <v>2531577</v>
      </c>
      <c r="I1024" s="4">
        <f>IF(DatiOriginali!I1024 &gt;= SogliaPicchi!$B$12,"",DatiOriginali!I1024)</f>
        <v>63600</v>
      </c>
      <c r="J1024" s="4">
        <v>2524932</v>
      </c>
      <c r="K1024" s="4">
        <f>IF(DatiOriginali!K1024 &gt;= SogliaPicchi!$B$12,"",DatiOriginali!K1024)</f>
        <v>74200</v>
      </c>
    </row>
    <row r="1025" spans="1:11" x14ac:dyDescent="0.3">
      <c r="A1025" s="4" t="s">
        <v>1034</v>
      </c>
      <c r="B1025" s="4">
        <v>150975</v>
      </c>
      <c r="C1025" s="4">
        <f>IF(DatiOriginali!C1025 &gt;= SogliaPicchi!$B$12,"",DatiOriginali!C1025)</f>
        <v>1255100</v>
      </c>
      <c r="D1025" s="4">
        <v>74869</v>
      </c>
      <c r="E1025" s="4">
        <f>IF(DatiOriginali!E1025 &gt;= SogliaPicchi!$B$12,"",DatiOriginali!E1025)</f>
        <v>320700</v>
      </c>
      <c r="F1025" s="4">
        <v>2049971</v>
      </c>
      <c r="G1025" s="4">
        <f>IF(DatiOriginali!G1025 &gt;= SogliaPicchi!$B$12,"",DatiOriginali!G1025)</f>
        <v>212600</v>
      </c>
      <c r="H1025" s="4">
        <v>2536794</v>
      </c>
      <c r="I1025" s="4">
        <f>IF(DatiOriginali!I1025 &gt;= SogliaPicchi!$B$12,"",DatiOriginali!I1025)</f>
        <v>61100</v>
      </c>
      <c r="J1025" s="4">
        <v>2530453</v>
      </c>
      <c r="K1025" s="4">
        <f>IF(DatiOriginali!K1025 &gt;= SogliaPicchi!$B$12,"",DatiOriginali!K1025)</f>
        <v>71300</v>
      </c>
    </row>
    <row r="1026" spans="1:11" x14ac:dyDescent="0.3">
      <c r="A1026" s="4" t="s">
        <v>1035</v>
      </c>
      <c r="B1026" s="4">
        <v>150975</v>
      </c>
      <c r="C1026" s="4">
        <f>IF(DatiOriginali!C1026 &gt;= SogliaPicchi!$B$12,"",DatiOriginali!C1026)</f>
        <v>1231400</v>
      </c>
      <c r="D1026" s="4">
        <v>78415</v>
      </c>
      <c r="E1026" s="4">
        <f>IF(DatiOriginali!E1026 &gt;= SogliaPicchi!$B$12,"",DatiOriginali!E1026)</f>
        <v>456900</v>
      </c>
      <c r="F1026" s="4">
        <v>2054286</v>
      </c>
      <c r="G1026" s="4">
        <f>IF(DatiOriginali!G1026 &gt;= SogliaPicchi!$B$12,"",DatiOriginali!G1026)</f>
        <v>274400</v>
      </c>
      <c r="H1026" s="4">
        <v>2541953</v>
      </c>
      <c r="I1026" s="4">
        <f>IF(DatiOriginali!I1026 &gt;= SogliaPicchi!$B$12,"",DatiOriginali!I1026)</f>
        <v>174500</v>
      </c>
      <c r="J1026" s="4">
        <v>2535350</v>
      </c>
      <c r="K1026" s="4">
        <f>IF(DatiOriginali!K1026 &gt;= SogliaPicchi!$B$12,"",DatiOriginali!K1026)</f>
        <v>71200</v>
      </c>
    </row>
    <row r="1027" spans="1:11" x14ac:dyDescent="0.3">
      <c r="A1027" s="4" t="s">
        <v>1036</v>
      </c>
      <c r="B1027" s="4">
        <v>150975</v>
      </c>
      <c r="C1027" s="4">
        <f>IF(DatiOriginali!C1027 &gt;= SogliaPicchi!$B$12,"",DatiOriginali!C1027)</f>
        <v>1302400</v>
      </c>
      <c r="D1027" s="4">
        <v>79577</v>
      </c>
      <c r="E1027" s="4">
        <f>IF(DatiOriginali!E1027 &gt;= SogliaPicchi!$B$12,"",DatiOriginali!E1027)</f>
        <v>395600</v>
      </c>
      <c r="F1027" s="4">
        <v>2058584</v>
      </c>
      <c r="G1027" s="4">
        <f>IF(DatiOriginali!G1027 &gt;= SogliaPicchi!$B$12,"",DatiOriginali!G1027)</f>
        <v>257600</v>
      </c>
      <c r="H1027" s="4">
        <v>2547408</v>
      </c>
      <c r="I1027" s="4">
        <f>IF(DatiOriginali!I1027 &gt;= SogliaPicchi!$B$12,"",DatiOriginali!I1027)</f>
        <v>85700</v>
      </c>
      <c r="J1027" s="4">
        <v>2540127</v>
      </c>
      <c r="K1027" s="4">
        <f>IF(DatiOriginali!K1027 &gt;= SogliaPicchi!$B$12,"",DatiOriginali!K1027)</f>
        <v>98200</v>
      </c>
    </row>
    <row r="1028" spans="1:11" x14ac:dyDescent="0.3">
      <c r="A1028" s="4" t="s">
        <v>1037</v>
      </c>
      <c r="B1028" s="4">
        <v>150975</v>
      </c>
      <c r="C1028" s="4">
        <f>IF(DatiOriginali!C1028 &gt;= SogliaPicchi!$B$12,"",DatiOriginali!C1028)</f>
        <v>1342000</v>
      </c>
      <c r="D1028" s="4">
        <v>72466</v>
      </c>
      <c r="E1028" s="4">
        <f>IF(DatiOriginali!E1028 &gt;= SogliaPicchi!$B$12,"",DatiOriginali!E1028)</f>
        <v>318300</v>
      </c>
      <c r="F1028" s="4">
        <v>2062902</v>
      </c>
      <c r="G1028" s="4">
        <f>IF(DatiOriginali!G1028 &gt;= SogliaPicchi!$B$12,"",DatiOriginali!G1028)</f>
        <v>223800</v>
      </c>
      <c r="H1028" s="4">
        <v>2552745</v>
      </c>
      <c r="I1028" s="4">
        <f>IF(DatiOriginali!I1028 &gt;= SogliaPicchi!$B$12,"",DatiOriginali!I1028)</f>
        <v>63700</v>
      </c>
      <c r="J1028" s="4">
        <v>2545179</v>
      </c>
      <c r="K1028" s="4">
        <f>IF(DatiOriginali!K1028 &gt;= SogliaPicchi!$B$12,"",DatiOriginali!K1028)</f>
        <v>71200</v>
      </c>
    </row>
    <row r="1029" spans="1:11" x14ac:dyDescent="0.3">
      <c r="A1029" s="4" t="s">
        <v>1038</v>
      </c>
      <c r="B1029" s="4">
        <v>150975</v>
      </c>
      <c r="C1029" s="4">
        <f>IF(DatiOriginali!C1029 &gt;= SogliaPicchi!$B$12,"",DatiOriginali!C1029)</f>
        <v>1170200</v>
      </c>
      <c r="D1029" s="4">
        <v>74751</v>
      </c>
      <c r="E1029" s="4">
        <f>IF(DatiOriginali!E1029 &gt;= SogliaPicchi!$B$12,"",DatiOriginali!E1029)</f>
        <v>272600</v>
      </c>
      <c r="F1029" s="4">
        <v>2067220</v>
      </c>
      <c r="G1029" s="4">
        <f>IF(DatiOriginali!G1029 &gt;= SogliaPicchi!$B$12,"",DatiOriginali!G1029)</f>
        <v>193300</v>
      </c>
      <c r="H1029" s="4">
        <v>2557878</v>
      </c>
      <c r="I1029" s="4">
        <f>IF(DatiOriginali!I1029 &gt;= SogliaPicchi!$B$12,"",DatiOriginali!I1029)</f>
        <v>63900</v>
      </c>
      <c r="J1029" s="4">
        <v>2550362</v>
      </c>
      <c r="K1029" s="4">
        <f>IF(DatiOriginali!K1029 &gt;= SogliaPicchi!$B$12,"",DatiOriginali!K1029)</f>
        <v>71900</v>
      </c>
    </row>
    <row r="1030" spans="1:11" x14ac:dyDescent="0.3">
      <c r="A1030" s="4" t="s">
        <v>1039</v>
      </c>
      <c r="B1030" s="4">
        <v>150975</v>
      </c>
      <c r="C1030" s="4">
        <f>IF(DatiOriginali!C1030 &gt;= SogliaPicchi!$B$12,"",DatiOriginali!C1030)</f>
        <v>963000</v>
      </c>
      <c r="D1030" s="4">
        <v>76254</v>
      </c>
      <c r="E1030" s="4">
        <f>IF(DatiOriginali!E1030 &gt;= SogliaPicchi!$B$12,"",DatiOriginali!E1030)</f>
        <v>280600</v>
      </c>
      <c r="F1030" s="4">
        <v>2071524</v>
      </c>
      <c r="G1030" s="4">
        <f>IF(DatiOriginali!G1030 &gt;= SogliaPicchi!$B$12,"",DatiOriginali!G1030)</f>
        <v>194700</v>
      </c>
      <c r="H1030" s="4">
        <v>2563643</v>
      </c>
      <c r="I1030" s="4">
        <f>IF(DatiOriginali!I1030 &gt;= SogliaPicchi!$B$12,"",DatiOriginali!I1030)</f>
        <v>63300</v>
      </c>
      <c r="J1030" s="4">
        <v>2555623</v>
      </c>
      <c r="K1030" s="4">
        <f>IF(DatiOriginali!K1030 &gt;= SogliaPicchi!$B$12,"",DatiOriginali!K1030)</f>
        <v>68300</v>
      </c>
    </row>
    <row r="1031" spans="1:11" x14ac:dyDescent="0.3">
      <c r="A1031" s="4" t="s">
        <v>1040</v>
      </c>
      <c r="B1031" s="4">
        <v>150975</v>
      </c>
      <c r="C1031" s="4">
        <f>IF(DatiOriginali!C1031 &gt;= SogliaPicchi!$B$12,"",DatiOriginali!C1031)</f>
        <v>1162100</v>
      </c>
      <c r="D1031" s="4">
        <v>74474</v>
      </c>
      <c r="E1031" s="4">
        <f>IF(DatiOriginali!E1031 &gt;= SogliaPicchi!$B$12,"",DatiOriginali!E1031)</f>
        <v>270900</v>
      </c>
      <c r="F1031" s="4">
        <v>2075838</v>
      </c>
      <c r="G1031" s="4">
        <f>IF(DatiOriginali!G1031 &gt;= SogliaPicchi!$B$12,"",DatiOriginali!G1031)</f>
        <v>193500</v>
      </c>
      <c r="H1031" s="4">
        <v>2569202</v>
      </c>
      <c r="I1031" s="4">
        <f>IF(DatiOriginali!I1031 &gt;= SogliaPicchi!$B$12,"",DatiOriginali!I1031)</f>
        <v>64100</v>
      </c>
      <c r="J1031" s="4">
        <v>2561096</v>
      </c>
      <c r="K1031" s="4">
        <f>IF(DatiOriginali!K1031 &gt;= SogliaPicchi!$B$12,"",DatiOriginali!K1031)</f>
        <v>71200</v>
      </c>
    </row>
    <row r="1032" spans="1:11" x14ac:dyDescent="0.3">
      <c r="A1032" s="4" t="s">
        <v>1041</v>
      </c>
      <c r="B1032" s="4">
        <v>150975</v>
      </c>
      <c r="C1032" s="4">
        <f>IF(DatiOriginali!C1032 &gt;= SogliaPicchi!$B$12,"",DatiOriginali!C1032)</f>
        <v>1119500</v>
      </c>
      <c r="D1032" s="4">
        <v>76143</v>
      </c>
      <c r="E1032" s="4">
        <f>IF(DatiOriginali!E1032 &gt;= SogliaPicchi!$B$12,"",DatiOriginali!E1032)</f>
        <v>270500</v>
      </c>
      <c r="F1032" s="4">
        <v>2080172</v>
      </c>
      <c r="G1032" s="4">
        <f>IF(DatiOriginali!G1032 &gt;= SogliaPicchi!$B$12,"",DatiOriginali!G1032)</f>
        <v>192000</v>
      </c>
      <c r="H1032" s="4">
        <v>2574573</v>
      </c>
      <c r="I1032" s="4">
        <f>IF(DatiOriginali!I1032 &gt;= SogliaPicchi!$B$12,"",DatiOriginali!I1032)</f>
        <v>66000</v>
      </c>
      <c r="J1032" s="4">
        <v>2566171</v>
      </c>
      <c r="K1032" s="4">
        <f>IF(DatiOriginali!K1032 &gt;= SogliaPicchi!$B$12,"",DatiOriginali!K1032)</f>
        <v>72000</v>
      </c>
    </row>
    <row r="1033" spans="1:11" x14ac:dyDescent="0.3">
      <c r="A1033" s="4" t="s">
        <v>1042</v>
      </c>
      <c r="B1033" s="4">
        <v>150975</v>
      </c>
      <c r="C1033" s="4">
        <f>IF(DatiOriginali!C1033 &gt;= SogliaPicchi!$B$12,"",DatiOriginali!C1033)</f>
        <v>1160700</v>
      </c>
      <c r="D1033" s="4">
        <v>78269</v>
      </c>
      <c r="E1033" s="4">
        <f>IF(DatiOriginali!E1033 &gt;= SogliaPicchi!$B$12,"",DatiOriginali!E1033)</f>
        <v>279300</v>
      </c>
      <c r="F1033" s="4">
        <v>2084494</v>
      </c>
      <c r="G1033" s="4">
        <f>IF(DatiOriginali!G1033 &gt;= SogliaPicchi!$B$12,"",DatiOriginali!G1033)</f>
        <v>201400</v>
      </c>
      <c r="H1033" s="4">
        <v>2581376</v>
      </c>
      <c r="I1033" s="4">
        <f>IF(DatiOriginali!I1033 &gt;= SogliaPicchi!$B$12,"",DatiOriginali!I1033)</f>
        <v>68900</v>
      </c>
      <c r="J1033" s="4">
        <v>2571806</v>
      </c>
      <c r="K1033" s="4">
        <f>IF(DatiOriginali!K1033 &gt;= SogliaPicchi!$B$12,"",DatiOriginali!K1033)</f>
        <v>77000</v>
      </c>
    </row>
    <row r="1034" spans="1:11" x14ac:dyDescent="0.3">
      <c r="A1034" s="4" t="s">
        <v>1043</v>
      </c>
      <c r="B1034" s="4">
        <v>150975</v>
      </c>
      <c r="C1034" s="4">
        <f>IF(DatiOriginali!C1034 &gt;= SogliaPicchi!$B$12,"",DatiOriginali!C1034)</f>
        <v>1253000</v>
      </c>
      <c r="D1034" s="4">
        <v>76192</v>
      </c>
      <c r="E1034" s="4">
        <f>IF(DatiOriginali!E1034 &gt;= SogliaPicchi!$B$12,"",DatiOriginali!E1034)</f>
        <v>362700</v>
      </c>
      <c r="F1034" s="4">
        <v>2088804</v>
      </c>
      <c r="G1034" s="4">
        <f>IF(DatiOriginali!G1034 &gt;= SogliaPicchi!$B$12,"",DatiOriginali!G1034)</f>
        <v>265000</v>
      </c>
      <c r="H1034" s="4">
        <v>2586700</v>
      </c>
      <c r="I1034" s="4">
        <f>IF(DatiOriginali!I1034 &gt;= SogliaPicchi!$B$12,"",DatiOriginali!I1034)</f>
        <v>86500</v>
      </c>
      <c r="J1034" s="4">
        <v>2577342</v>
      </c>
      <c r="K1034" s="4">
        <f>IF(DatiOriginali!K1034 &gt;= SogliaPicchi!$B$12,"",DatiOriginali!K1034)</f>
        <v>95900</v>
      </c>
    </row>
    <row r="1035" spans="1:11" x14ac:dyDescent="0.3">
      <c r="A1035" s="4" t="s">
        <v>1044</v>
      </c>
      <c r="B1035" s="4">
        <v>150975</v>
      </c>
      <c r="C1035" s="4">
        <f>IF(DatiOriginali!C1035 &gt;= SogliaPicchi!$B$12,"",DatiOriginali!C1035)</f>
        <v>1361300</v>
      </c>
      <c r="D1035" s="4">
        <v>75730</v>
      </c>
      <c r="E1035" s="4">
        <f>IF(DatiOriginali!E1035 &gt;= SogliaPicchi!$B$12,"",DatiOriginali!E1035)</f>
        <v>322500</v>
      </c>
      <c r="F1035" s="4">
        <v>2093142</v>
      </c>
      <c r="G1035" s="4">
        <f>IF(DatiOriginali!G1035 &gt;= SogliaPicchi!$B$12,"",DatiOriginali!G1035)</f>
        <v>200500</v>
      </c>
      <c r="H1035" s="4">
        <v>2592604</v>
      </c>
      <c r="I1035" s="4">
        <f>IF(DatiOriginali!I1035 &gt;= SogliaPicchi!$B$12,"",DatiOriginali!I1035)</f>
        <v>68600</v>
      </c>
      <c r="J1035" s="4">
        <v>2582211</v>
      </c>
      <c r="K1035" s="4">
        <f>IF(DatiOriginali!K1035 &gt;= SogliaPicchi!$B$12,"",DatiOriginali!K1035)</f>
        <v>82200</v>
      </c>
    </row>
    <row r="1036" spans="1:11" x14ac:dyDescent="0.3">
      <c r="A1036" s="4" t="s">
        <v>1045</v>
      </c>
      <c r="B1036" s="4">
        <v>150975</v>
      </c>
      <c r="C1036" s="4">
        <f>IF(DatiOriginali!C1036 &gt;= SogliaPicchi!$B$12,"",DatiOriginali!C1036)</f>
        <v>1053100</v>
      </c>
      <c r="D1036" s="4">
        <v>71256</v>
      </c>
      <c r="E1036" s="4">
        <f>IF(DatiOriginali!E1036 &gt;= SogliaPicchi!$B$12,"",DatiOriginali!E1036)</f>
        <v>260900</v>
      </c>
      <c r="F1036" s="4">
        <v>2097468</v>
      </c>
      <c r="G1036" s="4">
        <f>IF(DatiOriginali!G1036 &gt;= SogliaPicchi!$B$12,"",DatiOriginali!G1036)</f>
        <v>198800</v>
      </c>
      <c r="H1036" s="4">
        <v>2598356</v>
      </c>
      <c r="I1036" s="4">
        <f>IF(DatiOriginali!I1036 &gt;= SogliaPicchi!$B$12,"",DatiOriginali!I1036)</f>
        <v>63800</v>
      </c>
      <c r="J1036" s="4">
        <v>2587497</v>
      </c>
      <c r="K1036" s="4">
        <f>IF(DatiOriginali!K1036 &gt;= SogliaPicchi!$B$12,"",DatiOriginali!K1036)</f>
        <v>76600</v>
      </c>
    </row>
    <row r="1037" spans="1:11" x14ac:dyDescent="0.3">
      <c r="A1037" s="4" t="s">
        <v>1046</v>
      </c>
      <c r="B1037" s="4">
        <v>150975</v>
      </c>
      <c r="C1037" s="4">
        <f>IF(DatiOriginali!C1037 &gt;= SogliaPicchi!$B$12,"",DatiOriginali!C1037)</f>
        <v>1096100</v>
      </c>
      <c r="D1037" s="4">
        <v>76275</v>
      </c>
      <c r="E1037" s="4">
        <f>IF(DatiOriginali!E1037 &gt;= SogliaPicchi!$B$12,"",DatiOriginali!E1037)</f>
        <v>270700</v>
      </c>
      <c r="F1037" s="4">
        <v>2101787</v>
      </c>
      <c r="G1037" s="4">
        <f>IF(DatiOriginali!G1037 &gt;= SogliaPicchi!$B$12,"",DatiOriginali!G1037)</f>
        <v>282400</v>
      </c>
      <c r="H1037" s="4">
        <v>2603621</v>
      </c>
      <c r="I1037" s="4">
        <f>IF(DatiOriginali!I1037 &gt;= SogliaPicchi!$B$12,"",DatiOriginali!I1037)</f>
        <v>65500</v>
      </c>
      <c r="J1037" s="4">
        <v>2592860</v>
      </c>
      <c r="K1037" s="4">
        <f>IF(DatiOriginali!K1037 &gt;= SogliaPicchi!$B$12,"",DatiOriginali!K1037)</f>
        <v>71600</v>
      </c>
    </row>
    <row r="1038" spans="1:11" x14ac:dyDescent="0.3">
      <c r="A1038" s="4" t="s">
        <v>1047</v>
      </c>
      <c r="B1038" s="4">
        <v>150975</v>
      </c>
      <c r="C1038" s="4">
        <f>IF(DatiOriginali!C1038 &gt;= SogliaPicchi!$B$12,"",DatiOriginali!C1038)</f>
        <v>1036200</v>
      </c>
      <c r="D1038" s="4">
        <v>78308</v>
      </c>
      <c r="E1038" s="4">
        <f>IF(DatiOriginali!E1038 &gt;= SogliaPicchi!$B$12,"",DatiOriginali!E1038)</f>
        <v>277400</v>
      </c>
      <c r="F1038" s="4">
        <v>2106114</v>
      </c>
      <c r="G1038" s="4">
        <f>IF(DatiOriginali!G1038 &gt;= SogliaPicchi!$B$12,"",DatiOriginali!G1038)</f>
        <v>192300</v>
      </c>
      <c r="H1038" s="4">
        <v>2609592</v>
      </c>
      <c r="I1038" s="4">
        <f>IF(DatiOriginali!I1038 &gt;= SogliaPicchi!$B$12,"",DatiOriginali!I1038)</f>
        <v>62200</v>
      </c>
      <c r="J1038" s="4">
        <v>2598800</v>
      </c>
      <c r="K1038" s="4">
        <f>IF(DatiOriginali!K1038 &gt;= SogliaPicchi!$B$12,"",DatiOriginali!K1038)</f>
        <v>74400</v>
      </c>
    </row>
    <row r="1039" spans="1:11" x14ac:dyDescent="0.3">
      <c r="A1039" s="4" t="s">
        <v>1048</v>
      </c>
      <c r="B1039" s="4">
        <v>150975</v>
      </c>
      <c r="C1039" s="4">
        <f>IF(DatiOriginali!C1039 &gt;= SogliaPicchi!$B$12,"",DatiOriginali!C1039)</f>
        <v>1023700</v>
      </c>
      <c r="D1039" s="4">
        <v>72045</v>
      </c>
      <c r="E1039" s="4">
        <f>IF(DatiOriginali!E1039 &gt;= SogliaPicchi!$B$12,"",DatiOriginali!E1039)</f>
        <v>255800</v>
      </c>
      <c r="F1039" s="4">
        <v>2110428</v>
      </c>
      <c r="G1039" s="4">
        <f>IF(DatiOriginali!G1039 &gt;= SogliaPicchi!$B$12,"",DatiOriginali!G1039)</f>
        <v>190200</v>
      </c>
      <c r="H1039" s="4">
        <v>2615220</v>
      </c>
      <c r="I1039" s="4">
        <f>IF(DatiOriginali!I1039 &gt;= SogliaPicchi!$B$12,"",DatiOriginali!I1039)</f>
        <v>62300</v>
      </c>
      <c r="J1039" s="4">
        <v>2604240</v>
      </c>
      <c r="K1039" s="4">
        <f>IF(DatiOriginali!K1039 &gt;= SogliaPicchi!$B$12,"",DatiOriginali!K1039)</f>
        <v>71100</v>
      </c>
    </row>
    <row r="1040" spans="1:11" x14ac:dyDescent="0.3">
      <c r="A1040" s="4" t="s">
        <v>1049</v>
      </c>
      <c r="B1040" s="4">
        <v>150975</v>
      </c>
      <c r="C1040" s="4">
        <f>IF(DatiOriginali!C1040 &gt;= SogliaPicchi!$B$12,"",DatiOriginali!C1040)</f>
        <v>1027800</v>
      </c>
      <c r="D1040" s="4">
        <v>73811</v>
      </c>
      <c r="E1040" s="4">
        <f>IF(DatiOriginali!E1040 &gt;= SogliaPicchi!$B$12,"",DatiOriginali!E1040)</f>
        <v>316700</v>
      </c>
      <c r="F1040" s="4">
        <v>2114752</v>
      </c>
      <c r="G1040" s="4">
        <f>IF(DatiOriginali!G1040 &gt;= SogliaPicchi!$B$12,"",DatiOriginali!G1040)</f>
        <v>191200</v>
      </c>
      <c r="H1040" s="4">
        <v>2620077</v>
      </c>
      <c r="I1040" s="4">
        <f>IF(DatiOriginali!I1040 &gt;= SogliaPicchi!$B$12,"",DatiOriginali!I1040)</f>
        <v>62200</v>
      </c>
      <c r="J1040" s="4">
        <v>2609593</v>
      </c>
      <c r="K1040" s="4">
        <f>IF(DatiOriginali!K1040 &gt;= SogliaPicchi!$B$12,"",DatiOriginali!K1040)</f>
        <v>75000</v>
      </c>
    </row>
    <row r="1041" spans="1:11" x14ac:dyDescent="0.3">
      <c r="A1041" s="4" t="s">
        <v>1050</v>
      </c>
      <c r="B1041" s="4">
        <v>150975</v>
      </c>
      <c r="C1041" s="4">
        <f>IF(DatiOriginali!C1041 &gt;= SogliaPicchi!$B$12,"",DatiOriginali!C1041)</f>
        <v>1025100</v>
      </c>
      <c r="D1041" s="4">
        <v>74101</v>
      </c>
      <c r="E1041" s="4">
        <f>IF(DatiOriginali!E1041 &gt;= SogliaPicchi!$B$12,"",DatiOriginali!E1041)</f>
        <v>272400</v>
      </c>
      <c r="F1041" s="4">
        <v>2119080</v>
      </c>
      <c r="G1041" s="4">
        <f>IF(DatiOriginali!G1041 &gt;= SogliaPicchi!$B$12,"",DatiOriginali!G1041)</f>
        <v>188600</v>
      </c>
      <c r="H1041" s="4">
        <v>2625956</v>
      </c>
      <c r="I1041" s="4">
        <f>IF(DatiOriginali!I1041 &gt;= SogliaPicchi!$B$12,"",DatiOriginali!I1041)</f>
        <v>64900</v>
      </c>
      <c r="J1041" s="4">
        <v>2615010</v>
      </c>
      <c r="K1041" s="4">
        <f>IF(DatiOriginali!K1041 &gt;= SogliaPicchi!$B$12,"",DatiOriginali!K1041)</f>
        <v>73700</v>
      </c>
    </row>
    <row r="1042" spans="1:11" x14ac:dyDescent="0.3">
      <c r="A1042" s="4" t="s">
        <v>1051</v>
      </c>
      <c r="B1042" s="4">
        <v>150975</v>
      </c>
      <c r="C1042" s="4">
        <f>IF(DatiOriginali!C1042 &gt;= SogliaPicchi!$B$12,"",DatiOriginali!C1042)</f>
        <v>1513900</v>
      </c>
      <c r="D1042" s="4">
        <v>77871</v>
      </c>
      <c r="E1042" s="4">
        <f>IF(DatiOriginali!E1042 &gt;= SogliaPicchi!$B$12,"",DatiOriginali!E1042)</f>
        <v>424500</v>
      </c>
      <c r="F1042" s="4">
        <v>2123381</v>
      </c>
      <c r="G1042" s="4">
        <f>IF(DatiOriginali!G1042 &gt;= SogliaPicchi!$B$12,"",DatiOriginali!G1042)</f>
        <v>284100</v>
      </c>
      <c r="H1042" s="4">
        <v>2630939</v>
      </c>
      <c r="I1042" s="4">
        <f>IF(DatiOriginali!I1042 &gt;= SogliaPicchi!$B$12,"",DatiOriginali!I1042)</f>
        <v>82700</v>
      </c>
      <c r="J1042" s="4">
        <v>2620009</v>
      </c>
      <c r="K1042" s="4">
        <f>IF(DatiOriginali!K1042 &gt;= SogliaPicchi!$B$12,"",DatiOriginali!K1042)</f>
        <v>94300</v>
      </c>
    </row>
    <row r="1043" spans="1:11" x14ac:dyDescent="0.3">
      <c r="A1043" s="4" t="s">
        <v>1052</v>
      </c>
      <c r="B1043" s="4">
        <v>150975</v>
      </c>
      <c r="C1043" s="4">
        <f>IF(DatiOriginali!C1043 &gt;= SogliaPicchi!$B$12,"",DatiOriginali!C1043)</f>
        <v>1225000</v>
      </c>
      <c r="D1043" s="4">
        <v>74788</v>
      </c>
      <c r="E1043" s="4">
        <f>IF(DatiOriginali!E1043 &gt;= SogliaPicchi!$B$12,"",DatiOriginali!E1043)</f>
        <v>273400</v>
      </c>
      <c r="F1043" s="4">
        <v>2127697</v>
      </c>
      <c r="G1043" s="4">
        <f>IF(DatiOriginali!G1043 &gt;= SogliaPicchi!$B$12,"",DatiOriginali!G1043)</f>
        <v>198000</v>
      </c>
      <c r="H1043" s="4">
        <v>2636806</v>
      </c>
      <c r="I1043" s="4">
        <f>IF(DatiOriginali!I1043 &gt;= SogliaPicchi!$B$12,"",DatiOriginali!I1043)</f>
        <v>67800</v>
      </c>
      <c r="J1043" s="4">
        <v>2625786</v>
      </c>
      <c r="K1043" s="4">
        <f>IF(DatiOriginali!K1043 &gt;= SogliaPicchi!$B$12,"",DatiOriginali!K1043)</f>
        <v>73600</v>
      </c>
    </row>
    <row r="1044" spans="1:11" x14ac:dyDescent="0.3">
      <c r="A1044" s="4" t="s">
        <v>1053</v>
      </c>
      <c r="B1044" s="4">
        <v>150975</v>
      </c>
      <c r="C1044" s="4">
        <f>IF(DatiOriginali!C1044 &gt;= SogliaPicchi!$B$12,"",DatiOriginali!C1044)</f>
        <v>1082300</v>
      </c>
      <c r="D1044" s="4">
        <v>73822</v>
      </c>
      <c r="E1044" s="4">
        <f>IF(DatiOriginali!E1044 &gt;= SogliaPicchi!$B$12,"",DatiOriginali!E1044)</f>
        <v>262000</v>
      </c>
      <c r="F1044" s="4">
        <v>2132009</v>
      </c>
      <c r="G1044" s="4">
        <f>IF(DatiOriginali!G1044 &gt;= SogliaPicchi!$B$12,"",DatiOriginali!G1044)</f>
        <v>189900</v>
      </c>
      <c r="H1044" s="4">
        <v>2642292</v>
      </c>
      <c r="I1044" s="4">
        <f>IF(DatiOriginali!I1044 &gt;= SogliaPicchi!$B$12,"",DatiOriginali!I1044)</f>
        <v>62400</v>
      </c>
      <c r="J1044" s="4">
        <v>2631205</v>
      </c>
      <c r="K1044" s="4">
        <f>IF(DatiOriginali!K1044 &gt;= SogliaPicchi!$B$12,"",DatiOriginali!K1044)</f>
        <v>70400</v>
      </c>
    </row>
    <row r="1045" spans="1:11" x14ac:dyDescent="0.3">
      <c r="A1045" s="4" t="s">
        <v>1054</v>
      </c>
      <c r="B1045" s="4">
        <v>150975</v>
      </c>
      <c r="C1045" s="4">
        <f>IF(DatiOriginali!C1045 &gt;= SogliaPicchi!$B$12,"",DatiOriginali!C1045)</f>
        <v>1082600</v>
      </c>
      <c r="D1045" s="4">
        <v>75821</v>
      </c>
      <c r="E1045" s="4">
        <f>IF(DatiOriginali!E1045 &gt;= SogliaPicchi!$B$12,"",DatiOriginali!E1045)</f>
        <v>268500</v>
      </c>
      <c r="F1045" s="4">
        <v>2136354</v>
      </c>
      <c r="G1045" s="4">
        <f>IF(DatiOriginali!G1045 &gt;= SogliaPicchi!$B$12,"",DatiOriginali!G1045)</f>
        <v>190000</v>
      </c>
      <c r="H1045" s="4">
        <v>2647626</v>
      </c>
      <c r="I1045" s="4">
        <f>IF(DatiOriginali!I1045 &gt;= SogliaPicchi!$B$12,"",DatiOriginali!I1045)</f>
        <v>63400</v>
      </c>
      <c r="J1045" s="4">
        <v>2636817</v>
      </c>
      <c r="K1045" s="4">
        <f>IF(DatiOriginali!K1045 &gt;= SogliaPicchi!$B$12,"",DatiOriginali!K1045)</f>
        <v>73200</v>
      </c>
    </row>
    <row r="1046" spans="1:11" x14ac:dyDescent="0.3">
      <c r="A1046" s="4" t="s">
        <v>1055</v>
      </c>
      <c r="B1046" s="4">
        <v>150975</v>
      </c>
      <c r="C1046" s="4">
        <f>IF(DatiOriginali!C1046 &gt;= SogliaPicchi!$B$12,"",DatiOriginali!C1046)</f>
        <v>1143500</v>
      </c>
      <c r="D1046" s="4">
        <v>75428</v>
      </c>
      <c r="E1046" s="4">
        <f>IF(DatiOriginali!E1046 &gt;= SogliaPicchi!$B$12,"",DatiOriginali!E1046)</f>
        <v>268200</v>
      </c>
      <c r="F1046" s="4">
        <v>2140649</v>
      </c>
      <c r="G1046" s="4">
        <f>IF(DatiOriginali!G1046 &gt;= SogliaPicchi!$B$12,"",DatiOriginali!G1046)</f>
        <v>191700</v>
      </c>
      <c r="H1046" s="4">
        <v>2653423</v>
      </c>
      <c r="I1046" s="4">
        <f>IF(DatiOriginali!I1046 &gt;= SogliaPicchi!$B$12,"",DatiOriginali!I1046)</f>
        <v>65500</v>
      </c>
      <c r="J1046" s="4">
        <v>2642063</v>
      </c>
      <c r="K1046" s="4">
        <f>IF(DatiOriginali!K1046 &gt;= SogliaPicchi!$B$12,"",DatiOriginali!K1046)</f>
        <v>71700</v>
      </c>
    </row>
    <row r="1047" spans="1:11" x14ac:dyDescent="0.3">
      <c r="A1047" s="4" t="s">
        <v>1056</v>
      </c>
      <c r="B1047" s="4">
        <v>150975</v>
      </c>
      <c r="C1047" s="4">
        <f>IF(DatiOriginali!C1047 &gt;= SogliaPicchi!$B$12,"",DatiOriginali!C1047)</f>
        <v>1183500</v>
      </c>
      <c r="D1047" s="4">
        <v>75670</v>
      </c>
      <c r="E1047" s="4">
        <f>IF(DatiOriginali!E1047 &gt;= SogliaPicchi!$B$12,"",DatiOriginali!E1047)</f>
        <v>268000</v>
      </c>
      <c r="F1047" s="4">
        <v>2144974</v>
      </c>
      <c r="G1047" s="4">
        <f>IF(DatiOriginali!G1047 &gt;= SogliaPicchi!$B$12,"",DatiOriginali!G1047)</f>
        <v>200400</v>
      </c>
      <c r="H1047" s="4">
        <v>2658847</v>
      </c>
      <c r="I1047" s="4">
        <f>IF(DatiOriginali!I1047 &gt;= SogliaPicchi!$B$12,"",DatiOriginali!I1047)</f>
        <v>63300</v>
      </c>
      <c r="J1047" s="4">
        <v>2646941</v>
      </c>
      <c r="K1047" s="4">
        <f>IF(DatiOriginali!K1047 &gt;= SogliaPicchi!$B$12,"",DatiOriginali!K1047)</f>
        <v>70300</v>
      </c>
    </row>
    <row r="1048" spans="1:11" x14ac:dyDescent="0.3">
      <c r="A1048" s="4" t="s">
        <v>1057</v>
      </c>
      <c r="B1048" s="4">
        <v>150975</v>
      </c>
      <c r="C1048" s="4">
        <f>IF(DatiOriginali!C1048 &gt;= SogliaPicchi!$B$12,"",DatiOriginali!C1048)</f>
        <v>1049100</v>
      </c>
      <c r="D1048" s="4">
        <v>75956</v>
      </c>
      <c r="E1048" s="4">
        <f>IF(DatiOriginali!E1048 &gt;= SogliaPicchi!$B$12,"",DatiOriginali!E1048)</f>
        <v>277200</v>
      </c>
      <c r="F1048" s="4">
        <v>2149308</v>
      </c>
      <c r="G1048" s="4">
        <f>IF(DatiOriginali!G1048 &gt;= SogliaPicchi!$B$12,"",DatiOriginali!G1048)</f>
        <v>189300</v>
      </c>
      <c r="H1048" s="4">
        <v>2664119</v>
      </c>
      <c r="I1048" s="4">
        <f>IF(DatiOriginali!I1048 &gt;= SogliaPicchi!$B$12,"",DatiOriginali!I1048)</f>
        <v>62600</v>
      </c>
      <c r="J1048" s="4">
        <v>2652665</v>
      </c>
      <c r="K1048" s="4">
        <f>IF(DatiOriginali!K1048 &gt;= SogliaPicchi!$B$12,"",DatiOriginali!K1048)</f>
        <v>74800</v>
      </c>
    </row>
    <row r="1049" spans="1:11" x14ac:dyDescent="0.3">
      <c r="A1049" s="4" t="s">
        <v>1058</v>
      </c>
      <c r="B1049" s="4">
        <v>150975</v>
      </c>
      <c r="C1049" s="4">
        <f>IF(DatiOriginali!C1049 &gt;= SogliaPicchi!$B$12,"",DatiOriginali!C1049)</f>
        <v>1120200</v>
      </c>
      <c r="D1049" s="4">
        <v>74348</v>
      </c>
      <c r="E1049" s="4">
        <f>IF(DatiOriginali!E1049 &gt;= SogliaPicchi!$B$12,"",DatiOriginali!E1049)</f>
        <v>263900</v>
      </c>
      <c r="F1049" s="4">
        <v>2153634</v>
      </c>
      <c r="G1049" s="4">
        <f>IF(DatiOriginali!G1049 &gt;= SogliaPicchi!$B$12,"",DatiOriginali!G1049)</f>
        <v>190700</v>
      </c>
      <c r="H1049" s="4">
        <v>2670398</v>
      </c>
      <c r="I1049" s="4">
        <f>IF(DatiOriginali!I1049 &gt;= SogliaPicchi!$B$12,"",DatiOriginali!I1049)</f>
        <v>65500</v>
      </c>
      <c r="J1049" s="4">
        <v>2658023</v>
      </c>
      <c r="K1049" s="4">
        <f>IF(DatiOriginali!K1049 &gt;= SogliaPicchi!$B$12,"",DatiOriginali!K1049)</f>
        <v>71700</v>
      </c>
    </row>
    <row r="1050" spans="1:11" x14ac:dyDescent="0.3">
      <c r="A1050" s="4" t="s">
        <v>1059</v>
      </c>
      <c r="B1050" s="4">
        <v>150975</v>
      </c>
      <c r="C1050" s="4">
        <f>IF(DatiOriginali!C1050 &gt;= SogliaPicchi!$B$12,"",DatiOriginali!C1050)</f>
        <v>1024100</v>
      </c>
      <c r="D1050" s="4">
        <v>74922</v>
      </c>
      <c r="E1050" s="4">
        <f>IF(DatiOriginali!E1050 &gt;= SogliaPicchi!$B$12,"",DatiOriginali!E1050)</f>
        <v>267900</v>
      </c>
      <c r="F1050" s="4">
        <v>2157935</v>
      </c>
      <c r="G1050" s="4">
        <f>IF(DatiOriginali!G1050 &gt;= SogliaPicchi!$B$12,"",DatiOriginali!G1050)</f>
        <v>190700</v>
      </c>
      <c r="H1050" s="4">
        <v>2676683</v>
      </c>
      <c r="I1050" s="4">
        <f>IF(DatiOriginali!I1050 &gt;= SogliaPicchi!$B$12,"",DatiOriginali!I1050)</f>
        <v>65900</v>
      </c>
      <c r="J1050" s="4">
        <v>2663165</v>
      </c>
      <c r="K1050" s="4">
        <f>IF(DatiOriginali!K1050 &gt;= SogliaPicchi!$B$12,"",DatiOriginali!K1050)</f>
        <v>70300</v>
      </c>
    </row>
    <row r="1051" spans="1:11" x14ac:dyDescent="0.3">
      <c r="A1051" s="4" t="s">
        <v>1060</v>
      </c>
      <c r="B1051" s="4">
        <v>150975</v>
      </c>
      <c r="C1051" s="4">
        <f>IF(DatiOriginali!C1051 &gt;= SogliaPicchi!$B$12,"",DatiOriginali!C1051)</f>
        <v>1038100</v>
      </c>
      <c r="D1051" s="4">
        <v>74429</v>
      </c>
      <c r="E1051" s="4">
        <f>IF(DatiOriginali!E1051 &gt;= SogliaPicchi!$B$12,"",DatiOriginali!E1051)</f>
        <v>265500</v>
      </c>
      <c r="F1051" s="4">
        <v>2162263</v>
      </c>
      <c r="G1051" s="4">
        <f>IF(DatiOriginali!G1051 &gt;= SogliaPicchi!$B$12,"",DatiOriginali!G1051)</f>
        <v>191100</v>
      </c>
      <c r="H1051" s="4">
        <v>2682105</v>
      </c>
      <c r="I1051" s="4">
        <f>IF(DatiOriginali!I1051 &gt;= SogliaPicchi!$B$12,"",DatiOriginali!I1051)</f>
        <v>61900</v>
      </c>
      <c r="J1051" s="4">
        <v>2668343</v>
      </c>
      <c r="K1051" s="4">
        <f>IF(DatiOriginali!K1051 &gt;= SogliaPicchi!$B$12,"",DatiOriginali!K1051)</f>
        <v>69200</v>
      </c>
    </row>
    <row r="1052" spans="1:11" x14ac:dyDescent="0.3">
      <c r="A1052" s="4" t="s">
        <v>1061</v>
      </c>
      <c r="B1052" s="4">
        <v>150975</v>
      </c>
      <c r="C1052" s="4">
        <f>IF(DatiOriginali!C1052 &gt;= SogliaPicchi!$B$12,"",DatiOriginali!C1052)</f>
        <v>1025400</v>
      </c>
      <c r="D1052" s="4">
        <v>76645</v>
      </c>
      <c r="E1052" s="4">
        <f>IF(DatiOriginali!E1052 &gt;= SogliaPicchi!$B$12,"",DatiOriginali!E1052)</f>
        <v>281100</v>
      </c>
      <c r="F1052" s="4">
        <v>2166561</v>
      </c>
      <c r="G1052" s="4">
        <f>IF(DatiOriginali!G1052 &gt;= SogliaPicchi!$B$12,"",DatiOriginali!G1052)</f>
        <v>189100</v>
      </c>
      <c r="H1052" s="4">
        <v>2687258</v>
      </c>
      <c r="I1052" s="4">
        <f>IF(DatiOriginali!I1052 &gt;= SogliaPicchi!$B$12,"",DatiOriginali!I1052)</f>
        <v>63600</v>
      </c>
      <c r="J1052" s="4">
        <v>2673550</v>
      </c>
      <c r="K1052" s="4">
        <f>IF(DatiOriginali!K1052 &gt;= SogliaPicchi!$B$12,"",DatiOriginali!K1052)</f>
        <v>71700</v>
      </c>
    </row>
    <row r="1053" spans="1:11" x14ac:dyDescent="0.3">
      <c r="A1053" s="4" t="s">
        <v>1062</v>
      </c>
      <c r="B1053" s="4">
        <v>150975</v>
      </c>
      <c r="C1053" s="4">
        <f>IF(DatiOriginali!C1053 &gt;= SogliaPicchi!$B$12,"",DatiOriginali!C1053)</f>
        <v>1117400</v>
      </c>
      <c r="D1053" s="4">
        <v>75084</v>
      </c>
      <c r="E1053" s="4">
        <f>IF(DatiOriginali!E1053 &gt;= SogliaPicchi!$B$12,"",DatiOriginali!E1053)</f>
        <v>265900</v>
      </c>
      <c r="F1053" s="4">
        <v>2170892</v>
      </c>
      <c r="G1053" s="4">
        <f>IF(DatiOriginali!G1053 &gt;= SogliaPicchi!$B$12,"",DatiOriginali!G1053)</f>
        <v>191900</v>
      </c>
      <c r="H1053" s="4">
        <v>2692638</v>
      </c>
      <c r="I1053" s="4">
        <f>IF(DatiOriginali!I1053 &gt;= SogliaPicchi!$B$12,"",DatiOriginali!I1053)</f>
        <v>62500</v>
      </c>
      <c r="J1053" s="4">
        <v>2679197</v>
      </c>
      <c r="K1053" s="4">
        <f>IF(DatiOriginali!K1053 &gt;= SogliaPicchi!$B$12,"",DatiOriginali!K1053)</f>
        <v>72700</v>
      </c>
    </row>
    <row r="1054" spans="1:11" x14ac:dyDescent="0.3">
      <c r="A1054" s="4" t="s">
        <v>1063</v>
      </c>
      <c r="B1054" s="4">
        <v>150975</v>
      </c>
      <c r="C1054" s="4">
        <f>IF(DatiOriginali!C1054 &gt;= SogliaPicchi!$B$12,"",DatiOriginali!C1054)</f>
        <v>1074400</v>
      </c>
      <c r="D1054" s="4">
        <v>71871</v>
      </c>
      <c r="E1054" s="4">
        <f>IF(DatiOriginali!E1054 &gt;= SogliaPicchi!$B$12,"",DatiOriginali!E1054)</f>
        <v>255400</v>
      </c>
      <c r="F1054" s="4">
        <v>2175234</v>
      </c>
      <c r="G1054" s="4">
        <f>IF(DatiOriginali!G1054 &gt;= SogliaPicchi!$B$12,"",DatiOriginali!G1054)</f>
        <v>188300</v>
      </c>
      <c r="H1054" s="4">
        <v>2698411</v>
      </c>
      <c r="I1054" s="4">
        <f>IF(DatiOriginali!I1054 &gt;= SogliaPicchi!$B$12,"",DatiOriginali!I1054)</f>
        <v>60500</v>
      </c>
      <c r="J1054" s="4">
        <v>2685413</v>
      </c>
      <c r="K1054" s="4">
        <f>IF(DatiOriginali!K1054 &gt;= SogliaPicchi!$B$12,"",DatiOriginali!K1054)</f>
        <v>75000</v>
      </c>
    </row>
    <row r="1055" spans="1:11" x14ac:dyDescent="0.3">
      <c r="A1055" s="4" t="s">
        <v>1064</v>
      </c>
      <c r="B1055" s="4">
        <v>150975</v>
      </c>
      <c r="C1055" s="4">
        <f>IF(DatiOriginali!C1055 &gt;= SogliaPicchi!$B$12,"",DatiOriginali!C1055)</f>
        <v>1120300</v>
      </c>
      <c r="D1055" s="4">
        <v>75986</v>
      </c>
      <c r="E1055" s="4">
        <f>IF(DatiOriginali!E1055 &gt;= SogliaPicchi!$B$12,"",DatiOriginali!E1055)</f>
        <v>270200</v>
      </c>
      <c r="F1055" s="4">
        <v>2179550</v>
      </c>
      <c r="G1055" s="4">
        <f>IF(DatiOriginali!G1055 &gt;= SogliaPicchi!$B$12,"",DatiOriginali!G1055)</f>
        <v>193800</v>
      </c>
      <c r="H1055" s="4">
        <v>2703461</v>
      </c>
      <c r="I1055" s="4">
        <f>IF(DatiOriginali!I1055 &gt;= SogliaPicchi!$B$12,"",DatiOriginali!I1055)</f>
        <v>62300</v>
      </c>
      <c r="J1055" s="4">
        <v>2690292</v>
      </c>
      <c r="K1055" s="4">
        <f>IF(DatiOriginali!K1055 &gt;= SogliaPicchi!$B$12,"",DatiOriginali!K1055)</f>
        <v>70300</v>
      </c>
    </row>
    <row r="1056" spans="1:11" x14ac:dyDescent="0.3">
      <c r="A1056" s="4" t="s">
        <v>1065</v>
      </c>
      <c r="B1056" s="4">
        <v>150975</v>
      </c>
      <c r="C1056" s="4">
        <f>IF(DatiOriginali!C1056 &gt;= SogliaPicchi!$B$12,"",DatiOriginali!C1056)</f>
        <v>1056400</v>
      </c>
      <c r="D1056" s="4">
        <v>73625</v>
      </c>
      <c r="E1056" s="4">
        <f>IF(DatiOriginali!E1056 &gt;= SogliaPicchi!$B$12,"",DatiOriginali!E1056)</f>
        <v>262400</v>
      </c>
      <c r="F1056" s="4">
        <v>2183873</v>
      </c>
      <c r="G1056" s="4">
        <f>IF(DatiOriginali!G1056 &gt;= SogliaPicchi!$B$12,"",DatiOriginali!G1056)</f>
        <v>191900</v>
      </c>
      <c r="H1056" s="4">
        <v>2708781</v>
      </c>
      <c r="I1056" s="4">
        <f>IF(DatiOriginali!I1056 &gt;= SogliaPicchi!$B$12,"",DatiOriginali!I1056)</f>
        <v>66100</v>
      </c>
      <c r="J1056" s="4">
        <v>2695281</v>
      </c>
      <c r="K1056" s="4">
        <f>IF(DatiOriginali!K1056 &gt;= SogliaPicchi!$B$12,"",DatiOriginali!K1056)</f>
        <v>70300</v>
      </c>
    </row>
    <row r="1057" spans="1:11" x14ac:dyDescent="0.3">
      <c r="A1057" s="4" t="s">
        <v>1066</v>
      </c>
      <c r="B1057" s="4">
        <v>150975</v>
      </c>
      <c r="C1057" s="4">
        <f>IF(DatiOriginali!C1057 &gt;= SogliaPicchi!$B$12,"",DatiOriginali!C1057)</f>
        <v>1064500</v>
      </c>
      <c r="D1057" s="4">
        <v>73774</v>
      </c>
      <c r="E1057" s="4">
        <f>IF(DatiOriginali!E1057 &gt;= SogliaPicchi!$B$12,"",DatiOriginali!E1057)</f>
        <v>262100</v>
      </c>
      <c r="F1057" s="4">
        <v>2188180</v>
      </c>
      <c r="G1057" s="4">
        <f>IF(DatiOriginali!G1057 &gt;= SogliaPicchi!$B$12,"",DatiOriginali!G1057)</f>
        <v>192100</v>
      </c>
      <c r="H1057" s="4">
        <v>2714316</v>
      </c>
      <c r="I1057" s="4">
        <f>IF(DatiOriginali!I1057 &gt;= SogliaPicchi!$B$12,"",DatiOriginali!I1057)</f>
        <v>61500</v>
      </c>
      <c r="J1057" s="4">
        <v>2700249</v>
      </c>
      <c r="K1057" s="4">
        <f>IF(DatiOriginali!K1057 &gt;= SogliaPicchi!$B$12,"",DatiOriginali!K1057)</f>
        <v>71500</v>
      </c>
    </row>
    <row r="1058" spans="1:11" x14ac:dyDescent="0.3">
      <c r="A1058" s="4" t="s">
        <v>1067</v>
      </c>
      <c r="B1058" s="4">
        <v>150975</v>
      </c>
      <c r="C1058" s="4">
        <f>IF(DatiOriginali!C1058 &gt;= SogliaPicchi!$B$12,"",DatiOriginali!C1058)</f>
        <v>1077300</v>
      </c>
      <c r="D1058" s="4">
        <v>76059</v>
      </c>
      <c r="E1058" s="4">
        <f>IF(DatiOriginali!E1058 &gt;= SogliaPicchi!$B$12,"",DatiOriginali!E1058)</f>
        <v>269100</v>
      </c>
      <c r="F1058" s="4">
        <v>2192515</v>
      </c>
      <c r="G1058" s="4">
        <f>IF(DatiOriginali!G1058 &gt;= SogliaPicchi!$B$12,"",DatiOriginali!G1058)</f>
        <v>195700</v>
      </c>
      <c r="H1058" s="4">
        <v>2720004</v>
      </c>
      <c r="I1058" s="4">
        <f>IF(DatiOriginali!I1058 &gt;= SogliaPicchi!$B$12,"",DatiOriginali!I1058)</f>
        <v>62000</v>
      </c>
      <c r="J1058" s="4">
        <v>2705455</v>
      </c>
      <c r="K1058" s="4">
        <f>IF(DatiOriginali!K1058 &gt;= SogliaPicchi!$B$12,"",DatiOriginali!K1058)</f>
        <v>71200</v>
      </c>
    </row>
    <row r="1059" spans="1:11" x14ac:dyDescent="0.3">
      <c r="A1059" s="4" t="s">
        <v>1068</v>
      </c>
      <c r="B1059" s="4">
        <v>150975</v>
      </c>
      <c r="C1059" s="4">
        <f>IF(DatiOriginali!C1059 &gt;= SogliaPicchi!$B$12,"",DatiOriginali!C1059)</f>
        <v>1209900</v>
      </c>
      <c r="D1059" s="4">
        <v>74674</v>
      </c>
      <c r="E1059" s="4">
        <f>IF(DatiOriginali!E1059 &gt;= SogliaPicchi!$B$12,"",DatiOriginali!E1059)</f>
        <v>265600</v>
      </c>
      <c r="F1059" s="4">
        <v>2196846</v>
      </c>
      <c r="G1059" s="4">
        <f>IF(DatiOriginali!G1059 &gt;= SogliaPicchi!$B$12,"",DatiOriginali!G1059)</f>
        <v>190000</v>
      </c>
      <c r="H1059" s="4">
        <v>2725307</v>
      </c>
      <c r="I1059" s="4">
        <f>IF(DatiOriginali!I1059 &gt;= SogliaPicchi!$B$12,"",DatiOriginali!I1059)</f>
        <v>63500</v>
      </c>
      <c r="J1059" s="4">
        <v>2710833</v>
      </c>
      <c r="K1059" s="4">
        <f>IF(DatiOriginali!K1059 &gt;= SogliaPicchi!$B$12,"",DatiOriginali!K1059)</f>
        <v>69900</v>
      </c>
    </row>
    <row r="1060" spans="1:11" x14ac:dyDescent="0.3">
      <c r="A1060" s="4" t="s">
        <v>1069</v>
      </c>
      <c r="B1060" s="4">
        <v>150975</v>
      </c>
      <c r="C1060" s="4">
        <f>IF(DatiOriginali!C1060 &gt;= SogliaPicchi!$B$12,"",DatiOriginali!C1060)</f>
        <v>1303900</v>
      </c>
      <c r="D1060" s="4">
        <v>74808</v>
      </c>
      <c r="E1060" s="4">
        <f>IF(DatiOriginali!E1060 &gt;= SogliaPicchi!$B$12,"",DatiOriginali!E1060)</f>
        <v>320300</v>
      </c>
      <c r="F1060" s="4">
        <v>2201175</v>
      </c>
      <c r="G1060" s="4">
        <f>IF(DatiOriginali!G1060 &gt;= SogliaPicchi!$B$12,"",DatiOriginali!G1060)</f>
        <v>230600</v>
      </c>
      <c r="H1060" s="4">
        <v>2730114</v>
      </c>
      <c r="I1060" s="4">
        <f>IF(DatiOriginali!I1060 &gt;= SogliaPicchi!$B$12,"",DatiOriginali!I1060)</f>
        <v>75500</v>
      </c>
      <c r="J1060" s="4">
        <v>2717322</v>
      </c>
      <c r="K1060" s="4">
        <f>IF(DatiOriginali!K1060 &gt;= SogliaPicchi!$B$12,"",DatiOriginali!K1060)</f>
        <v>77100</v>
      </c>
    </row>
    <row r="1061" spans="1:11" x14ac:dyDescent="0.3">
      <c r="A1061" s="4" t="s">
        <v>1070</v>
      </c>
      <c r="B1061" s="4">
        <v>150975</v>
      </c>
      <c r="C1061" s="4">
        <f>IF(DatiOriginali!C1061 &gt;= SogliaPicchi!$B$12,"",DatiOriginali!C1061)</f>
        <v>1298500</v>
      </c>
      <c r="D1061" s="4">
        <v>74894</v>
      </c>
      <c r="E1061" s="4">
        <f>IF(DatiOriginali!E1061 &gt;= SogliaPicchi!$B$12,"",DatiOriginali!E1061)</f>
        <v>319000</v>
      </c>
      <c r="F1061" s="4">
        <v>2205484</v>
      </c>
      <c r="G1061" s="4">
        <f>IF(DatiOriginali!G1061 &gt;= SogliaPicchi!$B$12,"",DatiOriginali!G1061)</f>
        <v>238400</v>
      </c>
      <c r="H1061" s="4">
        <v>2735204</v>
      </c>
      <c r="I1061" s="4">
        <f>IF(DatiOriginali!I1061 &gt;= SogliaPicchi!$B$12,"",DatiOriginali!I1061)</f>
        <v>62400</v>
      </c>
      <c r="J1061" s="4">
        <v>2722869</v>
      </c>
      <c r="K1061" s="4">
        <f>IF(DatiOriginali!K1061 &gt;= SogliaPicchi!$B$12,"",DatiOriginali!K1061)</f>
        <v>69100</v>
      </c>
    </row>
    <row r="1062" spans="1:11" x14ac:dyDescent="0.3">
      <c r="A1062" s="4" t="s">
        <v>1071</v>
      </c>
      <c r="B1062" s="4">
        <v>150975</v>
      </c>
      <c r="C1062" s="4">
        <f>IF(DatiOriginali!C1062 &gt;= SogliaPicchi!$B$12,"",DatiOriginali!C1062)</f>
        <v>1089100</v>
      </c>
      <c r="D1062" s="4">
        <v>79464</v>
      </c>
      <c r="E1062" s="4">
        <f>IF(DatiOriginali!E1062 &gt;= SogliaPicchi!$B$12,"",DatiOriginali!E1062)</f>
        <v>281700</v>
      </c>
      <c r="F1062" s="4">
        <v>2209794</v>
      </c>
      <c r="G1062" s="4">
        <f>IF(DatiOriginali!G1062 &gt;= SogliaPicchi!$B$12,"",DatiOriginali!G1062)</f>
        <v>190200</v>
      </c>
      <c r="H1062" s="4">
        <v>2740339</v>
      </c>
      <c r="I1062" s="4">
        <f>IF(DatiOriginali!I1062 &gt;= SogliaPicchi!$B$12,"",DatiOriginali!I1062)</f>
        <v>62800</v>
      </c>
      <c r="J1062" s="4">
        <v>2729383</v>
      </c>
      <c r="K1062" s="4">
        <f>IF(DatiOriginali!K1062 &gt;= SogliaPicchi!$B$12,"",DatiOriginali!K1062)</f>
        <v>75500</v>
      </c>
    </row>
    <row r="1063" spans="1:11" x14ac:dyDescent="0.3">
      <c r="A1063" s="4" t="s">
        <v>1072</v>
      </c>
      <c r="B1063" s="4">
        <v>150975</v>
      </c>
      <c r="C1063" s="4">
        <f>IF(DatiOriginali!C1063 &gt;= SogliaPicchi!$B$12,"",DatiOriginali!C1063)</f>
        <v>1048400</v>
      </c>
      <c r="D1063" s="4">
        <v>78931</v>
      </c>
      <c r="E1063" s="4">
        <f>IF(DatiOriginali!E1063 &gt;= SogliaPicchi!$B$12,"",DatiOriginali!E1063)</f>
        <v>279700</v>
      </c>
      <c r="F1063" s="4">
        <v>2214109</v>
      </c>
      <c r="G1063" s="4">
        <f>IF(DatiOriginali!G1063 &gt;= SogliaPicchi!$B$12,"",DatiOriginali!G1063)</f>
        <v>192600</v>
      </c>
      <c r="H1063" s="4">
        <v>2745899</v>
      </c>
      <c r="I1063" s="4">
        <f>IF(DatiOriginali!I1063 &gt;= SogliaPicchi!$B$12,"",DatiOriginali!I1063)</f>
        <v>65000</v>
      </c>
      <c r="J1063" s="4">
        <v>2734656</v>
      </c>
      <c r="K1063" s="4">
        <f>IF(DatiOriginali!K1063 &gt;= SogliaPicchi!$B$12,"",DatiOriginali!K1063)</f>
        <v>75800</v>
      </c>
    </row>
    <row r="1064" spans="1:11" x14ac:dyDescent="0.3">
      <c r="A1064" s="4" t="s">
        <v>1073</v>
      </c>
      <c r="B1064" s="4">
        <v>150975</v>
      </c>
      <c r="C1064" s="4">
        <f>IF(DatiOriginali!C1064 &gt;= SogliaPicchi!$B$12,"",DatiOriginali!C1064)</f>
        <v>1033500</v>
      </c>
      <c r="D1064" s="4">
        <v>74890</v>
      </c>
      <c r="E1064" s="4">
        <f>IF(DatiOriginali!E1064 &gt;= SogliaPicchi!$B$12,"",DatiOriginali!E1064)</f>
        <v>273500</v>
      </c>
      <c r="F1064" s="4">
        <v>2218440</v>
      </c>
      <c r="G1064" s="4">
        <f>IF(DatiOriginali!G1064 &gt;= SogliaPicchi!$B$12,"",DatiOriginali!G1064)</f>
        <v>189800</v>
      </c>
      <c r="H1064" s="4">
        <v>2751837</v>
      </c>
      <c r="I1064" s="4">
        <f>IF(DatiOriginali!I1064 &gt;= SogliaPicchi!$B$12,"",DatiOriginali!I1064)</f>
        <v>64500</v>
      </c>
      <c r="J1064" s="4">
        <v>2739734</v>
      </c>
      <c r="K1064" s="4">
        <f>IF(DatiOriginali!K1064 &gt;= SogliaPicchi!$B$12,"",DatiOriginali!K1064)</f>
        <v>70400</v>
      </c>
    </row>
    <row r="1065" spans="1:11" x14ac:dyDescent="0.3">
      <c r="A1065" s="4" t="s">
        <v>1074</v>
      </c>
      <c r="B1065" s="4">
        <v>150975</v>
      </c>
      <c r="C1065" s="4">
        <f>IF(DatiOriginali!C1065 &gt;= SogliaPicchi!$B$12,"",DatiOriginali!C1065)</f>
        <v>1062400</v>
      </c>
      <c r="D1065" s="4">
        <v>75047</v>
      </c>
      <c r="E1065" s="4">
        <f>IF(DatiOriginali!E1065 &gt;= SogliaPicchi!$B$12,"",DatiOriginali!E1065)</f>
        <v>266000</v>
      </c>
      <c r="F1065" s="4">
        <v>2222762</v>
      </c>
      <c r="G1065" s="4">
        <f>IF(DatiOriginali!G1065 &gt;= SogliaPicchi!$B$12,"",DatiOriginali!G1065)</f>
        <v>192900</v>
      </c>
      <c r="H1065" s="4">
        <v>2757195</v>
      </c>
      <c r="I1065" s="4">
        <f>IF(DatiOriginali!I1065 &gt;= SogliaPicchi!$B$12,"",DatiOriginali!I1065)</f>
        <v>62100</v>
      </c>
      <c r="J1065" s="4">
        <v>2745030</v>
      </c>
      <c r="K1065" s="4">
        <f>IF(DatiOriginali!K1065 &gt;= SogliaPicchi!$B$12,"",DatiOriginali!K1065)</f>
        <v>73800</v>
      </c>
    </row>
    <row r="1066" spans="1:11" x14ac:dyDescent="0.3">
      <c r="A1066" s="4" t="s">
        <v>1075</v>
      </c>
      <c r="B1066" s="4">
        <v>150975</v>
      </c>
      <c r="C1066" s="4">
        <f>IF(DatiOriginali!C1066 &gt;= SogliaPicchi!$B$12,"",DatiOriginali!C1066)</f>
        <v>1302000</v>
      </c>
      <c r="D1066" s="4">
        <v>76271</v>
      </c>
      <c r="E1066" s="4">
        <f>IF(DatiOriginali!E1066 &gt;= SogliaPicchi!$B$12,"",DatiOriginali!E1066)</f>
        <v>401700</v>
      </c>
      <c r="F1066" s="4">
        <v>2227100</v>
      </c>
      <c r="G1066" s="4">
        <f>IF(DatiOriginali!G1066 &gt;= SogliaPicchi!$B$12,"",DatiOriginali!G1066)</f>
        <v>197200</v>
      </c>
      <c r="H1066" s="4">
        <v>2762594</v>
      </c>
      <c r="I1066" s="4">
        <f>IF(DatiOriginali!I1066 &gt;= SogliaPicchi!$B$12,"",DatiOriginali!I1066)</f>
        <v>67400</v>
      </c>
      <c r="J1066" s="4">
        <v>2750188</v>
      </c>
      <c r="K1066" s="4">
        <f>IF(DatiOriginali!K1066 &gt;= SogliaPicchi!$B$12,"",DatiOriginali!K1066)</f>
        <v>91900</v>
      </c>
    </row>
    <row r="1067" spans="1:11" x14ac:dyDescent="0.3">
      <c r="A1067" s="4" t="s">
        <v>1076</v>
      </c>
      <c r="B1067" s="4">
        <v>150975</v>
      </c>
      <c r="C1067" s="4">
        <f>IF(DatiOriginali!C1067 &gt;= SogliaPicchi!$B$12,"",DatiOriginali!C1067)</f>
        <v>1053300</v>
      </c>
      <c r="D1067" s="4">
        <v>74757</v>
      </c>
      <c r="E1067" s="4">
        <f>IF(DatiOriginali!E1067 &gt;= SogliaPicchi!$B$12,"",DatiOriginali!E1067)</f>
        <v>265700</v>
      </c>
      <c r="F1067" s="4">
        <v>2231436</v>
      </c>
      <c r="G1067" s="4">
        <f>IF(DatiOriginali!G1067 &gt;= SogliaPicchi!$B$12,"",DatiOriginali!G1067)</f>
        <v>192900</v>
      </c>
      <c r="H1067" s="4">
        <v>2768100</v>
      </c>
      <c r="I1067" s="4">
        <f>IF(DatiOriginali!I1067 &gt;= SogliaPicchi!$B$12,"",DatiOriginali!I1067)</f>
        <v>61700</v>
      </c>
      <c r="J1067" s="4">
        <v>2755558</v>
      </c>
      <c r="K1067" s="4">
        <f>IF(DatiOriginali!K1067 &gt;= SogliaPicchi!$B$12,"",DatiOriginali!K1067)</f>
        <v>71000</v>
      </c>
    </row>
    <row r="1068" spans="1:11" x14ac:dyDescent="0.3">
      <c r="A1068" s="4" t="s">
        <v>1077</v>
      </c>
      <c r="B1068" s="4">
        <v>150975</v>
      </c>
      <c r="C1068" s="4">
        <f>IF(DatiOriginali!C1068 &gt;= SogliaPicchi!$B$12,"",DatiOriginali!C1068)</f>
        <v>1153700</v>
      </c>
      <c r="D1068" s="4">
        <v>78713</v>
      </c>
      <c r="E1068" s="4">
        <f>IF(DatiOriginali!E1068 &gt;= SogliaPicchi!$B$12,"",DatiOriginali!E1068)</f>
        <v>287400</v>
      </c>
      <c r="F1068" s="4">
        <v>2235747</v>
      </c>
      <c r="G1068" s="4">
        <f>IF(DatiOriginali!G1068 &gt;= SogliaPicchi!$B$12,"",DatiOriginali!G1068)</f>
        <v>190200</v>
      </c>
      <c r="H1068" s="4">
        <v>2773187</v>
      </c>
      <c r="I1068" s="4">
        <f>IF(DatiOriginali!I1068 &gt;= SogliaPicchi!$B$12,"",DatiOriginali!I1068)</f>
        <v>64300</v>
      </c>
      <c r="J1068" s="4">
        <v>2760998</v>
      </c>
      <c r="K1068" s="4">
        <f>IF(DatiOriginali!K1068 &gt;= SogliaPicchi!$B$12,"",DatiOriginali!K1068)</f>
        <v>71700</v>
      </c>
    </row>
    <row r="1069" spans="1:11" x14ac:dyDescent="0.3">
      <c r="A1069" s="4" t="s">
        <v>1078</v>
      </c>
      <c r="B1069" s="4">
        <v>150975</v>
      </c>
      <c r="C1069" s="4">
        <f>IF(DatiOriginali!C1069 &gt;= SogliaPicchi!$B$12,"",DatiOriginali!C1069)</f>
        <v>1169800</v>
      </c>
      <c r="D1069" s="4">
        <v>77507</v>
      </c>
      <c r="E1069" s="4">
        <f>IF(DatiOriginali!E1069 &gt;= SogliaPicchi!$B$12,"",DatiOriginali!E1069)</f>
        <v>322500</v>
      </c>
      <c r="F1069" s="4">
        <v>2240070</v>
      </c>
      <c r="G1069" s="4">
        <f>IF(DatiOriginali!G1069 &gt;= SogliaPicchi!$B$12,"",DatiOriginali!G1069)</f>
        <v>197500</v>
      </c>
      <c r="H1069" s="4">
        <v>2777938</v>
      </c>
      <c r="I1069" s="4">
        <f>IF(DatiOriginali!I1069 &gt;= SogliaPicchi!$B$12,"",DatiOriginali!I1069)</f>
        <v>62700</v>
      </c>
      <c r="J1069" s="4">
        <v>2766093</v>
      </c>
      <c r="K1069" s="4">
        <f>IF(DatiOriginali!K1069 &gt;= SogliaPicchi!$B$12,"",DatiOriginali!K1069)</f>
        <v>71200</v>
      </c>
    </row>
    <row r="1070" spans="1:11" x14ac:dyDescent="0.3">
      <c r="A1070" s="4" t="s">
        <v>1079</v>
      </c>
      <c r="B1070" s="4">
        <v>150975</v>
      </c>
      <c r="C1070" s="4">
        <f>IF(DatiOriginali!C1070 &gt;= SogliaPicchi!$B$12,"",DatiOriginali!C1070)</f>
        <v>1072600</v>
      </c>
      <c r="D1070" s="4">
        <v>74648</v>
      </c>
      <c r="E1070" s="4">
        <f>IF(DatiOriginali!E1070 &gt;= SogliaPicchi!$B$12,"",DatiOriginali!E1070)</f>
        <v>264400</v>
      </c>
      <c r="F1070" s="4">
        <v>2244387</v>
      </c>
      <c r="G1070" s="4">
        <f>IF(DatiOriginali!G1070 &gt;= SogliaPicchi!$B$12,"",DatiOriginali!G1070)</f>
        <v>190100</v>
      </c>
      <c r="H1070" s="4">
        <v>2782929</v>
      </c>
      <c r="I1070" s="4">
        <f>IF(DatiOriginali!I1070 &gt;= SogliaPicchi!$B$12,"",DatiOriginali!I1070)</f>
        <v>61300</v>
      </c>
      <c r="J1070" s="4">
        <v>2771376</v>
      </c>
      <c r="K1070" s="4">
        <f>IF(DatiOriginali!K1070 &gt;= SogliaPicchi!$B$12,"",DatiOriginali!K1070)</f>
        <v>74300</v>
      </c>
    </row>
    <row r="1071" spans="1:11" x14ac:dyDescent="0.3">
      <c r="A1071" s="4" t="s">
        <v>1080</v>
      </c>
      <c r="B1071" s="4">
        <v>150975</v>
      </c>
      <c r="C1071" s="4">
        <f>IF(DatiOriginali!C1071 &gt;= SogliaPicchi!$B$12,"",DatiOriginali!C1071)</f>
        <v>1069300</v>
      </c>
      <c r="D1071" s="4">
        <v>75619</v>
      </c>
      <c r="E1071" s="4">
        <f>IF(DatiOriginali!E1071 &gt;= SogliaPicchi!$B$12,"",DatiOriginali!E1071)</f>
        <v>269200</v>
      </c>
      <c r="F1071" s="4">
        <v>2248673</v>
      </c>
      <c r="G1071" s="4">
        <f>IF(DatiOriginali!G1071 &gt;= SogliaPicchi!$B$12,"",DatiOriginali!G1071)</f>
        <v>201400</v>
      </c>
      <c r="H1071" s="4">
        <v>2788129</v>
      </c>
      <c r="I1071" s="4">
        <f>IF(DatiOriginali!I1071 &gt;= SogliaPicchi!$B$12,"",DatiOriginali!I1071)</f>
        <v>66100</v>
      </c>
      <c r="J1071" s="4">
        <v>2777216</v>
      </c>
      <c r="K1071" s="4">
        <f>IF(DatiOriginali!K1071 &gt;= SogliaPicchi!$B$12,"",DatiOriginali!K1071)</f>
        <v>71400</v>
      </c>
    </row>
    <row r="1072" spans="1:11" x14ac:dyDescent="0.3">
      <c r="A1072" s="4" t="s">
        <v>1081</v>
      </c>
      <c r="B1072" s="4">
        <v>150975</v>
      </c>
      <c r="C1072" s="4">
        <f>IF(DatiOriginali!C1072 &gt;= SogliaPicchi!$B$12,"",DatiOriginali!C1072)</f>
        <v>1136400</v>
      </c>
      <c r="D1072" s="4">
        <v>72647</v>
      </c>
      <c r="E1072" s="4">
        <f>IF(DatiOriginali!E1072 &gt;= SogliaPicchi!$B$12,"",DatiOriginali!E1072)</f>
        <v>257300</v>
      </c>
      <c r="F1072" s="4">
        <v>2252998</v>
      </c>
      <c r="G1072" s="4">
        <f>IF(DatiOriginali!G1072 &gt;= SogliaPicchi!$B$12,"",DatiOriginali!G1072)</f>
        <v>1689100</v>
      </c>
      <c r="H1072" s="4">
        <v>2793106</v>
      </c>
      <c r="I1072" s="4">
        <f>IF(DatiOriginali!I1072 &gt;= SogliaPicchi!$B$12,"",DatiOriginali!I1072)</f>
        <v>62700</v>
      </c>
      <c r="J1072" s="4">
        <v>2782280</v>
      </c>
      <c r="K1072" s="4">
        <f>IF(DatiOriginali!K1072 &gt;= SogliaPicchi!$B$12,"",DatiOriginali!K1072)</f>
        <v>74500</v>
      </c>
    </row>
    <row r="1073" spans="1:11" x14ac:dyDescent="0.3">
      <c r="A1073" s="4" t="s">
        <v>1082</v>
      </c>
      <c r="B1073" s="4">
        <v>150975</v>
      </c>
      <c r="C1073" s="4">
        <f>IF(DatiOriginali!C1073 &gt;= SogliaPicchi!$B$12,"",DatiOriginali!C1073)</f>
        <v>1095000</v>
      </c>
      <c r="D1073" s="4">
        <v>75149</v>
      </c>
      <c r="E1073" s="4">
        <f>IF(DatiOriginali!E1073 &gt;= SogliaPicchi!$B$12,"",DatiOriginali!E1073)</f>
        <v>380300</v>
      </c>
      <c r="F1073" s="4">
        <v>2257291</v>
      </c>
      <c r="G1073" s="4">
        <f>IF(DatiOriginali!G1073 &gt;= SogliaPicchi!$B$12,"",DatiOriginali!G1073)</f>
        <v>193300</v>
      </c>
      <c r="H1073" s="4">
        <v>2798521</v>
      </c>
      <c r="I1073" s="4">
        <f>IF(DatiOriginali!I1073 &gt;= SogliaPicchi!$B$12,"",DatiOriginali!I1073)</f>
        <v>63800</v>
      </c>
      <c r="J1073" s="4">
        <v>2787286</v>
      </c>
      <c r="K1073" s="4">
        <f>IF(DatiOriginali!K1073 &gt;= SogliaPicchi!$B$12,"",DatiOriginali!K1073)</f>
        <v>72100</v>
      </c>
    </row>
    <row r="1074" spans="1:11" x14ac:dyDescent="0.3">
      <c r="A1074" s="4" t="s">
        <v>1083</v>
      </c>
      <c r="B1074" s="4">
        <v>150975</v>
      </c>
      <c r="C1074" s="4">
        <f>IF(DatiOriginali!C1074 &gt;= SogliaPicchi!$B$12,"",DatiOriginali!C1074)</f>
        <v>1103400</v>
      </c>
      <c r="D1074" s="4">
        <v>75405</v>
      </c>
      <c r="E1074" s="4">
        <f>IF(DatiOriginali!E1074 &gt;= SogliaPicchi!$B$12,"",DatiOriginali!E1074)</f>
        <v>263600</v>
      </c>
      <c r="F1074" s="4">
        <v>2261624</v>
      </c>
      <c r="G1074" s="4">
        <f>IF(DatiOriginali!G1074 &gt;= SogliaPicchi!$B$12,"",DatiOriginali!G1074)</f>
        <v>192900</v>
      </c>
      <c r="H1074" s="4">
        <v>2804023</v>
      </c>
      <c r="I1074" s="4">
        <f>IF(DatiOriginali!I1074 &gt;= SogliaPicchi!$B$12,"",DatiOriginali!I1074)</f>
        <v>61900</v>
      </c>
      <c r="J1074" s="4">
        <v>2792829</v>
      </c>
      <c r="K1074" s="4">
        <f>IF(DatiOriginali!K1074 &gt;= SogliaPicchi!$B$12,"",DatiOriginali!K1074)</f>
        <v>77300</v>
      </c>
    </row>
    <row r="1075" spans="1:11" x14ac:dyDescent="0.3">
      <c r="A1075" s="4" t="s">
        <v>1084</v>
      </c>
      <c r="B1075" s="4">
        <v>150975</v>
      </c>
      <c r="C1075" s="4">
        <f>IF(DatiOriginali!C1075 &gt;= SogliaPicchi!$B$12,"",DatiOriginali!C1075)</f>
        <v>1087900</v>
      </c>
      <c r="D1075" s="4">
        <v>76216</v>
      </c>
      <c r="E1075" s="4">
        <f>IF(DatiOriginali!E1075 &gt;= SogliaPicchi!$B$12,"",DatiOriginali!E1075)</f>
        <v>266700</v>
      </c>
      <c r="F1075" s="4">
        <v>2265954</v>
      </c>
      <c r="G1075" s="4">
        <f>IF(DatiOriginali!G1075 &gt;= SogliaPicchi!$B$12,"",DatiOriginali!G1075)</f>
        <v>189600</v>
      </c>
      <c r="H1075" s="4">
        <v>2809382</v>
      </c>
      <c r="I1075" s="4">
        <f>IF(DatiOriginali!I1075 &gt;= SogliaPicchi!$B$12,"",DatiOriginali!I1075)</f>
        <v>63700</v>
      </c>
      <c r="J1075" s="4">
        <v>2798414</v>
      </c>
      <c r="K1075" s="4">
        <f>IF(DatiOriginali!K1075 &gt;= SogliaPicchi!$B$12,"",DatiOriginali!K1075)</f>
        <v>70600</v>
      </c>
    </row>
    <row r="1076" spans="1:11" x14ac:dyDescent="0.3">
      <c r="A1076" s="4" t="s">
        <v>1085</v>
      </c>
      <c r="B1076" s="4">
        <v>150975</v>
      </c>
      <c r="C1076" s="4">
        <f>IF(DatiOriginali!C1076 &gt;= SogliaPicchi!$B$12,"",DatiOriginali!C1076)</f>
        <v>1078000</v>
      </c>
      <c r="D1076" s="4">
        <v>77722</v>
      </c>
      <c r="E1076" s="4">
        <f>IF(DatiOriginali!E1076 &gt;= SogliaPicchi!$B$12,"",DatiOriginali!E1076)</f>
        <v>272100</v>
      </c>
      <c r="F1076" s="4">
        <v>2270282</v>
      </c>
      <c r="G1076" s="4">
        <f>IF(DatiOriginali!G1076 &gt;= SogliaPicchi!$B$12,"",DatiOriginali!G1076)</f>
        <v>193400</v>
      </c>
      <c r="H1076" s="4">
        <v>2814550</v>
      </c>
      <c r="I1076" s="4">
        <f>IF(DatiOriginali!I1076 &gt;= SogliaPicchi!$B$12,"",DatiOriginali!I1076)</f>
        <v>62400</v>
      </c>
      <c r="J1076" s="4">
        <v>2803811</v>
      </c>
      <c r="K1076" s="4">
        <f>IF(DatiOriginali!K1076 &gt;= SogliaPicchi!$B$12,"",DatiOriginali!K1076)</f>
        <v>77900</v>
      </c>
    </row>
    <row r="1077" spans="1:11" x14ac:dyDescent="0.3">
      <c r="A1077" s="4" t="s">
        <v>1086</v>
      </c>
      <c r="B1077" s="4">
        <v>150975</v>
      </c>
      <c r="C1077" s="4">
        <f>IF(DatiOriginali!C1077 &gt;= SogliaPicchi!$B$12,"",DatiOriginali!C1077)</f>
        <v>1289500</v>
      </c>
      <c r="D1077" s="4">
        <v>73903</v>
      </c>
      <c r="E1077" s="4">
        <f>IF(DatiOriginali!E1077 &gt;= SogliaPicchi!$B$12,"",DatiOriginali!E1077)</f>
        <v>310600</v>
      </c>
      <c r="F1077" s="4">
        <v>2274573</v>
      </c>
      <c r="G1077" s="4">
        <f>IF(DatiOriginali!G1077 &gt;= SogliaPicchi!$B$12,"",DatiOriginali!G1077)</f>
        <v>234900</v>
      </c>
      <c r="H1077" s="4">
        <v>2820823</v>
      </c>
      <c r="I1077" s="4">
        <f>IF(DatiOriginali!I1077 &gt;= SogliaPicchi!$B$12,"",DatiOriginali!I1077)</f>
        <v>74000</v>
      </c>
      <c r="J1077" s="4">
        <v>2808916</v>
      </c>
      <c r="K1077" s="4">
        <f>IF(DatiOriginali!K1077 &gt;= SogliaPicchi!$B$12,"",DatiOriginali!K1077)</f>
        <v>71900</v>
      </c>
    </row>
    <row r="1078" spans="1:11" x14ac:dyDescent="0.3">
      <c r="A1078" s="4" t="s">
        <v>1087</v>
      </c>
      <c r="B1078" s="4">
        <v>150975</v>
      </c>
      <c r="C1078" s="4">
        <f>IF(DatiOriginali!C1078 &gt;= SogliaPicchi!$B$12,"",DatiOriginali!C1078)</f>
        <v>1193300</v>
      </c>
      <c r="D1078" s="4">
        <v>73426</v>
      </c>
      <c r="E1078" s="4">
        <f>IF(DatiOriginali!E1078 &gt;= SogliaPicchi!$B$12,"",DatiOriginali!E1078)</f>
        <v>259400</v>
      </c>
      <c r="F1078" s="4">
        <v>2278862</v>
      </c>
      <c r="G1078" s="4">
        <f>IF(DatiOriginali!G1078 &gt;= SogliaPicchi!$B$12,"",DatiOriginali!G1078)</f>
        <v>191500</v>
      </c>
      <c r="H1078" s="4">
        <v>2825751</v>
      </c>
      <c r="I1078" s="4">
        <f>IF(DatiOriginali!I1078 &gt;= SogliaPicchi!$B$12,"",DatiOriginali!I1078)</f>
        <v>62800</v>
      </c>
      <c r="J1078" s="4">
        <v>2814121</v>
      </c>
      <c r="K1078" s="4">
        <f>IF(DatiOriginali!K1078 &gt;= SogliaPicchi!$B$12,"",DatiOriginali!K1078)</f>
        <v>70900</v>
      </c>
    </row>
    <row r="1079" spans="1:11" x14ac:dyDescent="0.3">
      <c r="A1079" s="4" t="s">
        <v>1088</v>
      </c>
      <c r="B1079" s="4">
        <v>150975</v>
      </c>
      <c r="C1079" s="4">
        <f>IF(DatiOriginali!C1079 &gt;= SogliaPicchi!$B$12,"",DatiOriginali!C1079)</f>
        <v>1017800</v>
      </c>
      <c r="D1079" s="4">
        <v>76088</v>
      </c>
      <c r="E1079" s="4">
        <f>IF(DatiOriginali!E1079 &gt;= SogliaPicchi!$B$12,"",DatiOriginali!E1079)</f>
        <v>265100</v>
      </c>
      <c r="F1079" s="4">
        <v>2283179</v>
      </c>
      <c r="G1079" s="4">
        <f>IF(DatiOriginali!G1079 &gt;= SogliaPicchi!$B$12,"",DatiOriginali!G1079)</f>
        <v>190900</v>
      </c>
      <c r="H1079" s="4">
        <v>2831319</v>
      </c>
      <c r="I1079" s="4">
        <f>IF(DatiOriginali!I1079 &gt;= SogliaPicchi!$B$12,"",DatiOriginali!I1079)</f>
        <v>62700</v>
      </c>
      <c r="J1079" s="4">
        <v>2820028</v>
      </c>
      <c r="K1079" s="4">
        <f>IF(DatiOriginali!K1079 &gt;= SogliaPicchi!$B$12,"",DatiOriginali!K1079)</f>
        <v>72300</v>
      </c>
    </row>
    <row r="1080" spans="1:11" x14ac:dyDescent="0.3">
      <c r="A1080" s="4" t="s">
        <v>1089</v>
      </c>
      <c r="B1080" s="4">
        <v>150975</v>
      </c>
      <c r="C1080" s="4">
        <f>IF(DatiOriginali!C1080 &gt;= SogliaPicchi!$B$12,"",DatiOriginali!C1080)</f>
        <v>1098300</v>
      </c>
      <c r="D1080" s="4">
        <v>75598</v>
      </c>
      <c r="E1080" s="4">
        <f>IF(DatiOriginali!E1080 &gt;= SogliaPicchi!$B$12,"",DatiOriginali!E1080)</f>
        <v>263600</v>
      </c>
      <c r="F1080" s="4">
        <v>2287496</v>
      </c>
      <c r="G1080" s="4">
        <f>IF(DatiOriginali!G1080 &gt;= SogliaPicchi!$B$12,"",DatiOriginali!G1080)</f>
        <v>188700</v>
      </c>
      <c r="H1080" s="4">
        <v>2836712</v>
      </c>
      <c r="I1080" s="4">
        <f>IF(DatiOriginali!I1080 &gt;= SogliaPicchi!$B$12,"",DatiOriginali!I1080)</f>
        <v>62700</v>
      </c>
      <c r="J1080" s="4">
        <v>2825723</v>
      </c>
      <c r="K1080" s="4">
        <f>IF(DatiOriginali!K1080 &gt;= SogliaPicchi!$B$12,"",DatiOriginali!K1080)</f>
        <v>76900</v>
      </c>
    </row>
    <row r="1081" spans="1:11" x14ac:dyDescent="0.3">
      <c r="A1081" s="4" t="s">
        <v>1090</v>
      </c>
      <c r="B1081" s="4">
        <v>150975</v>
      </c>
      <c r="C1081" s="4">
        <f>IF(DatiOriginali!C1081 &gt;= SogliaPicchi!$B$12,"",DatiOriginali!C1081)</f>
        <v>1185500</v>
      </c>
      <c r="D1081" s="4">
        <v>74120</v>
      </c>
      <c r="E1081" s="4">
        <f>IF(DatiOriginali!E1081 &gt;= SogliaPicchi!$B$12,"",DatiOriginali!E1081)</f>
        <v>259700</v>
      </c>
      <c r="F1081" s="4">
        <v>2291809</v>
      </c>
      <c r="G1081" s="4">
        <f>IF(DatiOriginali!G1081 &gt;= SogliaPicchi!$B$12,"",DatiOriginali!G1081)</f>
        <v>192800</v>
      </c>
      <c r="H1081" s="4">
        <v>2842054</v>
      </c>
      <c r="I1081" s="4">
        <f>IF(DatiOriginali!I1081 &gt;= SogliaPicchi!$B$12,"",DatiOriginali!I1081)</f>
        <v>64300</v>
      </c>
      <c r="J1081" s="4">
        <v>2831022</v>
      </c>
      <c r="K1081" s="4">
        <f>IF(DatiOriginali!K1081 &gt;= SogliaPicchi!$B$12,"",DatiOriginali!K1081)</f>
        <v>71100</v>
      </c>
    </row>
    <row r="1082" spans="1:11" x14ac:dyDescent="0.3">
      <c r="A1082" s="4" t="s">
        <v>1091</v>
      </c>
      <c r="B1082" s="4">
        <v>150975</v>
      </c>
      <c r="C1082" s="4">
        <f>IF(DatiOriginali!C1082 &gt;= SogliaPicchi!$B$12,"",DatiOriginali!C1082)</f>
        <v>1337800</v>
      </c>
      <c r="D1082" s="4">
        <v>76620</v>
      </c>
      <c r="E1082" s="4">
        <f>IF(DatiOriginali!E1082 &gt;= SogliaPicchi!$B$12,"",DatiOriginali!E1082)</f>
        <v>321300</v>
      </c>
      <c r="F1082" s="4">
        <v>2296139</v>
      </c>
      <c r="G1082" s="4">
        <f>IF(DatiOriginali!G1082 &gt;= SogliaPicchi!$B$12,"",DatiOriginali!G1082)</f>
        <v>230300</v>
      </c>
      <c r="H1082" s="4">
        <v>2847607</v>
      </c>
      <c r="I1082" s="4">
        <f>IF(DatiOriginali!I1082 &gt;= SogliaPicchi!$B$12,"",DatiOriginali!I1082)</f>
        <v>66700</v>
      </c>
      <c r="J1082" s="4">
        <v>2836999</v>
      </c>
      <c r="K1082" s="4">
        <f>IF(DatiOriginali!K1082 &gt;= SogliaPicchi!$B$12,"",DatiOriginali!K1082)</f>
        <v>76600</v>
      </c>
    </row>
    <row r="1083" spans="1:11" x14ac:dyDescent="0.3">
      <c r="A1083" s="4" t="s">
        <v>1092</v>
      </c>
      <c r="B1083" s="4">
        <v>150975</v>
      </c>
      <c r="C1083" s="4">
        <f>IF(DatiOriginali!C1083 &gt;= SogliaPicchi!$B$12,"",DatiOriginali!C1083)</f>
        <v>1043300</v>
      </c>
      <c r="D1083" s="4">
        <v>75340</v>
      </c>
      <c r="E1083" s="4">
        <f>IF(DatiOriginali!E1083 &gt;= SogliaPicchi!$B$12,"",DatiOriginali!E1083)</f>
        <v>263000</v>
      </c>
      <c r="F1083" s="4">
        <v>2300450</v>
      </c>
      <c r="G1083" s="4">
        <f>IF(DatiOriginali!G1083 &gt;= SogliaPicchi!$B$12,"",DatiOriginali!G1083)</f>
        <v>196200</v>
      </c>
      <c r="H1083" s="4">
        <v>2853036</v>
      </c>
      <c r="I1083" s="4">
        <f>IF(DatiOriginali!I1083 &gt;= SogliaPicchi!$B$12,"",DatiOriginali!I1083)</f>
        <v>62900</v>
      </c>
      <c r="J1083" s="4">
        <v>2842486</v>
      </c>
      <c r="K1083" s="4">
        <f>IF(DatiOriginali!K1083 &gt;= SogliaPicchi!$B$12,"",DatiOriginali!K1083)</f>
        <v>71400</v>
      </c>
    </row>
    <row r="1084" spans="1:11" x14ac:dyDescent="0.3">
      <c r="A1084" s="4" t="s">
        <v>1093</v>
      </c>
      <c r="B1084" s="4">
        <v>150975</v>
      </c>
      <c r="C1084" s="4">
        <f>IF(DatiOriginali!C1084 &gt;= SogliaPicchi!$B$12,"",DatiOriginali!C1084)</f>
        <v>1052800</v>
      </c>
      <c r="D1084" s="4">
        <v>78346</v>
      </c>
      <c r="E1084" s="4">
        <f>IF(DatiOriginali!E1084 &gt;= SogliaPicchi!$B$12,"",DatiOriginali!E1084)</f>
        <v>272400</v>
      </c>
      <c r="F1084" s="4">
        <v>2304785</v>
      </c>
      <c r="G1084" s="4">
        <f>IF(DatiOriginali!G1084 &gt;= SogliaPicchi!$B$12,"",DatiOriginali!G1084)</f>
        <v>190300</v>
      </c>
      <c r="H1084" s="4">
        <v>2858593</v>
      </c>
      <c r="I1084" s="4">
        <f>IF(DatiOriginali!I1084 &gt;= SogliaPicchi!$B$12,"",DatiOriginali!I1084)</f>
        <v>60200</v>
      </c>
      <c r="J1084" s="4">
        <v>2847813</v>
      </c>
      <c r="K1084" s="4">
        <f>IF(DatiOriginali!K1084 &gt;= SogliaPicchi!$B$12,"",DatiOriginali!K1084)</f>
        <v>74700</v>
      </c>
    </row>
    <row r="1085" spans="1:11" x14ac:dyDescent="0.3">
      <c r="A1085" s="4" t="s">
        <v>1094</v>
      </c>
      <c r="B1085" s="4">
        <v>150975</v>
      </c>
      <c r="C1085" s="4">
        <f>IF(DatiOriginali!C1085 &gt;= SogliaPicchi!$B$12,"",DatiOriginali!C1085)</f>
        <v>1121100</v>
      </c>
      <c r="D1085" s="4">
        <v>77955</v>
      </c>
      <c r="E1085" s="4">
        <f>IF(DatiOriginali!E1085 &gt;= SogliaPicchi!$B$12,"",DatiOriginali!E1085)</f>
        <v>273200</v>
      </c>
      <c r="F1085" s="4">
        <v>2309123</v>
      </c>
      <c r="G1085" s="4">
        <f>IF(DatiOriginali!G1085 &gt;= SogliaPicchi!$B$12,"",DatiOriginali!G1085)</f>
        <v>189900</v>
      </c>
      <c r="H1085" s="4">
        <v>2863972</v>
      </c>
      <c r="I1085" s="4">
        <f>IF(DatiOriginali!I1085 &gt;= SogliaPicchi!$B$12,"",DatiOriginali!I1085)</f>
        <v>64100</v>
      </c>
      <c r="J1085" s="4">
        <v>2853127</v>
      </c>
      <c r="K1085" s="4">
        <f>IF(DatiOriginali!K1085 &gt;= SogliaPicchi!$B$12,"",DatiOriginali!K1085)</f>
        <v>72400</v>
      </c>
    </row>
    <row r="1086" spans="1:11" x14ac:dyDescent="0.3">
      <c r="A1086" s="4" t="s">
        <v>1095</v>
      </c>
      <c r="B1086" s="4">
        <v>150975</v>
      </c>
      <c r="C1086" s="4">
        <f>IF(DatiOriginali!C1086 &gt;= SogliaPicchi!$B$12,"",DatiOriginali!C1086)</f>
        <v>1276300</v>
      </c>
      <c r="D1086" s="4">
        <v>77473</v>
      </c>
      <c r="E1086" s="4">
        <f>IF(DatiOriginali!E1086 &gt;= SogliaPicchi!$B$12,"",DatiOriginali!E1086)</f>
        <v>324400</v>
      </c>
      <c r="F1086" s="4">
        <v>2313430</v>
      </c>
      <c r="G1086" s="4">
        <f>IF(DatiOriginali!G1086 &gt;= SogliaPicchi!$B$12,"",DatiOriginali!G1086)</f>
        <v>238700</v>
      </c>
      <c r="H1086" s="4">
        <v>2868748</v>
      </c>
      <c r="I1086" s="4">
        <f>IF(DatiOriginali!I1086 &gt;= SogliaPicchi!$B$12,"",DatiOriginali!I1086)</f>
        <v>75800</v>
      </c>
      <c r="J1086" s="4">
        <v>2858817</v>
      </c>
      <c r="K1086" s="4">
        <f>IF(DatiOriginali!K1086 &gt;= SogliaPicchi!$B$12,"",DatiOriginali!K1086)</f>
        <v>72100</v>
      </c>
    </row>
    <row r="1087" spans="1:11" x14ac:dyDescent="0.3">
      <c r="A1087" s="4" t="s">
        <v>1096</v>
      </c>
      <c r="B1087" s="4">
        <v>150975</v>
      </c>
      <c r="C1087" s="4">
        <f>IF(DatiOriginali!C1087 &gt;= SogliaPicchi!$B$12,"",DatiOriginali!C1087)</f>
        <v>1322300</v>
      </c>
      <c r="D1087" s="4">
        <v>71701</v>
      </c>
      <c r="E1087" s="4">
        <f>IF(DatiOriginali!E1087 &gt;= SogliaPicchi!$B$12,"",DatiOriginali!E1087)</f>
        <v>353600</v>
      </c>
      <c r="F1087" s="4">
        <v>2317754</v>
      </c>
      <c r="G1087" s="4">
        <f>IF(DatiOriginali!G1087 &gt;= SogliaPicchi!$B$12,"",DatiOriginali!G1087)</f>
        <v>216900</v>
      </c>
      <c r="H1087" s="4">
        <v>2874015</v>
      </c>
      <c r="I1087" s="4">
        <f>IF(DatiOriginali!I1087 &gt;= SogliaPicchi!$B$12,"",DatiOriginali!I1087)</f>
        <v>65300</v>
      </c>
      <c r="J1087" s="4">
        <v>2863934</v>
      </c>
      <c r="K1087" s="4">
        <f>IF(DatiOriginali!K1087 &gt;= SogliaPicchi!$B$12,"",DatiOriginali!K1087)</f>
        <v>73100</v>
      </c>
    </row>
    <row r="1088" spans="1:11" x14ac:dyDescent="0.3">
      <c r="A1088" s="4" t="s">
        <v>1097</v>
      </c>
      <c r="B1088" s="4">
        <v>150975</v>
      </c>
      <c r="C1088" s="4">
        <f>IF(DatiOriginali!C1088 &gt;= SogliaPicchi!$B$12,"",DatiOriginali!C1088)</f>
        <v>1226600</v>
      </c>
      <c r="D1088" s="4">
        <v>81666</v>
      </c>
      <c r="E1088" s="4">
        <f>IF(DatiOriginali!E1088 &gt;= SogliaPicchi!$B$12,"",DatiOriginali!E1088)</f>
        <v>284700</v>
      </c>
      <c r="F1088" s="4">
        <v>2322087</v>
      </c>
      <c r="G1088" s="4">
        <f>IF(DatiOriginali!G1088 &gt;= SogliaPicchi!$B$12,"",DatiOriginali!G1088)</f>
        <v>196200</v>
      </c>
      <c r="H1088" s="4">
        <v>2879816</v>
      </c>
      <c r="I1088" s="4">
        <f>IF(DatiOriginali!I1088 &gt;= SogliaPicchi!$B$12,"",DatiOriginali!I1088)</f>
        <v>65800</v>
      </c>
      <c r="J1088" s="4">
        <v>2869073</v>
      </c>
      <c r="K1088" s="4">
        <f>IF(DatiOriginali!K1088 &gt;= SogliaPicchi!$B$12,"",DatiOriginali!K1088)</f>
        <v>71200</v>
      </c>
    </row>
    <row r="1089" spans="1:11" x14ac:dyDescent="0.3">
      <c r="A1089" s="4" t="s">
        <v>1098</v>
      </c>
      <c r="B1089" s="4">
        <v>150975</v>
      </c>
      <c r="C1089" s="4">
        <f>IF(DatiOriginali!C1089 &gt;= SogliaPicchi!$B$12,"",DatiOriginali!C1089)</f>
        <v>1268700</v>
      </c>
      <c r="D1089" s="4">
        <v>78557</v>
      </c>
      <c r="E1089" s="4">
        <f>IF(DatiOriginali!E1089 &gt;= SogliaPicchi!$B$12,"",DatiOriginali!E1089)</f>
        <v>340500</v>
      </c>
      <c r="F1089" s="4">
        <v>2326393</v>
      </c>
      <c r="G1089" s="4">
        <f>IF(DatiOriginali!G1089 &gt;= SogliaPicchi!$B$12,"",DatiOriginali!G1089)</f>
        <v>233100</v>
      </c>
      <c r="H1089" s="4">
        <v>2884740</v>
      </c>
      <c r="I1089" s="4">
        <f>IF(DatiOriginali!I1089 &gt;= SogliaPicchi!$B$12,"",DatiOriginali!I1089)</f>
        <v>61300</v>
      </c>
      <c r="J1089" s="4">
        <v>2874786</v>
      </c>
      <c r="K1089" s="4">
        <f>IF(DatiOriginali!K1089 &gt;= SogliaPicchi!$B$12,"",DatiOriginali!K1089)</f>
        <v>70900</v>
      </c>
    </row>
    <row r="1090" spans="1:11" x14ac:dyDescent="0.3">
      <c r="A1090" s="4" t="s">
        <v>1099</v>
      </c>
      <c r="B1090" s="4">
        <v>150975</v>
      </c>
      <c r="C1090" s="4">
        <f>IF(DatiOriginali!C1090 &gt;= SogliaPicchi!$B$12,"",DatiOriginali!C1090)</f>
        <v>1262100</v>
      </c>
      <c r="D1090" s="4">
        <v>78519</v>
      </c>
      <c r="E1090" s="4">
        <f>IF(DatiOriginali!E1090 &gt;= SogliaPicchi!$B$12,"",DatiOriginali!E1090)</f>
        <v>274400</v>
      </c>
      <c r="F1090" s="4">
        <v>2330734</v>
      </c>
      <c r="G1090" s="4">
        <f>IF(DatiOriginali!G1090 &gt;= SogliaPicchi!$B$12,"",DatiOriginali!G1090)</f>
        <v>196400</v>
      </c>
      <c r="H1090" s="4">
        <v>2890630</v>
      </c>
      <c r="I1090" s="4">
        <f>IF(DatiOriginali!I1090 &gt;= SogliaPicchi!$B$12,"",DatiOriginali!I1090)</f>
        <v>63700</v>
      </c>
      <c r="J1090" s="4">
        <v>2880309</v>
      </c>
      <c r="K1090" s="4">
        <f>IF(DatiOriginali!K1090 &gt;= SogliaPicchi!$B$12,"",DatiOriginali!K1090)</f>
        <v>70900</v>
      </c>
    </row>
    <row r="1091" spans="1:11" x14ac:dyDescent="0.3">
      <c r="A1091" s="4" t="s">
        <v>1100</v>
      </c>
      <c r="B1091" s="4">
        <v>150975</v>
      </c>
      <c r="C1091" s="4">
        <f>IF(DatiOriginali!C1091 &gt;= SogliaPicchi!$B$12,"",DatiOriginali!C1091)</f>
        <v>1256500</v>
      </c>
      <c r="D1091" s="4">
        <v>73619</v>
      </c>
      <c r="E1091" s="4">
        <f>IF(DatiOriginali!E1091 &gt;= SogliaPicchi!$B$12,"",DatiOriginali!E1091)</f>
        <v>323800</v>
      </c>
      <c r="F1091" s="4">
        <v>2335067</v>
      </c>
      <c r="G1091" s="4">
        <f>IF(DatiOriginali!G1091 &gt;= SogliaPicchi!$B$12,"",DatiOriginali!G1091)</f>
        <v>252500</v>
      </c>
      <c r="H1091" s="4">
        <v>2895949</v>
      </c>
      <c r="I1091" s="4">
        <f>IF(DatiOriginali!I1091 &gt;= SogliaPicchi!$B$12,"",DatiOriginali!I1091)</f>
        <v>83000</v>
      </c>
      <c r="J1091" s="4">
        <v>2885650</v>
      </c>
      <c r="K1091" s="4">
        <f>IF(DatiOriginali!K1091 &gt;= SogliaPicchi!$B$12,"",DatiOriginali!K1091)</f>
        <v>86500</v>
      </c>
    </row>
    <row r="1092" spans="1:11" x14ac:dyDescent="0.3">
      <c r="A1092" s="4" t="s">
        <v>1101</v>
      </c>
      <c r="B1092" s="4">
        <v>150975</v>
      </c>
      <c r="C1092" s="4">
        <f>IF(DatiOriginali!C1092 &gt;= SogliaPicchi!$B$12,"",DatiOriginali!C1092)</f>
        <v>1148700</v>
      </c>
      <c r="D1092" s="4">
        <v>78713</v>
      </c>
      <c r="E1092" s="4">
        <f>IF(DatiOriginali!E1092 &gt;= SogliaPicchi!$B$12,"",DatiOriginali!E1092)</f>
        <v>275500</v>
      </c>
      <c r="F1092" s="4">
        <v>2339374</v>
      </c>
      <c r="G1092" s="4">
        <f>IF(DatiOriginali!G1092 &gt;= SogliaPicchi!$B$12,"",DatiOriginali!G1092)</f>
        <v>190900</v>
      </c>
      <c r="H1092" s="4">
        <v>2900875</v>
      </c>
      <c r="I1092" s="4">
        <f>IF(DatiOriginali!I1092 &gt;= SogliaPicchi!$B$12,"",DatiOriginali!I1092)</f>
        <v>64400</v>
      </c>
      <c r="J1092" s="4">
        <v>2890908</v>
      </c>
      <c r="K1092" s="4">
        <f>IF(DatiOriginali!K1092 &gt;= SogliaPicchi!$B$12,"",DatiOriginali!K1092)</f>
        <v>71100</v>
      </c>
    </row>
    <row r="1093" spans="1:11" x14ac:dyDescent="0.3">
      <c r="A1093" s="4" t="s">
        <v>1102</v>
      </c>
      <c r="B1093" s="4">
        <v>150975</v>
      </c>
      <c r="C1093" s="4">
        <f>IF(DatiOriginali!C1093 &gt;= SogliaPicchi!$B$12,"",DatiOriginali!C1093)</f>
        <v>1052800</v>
      </c>
      <c r="D1093" s="4">
        <v>76847</v>
      </c>
      <c r="E1093" s="4">
        <f>IF(DatiOriginali!E1093 &gt;= SogliaPicchi!$B$12,"",DatiOriginali!E1093)</f>
        <v>267600</v>
      </c>
      <c r="F1093" s="4">
        <v>2343689</v>
      </c>
      <c r="G1093" s="4">
        <f>IF(DatiOriginali!G1093 &gt;= SogliaPicchi!$B$12,"",DatiOriginali!G1093)</f>
        <v>187700</v>
      </c>
      <c r="H1093" s="4">
        <v>2905818</v>
      </c>
      <c r="I1093" s="4">
        <f>IF(DatiOriginali!I1093 &gt;= SogliaPicchi!$B$12,"",DatiOriginali!I1093)</f>
        <v>59800</v>
      </c>
      <c r="J1093" s="4">
        <v>2896294</v>
      </c>
      <c r="K1093" s="4">
        <f>IF(DatiOriginali!K1093 &gt;= SogliaPicchi!$B$12,"",DatiOriginali!K1093)</f>
        <v>70900</v>
      </c>
    </row>
    <row r="1094" spans="1:11" x14ac:dyDescent="0.3">
      <c r="A1094" s="4" t="s">
        <v>1103</v>
      </c>
      <c r="B1094" s="4">
        <v>150975</v>
      </c>
      <c r="C1094" s="4">
        <f>IF(DatiOriginali!C1094 &gt;= SogliaPicchi!$B$12,"",DatiOriginali!C1094)</f>
        <v>1064200</v>
      </c>
      <c r="D1094" s="4">
        <v>74932</v>
      </c>
      <c r="E1094" s="4">
        <f>IF(DatiOriginali!E1094 &gt;= SogliaPicchi!$B$12,"",DatiOriginali!E1094)</f>
        <v>261800</v>
      </c>
      <c r="F1094" s="4">
        <v>2348022</v>
      </c>
      <c r="G1094" s="4">
        <f>IF(DatiOriginali!G1094 &gt;= SogliaPicchi!$B$12,"",DatiOriginali!G1094)</f>
        <v>194900</v>
      </c>
      <c r="H1094" s="4">
        <v>2911427</v>
      </c>
      <c r="I1094" s="4">
        <f>IF(DatiOriginali!I1094 &gt;= SogliaPicchi!$B$12,"",DatiOriginali!I1094)</f>
        <v>62500</v>
      </c>
      <c r="J1094" s="4">
        <v>2901398</v>
      </c>
      <c r="K1094" s="4">
        <f>IF(DatiOriginali!K1094 &gt;= SogliaPicchi!$B$12,"",DatiOriginali!K1094)</f>
        <v>70000</v>
      </c>
    </row>
    <row r="1095" spans="1:11" x14ac:dyDescent="0.3">
      <c r="A1095" s="4" t="s">
        <v>1104</v>
      </c>
      <c r="B1095" s="4">
        <v>150975</v>
      </c>
      <c r="C1095" s="4">
        <f>IF(DatiOriginali!C1095 &gt;= SogliaPicchi!$B$12,"",DatiOriginali!C1095)</f>
        <v>1050500</v>
      </c>
      <c r="D1095" s="4">
        <v>77298</v>
      </c>
      <c r="E1095" s="4">
        <f>IF(DatiOriginali!E1095 &gt;= SogliaPicchi!$B$12,"",DatiOriginali!E1095)</f>
        <v>281100</v>
      </c>
      <c r="F1095" s="4">
        <v>2352345</v>
      </c>
      <c r="G1095" s="4">
        <f>IF(DatiOriginali!G1095 &gt;= SogliaPicchi!$B$12,"",DatiOriginali!G1095)</f>
        <v>191400</v>
      </c>
      <c r="H1095" s="4">
        <v>2916734</v>
      </c>
      <c r="I1095" s="4">
        <f>IF(DatiOriginali!I1095 &gt;= SogliaPicchi!$B$12,"",DatiOriginali!I1095)</f>
        <v>63800</v>
      </c>
      <c r="J1095" s="4">
        <v>2906757</v>
      </c>
      <c r="K1095" s="4">
        <f>IF(DatiOriginali!K1095 &gt;= SogliaPicchi!$B$12,"",DatiOriginali!K1095)</f>
        <v>75100</v>
      </c>
    </row>
    <row r="1096" spans="1:11" x14ac:dyDescent="0.3">
      <c r="A1096" s="4" t="s">
        <v>1105</v>
      </c>
      <c r="B1096" s="4">
        <v>150975</v>
      </c>
      <c r="C1096" s="4">
        <f>IF(DatiOriginali!C1096 &gt;= SogliaPicchi!$B$12,"",DatiOriginali!C1096)</f>
        <v>1012600</v>
      </c>
      <c r="D1096" s="4">
        <v>75773</v>
      </c>
      <c r="E1096" s="4">
        <f>IF(DatiOriginali!E1096 &gt;= SogliaPicchi!$B$12,"",DatiOriginali!E1096)</f>
        <v>264900</v>
      </c>
      <c r="F1096" s="4">
        <v>2356669</v>
      </c>
      <c r="G1096" s="4">
        <f>IF(DatiOriginali!G1096 &gt;= SogliaPicchi!$B$12,"",DatiOriginali!G1096)</f>
        <v>276000</v>
      </c>
      <c r="H1096" s="4">
        <v>2922120</v>
      </c>
      <c r="I1096" s="4">
        <f>IF(DatiOriginali!I1096 &gt;= SogliaPicchi!$B$12,"",DatiOriginali!I1096)</f>
        <v>88500</v>
      </c>
      <c r="J1096" s="4">
        <v>2911953</v>
      </c>
      <c r="K1096" s="4">
        <f>IF(DatiOriginali!K1096 &gt;= SogliaPicchi!$B$12,"",DatiOriginali!K1096)</f>
        <v>90100</v>
      </c>
    </row>
    <row r="1097" spans="1:11" x14ac:dyDescent="0.3">
      <c r="A1097" s="4" t="s">
        <v>1106</v>
      </c>
      <c r="B1097" s="4">
        <v>150975</v>
      </c>
      <c r="C1097" s="4">
        <f>IF(DatiOriginali!C1097 &gt;= SogliaPicchi!$B$12,"",DatiOriginali!C1097)</f>
        <v>1088800</v>
      </c>
      <c r="D1097" s="4">
        <v>74437</v>
      </c>
      <c r="E1097" s="4">
        <f>IF(DatiOriginali!E1097 &gt;= SogliaPicchi!$B$12,"",DatiOriginali!E1097)</f>
        <v>265000</v>
      </c>
      <c r="F1097" s="4">
        <v>2360969</v>
      </c>
      <c r="G1097" s="4">
        <f>IF(DatiOriginali!G1097 &gt;= SogliaPicchi!$B$12,"",DatiOriginali!G1097)</f>
        <v>191400</v>
      </c>
      <c r="H1097" s="4">
        <v>2927352</v>
      </c>
      <c r="I1097" s="4">
        <f>IF(DatiOriginali!I1097 &gt;= SogliaPicchi!$B$12,"",DatiOriginali!I1097)</f>
        <v>64000</v>
      </c>
      <c r="J1097" s="4">
        <v>2917167</v>
      </c>
      <c r="K1097" s="4">
        <f>IF(DatiOriginali!K1097 &gt;= SogliaPicchi!$B$12,"",DatiOriginali!K1097)</f>
        <v>71000</v>
      </c>
    </row>
    <row r="1098" spans="1:11" x14ac:dyDescent="0.3">
      <c r="A1098" s="4" t="s">
        <v>1107</v>
      </c>
      <c r="B1098" s="4">
        <v>150975</v>
      </c>
      <c r="C1098" s="4">
        <f>IF(DatiOriginali!C1098 &gt;= SogliaPicchi!$B$12,"",DatiOriginali!C1098)</f>
        <v>1268400</v>
      </c>
      <c r="D1098" s="4">
        <v>78279</v>
      </c>
      <c r="E1098" s="4">
        <f>IF(DatiOriginali!E1098 &gt;= SogliaPicchi!$B$12,"",DatiOriginali!E1098)</f>
        <v>329300</v>
      </c>
      <c r="F1098" s="4">
        <v>2365300</v>
      </c>
      <c r="G1098" s="4">
        <f>IF(DatiOriginali!G1098 &gt;= SogliaPicchi!$B$12,"",DatiOriginali!G1098)</f>
        <v>200300</v>
      </c>
      <c r="H1098" s="4">
        <v>2932390</v>
      </c>
      <c r="I1098" s="4">
        <f>IF(DatiOriginali!I1098 &gt;= SogliaPicchi!$B$12,"",DatiOriginali!I1098)</f>
        <v>62800</v>
      </c>
      <c r="J1098" s="4">
        <v>2922510</v>
      </c>
      <c r="K1098" s="4">
        <f>IF(DatiOriginali!K1098 &gt;= SogliaPicchi!$B$12,"",DatiOriginali!K1098)</f>
        <v>71600</v>
      </c>
    </row>
    <row r="1099" spans="1:11" x14ac:dyDescent="0.3">
      <c r="A1099" s="4" t="s">
        <v>1108</v>
      </c>
      <c r="B1099" s="4">
        <v>150975</v>
      </c>
      <c r="C1099" s="4">
        <f>IF(DatiOriginali!C1099 &gt;= SogliaPicchi!$B$12,"",DatiOriginali!C1099)</f>
        <v>1314900</v>
      </c>
      <c r="D1099" s="4">
        <v>73928</v>
      </c>
      <c r="E1099" s="4">
        <f>IF(DatiOriginali!E1099 &gt;= SogliaPicchi!$B$12,"",DatiOriginali!E1099)</f>
        <v>357200</v>
      </c>
      <c r="F1099" s="4">
        <v>2369605</v>
      </c>
      <c r="G1099" s="4">
        <f>IF(DatiOriginali!G1099 &gt;= SogliaPicchi!$B$12,"",DatiOriginali!G1099)</f>
        <v>194500</v>
      </c>
      <c r="H1099" s="4">
        <v>2937432</v>
      </c>
      <c r="I1099" s="4">
        <f>IF(DatiOriginali!I1099 &gt;= SogliaPicchi!$B$12,"",DatiOriginali!I1099)</f>
        <v>71400</v>
      </c>
      <c r="J1099" s="4">
        <v>2927477</v>
      </c>
      <c r="K1099" s="4">
        <f>IF(DatiOriginali!K1099 &gt;= SogliaPicchi!$B$12,"",DatiOriginali!K1099)</f>
        <v>85300</v>
      </c>
    </row>
    <row r="1100" spans="1:11" x14ac:dyDescent="0.3">
      <c r="A1100" s="4" t="s">
        <v>1109</v>
      </c>
      <c r="B1100" s="4">
        <v>150975</v>
      </c>
      <c r="C1100" s="4">
        <f>IF(DatiOriginali!C1100 &gt;= SogliaPicchi!$B$12,"",DatiOriginali!C1100)</f>
        <v>1077300</v>
      </c>
      <c r="D1100" s="4">
        <v>75733</v>
      </c>
      <c r="E1100" s="4">
        <f>IF(DatiOriginali!E1100 &gt;= SogliaPicchi!$B$12,"",DatiOriginali!E1100)</f>
        <v>272400</v>
      </c>
      <c r="F1100" s="4">
        <v>2373941</v>
      </c>
      <c r="G1100" s="4">
        <f>IF(DatiOriginali!G1100 &gt;= SogliaPicchi!$B$12,"",DatiOriginali!G1100)</f>
        <v>189300</v>
      </c>
      <c r="H1100" s="4">
        <v>2942790</v>
      </c>
      <c r="I1100" s="4">
        <f>IF(DatiOriginali!I1100 &gt;= SogliaPicchi!$B$12,"",DatiOriginali!I1100)</f>
        <v>63200</v>
      </c>
      <c r="J1100" s="4">
        <v>2932743</v>
      </c>
      <c r="K1100" s="4">
        <f>IF(DatiOriginali!K1100 &gt;= SogliaPicchi!$B$12,"",DatiOriginali!K1100)</f>
        <v>73800</v>
      </c>
    </row>
    <row r="1101" spans="1:11" x14ac:dyDescent="0.3">
      <c r="A1101" s="4" t="s">
        <v>1110</v>
      </c>
      <c r="B1101" s="4">
        <v>150975</v>
      </c>
      <c r="C1101" s="4">
        <f>IF(DatiOriginali!C1101 &gt;= SogliaPicchi!$B$12,"",DatiOriginali!C1101)</f>
        <v>1065900</v>
      </c>
      <c r="D1101" s="4">
        <v>73245</v>
      </c>
      <c r="E1101" s="4">
        <f>IF(DatiOriginali!E1101 &gt;= SogliaPicchi!$B$12,"",DatiOriginali!E1101)</f>
        <v>256500</v>
      </c>
      <c r="F1101" s="4">
        <v>2378256</v>
      </c>
      <c r="G1101" s="4">
        <f>IF(DatiOriginali!G1101 &gt;= SogliaPicchi!$B$13,"",DatiOriginali!G1101)</f>
        <v>191700</v>
      </c>
      <c r="H1101" s="4">
        <v>2948144</v>
      </c>
      <c r="I1101" s="4">
        <f>IF(DatiOriginali!I1101 &gt;= SogliaPicchi!$B$13,"",DatiOriginali!I1101)</f>
        <v>62100</v>
      </c>
      <c r="J1101" s="4">
        <v>2938145</v>
      </c>
      <c r="K1101" s="4">
        <f>IF(DatiOriginali!K1101 &gt;= SogliaPicchi!$B$13,"",DatiOriginali!K1101)</f>
        <v>69900</v>
      </c>
    </row>
    <row r="1102" spans="1:11" x14ac:dyDescent="0.3">
      <c r="A1102" s="4" t="s">
        <v>1111</v>
      </c>
      <c r="B1102" s="4">
        <v>179700</v>
      </c>
      <c r="C1102" s="4">
        <f>IF(DatiOriginali!C1102 &gt;= SogliaPicchi!$B$13,"",DatiOriginali!C1102)</f>
        <v>1461200</v>
      </c>
      <c r="D1102" s="4">
        <v>89131</v>
      </c>
      <c r="E1102" s="4">
        <f>IF(DatiOriginali!E1102 &gt;= SogliaPicchi!$B$13,"",DatiOriginali!E1102)</f>
        <v>320300</v>
      </c>
      <c r="F1102" s="4">
        <v>2383056</v>
      </c>
      <c r="G1102" s="4">
        <f>IF(DatiOriginali!G1102 &gt;= SogliaPicchi!$B$13,"",DatiOriginali!G1102)</f>
        <v>211400</v>
      </c>
      <c r="H1102" s="4">
        <v>2954344</v>
      </c>
      <c r="I1102" s="4">
        <f>IF(DatiOriginali!I1102 &gt;= SogliaPicchi!$B$13,"",DatiOriginali!I1102)</f>
        <v>71100</v>
      </c>
      <c r="J1102" s="4">
        <v>2944498</v>
      </c>
      <c r="K1102" s="4">
        <f>IF(DatiOriginali!K1102 &gt;= SogliaPicchi!$B$13,"",DatiOriginali!K1102)</f>
        <v>80600</v>
      </c>
    </row>
    <row r="1103" spans="1:11" x14ac:dyDescent="0.3">
      <c r="A1103" s="4" t="s">
        <v>1112</v>
      </c>
      <c r="B1103" s="4">
        <v>179700</v>
      </c>
      <c r="C1103" s="4">
        <f>IF(DatiOriginali!C1103 &gt;= SogliaPicchi!$B$13,"",DatiOriginali!C1103)</f>
        <v>1664000</v>
      </c>
      <c r="D1103" s="4">
        <v>85639</v>
      </c>
      <c r="E1103" s="4">
        <f>IF(DatiOriginali!E1103 &gt;= SogliaPicchi!$B$13,"",DatiOriginali!E1103)</f>
        <v>360000</v>
      </c>
      <c r="F1103" s="4">
        <v>2387851</v>
      </c>
      <c r="G1103" s="4">
        <f>IF(DatiOriginali!G1103 &gt;= SogliaPicchi!$B$13,"",DatiOriginali!G1103)</f>
        <v>251800</v>
      </c>
      <c r="H1103" s="4">
        <v>2960503</v>
      </c>
      <c r="I1103" s="4">
        <f>IF(DatiOriginali!I1103 &gt;= SogliaPicchi!$B$13,"",DatiOriginali!I1103)</f>
        <v>75900</v>
      </c>
      <c r="J1103" s="4">
        <v>2950741</v>
      </c>
      <c r="K1103" s="4">
        <f>IF(DatiOriginali!K1103 &gt;= SogliaPicchi!$B$13,"",DatiOriginali!K1103)</f>
        <v>81300</v>
      </c>
    </row>
    <row r="1104" spans="1:11" x14ac:dyDescent="0.3">
      <c r="A1104" s="4" t="s">
        <v>1113</v>
      </c>
      <c r="B1104" s="4">
        <v>179700</v>
      </c>
      <c r="C1104" s="4">
        <f>IF(DatiOriginali!C1104 &gt;= SogliaPicchi!$B$13,"",DatiOriginali!C1104)</f>
        <v>1233600</v>
      </c>
      <c r="D1104" s="4">
        <v>90059</v>
      </c>
      <c r="E1104" s="4">
        <f>IF(DatiOriginali!E1104 &gt;= SogliaPicchi!$B$13,"",DatiOriginali!E1104)</f>
        <v>314600</v>
      </c>
      <c r="F1104" s="4">
        <v>2392638</v>
      </c>
      <c r="G1104" s="4">
        <f>IF(DatiOriginali!G1104 &gt;= SogliaPicchi!$B$13,"",DatiOriginali!G1104)</f>
        <v>219500</v>
      </c>
      <c r="H1104" s="4">
        <v>2966818</v>
      </c>
      <c r="I1104" s="4">
        <f>IF(DatiOriginali!I1104 &gt;= SogliaPicchi!$B$13,"",DatiOriginali!I1104)</f>
        <v>70300</v>
      </c>
      <c r="J1104" s="4">
        <v>2956922</v>
      </c>
      <c r="K1104" s="4">
        <f>IF(DatiOriginali!K1104 &gt;= SogliaPicchi!$B$13,"",DatiOriginali!K1104)</f>
        <v>82400</v>
      </c>
    </row>
    <row r="1105" spans="1:11" x14ac:dyDescent="0.3">
      <c r="A1105" s="4" t="s">
        <v>1114</v>
      </c>
      <c r="B1105" s="4">
        <v>179700</v>
      </c>
      <c r="C1105" s="4">
        <f>IF(DatiOriginali!C1105 &gt;= SogliaPicchi!$B$13,"",DatiOriginali!C1105)</f>
        <v>1250100</v>
      </c>
      <c r="D1105" s="4">
        <v>91776</v>
      </c>
      <c r="E1105" s="4">
        <f>IF(DatiOriginali!E1105 &gt;= SogliaPicchi!$B$13,"",DatiOriginali!E1105)</f>
        <v>321400</v>
      </c>
      <c r="F1105" s="4">
        <v>2397453</v>
      </c>
      <c r="G1105" s="4">
        <f>IF(DatiOriginali!G1105 &gt;= SogliaPicchi!$B$13,"",DatiOriginali!G1105)</f>
        <v>219200</v>
      </c>
      <c r="H1105" s="4">
        <v>2973360</v>
      </c>
      <c r="I1105" s="4">
        <f>IF(DatiOriginali!I1105 &gt;= SogliaPicchi!$B$13,"",DatiOriginali!I1105)</f>
        <v>69700</v>
      </c>
      <c r="J1105" s="4">
        <v>2962916</v>
      </c>
      <c r="K1105" s="4">
        <f>IF(DatiOriginali!K1105 &gt;= SogliaPicchi!$B$13,"",DatiOriginali!K1105)</f>
        <v>81200</v>
      </c>
    </row>
    <row r="1106" spans="1:11" x14ac:dyDescent="0.3">
      <c r="A1106" s="4" t="s">
        <v>1115</v>
      </c>
      <c r="B1106" s="4">
        <v>179700</v>
      </c>
      <c r="C1106" s="4">
        <f>IF(DatiOriginali!C1106 &gt;= SogliaPicchi!$B$13,"",DatiOriginali!C1106)</f>
        <v>1322800</v>
      </c>
      <c r="D1106" s="4">
        <v>86385</v>
      </c>
      <c r="E1106" s="4">
        <f>IF(DatiOriginali!E1106 &gt;= SogliaPicchi!$B$13,"",DatiOriginali!E1106)</f>
        <v>300600</v>
      </c>
      <c r="F1106" s="4">
        <v>2402247</v>
      </c>
      <c r="G1106" s="4">
        <f>IF(DatiOriginali!G1106 &gt;= SogliaPicchi!$B$13,"",DatiOriginali!G1106)</f>
        <v>212300</v>
      </c>
      <c r="H1106" s="4">
        <v>2979409</v>
      </c>
      <c r="I1106" s="4">
        <f>IF(DatiOriginali!I1106 &gt;= SogliaPicchi!$B$13,"",DatiOriginali!I1106)</f>
        <v>71000</v>
      </c>
      <c r="J1106" s="4">
        <v>2968581</v>
      </c>
      <c r="K1106" s="4">
        <f>IF(DatiOriginali!K1106 &gt;= SogliaPicchi!$B$13,"",DatiOriginali!K1106)</f>
        <v>77000</v>
      </c>
    </row>
    <row r="1107" spans="1:11" x14ac:dyDescent="0.3">
      <c r="A1107" s="4" t="s">
        <v>1116</v>
      </c>
      <c r="B1107" s="4">
        <v>179700</v>
      </c>
      <c r="C1107" s="4">
        <f>IF(DatiOriginali!C1107 &gt;= SogliaPicchi!$B$13,"",DatiOriginali!C1107)</f>
        <v>1294100</v>
      </c>
      <c r="D1107" s="4">
        <v>88176</v>
      </c>
      <c r="E1107" s="4">
        <f>IF(DatiOriginali!E1107 &gt;= SogliaPicchi!$B$13,"",DatiOriginali!E1107)</f>
        <v>310800</v>
      </c>
      <c r="F1107" s="4">
        <v>2407035</v>
      </c>
      <c r="G1107" s="4">
        <f>IF(DatiOriginali!G1107 &gt;= SogliaPicchi!$B$13,"",DatiOriginali!G1107)</f>
        <v>209100</v>
      </c>
      <c r="H1107" s="4">
        <v>2985303</v>
      </c>
      <c r="I1107" s="4">
        <f>IF(DatiOriginali!I1107 &gt;= SogliaPicchi!$B$13,"",DatiOriginali!I1107)</f>
        <v>68700</v>
      </c>
      <c r="J1107" s="4">
        <v>2975013</v>
      </c>
      <c r="K1107" s="4">
        <f>IF(DatiOriginali!K1107 &gt;= SogliaPicchi!$B$13,"",DatiOriginali!K1107)</f>
        <v>78300</v>
      </c>
    </row>
    <row r="1108" spans="1:11" x14ac:dyDescent="0.3">
      <c r="A1108" s="4" t="s">
        <v>1117</v>
      </c>
      <c r="B1108" s="4">
        <v>179700</v>
      </c>
      <c r="C1108" s="4">
        <f>IF(DatiOriginali!C1108 &gt;= SogliaPicchi!$B$13,"",DatiOriginali!C1108)</f>
        <v>1315400</v>
      </c>
      <c r="D1108" s="4">
        <v>84947</v>
      </c>
      <c r="E1108" s="4">
        <f>IF(DatiOriginali!E1108 &gt;= SogliaPicchi!$B$13,"",DatiOriginali!E1108)</f>
        <v>308700</v>
      </c>
      <c r="F1108" s="4">
        <v>2411824</v>
      </c>
      <c r="G1108" s="4">
        <f>IF(DatiOriginali!G1108 &gt;= SogliaPicchi!$B$13,"",DatiOriginali!G1108)</f>
        <v>209600</v>
      </c>
      <c r="H1108" s="4">
        <v>2991310</v>
      </c>
      <c r="I1108" s="4">
        <f>IF(DatiOriginali!I1108 &gt;= SogliaPicchi!$B$13,"",DatiOriginali!I1108)</f>
        <v>68700</v>
      </c>
      <c r="J1108" s="4">
        <v>2980727</v>
      </c>
      <c r="K1108" s="4">
        <f>IF(DatiOriginali!K1108 &gt;= SogliaPicchi!$B$13,"",DatiOriginali!K1108)</f>
        <v>75600</v>
      </c>
    </row>
    <row r="1109" spans="1:11" x14ac:dyDescent="0.3">
      <c r="A1109" s="4" t="s">
        <v>1118</v>
      </c>
      <c r="B1109" s="4">
        <v>179700</v>
      </c>
      <c r="C1109" s="4">
        <f>IF(DatiOriginali!C1109 &gt;= SogliaPicchi!$B$13,"",DatiOriginali!C1109)</f>
        <v>1379100</v>
      </c>
      <c r="D1109" s="4">
        <v>87684</v>
      </c>
      <c r="E1109" s="4">
        <f>IF(DatiOriginali!E1109 &gt;= SogliaPicchi!$B$13,"",DatiOriginali!E1109)</f>
        <v>305200</v>
      </c>
      <c r="F1109" s="4">
        <v>2416595</v>
      </c>
      <c r="G1109" s="4">
        <f>IF(DatiOriginali!G1109 &gt;= SogliaPicchi!$B$13,"",DatiOriginali!G1109)</f>
        <v>213200</v>
      </c>
      <c r="H1109" s="4">
        <v>2996946</v>
      </c>
      <c r="I1109" s="4">
        <f>IF(DatiOriginali!I1109 &gt;= SogliaPicchi!$B$13,"",DatiOriginali!I1109)</f>
        <v>70100</v>
      </c>
      <c r="J1109" s="4">
        <v>2986697</v>
      </c>
      <c r="K1109" s="4">
        <f>IF(DatiOriginali!K1109 &gt;= SogliaPicchi!$B$13,"",DatiOriginali!K1109)</f>
        <v>75100</v>
      </c>
    </row>
    <row r="1110" spans="1:11" x14ac:dyDescent="0.3">
      <c r="A1110" s="4" t="s">
        <v>1119</v>
      </c>
      <c r="B1110" s="4">
        <v>179700</v>
      </c>
      <c r="C1110" s="4">
        <f>IF(DatiOriginali!C1110 &gt;= SogliaPicchi!$B$13,"",DatiOriginali!C1110)</f>
        <v>1300300</v>
      </c>
      <c r="D1110" s="4">
        <v>89740</v>
      </c>
      <c r="E1110" s="4">
        <f>IF(DatiOriginali!E1110 &gt;= SogliaPicchi!$B$13,"",DatiOriginali!E1110)</f>
        <v>322700</v>
      </c>
      <c r="F1110" s="4">
        <v>2421373</v>
      </c>
      <c r="G1110" s="4">
        <f>IF(DatiOriginali!G1110 &gt;= SogliaPicchi!$B$13,"",DatiOriginali!G1110)</f>
        <v>222200</v>
      </c>
      <c r="H1110" s="4">
        <v>3002559</v>
      </c>
      <c r="I1110" s="4">
        <f>IF(DatiOriginali!I1110 &gt;= SogliaPicchi!$B$13,"",DatiOriginali!I1110)</f>
        <v>69100</v>
      </c>
      <c r="J1110" s="4">
        <v>2993036</v>
      </c>
      <c r="K1110" s="4">
        <f>IF(DatiOriginali!K1110 &gt;= SogliaPicchi!$B$13,"",DatiOriginali!K1110)</f>
        <v>77800</v>
      </c>
    </row>
    <row r="1111" spans="1:11" x14ac:dyDescent="0.3">
      <c r="A1111" s="4" t="s">
        <v>1120</v>
      </c>
      <c r="B1111" s="4">
        <v>179700</v>
      </c>
      <c r="C1111" s="4">
        <f>IF(DatiOriginali!C1111 &gt;= SogliaPicchi!$B$13,"",DatiOriginali!C1111)</f>
        <v>1393700</v>
      </c>
      <c r="D1111" s="4">
        <v>91042</v>
      </c>
      <c r="E1111" s="4">
        <f>IF(DatiOriginali!E1111 &gt;= SogliaPicchi!$B$13,"",DatiOriginali!E1111)</f>
        <v>316800</v>
      </c>
      <c r="F1111" s="4">
        <v>2426166</v>
      </c>
      <c r="G1111" s="4">
        <f>IF(DatiOriginali!G1111 &gt;= SogliaPicchi!$B$13,"",DatiOriginali!G1111)</f>
        <v>212100</v>
      </c>
      <c r="H1111" s="4">
        <v>3008370</v>
      </c>
      <c r="I1111" s="4">
        <f>IF(DatiOriginali!I1111 &gt;= SogliaPicchi!$B$13,"",DatiOriginali!I1111)</f>
        <v>69800</v>
      </c>
      <c r="J1111" s="4">
        <v>2998873</v>
      </c>
      <c r="K1111" s="4">
        <f>IF(DatiOriginali!K1111 &gt;= SogliaPicchi!$B$13,"",DatiOriginali!K1111)</f>
        <v>78600</v>
      </c>
    </row>
    <row r="1112" spans="1:11" x14ac:dyDescent="0.3">
      <c r="A1112" s="4" t="s">
        <v>1121</v>
      </c>
      <c r="B1112" s="4">
        <v>179700</v>
      </c>
      <c r="C1112" s="4">
        <f>IF(DatiOriginali!C1112 &gt;= SogliaPicchi!$B$13,"",DatiOriginali!C1112)</f>
        <v>1301400</v>
      </c>
      <c r="D1112" s="4">
        <v>95267</v>
      </c>
      <c r="E1112" s="4">
        <f>IF(DatiOriginali!E1112 &gt;= SogliaPicchi!$B$13,"",DatiOriginali!E1112)</f>
        <v>393500</v>
      </c>
      <c r="F1112" s="4">
        <v>2430977</v>
      </c>
      <c r="G1112" s="4">
        <f>IF(DatiOriginali!G1112 &gt;= SogliaPicchi!$B$13,"",DatiOriginali!G1112)</f>
        <v>210000</v>
      </c>
      <c r="H1112" s="4">
        <v>3013881</v>
      </c>
      <c r="I1112" s="4">
        <f>IF(DatiOriginali!I1112 &gt;= SogliaPicchi!$B$13,"",DatiOriginali!I1112)</f>
        <v>70800</v>
      </c>
      <c r="J1112" s="4">
        <v>3004512</v>
      </c>
      <c r="K1112" s="4">
        <f>IF(DatiOriginali!K1112 &gt;= SogliaPicchi!$B$13,"",DatiOriginali!K1112)</f>
        <v>75900</v>
      </c>
    </row>
    <row r="1113" spans="1:11" x14ac:dyDescent="0.3">
      <c r="A1113" s="4" t="s">
        <v>1122</v>
      </c>
      <c r="B1113" s="4">
        <v>179700</v>
      </c>
      <c r="C1113" s="4">
        <f>IF(DatiOriginali!C1113 &gt;= SogliaPicchi!$B$13,"",DatiOriginali!C1113)</f>
        <v>1273800</v>
      </c>
      <c r="D1113" s="4">
        <v>92051</v>
      </c>
      <c r="E1113" s="4">
        <f>IF(DatiOriginali!E1113 &gt;= SogliaPicchi!$B$13,"",DatiOriginali!E1113)</f>
        <v>327700</v>
      </c>
      <c r="F1113" s="4">
        <v>2435777</v>
      </c>
      <c r="G1113" s="4">
        <f>IF(DatiOriginali!G1113 &gt;= SogliaPicchi!$B$13,"",DatiOriginali!G1113)</f>
        <v>211400</v>
      </c>
      <c r="H1113" s="4">
        <v>3019655</v>
      </c>
      <c r="I1113" s="4">
        <f>IF(DatiOriginali!I1113 &gt;= SogliaPicchi!$B$13,"",DatiOriginali!I1113)</f>
        <v>69200</v>
      </c>
      <c r="J1113" s="4">
        <v>3010251</v>
      </c>
      <c r="K1113" s="4">
        <f>IF(DatiOriginali!K1113 &gt;= SogliaPicchi!$B$13,"",DatiOriginali!K1113)</f>
        <v>77700</v>
      </c>
    </row>
    <row r="1114" spans="1:11" x14ac:dyDescent="0.3">
      <c r="A1114" s="4" t="s">
        <v>1123</v>
      </c>
      <c r="B1114" s="4">
        <v>179700</v>
      </c>
      <c r="C1114" s="4">
        <f>IF(DatiOriginali!C1114 &gt;= SogliaPicchi!$B$13,"",DatiOriginali!C1114)</f>
        <v>1312700</v>
      </c>
      <c r="D1114" s="4">
        <v>94888</v>
      </c>
      <c r="E1114" s="4">
        <f>IF(DatiOriginali!E1114 &gt;= SogliaPicchi!$B$13,"",DatiOriginali!E1114)</f>
        <v>329800</v>
      </c>
      <c r="F1114" s="4">
        <v>2440565</v>
      </c>
      <c r="G1114" s="4">
        <f>IF(DatiOriginali!G1114 &gt;= SogliaPicchi!$B$13,"",DatiOriginali!G1114)</f>
        <v>208400</v>
      </c>
      <c r="H1114" s="4">
        <v>3025534</v>
      </c>
      <c r="I1114" s="4">
        <f>IF(DatiOriginali!I1114 &gt;= SogliaPicchi!$B$13,"",DatiOriginali!I1114)</f>
        <v>71100</v>
      </c>
      <c r="J1114" s="4">
        <v>3015865</v>
      </c>
      <c r="K1114" s="4">
        <f>IF(DatiOriginali!K1114 &gt;= SogliaPicchi!$B$13,"",DatiOriginali!K1114)</f>
        <v>78800</v>
      </c>
    </row>
    <row r="1115" spans="1:11" x14ac:dyDescent="0.3">
      <c r="A1115" s="4" t="s">
        <v>1124</v>
      </c>
      <c r="B1115" s="4">
        <v>179700</v>
      </c>
      <c r="C1115" s="4">
        <f>IF(DatiOriginali!C1115 &gt;= SogliaPicchi!$B$13,"",DatiOriginali!C1115)</f>
        <v>1293200</v>
      </c>
      <c r="D1115" s="4">
        <v>90333</v>
      </c>
      <c r="E1115" s="4">
        <f>IF(DatiOriginali!E1115 &gt;= SogliaPicchi!$B$13,"",DatiOriginali!E1115)</f>
        <v>325500</v>
      </c>
      <c r="F1115" s="4">
        <v>2445370</v>
      </c>
      <c r="G1115" s="4">
        <f>IF(DatiOriginali!G1115 &gt;= SogliaPicchi!$B$13,"",DatiOriginali!G1115)</f>
        <v>224200</v>
      </c>
      <c r="H1115" s="4">
        <v>3031540</v>
      </c>
      <c r="I1115" s="4">
        <f>IF(DatiOriginali!I1115 &gt;= SogliaPicchi!$B$13,"",DatiOriginali!I1115)</f>
        <v>71000</v>
      </c>
      <c r="J1115" s="4">
        <v>3021439</v>
      </c>
      <c r="K1115" s="4">
        <f>IF(DatiOriginali!K1115 &gt;= SogliaPicchi!$B$13,"",DatiOriginali!K1115)</f>
        <v>79200</v>
      </c>
    </row>
    <row r="1116" spans="1:11" x14ac:dyDescent="0.3">
      <c r="A1116" s="4" t="s">
        <v>1125</v>
      </c>
      <c r="B1116" s="4">
        <v>179700</v>
      </c>
      <c r="C1116" s="4">
        <f>IF(DatiOriginali!C1116 &gt;= SogliaPicchi!$B$13,"",DatiOriginali!C1116)</f>
        <v>1550500</v>
      </c>
      <c r="D1116" s="4">
        <v>93259</v>
      </c>
      <c r="E1116" s="4">
        <f>IF(DatiOriginali!E1116 &gt;= SogliaPicchi!$B$13,"",DatiOriginali!E1116)</f>
        <v>329900</v>
      </c>
      <c r="F1116" s="4">
        <v>2450165</v>
      </c>
      <c r="G1116" s="4">
        <f>IF(DatiOriginali!G1116 &gt;= SogliaPicchi!$B$13,"",DatiOriginali!G1116)</f>
        <v>213000</v>
      </c>
      <c r="H1116" s="4">
        <v>3037770</v>
      </c>
      <c r="I1116" s="4">
        <f>IF(DatiOriginali!I1116 &gt;= SogliaPicchi!$B$13,"",DatiOriginali!I1116)</f>
        <v>70800</v>
      </c>
      <c r="J1116" s="4">
        <v>3027185</v>
      </c>
      <c r="K1116" s="4">
        <f>IF(DatiOriginali!K1116 &gt;= SogliaPicchi!$B$13,"",DatiOriginali!K1116)</f>
        <v>79800</v>
      </c>
    </row>
    <row r="1117" spans="1:11" x14ac:dyDescent="0.3">
      <c r="A1117" s="4" t="s">
        <v>1126</v>
      </c>
      <c r="B1117" s="4">
        <v>179700</v>
      </c>
      <c r="C1117" s="4">
        <f>IF(DatiOriginali!C1117 &gt;= SogliaPicchi!$B$13,"",DatiOriginali!C1117)</f>
        <v>1428700</v>
      </c>
      <c r="D1117" s="4">
        <v>90517</v>
      </c>
      <c r="E1117" s="4">
        <f>IF(DatiOriginali!E1117 &gt;= SogliaPicchi!$B$13,"",DatiOriginali!E1117)</f>
        <v>323500</v>
      </c>
      <c r="F1117" s="4">
        <v>2454960</v>
      </c>
      <c r="G1117" s="4">
        <f>IF(DatiOriginali!G1117 &gt;= SogliaPicchi!$B$13,"",DatiOriginali!G1117)</f>
        <v>212900</v>
      </c>
      <c r="H1117" s="4">
        <v>3043356</v>
      </c>
      <c r="I1117" s="4">
        <f>IF(DatiOriginali!I1117 &gt;= SogliaPicchi!$B$13,"",DatiOriginali!I1117)</f>
        <v>70200</v>
      </c>
      <c r="J1117" s="4">
        <v>3034721</v>
      </c>
      <c r="K1117" s="4">
        <f>IF(DatiOriginali!K1117 &gt;= SogliaPicchi!$B$13,"",DatiOriginali!K1117)</f>
        <v>83700</v>
      </c>
    </row>
    <row r="1118" spans="1:11" x14ac:dyDescent="0.3">
      <c r="A1118" s="4" t="s">
        <v>1127</v>
      </c>
      <c r="B1118" s="4">
        <v>179700</v>
      </c>
      <c r="C1118" s="4">
        <f>IF(DatiOriginali!C1118 &gt;= SogliaPicchi!$B$13,"",DatiOriginali!C1118)</f>
        <v>1493900</v>
      </c>
      <c r="D1118" s="4">
        <v>87680</v>
      </c>
      <c r="E1118" s="4">
        <f>IF(DatiOriginali!E1118 &gt;= SogliaPicchi!$B$13,"",DatiOriginali!E1118)</f>
        <v>349000</v>
      </c>
      <c r="F1118" s="4">
        <v>2459752</v>
      </c>
      <c r="G1118" s="4">
        <f>IF(DatiOriginali!G1118 &gt;= SogliaPicchi!$B$13,"",DatiOriginali!G1118)</f>
        <v>215900</v>
      </c>
      <c r="H1118" s="4">
        <v>3048935</v>
      </c>
      <c r="I1118" s="4">
        <f>IF(DatiOriginali!I1118 &gt;= SogliaPicchi!$B$13,"",DatiOriginali!I1118)</f>
        <v>68900</v>
      </c>
      <c r="J1118" s="4">
        <v>3041033</v>
      </c>
      <c r="K1118" s="4">
        <f>IF(DatiOriginali!K1118 &gt;= SogliaPicchi!$B$13,"",DatiOriginali!K1118)</f>
        <v>81200</v>
      </c>
    </row>
    <row r="1119" spans="1:11" x14ac:dyDescent="0.3">
      <c r="A1119" s="4" t="s">
        <v>1128</v>
      </c>
      <c r="B1119" s="4">
        <v>179700</v>
      </c>
      <c r="C1119" s="4">
        <f>IF(DatiOriginali!C1119 &gt;= SogliaPicchi!$B$13,"",DatiOriginali!C1119)</f>
        <v>1284800</v>
      </c>
      <c r="D1119" s="4">
        <v>92546</v>
      </c>
      <c r="E1119" s="4">
        <f>IF(DatiOriginali!E1119 &gt;= SogliaPicchi!$B$13,"",DatiOriginali!E1119)</f>
        <v>327000</v>
      </c>
      <c r="F1119" s="4">
        <v>2464569</v>
      </c>
      <c r="G1119" s="4">
        <f>IF(DatiOriginali!G1119 &gt;= SogliaPicchi!$B$13,"",DatiOriginali!G1119)</f>
        <v>208900</v>
      </c>
      <c r="H1119" s="4">
        <v>3055108</v>
      </c>
      <c r="I1119" s="4">
        <f>IF(DatiOriginali!I1119 &gt;= SogliaPicchi!$B$13,"",DatiOriginali!I1119)</f>
        <v>67500</v>
      </c>
      <c r="J1119" s="4">
        <v>3046658</v>
      </c>
      <c r="K1119" s="4">
        <f>IF(DatiOriginali!K1119 &gt;= SogliaPicchi!$B$13,"",DatiOriginali!K1119)</f>
        <v>78100</v>
      </c>
    </row>
    <row r="1120" spans="1:11" x14ac:dyDescent="0.3">
      <c r="A1120" s="4" t="s">
        <v>1129</v>
      </c>
      <c r="B1120" s="4">
        <v>179700</v>
      </c>
      <c r="C1120" s="4">
        <f>IF(DatiOriginali!C1120 &gt;= SogliaPicchi!$B$13,"",DatiOriginali!C1120)</f>
        <v>1607200</v>
      </c>
      <c r="D1120" s="4">
        <v>88167</v>
      </c>
      <c r="E1120" s="4">
        <f>IF(DatiOriginali!E1120 &gt;= SogliaPicchi!$B$13,"",DatiOriginali!E1120)</f>
        <v>421100</v>
      </c>
      <c r="F1120" s="4">
        <v>2469375</v>
      </c>
      <c r="G1120" s="4">
        <f>IF(DatiOriginali!G1120 &gt;= SogliaPicchi!$B$13,"",DatiOriginali!G1120)</f>
        <v>252700</v>
      </c>
      <c r="H1120" s="4">
        <v>3061892</v>
      </c>
      <c r="I1120" s="4">
        <f>IF(DatiOriginali!I1120 &gt;= SogliaPicchi!$B$13,"",DatiOriginali!I1120)</f>
        <v>74300</v>
      </c>
      <c r="J1120" s="4">
        <v>3052720</v>
      </c>
      <c r="K1120" s="4">
        <f>IF(DatiOriginali!K1120 &gt;= SogliaPicchi!$B$13,"",DatiOriginali!K1120)</f>
        <v>78000</v>
      </c>
    </row>
    <row r="1121" spans="1:11" x14ac:dyDescent="0.3">
      <c r="A1121" s="4" t="s">
        <v>1130</v>
      </c>
      <c r="B1121" s="4">
        <v>179700</v>
      </c>
      <c r="C1121" s="4">
        <f>IF(DatiOriginali!C1121 &gt;= SogliaPicchi!$B$13,"",DatiOriginali!C1121)</f>
        <v>1523100</v>
      </c>
      <c r="D1121" s="4">
        <v>89553</v>
      </c>
      <c r="E1121" s="4">
        <f>IF(DatiOriginali!E1121 &gt;= SogliaPicchi!$B$13,"",DatiOriginali!E1121)</f>
        <v>352200</v>
      </c>
      <c r="F1121" s="4">
        <v>2474168</v>
      </c>
      <c r="G1121" s="4">
        <f>IF(DatiOriginali!G1121 &gt;= SogliaPicchi!$B$13,"",DatiOriginali!G1121)</f>
        <v>237500</v>
      </c>
      <c r="H1121" s="4">
        <v>3067564</v>
      </c>
      <c r="I1121" s="4">
        <f>IF(DatiOriginali!I1121 &gt;= SogliaPicchi!$B$13,"",DatiOriginali!I1121)</f>
        <v>78300</v>
      </c>
      <c r="J1121" s="4">
        <v>3058555</v>
      </c>
      <c r="K1121" s="4">
        <f>IF(DatiOriginali!K1121 &gt;= SogliaPicchi!$B$13,"",DatiOriginali!K1121)</f>
        <v>89000</v>
      </c>
    </row>
    <row r="1122" spans="1:11" x14ac:dyDescent="0.3">
      <c r="A1122" s="4" t="s">
        <v>1131</v>
      </c>
      <c r="B1122" s="4">
        <v>179700</v>
      </c>
      <c r="C1122" s="4">
        <f>IF(DatiOriginali!C1122 &gt;= SogliaPicchi!$B$13,"",DatiOriginali!C1122)</f>
        <v>1255500</v>
      </c>
      <c r="D1122" s="4">
        <v>91247</v>
      </c>
      <c r="E1122" s="4">
        <f>IF(DatiOriginali!E1122 &gt;= SogliaPicchi!$B$13,"",DatiOriginali!E1122)</f>
        <v>325700</v>
      </c>
      <c r="F1122" s="4">
        <v>2478948</v>
      </c>
      <c r="G1122" s="4">
        <f>IF(DatiOriginali!G1122 &gt;= SogliaPicchi!$B$13,"",DatiOriginali!G1122)</f>
        <v>247800</v>
      </c>
      <c r="H1122" s="4">
        <v>3073660</v>
      </c>
      <c r="I1122" s="4">
        <f>IF(DatiOriginali!I1122 &gt;= SogliaPicchi!$B$13,"",DatiOriginali!I1122)</f>
        <v>69100</v>
      </c>
      <c r="J1122" s="4">
        <v>3064941</v>
      </c>
      <c r="K1122" s="4">
        <f>IF(DatiOriginali!K1122 &gt;= SogliaPicchi!$B$13,"",DatiOriginali!K1122)</f>
        <v>81100</v>
      </c>
    </row>
    <row r="1123" spans="1:11" x14ac:dyDescent="0.3">
      <c r="A1123" s="4" t="s">
        <v>1132</v>
      </c>
      <c r="B1123" s="4">
        <v>179700</v>
      </c>
      <c r="C1123" s="4">
        <f>IF(DatiOriginali!C1123 &gt;= SogliaPicchi!$B$13,"",DatiOriginali!C1123)</f>
        <v>1325500</v>
      </c>
      <c r="D1123" s="4">
        <v>89658</v>
      </c>
      <c r="E1123" s="4">
        <f>IF(DatiOriginali!E1123 &gt;= SogliaPicchi!$B$13,"",DatiOriginali!E1123)</f>
        <v>313600</v>
      </c>
      <c r="F1123" s="4">
        <v>2483730</v>
      </c>
      <c r="G1123" s="4">
        <f>IF(DatiOriginali!G1123 &gt;= SogliaPicchi!$B$13,"",DatiOriginali!G1123)</f>
        <v>210000</v>
      </c>
      <c r="H1123" s="4">
        <v>3079853</v>
      </c>
      <c r="I1123" s="4">
        <f>IF(DatiOriginali!I1123 &gt;= SogliaPicchi!$B$13,"",DatiOriginali!I1123)</f>
        <v>71400</v>
      </c>
      <c r="J1123" s="4">
        <v>3070643</v>
      </c>
      <c r="K1123" s="4">
        <f>IF(DatiOriginali!K1123 &gt;= SogliaPicchi!$B$13,"",DatiOriginali!K1123)</f>
        <v>77700</v>
      </c>
    </row>
    <row r="1124" spans="1:11" x14ac:dyDescent="0.3">
      <c r="A1124" s="4" t="s">
        <v>1133</v>
      </c>
      <c r="B1124" s="4">
        <v>179700</v>
      </c>
      <c r="C1124" s="4">
        <f>IF(DatiOriginali!C1124 &gt;= SogliaPicchi!$B$13,"",DatiOriginali!C1124)</f>
        <v>1333400</v>
      </c>
      <c r="D1124" s="4">
        <v>86116</v>
      </c>
      <c r="E1124" s="4">
        <f>IF(DatiOriginali!E1124 &gt;= SogliaPicchi!$B$13,"",DatiOriginali!E1124)</f>
        <v>299700</v>
      </c>
      <c r="F1124" s="4">
        <v>2488536</v>
      </c>
      <c r="G1124" s="4">
        <f>IF(DatiOriginali!G1124 &gt;= SogliaPicchi!$B$13,"",DatiOriginali!G1124)</f>
        <v>207200</v>
      </c>
      <c r="H1124" s="4">
        <v>3085844</v>
      </c>
      <c r="I1124" s="4">
        <f>IF(DatiOriginali!I1124 &gt;= SogliaPicchi!$B$13,"",DatiOriginali!I1124)</f>
        <v>68100</v>
      </c>
      <c r="J1124" s="4">
        <v>3076448</v>
      </c>
      <c r="K1124" s="4">
        <f>IF(DatiOriginali!K1124 &gt;= SogliaPicchi!$B$13,"",DatiOriginali!K1124)</f>
        <v>75800</v>
      </c>
    </row>
    <row r="1125" spans="1:11" x14ac:dyDescent="0.3">
      <c r="A1125" s="4" t="s">
        <v>1134</v>
      </c>
      <c r="B1125" s="4">
        <v>179700</v>
      </c>
      <c r="C1125" s="4">
        <f>IF(DatiOriginali!C1125 &gt;= SogliaPicchi!$B$13,"",DatiOriginali!C1125)</f>
        <v>1772000</v>
      </c>
      <c r="D1125" s="4">
        <v>91006</v>
      </c>
      <c r="E1125" s="4">
        <f>IF(DatiOriginali!E1125 &gt;= SogliaPicchi!$B$13,"",DatiOriginali!E1125)</f>
        <v>505200</v>
      </c>
      <c r="F1125" s="4">
        <v>2493322</v>
      </c>
      <c r="G1125" s="4">
        <f>IF(DatiOriginali!G1125 &gt;= SogliaPicchi!$B$13,"",DatiOriginali!G1125)</f>
        <v>216900</v>
      </c>
      <c r="H1125" s="4">
        <v>3091196</v>
      </c>
      <c r="I1125" s="4">
        <f>IF(DatiOriginali!I1125 &gt;= SogliaPicchi!$B$13,"",DatiOriginali!I1125)</f>
        <v>70400</v>
      </c>
      <c r="J1125" s="4">
        <v>3082477</v>
      </c>
      <c r="K1125" s="4">
        <f>IF(DatiOriginali!K1125 &gt;= SogliaPicchi!$B$13,"",DatiOriginali!K1125)</f>
        <v>78900</v>
      </c>
    </row>
    <row r="1126" spans="1:11" x14ac:dyDescent="0.3">
      <c r="A1126" s="4" t="s">
        <v>1135</v>
      </c>
      <c r="B1126" s="4">
        <v>179700</v>
      </c>
      <c r="C1126" s="4">
        <f>IF(DatiOriginali!C1126 &gt;= SogliaPicchi!$B$13,"",DatiOriginali!C1126)</f>
        <v>1263700</v>
      </c>
      <c r="D1126" s="4">
        <v>93522</v>
      </c>
      <c r="E1126" s="4">
        <f>IF(DatiOriginali!E1126 &gt;= SogliaPicchi!$B$13,"",DatiOriginali!E1126)</f>
        <v>324600</v>
      </c>
      <c r="F1126" s="4">
        <v>2498092</v>
      </c>
      <c r="G1126" s="4">
        <f>IF(DatiOriginali!G1126 &gt;= SogliaPicchi!$B$13,"",DatiOriginali!G1126)</f>
        <v>210900</v>
      </c>
      <c r="H1126" s="4">
        <v>3096916</v>
      </c>
      <c r="I1126" s="4">
        <f>IF(DatiOriginali!I1126 &gt;= SogliaPicchi!$B$13,"",DatiOriginali!I1126)</f>
        <v>69000</v>
      </c>
      <c r="J1126" s="4">
        <v>3088538</v>
      </c>
      <c r="K1126" s="4">
        <f>IF(DatiOriginali!K1126 &gt;= SogliaPicchi!$B$13,"",DatiOriginali!K1126)</f>
        <v>78000</v>
      </c>
    </row>
    <row r="1127" spans="1:11" x14ac:dyDescent="0.3">
      <c r="A1127" s="4" t="s">
        <v>1136</v>
      </c>
      <c r="B1127" s="4">
        <v>179700</v>
      </c>
      <c r="C1127" s="4">
        <f>IF(DatiOriginali!C1127 &gt;= SogliaPicchi!$B$13,"",DatiOriginali!C1127)</f>
        <v>1558800</v>
      </c>
      <c r="D1127" s="4">
        <v>94238</v>
      </c>
      <c r="E1127" s="4">
        <f>IF(DatiOriginali!E1127 &gt;= SogliaPicchi!$B$13,"",DatiOriginali!E1127)</f>
        <v>587800</v>
      </c>
      <c r="F1127" s="4">
        <v>2502905</v>
      </c>
      <c r="G1127" s="4">
        <f>IF(DatiOriginali!G1127 &gt;= SogliaPicchi!$B$13,"",DatiOriginali!G1127)</f>
        <v>327100</v>
      </c>
      <c r="H1127" s="4">
        <v>3102887</v>
      </c>
      <c r="I1127" s="4">
        <f>IF(DatiOriginali!I1127 &gt;= SogliaPicchi!$B$13,"",DatiOriginali!I1127)</f>
        <v>96000</v>
      </c>
      <c r="J1127" s="4">
        <v>3094841</v>
      </c>
      <c r="K1127" s="4">
        <f>IF(DatiOriginali!K1127 &gt;= SogliaPicchi!$B$13,"",DatiOriginali!K1127)</f>
        <v>111700</v>
      </c>
    </row>
    <row r="1128" spans="1:11" x14ac:dyDescent="0.3">
      <c r="A1128" s="4" t="s">
        <v>1137</v>
      </c>
      <c r="B1128" s="4">
        <v>179700</v>
      </c>
      <c r="C1128" s="4">
        <f>IF(DatiOriginali!C1128 &gt;= SogliaPicchi!$B$13,"",DatiOriginali!C1128)</f>
        <v>1307200</v>
      </c>
      <c r="D1128" s="4">
        <v>88855</v>
      </c>
      <c r="E1128" s="4">
        <f>IF(DatiOriginali!E1128 &gt;= SogliaPicchi!$B$13,"",DatiOriginali!E1128)</f>
        <v>311000</v>
      </c>
      <c r="F1128" s="4">
        <v>2507696</v>
      </c>
      <c r="G1128" s="4">
        <f>IF(DatiOriginali!G1128 &gt;= SogliaPicchi!$B$13,"",DatiOriginali!G1128)</f>
        <v>214700</v>
      </c>
      <c r="H1128" s="4">
        <v>3109230</v>
      </c>
      <c r="I1128" s="4">
        <f>IF(DatiOriginali!I1128 &gt;= SogliaPicchi!$B$13,"",DatiOriginali!I1128)</f>
        <v>67800</v>
      </c>
      <c r="J1128" s="4">
        <v>3100768</v>
      </c>
      <c r="K1128" s="4">
        <f>IF(DatiOriginali!K1128 &gt;= SogliaPicchi!$B$13,"",DatiOriginali!K1128)</f>
        <v>80000</v>
      </c>
    </row>
    <row r="1129" spans="1:11" x14ac:dyDescent="0.3">
      <c r="A1129" s="4" t="s">
        <v>1138</v>
      </c>
      <c r="B1129" s="4">
        <v>179700</v>
      </c>
      <c r="C1129" s="4">
        <f>IF(DatiOriginali!C1129 &gt;= SogliaPicchi!$B$13,"",DatiOriginali!C1129)</f>
        <v>1279500</v>
      </c>
      <c r="D1129" s="4">
        <v>90776</v>
      </c>
      <c r="E1129" s="4">
        <f>IF(DatiOriginali!E1129 &gt;= SogliaPicchi!$B$13,"",DatiOriginali!E1129)</f>
        <v>314800</v>
      </c>
      <c r="F1129" s="4">
        <v>2512481</v>
      </c>
      <c r="G1129" s="4">
        <f>IF(DatiOriginali!G1129 &gt;= SogliaPicchi!$B$13,"",DatiOriginali!G1129)</f>
        <v>212900</v>
      </c>
      <c r="H1129" s="4">
        <v>3116333</v>
      </c>
      <c r="I1129" s="4">
        <f>IF(DatiOriginali!I1129 &gt;= SogliaPicchi!$B$13,"",DatiOriginali!I1129)</f>
        <v>73900</v>
      </c>
      <c r="J1129" s="4">
        <v>3106497</v>
      </c>
      <c r="K1129" s="4">
        <f>IF(DatiOriginali!K1129 &gt;= SogliaPicchi!$B$13,"",DatiOriginali!K1129)</f>
        <v>75500</v>
      </c>
    </row>
    <row r="1130" spans="1:11" x14ac:dyDescent="0.3">
      <c r="A1130" s="4" t="s">
        <v>1139</v>
      </c>
      <c r="B1130" s="4">
        <v>179700</v>
      </c>
      <c r="C1130" s="4">
        <f>IF(DatiOriginali!C1130 &gt;= SogliaPicchi!$B$13,"",DatiOriginali!C1130)</f>
        <v>1418600</v>
      </c>
      <c r="D1130" s="4">
        <v>93769</v>
      </c>
      <c r="E1130" s="4">
        <f>IF(DatiOriginali!E1130 &gt;= SogliaPicchi!$B$13,"",DatiOriginali!E1130)</f>
        <v>326500</v>
      </c>
      <c r="F1130" s="4">
        <v>2517267</v>
      </c>
      <c r="G1130" s="4">
        <f>IF(DatiOriginali!G1130 &gt;= SogliaPicchi!$B$13,"",DatiOriginali!G1130)</f>
        <v>218000</v>
      </c>
      <c r="H1130" s="4">
        <v>3122048</v>
      </c>
      <c r="I1130" s="4">
        <f>IF(DatiOriginali!I1130 &gt;= SogliaPicchi!$B$13,"",DatiOriginali!I1130)</f>
        <v>67100</v>
      </c>
      <c r="J1130" s="4">
        <v>3112319</v>
      </c>
      <c r="K1130" s="4">
        <f>IF(DatiOriginali!K1130 &gt;= SogliaPicchi!$B$13,"",DatiOriginali!K1130)</f>
        <v>77200</v>
      </c>
    </row>
    <row r="1131" spans="1:11" x14ac:dyDescent="0.3">
      <c r="A1131" s="4" t="s">
        <v>1140</v>
      </c>
      <c r="B1131" s="4">
        <v>179700</v>
      </c>
      <c r="C1131" s="4">
        <f>IF(DatiOriginali!C1131 &gt;= SogliaPicchi!$B$13,"",DatiOriginali!C1131)</f>
        <v>1270200</v>
      </c>
      <c r="D1131" s="4">
        <v>90403</v>
      </c>
      <c r="E1131" s="4">
        <f>IF(DatiOriginali!E1131 &gt;= SogliaPicchi!$B$13,"",DatiOriginali!E1131)</f>
        <v>315800</v>
      </c>
      <c r="F1131" s="4">
        <v>2522066</v>
      </c>
      <c r="G1131" s="4">
        <f>IF(DatiOriginali!G1131 &gt;= SogliaPicchi!$B$13,"",DatiOriginali!G1131)</f>
        <v>211700</v>
      </c>
      <c r="H1131" s="4">
        <v>3127886</v>
      </c>
      <c r="I1131" s="4">
        <f>IF(DatiOriginali!I1131 &gt;= SogliaPicchi!$B$13,"",DatiOriginali!I1131)</f>
        <v>69900</v>
      </c>
      <c r="J1131" s="4">
        <v>3118100</v>
      </c>
      <c r="K1131" s="4">
        <f>IF(DatiOriginali!K1131 &gt;= SogliaPicchi!$B$13,"",DatiOriginali!K1131)</f>
        <v>77000</v>
      </c>
    </row>
    <row r="1132" spans="1:11" x14ac:dyDescent="0.3">
      <c r="A1132" s="4" t="s">
        <v>1141</v>
      </c>
      <c r="B1132" s="4">
        <v>179700</v>
      </c>
      <c r="C1132" s="4">
        <f>IF(DatiOriginali!C1132 &gt;= SogliaPicchi!$B$13,"",DatiOriginali!C1132)</f>
        <v>1285300</v>
      </c>
      <c r="D1132" s="4">
        <v>91613</v>
      </c>
      <c r="E1132" s="4">
        <f>IF(DatiOriginali!E1132 &gt;= SogliaPicchi!$B$13,"",DatiOriginali!E1132)</f>
        <v>322200</v>
      </c>
      <c r="F1132" s="4">
        <v>2526877</v>
      </c>
      <c r="G1132" s="4">
        <f>IF(DatiOriginali!G1132 &gt;= SogliaPicchi!$B$13,"",DatiOriginali!G1132)</f>
        <v>209900</v>
      </c>
      <c r="H1132" s="4">
        <v>3134005</v>
      </c>
      <c r="I1132" s="4">
        <f>IF(DatiOriginali!I1132 &gt;= SogliaPicchi!$B$13,"",DatiOriginali!I1132)</f>
        <v>71200</v>
      </c>
      <c r="J1132" s="4">
        <v>3124079</v>
      </c>
      <c r="K1132" s="4">
        <f>IF(DatiOriginali!K1132 &gt;= SogliaPicchi!$B$13,"",DatiOriginali!K1132)</f>
        <v>76600</v>
      </c>
    </row>
    <row r="1133" spans="1:11" x14ac:dyDescent="0.3">
      <c r="A1133" s="4" t="s">
        <v>1142</v>
      </c>
      <c r="B1133" s="4">
        <v>179700</v>
      </c>
      <c r="C1133" s="4">
        <f>IF(DatiOriginali!C1133 &gt;= SogliaPicchi!$B$13,"",DatiOriginali!C1133)</f>
        <v>1614400</v>
      </c>
      <c r="D1133" s="4">
        <v>90752</v>
      </c>
      <c r="E1133" s="4">
        <f>IF(DatiOriginali!E1133 &gt;= SogliaPicchi!$B$13,"",DatiOriginali!E1133)</f>
        <v>322000</v>
      </c>
      <c r="F1133" s="4">
        <v>2531663</v>
      </c>
      <c r="G1133" s="4">
        <f>IF(DatiOriginali!G1133 &gt;= SogliaPicchi!$B$13,"",DatiOriginali!G1133)</f>
        <v>216900</v>
      </c>
      <c r="H1133" s="4">
        <v>3139898</v>
      </c>
      <c r="I1133" s="4">
        <f>IF(DatiOriginali!I1133 &gt;= SogliaPicchi!$B$13,"",DatiOriginali!I1133)</f>
        <v>70700</v>
      </c>
      <c r="J1133" s="4">
        <v>3130218</v>
      </c>
      <c r="K1133" s="4">
        <f>IF(DatiOriginali!K1133 &gt;= SogliaPicchi!$B$13,"",DatiOriginali!K1133)</f>
        <v>94700</v>
      </c>
    </row>
    <row r="1134" spans="1:11" x14ac:dyDescent="0.3">
      <c r="A1134" s="4" t="s">
        <v>1143</v>
      </c>
      <c r="B1134" s="4">
        <v>179700</v>
      </c>
      <c r="C1134" s="4">
        <f>IF(DatiOriginali!C1134 &gt;= SogliaPicchi!$B$13,"",DatiOriginali!C1134)</f>
        <v>1590300</v>
      </c>
      <c r="D1134" s="4">
        <v>88784</v>
      </c>
      <c r="E1134" s="4">
        <f>IF(DatiOriginali!E1134 &gt;= SogliaPicchi!$B$13,"",DatiOriginali!E1134)</f>
        <v>376800</v>
      </c>
      <c r="F1134" s="4">
        <v>2536475</v>
      </c>
      <c r="G1134" s="4">
        <f>IF(DatiOriginali!G1134 &gt;= SogliaPicchi!$B$13,"",DatiOriginali!G1134)</f>
        <v>213100</v>
      </c>
      <c r="H1134" s="4">
        <v>3145911</v>
      </c>
      <c r="I1134" s="4">
        <f>IF(DatiOriginali!I1134 &gt;= SogliaPicchi!$B$13,"",DatiOriginali!I1134)</f>
        <v>69500</v>
      </c>
      <c r="J1134" s="4">
        <v>3136022</v>
      </c>
      <c r="K1134" s="4">
        <f>IF(DatiOriginali!K1134 &gt;= SogliaPicchi!$B$13,"",DatiOriginali!K1134)</f>
        <v>78700</v>
      </c>
    </row>
    <row r="1135" spans="1:11" x14ac:dyDescent="0.3">
      <c r="A1135" s="4" t="s">
        <v>1144</v>
      </c>
      <c r="B1135" s="4">
        <v>179700</v>
      </c>
      <c r="C1135" s="4">
        <f>IF(DatiOriginali!C1135 &gt;= SogliaPicchi!$B$13,"",DatiOriginali!C1135)</f>
        <v>1810000</v>
      </c>
      <c r="D1135" s="4">
        <v>85910</v>
      </c>
      <c r="E1135" s="4">
        <f>IF(DatiOriginali!E1135 &gt;= SogliaPicchi!$B$13,"",DatiOriginali!E1135)</f>
        <v>360900</v>
      </c>
      <c r="F1135" s="4">
        <v>2541262</v>
      </c>
      <c r="G1135" s="4">
        <f>IF(DatiOriginali!G1135 &gt;= SogliaPicchi!$B$13,"",DatiOriginali!G1135)</f>
        <v>259300</v>
      </c>
      <c r="H1135" s="4">
        <v>3151560</v>
      </c>
      <c r="I1135" s="4">
        <f>IF(DatiOriginali!I1135 &gt;= SogliaPicchi!$B$13,"",DatiOriginali!I1135)</f>
        <v>85600</v>
      </c>
      <c r="J1135" s="4">
        <v>3141601</v>
      </c>
      <c r="K1135" s="4">
        <f>IF(DatiOriginali!K1135 &gt;= SogliaPicchi!$B$13,"",DatiOriginali!K1135)</f>
        <v>128400</v>
      </c>
    </row>
    <row r="1136" spans="1:11" x14ac:dyDescent="0.3">
      <c r="A1136" s="4" t="s">
        <v>1145</v>
      </c>
      <c r="B1136" s="4">
        <v>179700</v>
      </c>
      <c r="C1136" s="4">
        <f>IF(DatiOriginali!C1136 &gt;= SogliaPicchi!$B$13,"",DatiOriginali!C1136)</f>
        <v>1295000</v>
      </c>
      <c r="D1136" s="4">
        <v>92269</v>
      </c>
      <c r="E1136" s="4">
        <f>IF(DatiOriginali!E1136 &gt;= SogliaPicchi!$B$13,"",DatiOriginali!E1136)</f>
        <v>356200</v>
      </c>
      <c r="F1136" s="4">
        <v>2546065</v>
      </c>
      <c r="G1136" s="4">
        <f>IF(DatiOriginali!G1136 &gt;= SogliaPicchi!$B$13,"",DatiOriginali!G1136)</f>
        <v>215300</v>
      </c>
      <c r="H1136" s="4">
        <v>3157047</v>
      </c>
      <c r="I1136" s="4">
        <f>IF(DatiOriginali!I1136 &gt;= SogliaPicchi!$B$13,"",DatiOriginali!I1136)</f>
        <v>70500</v>
      </c>
      <c r="J1136" s="4">
        <v>3147915</v>
      </c>
      <c r="K1136" s="4">
        <f>IF(DatiOriginali!K1136 &gt;= SogliaPicchi!$B$13,"",DatiOriginali!K1136)</f>
        <v>76400</v>
      </c>
    </row>
    <row r="1137" spans="1:11" x14ac:dyDescent="0.3">
      <c r="A1137" s="4" t="s">
        <v>1146</v>
      </c>
      <c r="B1137" s="4">
        <v>179700</v>
      </c>
      <c r="C1137" s="4">
        <f>IF(DatiOriginali!C1137 &gt;= SogliaPicchi!$B$13,"",DatiOriginali!C1137)</f>
        <v>1237500</v>
      </c>
      <c r="D1137" s="4">
        <v>88964</v>
      </c>
      <c r="E1137" s="4">
        <f>IF(DatiOriginali!E1137 &gt;= SogliaPicchi!$B$13,"",DatiOriginali!E1137)</f>
        <v>320300</v>
      </c>
      <c r="F1137" s="4">
        <v>2550845</v>
      </c>
      <c r="G1137" s="4">
        <f>IF(DatiOriginali!G1137 &gt;= SogliaPicchi!$B$13,"",DatiOriginali!G1137)</f>
        <v>292500</v>
      </c>
      <c r="H1137" s="4">
        <v>3162462</v>
      </c>
      <c r="I1137" s="4">
        <f>IF(DatiOriginali!I1137 &gt;= SogliaPicchi!$B$13,"",DatiOriginali!I1137)</f>
        <v>107000</v>
      </c>
      <c r="J1137" s="4">
        <v>3154072</v>
      </c>
      <c r="K1137" s="4">
        <f>IF(DatiOriginali!K1137 &gt;= SogliaPicchi!$B$13,"",DatiOriginali!K1137)</f>
        <v>87700</v>
      </c>
    </row>
    <row r="1138" spans="1:11" x14ac:dyDescent="0.3">
      <c r="A1138" s="4" t="s">
        <v>1147</v>
      </c>
      <c r="B1138" s="4">
        <v>179700</v>
      </c>
      <c r="C1138" s="4">
        <f>IF(DatiOriginali!C1138 &gt;= SogliaPicchi!$B$13,"",DatiOriginali!C1138)</f>
        <v>1261700</v>
      </c>
      <c r="D1138" s="4">
        <v>88918</v>
      </c>
      <c r="E1138" s="4">
        <f>IF(DatiOriginali!E1138 &gt;= SogliaPicchi!$B$13,"",DatiOriginali!E1138)</f>
        <v>309700</v>
      </c>
      <c r="F1138" s="4">
        <v>2555630</v>
      </c>
      <c r="G1138" s="4">
        <f>IF(DatiOriginali!G1138 &gt;= SogliaPicchi!$B$13,"",DatiOriginali!G1138)</f>
        <v>211700</v>
      </c>
      <c r="H1138" s="4">
        <v>3170091</v>
      </c>
      <c r="I1138" s="4">
        <f>IF(DatiOriginali!I1138 &gt;= SogliaPicchi!$B$13,"",DatiOriginali!I1138)</f>
        <v>68200</v>
      </c>
      <c r="J1138" s="4">
        <v>3159517</v>
      </c>
      <c r="K1138" s="4">
        <f>IF(DatiOriginali!K1138 &gt;= SogliaPicchi!$B$13,"",DatiOriginali!K1138)</f>
        <v>76300</v>
      </c>
    </row>
    <row r="1139" spans="1:11" x14ac:dyDescent="0.3">
      <c r="A1139" s="4" t="s">
        <v>1148</v>
      </c>
      <c r="B1139" s="4">
        <v>179700</v>
      </c>
      <c r="C1139" s="4">
        <f>IF(DatiOriginali!C1139 &gt;= SogliaPicchi!$B$13,"",DatiOriginali!C1139)</f>
        <v>1194700</v>
      </c>
      <c r="D1139" s="4">
        <v>92331</v>
      </c>
      <c r="E1139" s="4">
        <f>IF(DatiOriginali!E1139 &gt;= SogliaPicchi!$B$13,"",DatiOriginali!E1139)</f>
        <v>320900</v>
      </c>
      <c r="F1139" s="4">
        <v>2560419</v>
      </c>
      <c r="G1139" s="4">
        <f>IF(DatiOriginali!G1139 &gt;= SogliaPicchi!$B$13,"",DatiOriginali!G1139)</f>
        <v>217300</v>
      </c>
      <c r="H1139" s="4">
        <v>3175985</v>
      </c>
      <c r="I1139" s="4">
        <f>IF(DatiOriginali!I1139 &gt;= SogliaPicchi!$B$13,"",DatiOriginali!I1139)</f>
        <v>71500</v>
      </c>
      <c r="J1139" s="4">
        <v>3164830</v>
      </c>
      <c r="K1139" s="4">
        <f>IF(DatiOriginali!K1139 &gt;= SogliaPicchi!$B$13,"",DatiOriginali!K1139)</f>
        <v>79000</v>
      </c>
    </row>
    <row r="1140" spans="1:11" x14ac:dyDescent="0.3">
      <c r="A1140" s="4" t="s">
        <v>1149</v>
      </c>
      <c r="B1140" s="4">
        <v>179700</v>
      </c>
      <c r="C1140" s="4">
        <f>IF(DatiOriginali!C1140 &gt;= SogliaPicchi!$B$13,"",DatiOriginali!C1140)</f>
        <v>1349200</v>
      </c>
      <c r="D1140" s="4">
        <v>89809</v>
      </c>
      <c r="E1140" s="4">
        <f>IF(DatiOriginali!E1140 &gt;= SogliaPicchi!$B$13,"",DatiOriginali!E1140)</f>
        <v>323600</v>
      </c>
      <c r="F1140" s="4">
        <v>2565223</v>
      </c>
      <c r="G1140" s="4">
        <f>IF(DatiOriginali!G1140 &gt;= SogliaPicchi!$B$13,"",DatiOriginali!G1140)</f>
        <v>206500</v>
      </c>
      <c r="H1140" s="4">
        <v>3181856</v>
      </c>
      <c r="I1140" s="4">
        <f>IF(DatiOriginali!I1140 &gt;= SogliaPicchi!$B$13,"",DatiOriginali!I1140)</f>
        <v>70100</v>
      </c>
      <c r="J1140" s="4">
        <v>3171056</v>
      </c>
      <c r="K1140" s="4">
        <f>IF(DatiOriginali!K1140 &gt;= SogliaPicchi!$B$13,"",DatiOriginali!K1140)</f>
        <v>79000</v>
      </c>
    </row>
    <row r="1141" spans="1:11" x14ac:dyDescent="0.3">
      <c r="A1141" s="4" t="s">
        <v>1150</v>
      </c>
      <c r="B1141" s="4">
        <v>179700</v>
      </c>
      <c r="C1141" s="4">
        <f>IF(DatiOriginali!C1141 &gt;= SogliaPicchi!$B$13,"",DatiOriginali!C1141)</f>
        <v>1364700</v>
      </c>
      <c r="D1141" s="4">
        <v>88290</v>
      </c>
      <c r="E1141" s="4">
        <f>IF(DatiOriginali!E1141 &gt;= SogliaPicchi!$B$13,"",DatiOriginali!E1141)</f>
        <v>306900</v>
      </c>
      <c r="F1141" s="4">
        <v>2570020</v>
      </c>
      <c r="G1141" s="4">
        <f>IF(DatiOriginali!G1141 &gt;= SogliaPicchi!$B$13,"",DatiOriginali!G1141)</f>
        <v>211500</v>
      </c>
      <c r="H1141" s="4">
        <v>3187770</v>
      </c>
      <c r="I1141" s="4">
        <f>IF(DatiOriginali!I1141 &gt;= SogliaPicchi!$B$13,"",DatiOriginali!I1141)</f>
        <v>69800</v>
      </c>
      <c r="J1141" s="4">
        <v>3176754</v>
      </c>
      <c r="K1141" s="4">
        <f>IF(DatiOriginali!K1141 &gt;= SogliaPicchi!$B$13,"",DatiOriginali!K1141)</f>
        <v>77100</v>
      </c>
    </row>
    <row r="1142" spans="1:11" x14ac:dyDescent="0.3">
      <c r="A1142" s="4" t="s">
        <v>1151</v>
      </c>
      <c r="B1142" s="4">
        <v>179700</v>
      </c>
      <c r="C1142" s="4">
        <f>IF(DatiOriginali!C1142 &gt;= SogliaPicchi!$B$13,"",DatiOriginali!C1142)</f>
        <v>1344600</v>
      </c>
      <c r="D1142" s="4">
        <v>88125</v>
      </c>
      <c r="E1142" s="4">
        <f>IF(DatiOriginali!E1142 &gt;= SogliaPicchi!$B$13,"",DatiOriginali!E1142)</f>
        <v>307700</v>
      </c>
      <c r="F1142" s="4">
        <v>2574804</v>
      </c>
      <c r="G1142" s="4">
        <f>IF(DatiOriginali!G1142 &gt;= SogliaPicchi!$B$13,"",DatiOriginali!G1142)</f>
        <v>211500</v>
      </c>
      <c r="H1142" s="4">
        <v>3193647</v>
      </c>
      <c r="I1142" s="4">
        <f>IF(DatiOriginali!I1142 &gt;= SogliaPicchi!$B$13,"",DatiOriginali!I1142)</f>
        <v>69400</v>
      </c>
      <c r="J1142" s="4">
        <v>3182591</v>
      </c>
      <c r="K1142" s="4">
        <f>IF(DatiOriginali!K1142 &gt;= SogliaPicchi!$B$13,"",DatiOriginali!K1142)</f>
        <v>77600</v>
      </c>
    </row>
    <row r="1143" spans="1:11" x14ac:dyDescent="0.3">
      <c r="A1143" s="4" t="s">
        <v>1152</v>
      </c>
      <c r="B1143" s="4">
        <v>179700</v>
      </c>
      <c r="C1143" s="4">
        <f>IF(DatiOriginali!C1143 &gt;= SogliaPicchi!$B$13,"",DatiOriginali!C1143)</f>
        <v>1281800</v>
      </c>
      <c r="D1143" s="4">
        <v>93679</v>
      </c>
      <c r="E1143" s="4">
        <f>IF(DatiOriginali!E1143 &gt;= SogliaPicchi!$B$13,"",DatiOriginali!E1143)</f>
        <v>336500</v>
      </c>
      <c r="F1143" s="4">
        <v>2579579</v>
      </c>
      <c r="G1143" s="4">
        <f>IF(DatiOriginali!G1143 &gt;= SogliaPicchi!$B$13,"",DatiOriginali!G1143)</f>
        <v>216400</v>
      </c>
      <c r="H1143" s="4">
        <v>3199402</v>
      </c>
      <c r="I1143" s="4">
        <f>IF(DatiOriginali!I1143 &gt;= SogliaPicchi!$B$13,"",DatiOriginali!I1143)</f>
        <v>71300</v>
      </c>
      <c r="J1143" s="4">
        <v>3188914</v>
      </c>
      <c r="K1143" s="4">
        <f>IF(DatiOriginali!K1143 &gt;= SogliaPicchi!$B$13,"",DatiOriginali!K1143)</f>
        <v>79200</v>
      </c>
    </row>
    <row r="1144" spans="1:11" x14ac:dyDescent="0.3">
      <c r="A1144" s="4" t="s">
        <v>1153</v>
      </c>
      <c r="B1144" s="4">
        <v>179700</v>
      </c>
      <c r="C1144" s="4">
        <f>IF(DatiOriginali!C1144 &gt;= SogliaPicchi!$B$13,"",DatiOriginali!C1144)</f>
        <v>1222300</v>
      </c>
      <c r="D1144" s="4">
        <v>88818</v>
      </c>
      <c r="E1144" s="4">
        <f>IF(DatiOriginali!E1144 &gt;= SogliaPicchi!$B$13,"",DatiOriginali!E1144)</f>
        <v>309000</v>
      </c>
      <c r="F1144" s="4">
        <v>2584355</v>
      </c>
      <c r="G1144" s="4">
        <f>IF(DatiOriginali!G1144 &gt;= SogliaPicchi!$B$13,"",DatiOriginali!G1144)</f>
        <v>209800</v>
      </c>
      <c r="H1144" s="4">
        <v>3205143</v>
      </c>
      <c r="I1144" s="4">
        <f>IF(DatiOriginali!I1144 &gt;= SogliaPicchi!$B$13,"",DatiOriginali!I1144)</f>
        <v>68700</v>
      </c>
      <c r="J1144" s="4">
        <v>3194587</v>
      </c>
      <c r="K1144" s="4">
        <f>IF(DatiOriginali!K1144 &gt;= SogliaPicchi!$B$13,"",DatiOriginali!K1144)</f>
        <v>79600</v>
      </c>
    </row>
    <row r="1145" spans="1:11" x14ac:dyDescent="0.3">
      <c r="A1145" s="4" t="s">
        <v>1154</v>
      </c>
      <c r="B1145" s="4">
        <v>179700</v>
      </c>
      <c r="C1145" s="4">
        <f>IF(DatiOriginali!C1145 &gt;= SogliaPicchi!$B$13,"",DatiOriginali!C1145)</f>
        <v>1467600</v>
      </c>
      <c r="D1145" s="4">
        <v>86512</v>
      </c>
      <c r="E1145" s="4">
        <f>IF(DatiOriginali!E1145 &gt;= SogliaPicchi!$B$13,"",DatiOriginali!E1145)</f>
        <v>306600</v>
      </c>
      <c r="F1145" s="4">
        <v>2589147</v>
      </c>
      <c r="G1145" s="4">
        <f>IF(DatiOriginali!G1145 &gt;= SogliaPicchi!$B$13,"",DatiOriginali!G1145)</f>
        <v>210300</v>
      </c>
      <c r="H1145" s="4">
        <v>3210837</v>
      </c>
      <c r="I1145" s="4">
        <f>IF(DatiOriginali!I1145 &gt;= SogliaPicchi!$B$13,"",DatiOriginali!I1145)</f>
        <v>70500</v>
      </c>
      <c r="J1145" s="4">
        <v>3200471</v>
      </c>
      <c r="K1145" s="4">
        <f>IF(DatiOriginali!K1145 &gt;= SogliaPicchi!$B$13,"",DatiOriginali!K1145)</f>
        <v>78400</v>
      </c>
    </row>
    <row r="1146" spans="1:11" x14ac:dyDescent="0.3">
      <c r="A1146" s="4" t="s">
        <v>1155</v>
      </c>
      <c r="B1146" s="4">
        <v>179700</v>
      </c>
      <c r="C1146" s="4">
        <f>IF(DatiOriginali!C1146 &gt;= SogliaPicchi!$B$13,"",DatiOriginali!C1146)</f>
        <v>1279000</v>
      </c>
      <c r="D1146" s="4">
        <v>92629</v>
      </c>
      <c r="E1146" s="4">
        <f>IF(DatiOriginali!E1146 &gt;= SogliaPicchi!$B$13,"",DatiOriginali!E1146)</f>
        <v>321600</v>
      </c>
      <c r="F1146" s="4">
        <v>2593941</v>
      </c>
      <c r="G1146" s="4">
        <f>IF(DatiOriginali!G1146 &gt;= SogliaPicchi!$B$13,"",DatiOriginali!G1146)</f>
        <v>210100</v>
      </c>
      <c r="H1146" s="4">
        <v>3216548</v>
      </c>
      <c r="I1146" s="4">
        <f>IF(DatiOriginali!I1146 &gt;= SogliaPicchi!$B$13,"",DatiOriginali!I1146)</f>
        <v>69200</v>
      </c>
      <c r="J1146" s="4">
        <v>3206037</v>
      </c>
      <c r="K1146" s="4">
        <f>IF(DatiOriginali!K1146 &gt;= SogliaPicchi!$B$13,"",DatiOriginali!K1146)</f>
        <v>78300</v>
      </c>
    </row>
    <row r="1147" spans="1:11" x14ac:dyDescent="0.3">
      <c r="A1147" s="4" t="s">
        <v>1156</v>
      </c>
      <c r="B1147" s="4">
        <v>179700</v>
      </c>
      <c r="C1147" s="4">
        <f>IF(DatiOriginali!C1147 &gt;= SogliaPicchi!$B$13,"",DatiOriginali!C1147)</f>
        <v>1405300</v>
      </c>
      <c r="D1147" s="4">
        <v>88176</v>
      </c>
      <c r="E1147" s="4">
        <f>IF(DatiOriginali!E1147 &gt;= SogliaPicchi!$B$13,"",DatiOriginali!E1147)</f>
        <v>314000</v>
      </c>
      <c r="F1147" s="4">
        <v>2598722</v>
      </c>
      <c r="G1147" s="4">
        <f>IF(DatiOriginali!G1147 &gt;= SogliaPicchi!$B$13,"",DatiOriginali!G1147)</f>
        <v>211700</v>
      </c>
      <c r="H1147" s="4">
        <v>3222231</v>
      </c>
      <c r="I1147" s="4">
        <f>IF(DatiOriginali!I1147 &gt;= SogliaPicchi!$B$13,"",DatiOriginali!I1147)</f>
        <v>71500</v>
      </c>
      <c r="J1147" s="4">
        <v>3211711</v>
      </c>
      <c r="K1147" s="4">
        <f>IF(DatiOriginali!K1147 &gt;= SogliaPicchi!$B$13,"",DatiOriginali!K1147)</f>
        <v>79700</v>
      </c>
    </row>
    <row r="1148" spans="1:11" x14ac:dyDescent="0.3">
      <c r="A1148" s="4" t="s">
        <v>1157</v>
      </c>
      <c r="B1148" s="4">
        <v>179700</v>
      </c>
      <c r="C1148" s="4">
        <f>IF(DatiOriginali!C1148 &gt;= SogliaPicchi!$B$13,"",DatiOriginali!C1148)</f>
        <v>1316900</v>
      </c>
      <c r="D1148" s="4">
        <v>90763</v>
      </c>
      <c r="E1148" s="4">
        <f>IF(DatiOriginali!E1148 &gt;= SogliaPicchi!$B$13,"",DatiOriginali!E1148)</f>
        <v>317100</v>
      </c>
      <c r="F1148" s="4">
        <v>2603523</v>
      </c>
      <c r="G1148" s="4">
        <f>IF(DatiOriginali!G1148 &gt;= SogliaPicchi!$B$13,"",DatiOriginali!G1148)</f>
        <v>213200</v>
      </c>
      <c r="H1148" s="4">
        <v>3228667</v>
      </c>
      <c r="I1148" s="4">
        <f>IF(DatiOriginali!I1148 &gt;= SogliaPicchi!$B$13,"",DatiOriginali!I1148)</f>
        <v>79400</v>
      </c>
      <c r="J1148" s="4">
        <v>3217608</v>
      </c>
      <c r="K1148" s="4">
        <f>IF(DatiOriginali!K1148 &gt;= SogliaPicchi!$B$13,"",DatiOriginali!K1148)</f>
        <v>77900</v>
      </c>
    </row>
    <row r="1149" spans="1:11" x14ac:dyDescent="0.3">
      <c r="A1149" s="4" t="s">
        <v>1158</v>
      </c>
      <c r="B1149" s="4">
        <v>179700</v>
      </c>
      <c r="C1149" s="4">
        <f>IF(DatiOriginali!C1149 &gt;= SogliaPicchi!$B$13,"",DatiOriginali!C1149)</f>
        <v>1326200</v>
      </c>
      <c r="D1149" s="4">
        <v>84650</v>
      </c>
      <c r="E1149" s="4">
        <f>IF(DatiOriginali!E1149 &gt;= SogliaPicchi!$B$13,"",DatiOriginali!E1149)</f>
        <v>296000</v>
      </c>
      <c r="F1149" s="4">
        <v>2608299</v>
      </c>
      <c r="G1149" s="4">
        <f>IF(DatiOriginali!G1149 &gt;= SogliaPicchi!$B$13,"",DatiOriginali!G1149)</f>
        <v>220700</v>
      </c>
      <c r="H1149" s="4">
        <v>3234644</v>
      </c>
      <c r="I1149" s="4">
        <f>IF(DatiOriginali!I1149 &gt;= SogliaPicchi!$B$13,"",DatiOriginali!I1149)</f>
        <v>71400</v>
      </c>
      <c r="J1149" s="4">
        <v>3223632</v>
      </c>
      <c r="K1149" s="4">
        <f>IF(DatiOriginali!K1149 &gt;= SogliaPicchi!$B$13,"",DatiOriginali!K1149)</f>
        <v>78400</v>
      </c>
    </row>
    <row r="1150" spans="1:11" x14ac:dyDescent="0.3">
      <c r="A1150" s="4" t="s">
        <v>1159</v>
      </c>
      <c r="B1150" s="4">
        <v>179700</v>
      </c>
      <c r="C1150" s="4">
        <f>IF(DatiOriginali!C1150 &gt;= SogliaPicchi!$B$13,"",DatiOriginali!C1150)</f>
        <v>1640000</v>
      </c>
      <c r="D1150" s="4">
        <v>89226</v>
      </c>
      <c r="E1150" s="4">
        <f>IF(DatiOriginali!E1150 &gt;= SogliaPicchi!$B$13,"",DatiOriginali!E1150)</f>
        <v>403400</v>
      </c>
      <c r="F1150" s="4">
        <v>2613093</v>
      </c>
      <c r="G1150" s="4">
        <f>IF(DatiOriginali!G1150 &gt;= SogliaPicchi!$B$13,"",DatiOriginali!G1150)</f>
        <v>213400</v>
      </c>
      <c r="H1150" s="4">
        <v>3241544</v>
      </c>
      <c r="I1150" s="4">
        <f>IF(DatiOriginali!I1150 &gt;= SogliaPicchi!$B$13,"",DatiOriginali!I1150)</f>
        <v>71600</v>
      </c>
      <c r="J1150" s="4">
        <v>3229466</v>
      </c>
      <c r="K1150" s="4">
        <f>IF(DatiOriginali!K1150 &gt;= SogliaPicchi!$B$13,"",DatiOriginali!K1150)</f>
        <v>78500</v>
      </c>
    </row>
    <row r="1151" spans="1:11" x14ac:dyDescent="0.3">
      <c r="A1151" s="4" t="s">
        <v>1160</v>
      </c>
      <c r="B1151" s="4">
        <v>179700</v>
      </c>
      <c r="C1151" s="4">
        <f>IF(DatiOriginali!C1151 &gt;= SogliaPicchi!$B$13,"",DatiOriginali!C1151)</f>
        <v>1597600</v>
      </c>
      <c r="D1151" s="4">
        <v>92533</v>
      </c>
      <c r="E1151" s="4">
        <f>IF(DatiOriginali!E1151 &gt;= SogliaPicchi!$B$13,"",DatiOriginali!E1151)</f>
        <v>439400</v>
      </c>
      <c r="F1151" s="4">
        <v>2617870</v>
      </c>
      <c r="G1151" s="4">
        <f>IF(DatiOriginali!G1151 &gt;= SogliaPicchi!$B$13,"",DatiOriginali!G1151)</f>
        <v>283200</v>
      </c>
      <c r="H1151" s="4">
        <v>3247439</v>
      </c>
      <c r="I1151" s="4">
        <f>IF(DatiOriginali!I1151 &gt;= SogliaPicchi!$B$13,"",DatiOriginali!I1151)</f>
        <v>79600</v>
      </c>
      <c r="J1151" s="4">
        <v>3235580</v>
      </c>
      <c r="K1151" s="4">
        <f>IF(DatiOriginali!K1151 &gt;= SogliaPicchi!$B$13,"",DatiOriginali!K1151)</f>
        <v>80600</v>
      </c>
    </row>
    <row r="1152" spans="1:11" x14ac:dyDescent="0.3">
      <c r="A1152" s="4" t="s">
        <v>1161</v>
      </c>
      <c r="B1152" s="4">
        <v>179700</v>
      </c>
      <c r="C1152" s="4">
        <f>IF(DatiOriginali!C1152 &gt;= SogliaPicchi!$B$13,"",DatiOriginali!C1152)</f>
        <v>1602600</v>
      </c>
      <c r="D1152" s="4">
        <v>87373</v>
      </c>
      <c r="E1152" s="4">
        <f>IF(DatiOriginali!E1152 &gt;= SogliaPicchi!$B$13,"",DatiOriginali!E1152)</f>
        <v>503500</v>
      </c>
      <c r="F1152" s="4">
        <v>2622673</v>
      </c>
      <c r="G1152" s="4">
        <f>IF(DatiOriginali!G1152 &gt;= SogliaPicchi!$B$13,"",DatiOriginali!G1152)</f>
        <v>295200</v>
      </c>
      <c r="H1152" s="4">
        <v>3253454</v>
      </c>
      <c r="I1152" s="4">
        <f>IF(DatiOriginali!I1152 &gt;= SogliaPicchi!$B$13,"",DatiOriginali!I1152)</f>
        <v>93400</v>
      </c>
      <c r="J1152" s="4">
        <v>3241925</v>
      </c>
      <c r="K1152" s="4">
        <f>IF(DatiOriginali!K1152 &gt;= SogliaPicchi!$B$13,"",DatiOriginali!K1152)</f>
        <v>105600</v>
      </c>
    </row>
    <row r="1153" spans="1:11" x14ac:dyDescent="0.3">
      <c r="A1153" s="4" t="s">
        <v>1162</v>
      </c>
      <c r="B1153" s="4">
        <v>179700</v>
      </c>
      <c r="C1153" s="4">
        <f>IF(DatiOriginali!C1153 &gt;= SogliaPicchi!$B$13,"",DatiOriginali!C1153)</f>
        <v>1394100</v>
      </c>
      <c r="D1153" s="4">
        <v>90179</v>
      </c>
      <c r="E1153" s="4">
        <f>IF(DatiOriginali!E1153 &gt;= SogliaPicchi!$B$13,"",DatiOriginali!E1153)</f>
        <v>324200</v>
      </c>
      <c r="F1153" s="4">
        <v>2627468</v>
      </c>
      <c r="G1153" s="4">
        <f>IF(DatiOriginali!G1153 &gt;= SogliaPicchi!$B$13,"",DatiOriginali!G1153)</f>
        <v>212200</v>
      </c>
      <c r="H1153" s="4">
        <v>3260360</v>
      </c>
      <c r="I1153" s="4">
        <f>IF(DatiOriginali!I1153 &gt;= SogliaPicchi!$B$13,"",DatiOriginali!I1153)</f>
        <v>77700</v>
      </c>
      <c r="J1153" s="4">
        <v>3248007</v>
      </c>
      <c r="K1153" s="4">
        <f>IF(DatiOriginali!K1153 &gt;= SogliaPicchi!$B$13,"",DatiOriginali!K1153)</f>
        <v>81800</v>
      </c>
    </row>
    <row r="1154" spans="1:11" x14ac:dyDescent="0.3">
      <c r="A1154" s="4" t="s">
        <v>1163</v>
      </c>
      <c r="B1154" s="4">
        <v>179700</v>
      </c>
      <c r="C1154" s="4">
        <f>IF(DatiOriginali!C1154 &gt;= SogliaPicchi!$B$13,"",DatiOriginali!C1154)</f>
        <v>1548800</v>
      </c>
      <c r="D1154" s="4">
        <v>87251</v>
      </c>
      <c r="E1154" s="4">
        <f>IF(DatiOriginali!E1154 &gt;= SogliaPicchi!$B$13,"",DatiOriginali!E1154)</f>
        <v>570700</v>
      </c>
      <c r="F1154" s="4">
        <v>2632273</v>
      </c>
      <c r="G1154" s="4">
        <f>IF(DatiOriginali!G1154 &gt;= SogliaPicchi!$B$13,"",DatiOriginali!G1154)</f>
        <v>256600</v>
      </c>
      <c r="H1154" s="4">
        <v>3266413</v>
      </c>
      <c r="I1154" s="4">
        <f>IF(DatiOriginali!I1154 &gt;= SogliaPicchi!$B$13,"",DatiOriginali!I1154)</f>
        <v>74600</v>
      </c>
      <c r="J1154" s="4">
        <v>3253637</v>
      </c>
      <c r="K1154" s="4">
        <f>IF(DatiOriginali!K1154 &gt;= SogliaPicchi!$B$13,"",DatiOriginali!K1154)</f>
        <v>80300</v>
      </c>
    </row>
    <row r="1155" spans="1:11" x14ac:dyDescent="0.3">
      <c r="A1155" s="4" t="s">
        <v>1164</v>
      </c>
      <c r="B1155" s="4">
        <v>179700</v>
      </c>
      <c r="C1155" s="4">
        <f>IF(DatiOriginali!C1155 &gt;= SogliaPicchi!$B$13,"",DatiOriginali!C1155)</f>
        <v>1270400</v>
      </c>
      <c r="D1155" s="4">
        <v>87246</v>
      </c>
      <c r="E1155" s="4">
        <f>IF(DatiOriginali!E1155 &gt;= SogliaPicchi!$B$13,"",DatiOriginali!E1155)</f>
        <v>304000</v>
      </c>
      <c r="F1155" s="4">
        <v>2637068</v>
      </c>
      <c r="G1155" s="4">
        <f>IF(DatiOriginali!G1155 &gt;= SogliaPicchi!$B$13,"",DatiOriginali!G1155)</f>
        <v>209600</v>
      </c>
      <c r="H1155" s="4">
        <v>3272865</v>
      </c>
      <c r="I1155" s="4">
        <f>IF(DatiOriginali!I1155 &gt;= SogliaPicchi!$B$13,"",DatiOriginali!I1155)</f>
        <v>69100</v>
      </c>
      <c r="J1155" s="4">
        <v>3259657</v>
      </c>
      <c r="K1155" s="4">
        <f>IF(DatiOriginali!K1155 &gt;= SogliaPicchi!$B$13,"",DatiOriginali!K1155)</f>
        <v>77500</v>
      </c>
    </row>
    <row r="1156" spans="1:11" x14ac:dyDescent="0.3">
      <c r="A1156" s="4" t="s">
        <v>1165</v>
      </c>
      <c r="B1156" s="4">
        <v>179700</v>
      </c>
      <c r="C1156" s="4">
        <f>IF(DatiOriginali!C1156 &gt;= SogliaPicchi!$B$13,"",DatiOriginali!C1156)</f>
        <v>1283300</v>
      </c>
      <c r="D1156" s="4">
        <v>90873</v>
      </c>
      <c r="E1156" s="4">
        <f>IF(DatiOriginali!E1156 &gt;= SogliaPicchi!$B$13,"",DatiOriginali!E1156)</f>
        <v>314800</v>
      </c>
      <c r="F1156" s="4">
        <v>2641866</v>
      </c>
      <c r="G1156" s="4">
        <f>IF(DatiOriginali!G1156 &gt;= SogliaPicchi!$B$13,"",DatiOriginali!G1156)</f>
        <v>212200</v>
      </c>
      <c r="H1156" s="4">
        <v>3278881</v>
      </c>
      <c r="I1156" s="4">
        <f>IF(DatiOriginali!I1156 &gt;= SogliaPicchi!$B$13,"",DatiOriginali!I1156)</f>
        <v>70100</v>
      </c>
      <c r="J1156" s="4">
        <v>3266032</v>
      </c>
      <c r="K1156" s="4">
        <f>IF(DatiOriginali!K1156 &gt;= SogliaPicchi!$B$13,"",DatiOriginali!K1156)</f>
        <v>77500</v>
      </c>
    </row>
    <row r="1157" spans="1:11" x14ac:dyDescent="0.3">
      <c r="A1157" s="4" t="s">
        <v>1166</v>
      </c>
      <c r="B1157" s="4">
        <v>179700</v>
      </c>
      <c r="C1157" s="4">
        <f>IF(DatiOriginali!C1157 &gt;= SogliaPicchi!$B$13,"",DatiOriginali!C1157)</f>
        <v>1262800</v>
      </c>
      <c r="D1157" s="4">
        <v>90682</v>
      </c>
      <c r="E1157" s="4">
        <f>IF(DatiOriginali!E1157 &gt;= SogliaPicchi!$B$13,"",DatiOriginali!E1157)</f>
        <v>315800</v>
      </c>
      <c r="F1157" s="4">
        <v>2646666</v>
      </c>
      <c r="G1157" s="4">
        <f>IF(DatiOriginali!G1157 &gt;= SogliaPicchi!$B$13,"",DatiOriginali!G1157)</f>
        <v>209600</v>
      </c>
      <c r="H1157" s="4">
        <v>3285303</v>
      </c>
      <c r="I1157" s="4">
        <f>IF(DatiOriginali!I1157 &gt;= SogliaPicchi!$B$13,"",DatiOriginali!I1157)</f>
        <v>73000</v>
      </c>
      <c r="J1157" s="4">
        <v>3273032</v>
      </c>
      <c r="K1157" s="4">
        <f>IF(DatiOriginali!K1157 &gt;= SogliaPicchi!$B$13,"",DatiOriginali!K1157)</f>
        <v>78900</v>
      </c>
    </row>
    <row r="1158" spans="1:11" x14ac:dyDescent="0.3">
      <c r="A1158" s="4" t="s">
        <v>1167</v>
      </c>
      <c r="B1158" s="4">
        <v>179700</v>
      </c>
      <c r="C1158" s="4">
        <f>IF(DatiOriginali!C1158 &gt;= SogliaPicchi!$B$13,"",DatiOriginali!C1158)</f>
        <v>1342100</v>
      </c>
      <c r="D1158" s="4">
        <v>92270</v>
      </c>
      <c r="E1158" s="4">
        <f>IF(DatiOriginali!E1158 &gt;= SogliaPicchi!$B$13,"",DatiOriginali!E1158)</f>
        <v>320400</v>
      </c>
      <c r="F1158" s="4">
        <v>2651416</v>
      </c>
      <c r="G1158" s="4">
        <f>IF(DatiOriginali!G1158 &gt;= SogliaPicchi!$B$13,"",DatiOriginali!G1158)</f>
        <v>261700</v>
      </c>
      <c r="H1158" s="4">
        <v>3291253</v>
      </c>
      <c r="I1158" s="4">
        <f>IF(DatiOriginali!I1158 &gt;= SogliaPicchi!$B$13,"",DatiOriginali!I1158)</f>
        <v>69100</v>
      </c>
      <c r="J1158" s="4">
        <v>3278254</v>
      </c>
      <c r="K1158" s="4">
        <f>IF(DatiOriginali!K1158 &gt;= SogliaPicchi!$B$13,"",DatiOriginali!K1158)</f>
        <v>77000</v>
      </c>
    </row>
    <row r="1159" spans="1:11" x14ac:dyDescent="0.3">
      <c r="A1159" s="4" t="s">
        <v>1168</v>
      </c>
      <c r="B1159" s="4">
        <v>179700</v>
      </c>
      <c r="C1159" s="4">
        <f>IF(DatiOriginali!C1159 &gt;= SogliaPicchi!$B$13,"",DatiOriginali!C1159)</f>
        <v>1476200</v>
      </c>
      <c r="D1159" s="4">
        <v>90658</v>
      </c>
      <c r="E1159" s="4">
        <f>IF(DatiOriginali!E1159 &gt;= SogliaPicchi!$B$13,"",DatiOriginali!E1159)</f>
        <v>324400</v>
      </c>
      <c r="F1159" s="4">
        <v>2656219</v>
      </c>
      <c r="G1159" s="4">
        <f>IF(DatiOriginali!G1159 &gt;= SogliaPicchi!$B$13,"",DatiOriginali!G1159)</f>
        <v>214400</v>
      </c>
      <c r="H1159" s="4">
        <v>3297800</v>
      </c>
      <c r="I1159" s="4">
        <f>IF(DatiOriginali!I1159 &gt;= SogliaPicchi!$B$13,"",DatiOriginali!I1159)</f>
        <v>74400</v>
      </c>
      <c r="J1159" s="4">
        <v>3284134</v>
      </c>
      <c r="K1159" s="4">
        <f>IF(DatiOriginali!K1159 &gt;= SogliaPicchi!$B$13,"",DatiOriginali!K1159)</f>
        <v>79500</v>
      </c>
    </row>
    <row r="1160" spans="1:11" x14ac:dyDescent="0.3">
      <c r="A1160" s="4" t="s">
        <v>1169</v>
      </c>
      <c r="B1160" s="4">
        <v>179700</v>
      </c>
      <c r="C1160" s="4">
        <f>IF(DatiOriginali!C1160 &gt;= SogliaPicchi!$B$13,"",DatiOriginali!C1160)</f>
        <v>1552500</v>
      </c>
      <c r="D1160" s="4">
        <v>94692</v>
      </c>
      <c r="E1160" s="4">
        <f>IF(DatiOriginali!E1160 &gt;= SogliaPicchi!$B$13,"",DatiOriginali!E1160)</f>
        <v>461500</v>
      </c>
      <c r="F1160" s="4">
        <v>2661007</v>
      </c>
      <c r="G1160" s="4">
        <f>IF(DatiOriginali!G1160 &gt;= SogliaPicchi!$B$13,"",DatiOriginali!G1160)</f>
        <v>265500</v>
      </c>
      <c r="H1160" s="4">
        <v>3304474</v>
      </c>
      <c r="I1160" s="4">
        <f>IF(DatiOriginali!I1160 &gt;= SogliaPicchi!$B$13,"",DatiOriginali!I1160)</f>
        <v>72000</v>
      </c>
      <c r="J1160" s="4">
        <v>3290009</v>
      </c>
      <c r="K1160" s="4">
        <f>IF(DatiOriginali!K1160 &gt;= SogliaPicchi!$B$13,"",DatiOriginali!K1160)</f>
        <v>80900</v>
      </c>
    </row>
    <row r="1161" spans="1:11" x14ac:dyDescent="0.3">
      <c r="A1161" s="4" t="s">
        <v>1170</v>
      </c>
      <c r="B1161" s="4">
        <v>179700</v>
      </c>
      <c r="C1161" s="4">
        <f>IF(DatiOriginali!C1161 &gt;= SogliaPicchi!$B$13,"",DatiOriginali!C1161)</f>
        <v>1254300</v>
      </c>
      <c r="D1161" s="4">
        <v>93880</v>
      </c>
      <c r="E1161" s="4">
        <f>IF(DatiOriginali!E1161 &gt;= SogliaPicchi!$B$13,"",DatiOriginali!E1161)</f>
        <v>329100</v>
      </c>
      <c r="F1161" s="4">
        <v>2665804</v>
      </c>
      <c r="G1161" s="4">
        <f>IF(DatiOriginali!G1161 &gt;= SogliaPicchi!$B$13,"",DatiOriginali!G1161)</f>
        <v>214500</v>
      </c>
      <c r="H1161" s="4">
        <v>3310143</v>
      </c>
      <c r="I1161" s="4">
        <f>IF(DatiOriginali!I1161 &gt;= SogliaPicchi!$B$13,"",DatiOriginali!I1161)</f>
        <v>69000</v>
      </c>
      <c r="J1161" s="4">
        <v>3297119</v>
      </c>
      <c r="K1161" s="4">
        <f>IF(DatiOriginali!K1161 &gt;= SogliaPicchi!$B$13,"",DatiOriginali!K1161)</f>
        <v>84000</v>
      </c>
    </row>
    <row r="1162" spans="1:11" x14ac:dyDescent="0.3">
      <c r="A1162" s="4" t="s">
        <v>1171</v>
      </c>
      <c r="B1162" s="4">
        <v>179700</v>
      </c>
      <c r="C1162" s="4">
        <f>IF(DatiOriginali!C1162 &gt;= SogliaPicchi!$B$13,"",DatiOriginali!C1162)</f>
        <v>1289400</v>
      </c>
      <c r="D1162" s="4">
        <v>90254</v>
      </c>
      <c r="E1162" s="4">
        <f>IF(DatiOriginali!E1162 &gt;= SogliaPicchi!$B$13,"",DatiOriginali!E1162)</f>
        <v>321700</v>
      </c>
      <c r="F1162" s="4">
        <v>2670609</v>
      </c>
      <c r="G1162" s="4">
        <f>IF(DatiOriginali!G1162 &gt;= SogliaPicchi!$B$13,"",DatiOriginali!G1162)</f>
        <v>243500</v>
      </c>
      <c r="H1162" s="4">
        <v>3315525</v>
      </c>
      <c r="I1162" s="4">
        <f>IF(DatiOriginali!I1162 &gt;= SogliaPicchi!$B$13,"",DatiOriginali!I1162)</f>
        <v>69300</v>
      </c>
      <c r="J1162" s="4">
        <v>3303150</v>
      </c>
      <c r="K1162" s="4">
        <f>IF(DatiOriginali!K1162 &gt;= SogliaPicchi!$B$13,"",DatiOriginali!K1162)</f>
        <v>80500</v>
      </c>
    </row>
    <row r="1163" spans="1:11" x14ac:dyDescent="0.3">
      <c r="A1163" s="4" t="s">
        <v>1172</v>
      </c>
      <c r="B1163" s="4">
        <v>179700</v>
      </c>
      <c r="C1163" s="4">
        <f>IF(DatiOriginali!C1163 &gt;= SogliaPicchi!$B$13,"",DatiOriginali!C1163)</f>
        <v>1289500</v>
      </c>
      <c r="D1163" s="4">
        <v>91375</v>
      </c>
      <c r="E1163" s="4">
        <f>IF(DatiOriginali!E1163 &gt;= SogliaPicchi!$B$13,"",DatiOriginali!E1163)</f>
        <v>317600</v>
      </c>
      <c r="F1163" s="4">
        <v>2675404</v>
      </c>
      <c r="G1163" s="4">
        <f>IF(DatiOriginali!G1163 &gt;= SogliaPicchi!$B$13,"",DatiOriginali!G1163)</f>
        <v>213400</v>
      </c>
      <c r="H1163" s="4">
        <v>3321503</v>
      </c>
      <c r="I1163" s="4">
        <f>IF(DatiOriginali!I1163 &gt;= SogliaPicchi!$B$13,"",DatiOriginali!I1163)</f>
        <v>69200</v>
      </c>
      <c r="J1163" s="4">
        <v>3309567</v>
      </c>
      <c r="K1163" s="4">
        <f>IF(DatiOriginali!K1163 &gt;= SogliaPicchi!$B$13,"",DatiOriginali!K1163)</f>
        <v>78100</v>
      </c>
    </row>
    <row r="1164" spans="1:11" x14ac:dyDescent="0.3">
      <c r="A1164" s="4" t="s">
        <v>1173</v>
      </c>
      <c r="B1164" s="4">
        <v>179700</v>
      </c>
      <c r="C1164" s="4">
        <f>IF(DatiOriginali!C1164 &gt;= SogliaPicchi!$B$13,"",DatiOriginali!C1164)</f>
        <v>1261900</v>
      </c>
      <c r="D1164" s="4">
        <v>93211</v>
      </c>
      <c r="E1164" s="4">
        <f>IF(DatiOriginali!E1164 &gt;= SogliaPicchi!$B$13,"",DatiOriginali!E1164)</f>
        <v>324000</v>
      </c>
      <c r="F1164" s="4">
        <v>2680190</v>
      </c>
      <c r="G1164" s="4">
        <f>IF(DatiOriginali!G1164 &gt;= SogliaPicchi!$B$13,"",DatiOriginali!G1164)</f>
        <v>215400</v>
      </c>
      <c r="H1164" s="4">
        <v>3327502</v>
      </c>
      <c r="I1164" s="4">
        <f>IF(DatiOriginali!I1164 &gt;= SogliaPicchi!$B$13,"",DatiOriginali!I1164)</f>
        <v>69200</v>
      </c>
      <c r="J1164" s="4">
        <v>3315425</v>
      </c>
      <c r="K1164" s="4">
        <f>IF(DatiOriginali!K1164 &gt;= SogliaPicchi!$B$13,"",DatiOriginali!K1164)</f>
        <v>77300</v>
      </c>
    </row>
    <row r="1165" spans="1:11" x14ac:dyDescent="0.3">
      <c r="A1165" s="4" t="s">
        <v>1174</v>
      </c>
      <c r="B1165" s="4">
        <v>179700</v>
      </c>
      <c r="C1165" s="4">
        <f>IF(DatiOriginali!C1165 &gt;= SogliaPicchi!$B$13,"",DatiOriginali!C1165)</f>
        <v>1410900</v>
      </c>
      <c r="D1165" s="4">
        <v>90003</v>
      </c>
      <c r="E1165" s="4">
        <f>IF(DatiOriginali!E1165 &gt;= SogliaPicchi!$B$13,"",DatiOriginali!E1165)</f>
        <v>326000</v>
      </c>
      <c r="F1165" s="4">
        <v>2684999</v>
      </c>
      <c r="G1165" s="4">
        <f>IF(DatiOriginali!G1165 &gt;= SogliaPicchi!$B$13,"",DatiOriginali!G1165)</f>
        <v>211200</v>
      </c>
      <c r="H1165" s="4">
        <v>3333214</v>
      </c>
      <c r="I1165" s="4">
        <f>IF(DatiOriginali!I1165 &gt;= SogliaPicchi!$B$13,"",DatiOriginali!I1165)</f>
        <v>69700</v>
      </c>
      <c r="J1165" s="4">
        <v>3320782</v>
      </c>
      <c r="K1165" s="4">
        <f>IF(DatiOriginali!K1165 &gt;= SogliaPicchi!$B$13,"",DatiOriginali!K1165)</f>
        <v>78700</v>
      </c>
    </row>
    <row r="1166" spans="1:11" x14ac:dyDescent="0.3">
      <c r="A1166" s="4" t="s">
        <v>1175</v>
      </c>
      <c r="B1166" s="4">
        <v>179700</v>
      </c>
      <c r="C1166" s="4">
        <f>IF(DatiOriginali!C1166 &gt;= SogliaPicchi!$B$13,"",DatiOriginali!C1166)</f>
        <v>1561200</v>
      </c>
      <c r="D1166" s="4">
        <v>93227</v>
      </c>
      <c r="E1166" s="4">
        <f>IF(DatiOriginali!E1166 &gt;= SogliaPicchi!$B$13,"",DatiOriginali!E1166)</f>
        <v>330200</v>
      </c>
      <c r="F1166" s="4">
        <v>2689793</v>
      </c>
      <c r="G1166" s="4">
        <f>IF(DatiOriginali!G1166 &gt;= SogliaPicchi!$B$13,"",DatiOriginali!G1166)</f>
        <v>214700</v>
      </c>
      <c r="H1166" s="4">
        <v>3339197</v>
      </c>
      <c r="I1166" s="4">
        <f>IF(DatiOriginali!I1166 &gt;= SogliaPicchi!$B$13,"",DatiOriginali!I1166)</f>
        <v>70400</v>
      </c>
      <c r="J1166" s="4">
        <v>3326488</v>
      </c>
      <c r="K1166" s="4">
        <f>IF(DatiOriginali!K1166 &gt;= SogliaPicchi!$B$13,"",DatiOriginali!K1166)</f>
        <v>77800</v>
      </c>
    </row>
    <row r="1167" spans="1:11" x14ac:dyDescent="0.3">
      <c r="A1167" s="4" t="s">
        <v>1176</v>
      </c>
      <c r="B1167" s="4">
        <v>179700</v>
      </c>
      <c r="C1167" s="4">
        <f>IF(DatiOriginali!C1167 &gt;= SogliaPicchi!$B$13,"",DatiOriginali!C1167)</f>
        <v>1330800</v>
      </c>
      <c r="D1167" s="4">
        <v>91236</v>
      </c>
      <c r="E1167" s="4">
        <f>IF(DatiOriginali!E1167 &gt;= SogliaPicchi!$B$13,"",DatiOriginali!E1167)</f>
        <v>327000</v>
      </c>
      <c r="F1167" s="4">
        <v>2694590</v>
      </c>
      <c r="G1167" s="4">
        <f>IF(DatiOriginali!G1167 &gt;= SogliaPicchi!$B$13,"",DatiOriginali!G1167)</f>
        <v>208300</v>
      </c>
      <c r="H1167" s="4">
        <v>3344650</v>
      </c>
      <c r="I1167" s="4">
        <f>IF(DatiOriginali!I1167 &gt;= SogliaPicchi!$B$13,"",DatiOriginali!I1167)</f>
        <v>68300</v>
      </c>
      <c r="J1167" s="4">
        <v>3332038</v>
      </c>
      <c r="K1167" s="4">
        <f>IF(DatiOriginali!K1167 &gt;= SogliaPicchi!$B$13,"",DatiOriginali!K1167)</f>
        <v>84300</v>
      </c>
    </row>
    <row r="1168" spans="1:11" x14ac:dyDescent="0.3">
      <c r="A1168" s="4" t="s">
        <v>1177</v>
      </c>
      <c r="B1168" s="4">
        <v>179700</v>
      </c>
      <c r="C1168" s="4">
        <f>IF(DatiOriginali!C1168 &gt;= SogliaPicchi!$B$13,"",DatiOriginali!C1168)</f>
        <v>1584900</v>
      </c>
      <c r="D1168" s="4">
        <v>89560</v>
      </c>
      <c r="E1168" s="4">
        <f>IF(DatiOriginali!E1168 &gt;= SogliaPicchi!$B$13,"",DatiOriginali!E1168)</f>
        <v>336000</v>
      </c>
      <c r="F1168" s="4">
        <v>2699385</v>
      </c>
      <c r="G1168" s="4">
        <f>IF(DatiOriginali!G1168 &gt;= SogliaPicchi!$B$13,"",DatiOriginali!G1168)</f>
        <v>209700</v>
      </c>
      <c r="H1168" s="4">
        <v>3351120</v>
      </c>
      <c r="I1168" s="4">
        <f>IF(DatiOriginali!I1168 &gt;= SogliaPicchi!$B$13,"",DatiOriginali!I1168)</f>
        <v>71500</v>
      </c>
      <c r="J1168" s="4">
        <v>3337900</v>
      </c>
      <c r="K1168" s="4">
        <f>IF(DatiOriginali!K1168 &gt;= SogliaPicchi!$B$13,"",DatiOriginali!K1168)</f>
        <v>79700</v>
      </c>
    </row>
    <row r="1169" spans="1:11" x14ac:dyDescent="0.3">
      <c r="A1169" s="4" t="s">
        <v>1178</v>
      </c>
      <c r="B1169" s="4">
        <v>179700</v>
      </c>
      <c r="C1169" s="4">
        <f>IF(DatiOriginali!C1169 &gt;= SogliaPicchi!$B$13,"",DatiOriginali!C1169)</f>
        <v>1610600</v>
      </c>
      <c r="D1169" s="4">
        <v>89909</v>
      </c>
      <c r="E1169" s="4">
        <f>IF(DatiOriginali!E1169 &gt;= SogliaPicchi!$B$13,"",DatiOriginali!E1169)</f>
        <v>399500</v>
      </c>
      <c r="F1169" s="4">
        <v>2704172</v>
      </c>
      <c r="G1169" s="4">
        <f>IF(DatiOriginali!G1169 &gt;= SogliaPicchi!$B$13,"",DatiOriginali!G1169)</f>
        <v>211100</v>
      </c>
      <c r="H1169" s="4">
        <v>3357454</v>
      </c>
      <c r="I1169" s="4">
        <f>IF(DatiOriginali!I1169 &gt;= SogliaPicchi!$B$13,"",DatiOriginali!I1169)</f>
        <v>72200</v>
      </c>
      <c r="J1169" s="4">
        <v>3343672</v>
      </c>
      <c r="K1169" s="4">
        <f>IF(DatiOriginali!K1169 &gt;= SogliaPicchi!$B$13,"",DatiOriginali!K1169)</f>
        <v>80000</v>
      </c>
    </row>
    <row r="1170" spans="1:11" x14ac:dyDescent="0.3">
      <c r="A1170" s="4" t="s">
        <v>1179</v>
      </c>
      <c r="B1170" s="4">
        <v>179700</v>
      </c>
      <c r="C1170" s="4">
        <f>IF(DatiOriginali!C1170 &gt;= SogliaPicchi!$B$13,"",DatiOriginali!C1170)</f>
        <v>1538500</v>
      </c>
      <c r="D1170" s="4">
        <v>89340</v>
      </c>
      <c r="E1170" s="4">
        <f>IF(DatiOriginali!E1170 &gt;= SogliaPicchi!$B$13,"",DatiOriginali!E1170)</f>
        <v>350300</v>
      </c>
      <c r="F1170" s="4">
        <v>2708953</v>
      </c>
      <c r="G1170" s="4">
        <f>IF(DatiOriginali!G1170 &gt;= SogliaPicchi!$B$13,"",DatiOriginali!G1170)</f>
        <v>212700</v>
      </c>
      <c r="H1170" s="4">
        <v>3362935</v>
      </c>
      <c r="I1170" s="4">
        <f>IF(DatiOriginali!I1170 &gt;= SogliaPicchi!$B$13,"",DatiOriginali!I1170)</f>
        <v>71700</v>
      </c>
      <c r="J1170" s="4">
        <v>3349595</v>
      </c>
      <c r="K1170" s="4">
        <f>IF(DatiOriginali!K1170 &gt;= SogliaPicchi!$B$13,"",DatiOriginali!K1170)</f>
        <v>79100</v>
      </c>
    </row>
    <row r="1171" spans="1:11" x14ac:dyDescent="0.3">
      <c r="A1171" s="4" t="s">
        <v>1180</v>
      </c>
      <c r="B1171" s="4">
        <v>179700</v>
      </c>
      <c r="C1171" s="4">
        <f>IF(DatiOriginali!C1171 &gt;= SogliaPicchi!$B$13,"",DatiOriginali!C1171)</f>
        <v>1463000</v>
      </c>
      <c r="D1171" s="4">
        <v>86586</v>
      </c>
      <c r="E1171" s="4">
        <f>IF(DatiOriginali!E1171 &gt;= SogliaPicchi!$B$13,"",DatiOriginali!E1171)</f>
        <v>320000</v>
      </c>
      <c r="F1171" s="4">
        <v>2713746</v>
      </c>
      <c r="G1171" s="4">
        <f>IF(DatiOriginali!G1171 &gt;= SogliaPicchi!$B$13,"",DatiOriginali!G1171)</f>
        <v>234800</v>
      </c>
      <c r="H1171" s="4">
        <v>3369124</v>
      </c>
      <c r="I1171" s="4">
        <f>IF(DatiOriginali!I1171 &gt;= SogliaPicchi!$B$13,"",DatiOriginali!I1171)</f>
        <v>74300</v>
      </c>
      <c r="J1171" s="4">
        <v>3354972</v>
      </c>
      <c r="K1171" s="4">
        <f>IF(DatiOriginali!K1171 &gt;= SogliaPicchi!$B$13,"",DatiOriginali!K1171)</f>
        <v>79300</v>
      </c>
    </row>
    <row r="1172" spans="1:11" x14ac:dyDescent="0.3">
      <c r="A1172" s="4" t="s">
        <v>1181</v>
      </c>
      <c r="B1172" s="4">
        <v>179700</v>
      </c>
      <c r="C1172" s="4">
        <f>IF(DatiOriginali!C1172 &gt;= SogliaPicchi!$B$13,"",DatiOriginali!C1172)</f>
        <v>1578900</v>
      </c>
      <c r="D1172" s="4">
        <v>92605</v>
      </c>
      <c r="E1172" s="4">
        <f>IF(DatiOriginali!E1172 &gt;= SogliaPicchi!$B$13,"",DatiOriginali!E1172)</f>
        <v>441700</v>
      </c>
      <c r="F1172" s="4">
        <v>2718572</v>
      </c>
      <c r="G1172" s="4">
        <f>IF(DatiOriginali!G1172 &gt;= SogliaPicchi!$B$13,"",DatiOriginali!G1172)</f>
        <v>284800</v>
      </c>
      <c r="H1172" s="4">
        <v>3374913</v>
      </c>
      <c r="I1172" s="4">
        <f>IF(DatiOriginali!I1172 &gt;= SogliaPicchi!$B$13,"",DatiOriginali!I1172)</f>
        <v>74600</v>
      </c>
      <c r="J1172" s="4">
        <v>3360911</v>
      </c>
      <c r="K1172" s="4">
        <f>IF(DatiOriginali!K1172 &gt;= SogliaPicchi!$B$13,"",DatiOriginali!K1172)</f>
        <v>77400</v>
      </c>
    </row>
    <row r="1173" spans="1:11" x14ac:dyDescent="0.3">
      <c r="A1173" s="4" t="s">
        <v>1182</v>
      </c>
      <c r="B1173" s="4">
        <v>179700</v>
      </c>
      <c r="C1173" s="4">
        <f>IF(DatiOriginali!C1173 &gt;= SogliaPicchi!$B$13,"",DatiOriginali!C1173)</f>
        <v>1431900</v>
      </c>
      <c r="D1173" s="4">
        <v>90913</v>
      </c>
      <c r="E1173" s="4">
        <f>IF(DatiOriginali!E1173 &gt;= SogliaPicchi!$B$13,"",DatiOriginali!E1173)</f>
        <v>322300</v>
      </c>
      <c r="F1173" s="4">
        <v>2723380</v>
      </c>
      <c r="G1173" s="4">
        <f>IF(DatiOriginali!G1173 &gt;= SogliaPicchi!$B$13,"",DatiOriginali!G1173)</f>
        <v>212400</v>
      </c>
      <c r="H1173" s="4">
        <v>3380741</v>
      </c>
      <c r="I1173" s="4">
        <f>IF(DatiOriginali!I1173 &gt;= SogliaPicchi!$B$13,"",DatiOriginali!I1173)</f>
        <v>68500</v>
      </c>
      <c r="J1173" s="4">
        <v>3367138</v>
      </c>
      <c r="K1173" s="4">
        <f>IF(DatiOriginali!K1173 &gt;= SogliaPicchi!$B$13,"",DatiOriginali!K1173)</f>
        <v>81200</v>
      </c>
    </row>
    <row r="1174" spans="1:11" x14ac:dyDescent="0.3">
      <c r="A1174" s="4" t="s">
        <v>1183</v>
      </c>
      <c r="B1174" s="4">
        <v>179700</v>
      </c>
      <c r="C1174" s="4">
        <f>IF(DatiOriginali!C1174 &gt;= SogliaPicchi!$B$13,"",DatiOriginali!C1174)</f>
        <v>1275400</v>
      </c>
      <c r="D1174" s="4">
        <v>88330</v>
      </c>
      <c r="E1174" s="4">
        <f>IF(DatiOriginali!E1174 &gt;= SogliaPicchi!$B$13,"",DatiOriginali!E1174)</f>
        <v>310900</v>
      </c>
      <c r="F1174" s="4">
        <v>2728155</v>
      </c>
      <c r="G1174" s="4">
        <f>IF(DatiOriginali!G1174 &gt;= SogliaPicchi!$B$13,"",DatiOriginali!G1174)</f>
        <v>208100</v>
      </c>
      <c r="H1174" s="4">
        <v>3387110</v>
      </c>
      <c r="I1174" s="4">
        <f>IF(DatiOriginali!I1174 &gt;= SogliaPicchi!$B$13,"",DatiOriginali!I1174)</f>
        <v>69300</v>
      </c>
      <c r="J1174" s="4">
        <v>3372718</v>
      </c>
      <c r="K1174" s="4">
        <f>IF(DatiOriginali!K1174 &gt;= SogliaPicchi!$B$13,"",DatiOriginali!K1174)</f>
        <v>78300</v>
      </c>
    </row>
    <row r="1175" spans="1:11" x14ac:dyDescent="0.3">
      <c r="A1175" s="4" t="s">
        <v>1184</v>
      </c>
      <c r="B1175" s="4">
        <v>179700</v>
      </c>
      <c r="C1175" s="4">
        <f>IF(DatiOriginali!C1175 &gt;= SogliaPicchi!$B$13,"",DatiOriginali!C1175)</f>
        <v>1292700</v>
      </c>
      <c r="D1175" s="4">
        <v>85052</v>
      </c>
      <c r="E1175" s="4">
        <f>IF(DatiOriginali!E1175 &gt;= SogliaPicchi!$B$13,"",DatiOriginali!E1175)</f>
        <v>437700</v>
      </c>
      <c r="F1175" s="4">
        <v>2732923</v>
      </c>
      <c r="G1175" s="4">
        <f>IF(DatiOriginali!G1175 &gt;= SogliaPicchi!$B$13,"",DatiOriginali!G1175)</f>
        <v>264300</v>
      </c>
      <c r="H1175" s="4">
        <v>3392684</v>
      </c>
      <c r="I1175" s="4">
        <f>IF(DatiOriginali!I1175 &gt;= SogliaPicchi!$B$13,"",DatiOriginali!I1175)</f>
        <v>68500</v>
      </c>
      <c r="J1175" s="4">
        <v>3379133</v>
      </c>
      <c r="K1175" s="4">
        <f>IF(DatiOriginali!K1175 &gt;= SogliaPicchi!$B$13,"",DatiOriginali!K1175)</f>
        <v>79200</v>
      </c>
    </row>
    <row r="1176" spans="1:11" x14ac:dyDescent="0.3">
      <c r="A1176" s="4" t="s">
        <v>1185</v>
      </c>
      <c r="B1176" s="4">
        <v>179700</v>
      </c>
      <c r="C1176" s="4">
        <f>IF(DatiOriginali!C1176 &gt;= SogliaPicchi!$B$13,"",DatiOriginali!C1176)</f>
        <v>1518100</v>
      </c>
      <c r="D1176" s="4">
        <v>90378</v>
      </c>
      <c r="E1176" s="4">
        <f>IF(DatiOriginali!E1176 &gt;= SogliaPicchi!$B$13,"",DatiOriginali!E1176)</f>
        <v>358100</v>
      </c>
      <c r="F1176" s="4">
        <v>2737703</v>
      </c>
      <c r="G1176" s="4">
        <f>IF(DatiOriginali!G1176 &gt;= SogliaPicchi!$B$13,"",DatiOriginali!G1176)</f>
        <v>214700</v>
      </c>
      <c r="H1176" s="4">
        <v>3398428</v>
      </c>
      <c r="I1176" s="4">
        <f>IF(DatiOriginali!I1176 &gt;= SogliaPicchi!$B$13,"",DatiOriginali!I1176)</f>
        <v>70300</v>
      </c>
      <c r="J1176" s="4">
        <v>3384979</v>
      </c>
      <c r="K1176" s="4">
        <f>IF(DatiOriginali!K1176 &gt;= SogliaPicchi!$B$13,"",DatiOriginali!K1176)</f>
        <v>78600</v>
      </c>
    </row>
    <row r="1177" spans="1:11" x14ac:dyDescent="0.3">
      <c r="A1177" s="4" t="s">
        <v>1186</v>
      </c>
      <c r="B1177" s="4">
        <v>179700</v>
      </c>
      <c r="C1177" s="4">
        <f>IF(DatiOriginali!C1177 &gt;= SogliaPicchi!$B$13,"",DatiOriginali!C1177)</f>
        <v>1692100</v>
      </c>
      <c r="D1177" s="4">
        <v>88655</v>
      </c>
      <c r="E1177" s="4">
        <f>IF(DatiOriginali!E1177 &gt;= SogliaPicchi!$B$13,"",DatiOriginali!E1177)</f>
        <v>345200</v>
      </c>
      <c r="F1177" s="4">
        <v>2742497</v>
      </c>
      <c r="G1177" s="4">
        <f>IF(DatiOriginali!G1177 &gt;= SogliaPicchi!$B$13,"",DatiOriginali!G1177)</f>
        <v>214300</v>
      </c>
      <c r="H1177" s="4">
        <v>3404822</v>
      </c>
      <c r="I1177" s="4">
        <f>IF(DatiOriginali!I1177 &gt;= SogliaPicchi!$B$13,"",DatiOriginali!I1177)</f>
        <v>74000</v>
      </c>
      <c r="J1177" s="4">
        <v>3391410</v>
      </c>
      <c r="K1177" s="4">
        <f>IF(DatiOriginali!K1177 &gt;= SogliaPicchi!$B$13,"",DatiOriginali!K1177)</f>
        <v>83400</v>
      </c>
    </row>
    <row r="1178" spans="1:11" x14ac:dyDescent="0.3">
      <c r="A1178" s="4" t="s">
        <v>1187</v>
      </c>
      <c r="B1178" s="4">
        <v>179700</v>
      </c>
      <c r="C1178" s="4">
        <f>IF(DatiOriginali!C1178 &gt;= SogliaPicchi!$B$13,"",DatiOriginali!C1178)</f>
        <v>1358800</v>
      </c>
      <c r="D1178" s="4">
        <v>88481</v>
      </c>
      <c r="E1178" s="4">
        <f>IF(DatiOriginali!E1178 &gt;= SogliaPicchi!$B$13,"",DatiOriginali!E1178)</f>
        <v>311800</v>
      </c>
      <c r="F1178" s="4">
        <v>2747274</v>
      </c>
      <c r="G1178" s="4">
        <f>IF(DatiOriginali!G1178 &gt;= SogliaPicchi!$B$13,"",DatiOriginali!G1178)</f>
        <v>210500</v>
      </c>
      <c r="H1178" s="4">
        <v>3411411</v>
      </c>
      <c r="I1178" s="4">
        <f>IF(DatiOriginali!I1178 &gt;= SogliaPicchi!$B$13,"",DatiOriginali!I1178)</f>
        <v>72500</v>
      </c>
      <c r="J1178" s="4">
        <v>3397576</v>
      </c>
      <c r="K1178" s="4">
        <f>IF(DatiOriginali!K1178 &gt;= SogliaPicchi!$B$13,"",DatiOriginali!K1178)</f>
        <v>76800</v>
      </c>
    </row>
    <row r="1179" spans="1:11" x14ac:dyDescent="0.3">
      <c r="A1179" s="4" t="s">
        <v>1188</v>
      </c>
      <c r="B1179" s="4">
        <v>179700</v>
      </c>
      <c r="C1179" s="4">
        <f>IF(DatiOriginali!C1179 &gt;= SogliaPicchi!$B$13,"",DatiOriginali!C1179)</f>
        <v>1395800</v>
      </c>
      <c r="D1179" s="4">
        <v>89595</v>
      </c>
      <c r="E1179" s="4">
        <f>IF(DatiOriginali!E1179 &gt;= SogliaPicchi!$B$13,"",DatiOriginali!E1179)</f>
        <v>315700</v>
      </c>
      <c r="F1179" s="4">
        <v>2752077</v>
      </c>
      <c r="G1179" s="4">
        <f>IF(DatiOriginali!G1179 &gt;= SogliaPicchi!$B$13,"",DatiOriginali!G1179)</f>
        <v>207800</v>
      </c>
      <c r="H1179" s="4">
        <v>3417058</v>
      </c>
      <c r="I1179" s="4">
        <f>IF(DatiOriginali!I1179 &gt;= SogliaPicchi!$B$13,"",DatiOriginali!I1179)</f>
        <v>69700</v>
      </c>
      <c r="J1179" s="4">
        <v>3403474</v>
      </c>
      <c r="K1179" s="4">
        <f>IF(DatiOriginali!K1179 &gt;= SogliaPicchi!$B$13,"",DatiOriginali!K1179)</f>
        <v>78000</v>
      </c>
    </row>
    <row r="1180" spans="1:11" x14ac:dyDescent="0.3">
      <c r="A1180" s="4" t="s">
        <v>1189</v>
      </c>
      <c r="B1180" s="4">
        <v>179700</v>
      </c>
      <c r="C1180" s="4">
        <f>IF(DatiOriginali!C1180 &gt;= SogliaPicchi!$B$13,"",DatiOriginali!C1180)</f>
        <v>1602000</v>
      </c>
      <c r="D1180" s="4">
        <v>91580</v>
      </c>
      <c r="E1180" s="4">
        <f>IF(DatiOriginali!E1180 &gt;= SogliaPicchi!$B$13,"",DatiOriginali!E1180)</f>
        <v>325100</v>
      </c>
      <c r="F1180" s="4">
        <v>2756881</v>
      </c>
      <c r="G1180" s="4">
        <f>IF(DatiOriginali!G1180 &gt;= SogliaPicchi!$B$13,"",DatiOriginali!G1180)</f>
        <v>214000</v>
      </c>
      <c r="H1180" s="4">
        <v>3423351</v>
      </c>
      <c r="I1180" s="4">
        <f>IF(DatiOriginali!I1180 &gt;= SogliaPicchi!$B$13,"",DatiOriginali!I1180)</f>
        <v>71500</v>
      </c>
      <c r="J1180" s="4">
        <v>3409303</v>
      </c>
      <c r="K1180" s="4">
        <f>IF(DatiOriginali!K1180 &gt;= SogliaPicchi!$B$13,"",DatiOriginali!K1180)</f>
        <v>80800</v>
      </c>
    </row>
    <row r="1181" spans="1:11" x14ac:dyDescent="0.3">
      <c r="A1181" s="4" t="s">
        <v>1190</v>
      </c>
      <c r="B1181" s="4">
        <v>179700</v>
      </c>
      <c r="C1181" s="4">
        <f>IF(DatiOriginali!C1181 &gt;= SogliaPicchi!$B$13,"",DatiOriginali!C1181)</f>
        <v>1245600</v>
      </c>
      <c r="D1181" s="4">
        <v>92520</v>
      </c>
      <c r="E1181" s="4">
        <f>IF(DatiOriginali!E1181 &gt;= SogliaPicchi!$B$13,"",DatiOriginali!E1181)</f>
        <v>323100</v>
      </c>
      <c r="F1181" s="4">
        <v>2761675</v>
      </c>
      <c r="G1181" s="4">
        <f>IF(DatiOriginali!G1181 &gt;= SogliaPicchi!$B$13,"",DatiOriginali!G1181)</f>
        <v>225200</v>
      </c>
      <c r="H1181" s="4">
        <v>3429223</v>
      </c>
      <c r="I1181" s="4">
        <f>IF(DatiOriginali!I1181 &gt;= SogliaPicchi!$B$13,"",DatiOriginali!I1181)</f>
        <v>71100</v>
      </c>
      <c r="J1181" s="4">
        <v>3415409</v>
      </c>
      <c r="K1181" s="4">
        <f>IF(DatiOriginali!K1181 &gt;= SogliaPicchi!$B$13,"",DatiOriginali!K1181)</f>
        <v>81400</v>
      </c>
    </row>
    <row r="1182" spans="1:11" x14ac:dyDescent="0.3">
      <c r="A1182" s="4" t="s">
        <v>1191</v>
      </c>
      <c r="B1182" s="4">
        <v>179700</v>
      </c>
      <c r="C1182" s="4">
        <f>IF(DatiOriginali!C1182 &gt;= SogliaPicchi!$B$13,"",DatiOriginali!C1182)</f>
        <v>1514800</v>
      </c>
      <c r="D1182" s="4">
        <v>89647</v>
      </c>
      <c r="E1182" s="4">
        <f>IF(DatiOriginali!E1182 &gt;= SogliaPicchi!$B$13,"",DatiOriginali!E1182)</f>
        <v>332000</v>
      </c>
      <c r="F1182" s="4">
        <v>2766476</v>
      </c>
      <c r="G1182" s="4">
        <f>IF(DatiOriginali!G1182 &gt;= SogliaPicchi!$B$13,"",DatiOriginali!G1182)</f>
        <v>213000</v>
      </c>
      <c r="H1182" s="4">
        <v>3435065</v>
      </c>
      <c r="I1182" s="4">
        <f>IF(DatiOriginali!I1182 &gt;= SogliaPicchi!$B$13,"",DatiOriginali!I1182)</f>
        <v>71200</v>
      </c>
      <c r="J1182" s="4">
        <v>3421599</v>
      </c>
      <c r="K1182" s="4">
        <f>IF(DatiOriginali!K1182 &gt;= SogliaPicchi!$B$13,"",DatiOriginali!K1182)</f>
        <v>81100</v>
      </c>
    </row>
    <row r="1183" spans="1:11" x14ac:dyDescent="0.3">
      <c r="A1183" s="4" t="s">
        <v>1192</v>
      </c>
      <c r="B1183" s="4">
        <v>179700</v>
      </c>
      <c r="C1183" s="4">
        <f>IF(DatiOriginali!C1183 &gt;= SogliaPicchi!$B$13,"",DatiOriginali!C1183)</f>
        <v>1316400</v>
      </c>
      <c r="D1183" s="4">
        <v>89142</v>
      </c>
      <c r="E1183" s="4">
        <f>IF(DatiOriginali!E1183 &gt;= SogliaPicchi!$B$13,"",DatiOriginali!E1183)</f>
        <v>320100</v>
      </c>
      <c r="F1183" s="4">
        <v>2771258</v>
      </c>
      <c r="G1183" s="4">
        <f>IF(DatiOriginali!G1183 &gt;= SogliaPicchi!$B$13,"",DatiOriginali!G1183)</f>
        <v>211200</v>
      </c>
      <c r="H1183" s="4">
        <v>3441014</v>
      </c>
      <c r="I1183" s="4">
        <f>IF(DatiOriginali!I1183 &gt;= SogliaPicchi!$B$13,"",DatiOriginali!I1183)</f>
        <v>70200</v>
      </c>
      <c r="J1183" s="4">
        <v>3427569</v>
      </c>
      <c r="K1183" s="4">
        <f>IF(DatiOriginali!K1183 &gt;= SogliaPicchi!$B$13,"",DatiOriginali!K1183)</f>
        <v>81600</v>
      </c>
    </row>
    <row r="1184" spans="1:11" x14ac:dyDescent="0.3">
      <c r="A1184" s="4" t="s">
        <v>1193</v>
      </c>
      <c r="B1184" s="4">
        <v>179700</v>
      </c>
      <c r="C1184" s="4">
        <f>IF(DatiOriginali!C1184 &gt;= SogliaPicchi!$B$13,"",DatiOriginali!C1184)</f>
        <v>1300500</v>
      </c>
      <c r="D1184" s="4">
        <v>88003</v>
      </c>
      <c r="E1184" s="4">
        <f>IF(DatiOriginali!E1184 &gt;= SogliaPicchi!$B$13,"",DatiOriginali!E1184)</f>
        <v>306400</v>
      </c>
      <c r="F1184" s="4">
        <v>2776071</v>
      </c>
      <c r="G1184" s="4">
        <f>IF(DatiOriginali!G1184 &gt;= SogliaPicchi!$B$13,"",DatiOriginali!G1184)</f>
        <v>249800</v>
      </c>
      <c r="H1184" s="4">
        <v>3446707</v>
      </c>
      <c r="I1184" s="4">
        <f>IF(DatiOriginali!I1184 &gt;= SogliaPicchi!$B$13,"",DatiOriginali!I1184)</f>
        <v>71100</v>
      </c>
      <c r="J1184" s="4">
        <v>3433245</v>
      </c>
      <c r="K1184" s="4">
        <f>IF(DatiOriginali!K1184 &gt;= SogliaPicchi!$B$13,"",DatiOriginali!K1184)</f>
        <v>78000</v>
      </c>
    </row>
    <row r="1185" spans="1:11" x14ac:dyDescent="0.3">
      <c r="A1185" s="4" t="s">
        <v>1194</v>
      </c>
      <c r="B1185" s="4">
        <v>179700</v>
      </c>
      <c r="C1185" s="4">
        <f>IF(DatiOriginali!C1185 &gt;= SogliaPicchi!$B$13,"",DatiOriginali!C1185)</f>
        <v>1591700</v>
      </c>
      <c r="D1185" s="4">
        <v>90736</v>
      </c>
      <c r="E1185" s="4">
        <f>IF(DatiOriginali!E1185 &gt;= SogliaPicchi!$B$13,"",DatiOriginali!E1185)</f>
        <v>336300</v>
      </c>
      <c r="F1185" s="4">
        <v>2780871</v>
      </c>
      <c r="G1185" s="4">
        <f>IF(DatiOriginali!G1185 &gt;= SogliaPicchi!$B$13,"",DatiOriginali!G1185)</f>
        <v>210400</v>
      </c>
      <c r="H1185" s="4">
        <v>3453057</v>
      </c>
      <c r="I1185" s="4">
        <f>IF(DatiOriginali!I1185 &gt;= SogliaPicchi!$B$13,"",DatiOriginali!I1185)</f>
        <v>70100</v>
      </c>
      <c r="J1185" s="4">
        <v>3439718</v>
      </c>
      <c r="K1185" s="4">
        <f>IF(DatiOriginali!K1185 &gt;= SogliaPicchi!$B$13,"",DatiOriginali!K1185)</f>
        <v>81600</v>
      </c>
    </row>
    <row r="1186" spans="1:11" x14ac:dyDescent="0.3">
      <c r="A1186" s="4" t="s">
        <v>1195</v>
      </c>
      <c r="B1186" s="4">
        <v>179700</v>
      </c>
      <c r="C1186" s="4">
        <f>IF(DatiOriginali!C1186 &gt;= SogliaPicchi!$B$13,"",DatiOriginali!C1186)</f>
        <v>1269900</v>
      </c>
      <c r="D1186" s="4">
        <v>89561</v>
      </c>
      <c r="E1186" s="4">
        <f>IF(DatiOriginali!E1186 &gt;= SogliaPicchi!$B$13,"",DatiOriginali!E1186)</f>
        <v>312100</v>
      </c>
      <c r="F1186" s="4">
        <v>2785668</v>
      </c>
      <c r="G1186" s="4">
        <f>IF(DatiOriginali!G1186 &gt;= SogliaPicchi!$B$13,"",DatiOriginali!G1186)</f>
        <v>213200</v>
      </c>
      <c r="H1186" s="4">
        <v>3459131</v>
      </c>
      <c r="I1186" s="4">
        <f>IF(DatiOriginali!I1186 &gt;= SogliaPicchi!$B$13,"",DatiOriginali!I1186)</f>
        <v>69600</v>
      </c>
      <c r="J1186" s="4">
        <v>3445948</v>
      </c>
      <c r="K1186" s="4">
        <f>IF(DatiOriginali!K1186 &gt;= SogliaPicchi!$B$13,"",DatiOriginali!K1186)</f>
        <v>77200</v>
      </c>
    </row>
    <row r="1187" spans="1:11" x14ac:dyDescent="0.3">
      <c r="A1187" s="4" t="s">
        <v>1196</v>
      </c>
      <c r="B1187" s="4">
        <v>179700</v>
      </c>
      <c r="C1187" s="4">
        <f>IF(DatiOriginali!C1187 &gt;= SogliaPicchi!$B$13,"",DatiOriginali!C1187)</f>
        <v>1298100</v>
      </c>
      <c r="D1187" s="4">
        <v>90405</v>
      </c>
      <c r="E1187" s="4">
        <f>IF(DatiOriginali!E1187 &gt;= SogliaPicchi!$B$13,"",DatiOriginali!E1187)</f>
        <v>314200</v>
      </c>
      <c r="F1187" s="4">
        <v>2790461</v>
      </c>
      <c r="G1187" s="4">
        <f>IF(DatiOriginali!G1187 &gt;= SogliaPicchi!$B$13,"",DatiOriginali!G1187)</f>
        <v>207900</v>
      </c>
      <c r="H1187" s="4">
        <v>3464724</v>
      </c>
      <c r="I1187" s="4">
        <f>IF(DatiOriginali!I1187 &gt;= SogliaPicchi!$B$13,"",DatiOriginali!I1187)</f>
        <v>69900</v>
      </c>
      <c r="J1187" s="4">
        <v>3452461</v>
      </c>
      <c r="K1187" s="4">
        <f>IF(DatiOriginali!K1187 &gt;= SogliaPicchi!$B$13,"",DatiOriginali!K1187)</f>
        <v>81000</v>
      </c>
    </row>
    <row r="1188" spans="1:11" x14ac:dyDescent="0.3">
      <c r="A1188" s="4" t="s">
        <v>1197</v>
      </c>
      <c r="B1188" s="4">
        <v>179700</v>
      </c>
      <c r="C1188" s="4">
        <f>IF(DatiOriginali!C1188 &gt;= SogliaPicchi!$B$13,"",DatiOriginali!C1188)</f>
        <v>1395800</v>
      </c>
      <c r="D1188" s="4">
        <v>92951</v>
      </c>
      <c r="E1188" s="4">
        <f>IF(DatiOriginali!E1188 &gt;= SogliaPicchi!$B$13,"",DatiOriginali!E1188)</f>
        <v>323400</v>
      </c>
      <c r="F1188" s="4">
        <v>2795256</v>
      </c>
      <c r="G1188" s="4">
        <f>IF(DatiOriginali!G1188 &gt;= SogliaPicchi!$B$13,"",DatiOriginali!G1188)</f>
        <v>210300</v>
      </c>
      <c r="H1188" s="4">
        <v>3471050</v>
      </c>
      <c r="I1188" s="4">
        <f>IF(DatiOriginali!I1188 &gt;= SogliaPicchi!$B$13,"",DatiOriginali!I1188)</f>
        <v>71400</v>
      </c>
      <c r="J1188" s="4">
        <v>3458525</v>
      </c>
      <c r="K1188" s="4">
        <f>IF(DatiOriginali!K1188 &gt;= SogliaPicchi!$B$13,"",DatiOriginali!K1188)</f>
        <v>80700</v>
      </c>
    </row>
    <row r="1189" spans="1:11" x14ac:dyDescent="0.3">
      <c r="A1189" s="4" t="s">
        <v>1198</v>
      </c>
      <c r="B1189" s="4">
        <v>179700</v>
      </c>
      <c r="C1189" s="4">
        <f>IF(DatiOriginali!C1189 &gt;= SogliaPicchi!$B$13,"",DatiOriginali!C1189)</f>
        <v>1368000</v>
      </c>
      <c r="D1189" s="4">
        <v>91627</v>
      </c>
      <c r="E1189" s="4">
        <f>IF(DatiOriginali!E1189 &gt;= SogliaPicchi!$B$13,"",DatiOriginali!E1189)</f>
        <v>327600</v>
      </c>
      <c r="F1189" s="4">
        <v>2800068</v>
      </c>
      <c r="G1189" s="4">
        <f>IF(DatiOriginali!G1189 &gt;= SogliaPicchi!$B$13,"",DatiOriginali!G1189)</f>
        <v>207900</v>
      </c>
      <c r="H1189" s="4">
        <v>3477137</v>
      </c>
      <c r="I1189" s="4">
        <f>IF(DatiOriginali!I1189 &gt;= SogliaPicchi!$B$13,"",DatiOriginali!I1189)</f>
        <v>69600</v>
      </c>
      <c r="J1189" s="4">
        <v>3464247</v>
      </c>
      <c r="K1189" s="4">
        <f>IF(DatiOriginali!K1189 &gt;= SogliaPicchi!$B$13,"",DatiOriginali!K1189)</f>
        <v>77800</v>
      </c>
    </row>
    <row r="1190" spans="1:11" x14ac:dyDescent="0.3">
      <c r="A1190" s="4" t="s">
        <v>1199</v>
      </c>
      <c r="B1190" s="4">
        <v>179700</v>
      </c>
      <c r="C1190" s="4">
        <f>IF(DatiOriginali!C1190 &gt;= SogliaPicchi!$B$13,"",DatiOriginali!C1190)</f>
        <v>1412200</v>
      </c>
      <c r="D1190" s="4">
        <v>91741</v>
      </c>
      <c r="E1190" s="4">
        <f>IF(DatiOriginali!E1190 &gt;= SogliaPicchi!$B$13,"",DatiOriginali!E1190)</f>
        <v>319300</v>
      </c>
      <c r="F1190" s="4">
        <v>2804858</v>
      </c>
      <c r="G1190" s="4">
        <f>IF(DatiOriginali!G1190 &gt;= SogliaPicchi!$B$13,"",DatiOriginali!G1190)</f>
        <v>209800</v>
      </c>
      <c r="H1190" s="4">
        <v>3483667</v>
      </c>
      <c r="I1190" s="4">
        <f>IF(DatiOriginali!I1190 &gt;= SogliaPicchi!$B$13,"",DatiOriginali!I1190)</f>
        <v>73800</v>
      </c>
      <c r="J1190" s="4">
        <v>3470060</v>
      </c>
      <c r="K1190" s="4">
        <f>IF(DatiOriginali!K1190 &gt;= SogliaPicchi!$B$13,"",DatiOriginali!K1190)</f>
        <v>78600</v>
      </c>
    </row>
    <row r="1191" spans="1:11" x14ac:dyDescent="0.3">
      <c r="A1191" s="4" t="s">
        <v>1200</v>
      </c>
      <c r="B1191" s="4">
        <v>179700</v>
      </c>
      <c r="C1191" s="4">
        <f>IF(DatiOriginali!C1191 &gt;= SogliaPicchi!$B$13,"",DatiOriginali!C1191)</f>
        <v>1746900</v>
      </c>
      <c r="D1191" s="4">
        <v>85149</v>
      </c>
      <c r="E1191" s="4">
        <f>IF(DatiOriginali!E1191 &gt;= SogliaPicchi!$B$13,"",DatiOriginali!E1191)</f>
        <v>522000</v>
      </c>
      <c r="F1191" s="4">
        <v>2809677</v>
      </c>
      <c r="G1191" s="4">
        <f>IF(DatiOriginali!G1191 &gt;= SogliaPicchi!$B$13,"",DatiOriginali!G1191)</f>
        <v>320000</v>
      </c>
      <c r="H1191" s="4">
        <v>3489890</v>
      </c>
      <c r="I1191" s="4">
        <f>IF(DatiOriginali!I1191 &gt;= SogliaPicchi!$B$13,"",DatiOriginali!I1191)</f>
        <v>97000</v>
      </c>
      <c r="J1191" s="4">
        <v>3475373</v>
      </c>
      <c r="K1191" s="4">
        <f>IF(DatiOriginali!K1191 &gt;= SogliaPicchi!$B$13,"",DatiOriginali!K1191)</f>
        <v>90000</v>
      </c>
    </row>
    <row r="1192" spans="1:11" x14ac:dyDescent="0.3">
      <c r="A1192" s="4" t="s">
        <v>1201</v>
      </c>
      <c r="B1192" s="4">
        <v>179700</v>
      </c>
      <c r="C1192" s="4">
        <f>IF(DatiOriginali!C1192 &gt;= SogliaPicchi!$B$13,"",DatiOriginali!C1192)</f>
        <v>1466000</v>
      </c>
      <c r="D1192" s="4">
        <v>90850</v>
      </c>
      <c r="E1192" s="4">
        <f>IF(DatiOriginali!E1192 &gt;= SogliaPicchi!$B$13,"",DatiOriginali!E1192)</f>
        <v>317400</v>
      </c>
      <c r="F1192" s="4">
        <v>2814472</v>
      </c>
      <c r="G1192" s="4">
        <f>IF(DatiOriginali!G1192 &gt;= SogliaPicchi!$B$13,"",DatiOriginali!G1192)</f>
        <v>211700</v>
      </c>
      <c r="H1192" s="4">
        <v>3495774</v>
      </c>
      <c r="I1192" s="4">
        <f>IF(DatiOriginali!I1192 &gt;= SogliaPicchi!$B$13,"",DatiOriginali!I1192)</f>
        <v>69500</v>
      </c>
      <c r="J1192" s="4">
        <v>3482263</v>
      </c>
      <c r="K1192" s="4">
        <f>IF(DatiOriginali!K1192 &gt;= SogliaPicchi!$B$13,"",DatiOriginali!K1192)</f>
        <v>85400</v>
      </c>
    </row>
    <row r="1193" spans="1:11" x14ac:dyDescent="0.3">
      <c r="A1193" s="4" t="s">
        <v>1202</v>
      </c>
      <c r="B1193" s="4">
        <v>179700</v>
      </c>
      <c r="C1193" s="4">
        <f>IF(DatiOriginali!C1193 &gt;= SogliaPicchi!$B$13,"",DatiOriginali!C1193)</f>
        <v>1458800</v>
      </c>
      <c r="D1193" s="4">
        <v>90199</v>
      </c>
      <c r="E1193" s="4">
        <f>IF(DatiOriginali!E1193 &gt;= SogliaPicchi!$B$13,"",DatiOriginali!E1193)</f>
        <v>429700</v>
      </c>
      <c r="F1193" s="4">
        <v>2819275</v>
      </c>
      <c r="G1193" s="4">
        <f>IF(DatiOriginali!G1193 &gt;= SogliaPicchi!$B$13,"",DatiOriginali!G1193)</f>
        <v>283200</v>
      </c>
      <c r="H1193" s="4">
        <v>3501631</v>
      </c>
      <c r="I1193" s="4">
        <f>IF(DatiOriginali!I1193 &gt;= SogliaPicchi!$B$13,"",DatiOriginali!I1193)</f>
        <v>95000</v>
      </c>
      <c r="J1193" s="4">
        <v>3488060</v>
      </c>
      <c r="K1193" s="4">
        <f>IF(DatiOriginali!K1193 &gt;= SogliaPicchi!$B$13,"",DatiOriginali!K1193)</f>
        <v>84700</v>
      </c>
    </row>
    <row r="1194" spans="1:11" x14ac:dyDescent="0.3">
      <c r="A1194" s="4" t="s">
        <v>1203</v>
      </c>
      <c r="B1194" s="4">
        <v>179700</v>
      </c>
      <c r="C1194" s="4">
        <f>IF(DatiOriginali!C1194 &gt;= SogliaPicchi!$B$13,"",DatiOriginali!C1194)</f>
        <v>1614800</v>
      </c>
      <c r="D1194" s="4">
        <v>89373</v>
      </c>
      <c r="E1194" s="4">
        <f>IF(DatiOriginali!E1194 &gt;= SogliaPicchi!$B$13,"",DatiOriginali!E1194)</f>
        <v>341300</v>
      </c>
      <c r="F1194" s="4">
        <v>2824085</v>
      </c>
      <c r="G1194" s="4">
        <f>IF(DatiOriginali!G1194 &gt;= SogliaPicchi!$B$13,"",DatiOriginali!G1194)</f>
        <v>215000</v>
      </c>
      <c r="H1194" s="4">
        <v>3507759</v>
      </c>
      <c r="I1194" s="4">
        <f>IF(DatiOriginali!I1194 &gt;= SogliaPicchi!$B$13,"",DatiOriginali!I1194)</f>
        <v>74700</v>
      </c>
      <c r="J1194" s="4">
        <v>3494939</v>
      </c>
      <c r="K1194" s="4">
        <f>IF(DatiOriginali!K1194 &gt;= SogliaPicchi!$B$13,"",DatiOriginali!K1194)</f>
        <v>81100</v>
      </c>
    </row>
    <row r="1195" spans="1:11" x14ac:dyDescent="0.3">
      <c r="A1195" s="4" t="s">
        <v>1204</v>
      </c>
      <c r="B1195" s="4">
        <v>179700</v>
      </c>
      <c r="C1195" s="4">
        <f>IF(DatiOriginali!C1195 &gt;= SogliaPicchi!$B$13,"",DatiOriginali!C1195)</f>
        <v>1319800</v>
      </c>
      <c r="D1195" s="4">
        <v>87720</v>
      </c>
      <c r="E1195" s="4">
        <f>IF(DatiOriginali!E1195 &gt;= SogliaPicchi!$B$13,"",DatiOriginali!E1195)</f>
        <v>305600</v>
      </c>
      <c r="F1195" s="4">
        <v>2828873</v>
      </c>
      <c r="G1195" s="4">
        <f>IF(DatiOriginali!G1195 &gt;= SogliaPicchi!$B$13,"",DatiOriginali!G1195)</f>
        <v>213200</v>
      </c>
      <c r="H1195" s="4">
        <v>3514543</v>
      </c>
      <c r="I1195" s="4">
        <f>IF(DatiOriginali!I1195 &gt;= SogliaPicchi!$B$13,"",DatiOriginali!I1195)</f>
        <v>71000</v>
      </c>
      <c r="J1195" s="4">
        <v>3500828</v>
      </c>
      <c r="K1195" s="4">
        <f>IF(DatiOriginali!K1195 &gt;= SogliaPicchi!$B$13,"",DatiOriginali!K1195)</f>
        <v>77000</v>
      </c>
    </row>
    <row r="1196" spans="1:11" x14ac:dyDescent="0.3">
      <c r="A1196" s="4" t="s">
        <v>1205</v>
      </c>
      <c r="B1196" s="4">
        <v>179700</v>
      </c>
      <c r="C1196" s="4">
        <f>IF(DatiOriginali!C1196 &gt;= SogliaPicchi!$B$13,"",DatiOriginali!C1196)</f>
        <v>1315600</v>
      </c>
      <c r="D1196" s="4">
        <v>95497</v>
      </c>
      <c r="E1196" s="4">
        <f>IF(DatiOriginali!E1196 &gt;= SogliaPicchi!$B$13,"",DatiOriginali!E1196)</f>
        <v>342300</v>
      </c>
      <c r="F1196" s="4">
        <v>2833645</v>
      </c>
      <c r="G1196" s="4">
        <f>IF(DatiOriginali!G1196 &gt;= SogliaPicchi!$B$13,"",DatiOriginali!G1196)</f>
        <v>214500</v>
      </c>
      <c r="H1196" s="4">
        <v>3520689</v>
      </c>
      <c r="I1196" s="4">
        <f>IF(DatiOriginali!I1196 &gt;= SogliaPicchi!$B$13,"",DatiOriginali!I1196)</f>
        <v>68600</v>
      </c>
      <c r="J1196" s="4">
        <v>3507410</v>
      </c>
      <c r="K1196" s="4">
        <f>IF(DatiOriginali!K1196 &gt;= SogliaPicchi!$B$13,"",DatiOriginali!K1196)</f>
        <v>79300</v>
      </c>
    </row>
    <row r="1197" spans="1:11" x14ac:dyDescent="0.3">
      <c r="A1197" s="4" t="s">
        <v>1206</v>
      </c>
      <c r="B1197" s="4">
        <v>179700</v>
      </c>
      <c r="C1197" s="4">
        <f>IF(DatiOriginali!C1197 &gt;= SogliaPicchi!$B$13,"",DatiOriginali!C1197)</f>
        <v>1259100</v>
      </c>
      <c r="D1197" s="4">
        <v>94048</v>
      </c>
      <c r="E1197" s="4">
        <f>IF(DatiOriginali!E1197 &gt;= SogliaPicchi!$B$13,"",DatiOriginali!E1197)</f>
        <v>337200</v>
      </c>
      <c r="F1197" s="4">
        <v>2838442</v>
      </c>
      <c r="G1197" s="4">
        <f>IF(DatiOriginali!G1197 &gt;= SogliaPicchi!$B$13,"",DatiOriginali!G1197)</f>
        <v>210800</v>
      </c>
      <c r="H1197" s="4">
        <v>3526353</v>
      </c>
      <c r="I1197" s="4">
        <f>IF(DatiOriginali!I1197 &gt;= SogliaPicchi!$B$13,"",DatiOriginali!I1197)</f>
        <v>68300</v>
      </c>
      <c r="J1197" s="4">
        <v>3513631</v>
      </c>
      <c r="K1197" s="4">
        <f>IF(DatiOriginali!K1197 &gt;= SogliaPicchi!$B$13,"",DatiOriginali!K1197)</f>
        <v>81100</v>
      </c>
    </row>
    <row r="1198" spans="1:11" x14ac:dyDescent="0.3">
      <c r="A1198" s="4" t="s">
        <v>1207</v>
      </c>
      <c r="B1198" s="4">
        <v>179700</v>
      </c>
      <c r="C1198" s="4">
        <f>IF(DatiOriginali!C1198 &gt;= SogliaPicchi!$B$13,"",DatiOriginali!C1198)</f>
        <v>1585100</v>
      </c>
      <c r="D1198" s="4">
        <v>88958</v>
      </c>
      <c r="E1198" s="4">
        <f>IF(DatiOriginali!E1198 &gt;= SogliaPicchi!$B$13,"",DatiOriginali!E1198)</f>
        <v>315300</v>
      </c>
      <c r="F1198" s="4">
        <v>2843222</v>
      </c>
      <c r="G1198" s="4">
        <f>IF(DatiOriginali!G1198 &gt;= SogliaPicchi!$B$13,"",DatiOriginali!G1198)</f>
        <v>214000</v>
      </c>
      <c r="H1198" s="4">
        <v>3532423</v>
      </c>
      <c r="I1198" s="4">
        <f>IF(DatiOriginali!I1198 &gt;= SogliaPicchi!$B$13,"",DatiOriginali!I1198)</f>
        <v>72700</v>
      </c>
      <c r="J1198" s="4">
        <v>3519160</v>
      </c>
      <c r="K1198" s="4">
        <f>IF(DatiOriginali!K1198 &gt;= SogliaPicchi!$B$13,"",DatiOriginali!K1198)</f>
        <v>81500</v>
      </c>
    </row>
    <row r="1199" spans="1:11" x14ac:dyDescent="0.3">
      <c r="A1199" s="4" t="s">
        <v>1208</v>
      </c>
      <c r="B1199" s="4">
        <v>179700</v>
      </c>
      <c r="C1199" s="4">
        <f>IF(DatiOriginali!C1199 &gt;= SogliaPicchi!$B$13,"",DatiOriginali!C1199)</f>
        <v>1444800</v>
      </c>
      <c r="D1199" s="4">
        <v>88734</v>
      </c>
      <c r="E1199" s="4">
        <f>IF(DatiOriginali!E1199 &gt;= SogliaPicchi!$B$13,"",DatiOriginali!E1199)</f>
        <v>322100</v>
      </c>
      <c r="F1199" s="4">
        <v>2848037</v>
      </c>
      <c r="G1199" s="4">
        <f>IF(DatiOriginali!G1199 &gt;= SogliaPicchi!$B$13,"",DatiOriginali!G1199)</f>
        <v>212300</v>
      </c>
      <c r="H1199" s="4">
        <v>3538632</v>
      </c>
      <c r="I1199" s="4">
        <f>IF(DatiOriginali!I1199 &gt;= SogliaPicchi!$B$13,"",DatiOriginali!I1199)</f>
        <v>71400</v>
      </c>
      <c r="J1199" s="4">
        <v>3524884</v>
      </c>
      <c r="K1199" s="4">
        <f>IF(DatiOriginali!K1199 &gt;= SogliaPicchi!$B$13,"",DatiOriginali!K1199)</f>
        <v>78600</v>
      </c>
    </row>
    <row r="1200" spans="1:11" x14ac:dyDescent="0.3">
      <c r="A1200" s="4" t="s">
        <v>1209</v>
      </c>
      <c r="B1200" s="4">
        <v>179700</v>
      </c>
      <c r="C1200" s="4">
        <f>IF(DatiOriginali!C1200 &gt;= SogliaPicchi!$B$13,"",DatiOriginali!C1200)</f>
        <v>1295300</v>
      </c>
      <c r="D1200" s="4">
        <v>92466</v>
      </c>
      <c r="E1200" s="4">
        <f>IF(DatiOriginali!E1200 &gt;= SogliaPicchi!$B$13,"",DatiOriginali!E1200)</f>
        <v>322200</v>
      </c>
      <c r="F1200" s="4">
        <v>2852824</v>
      </c>
      <c r="G1200" s="4">
        <f>IF(DatiOriginali!G1200 &gt;= SogliaPicchi!$B$13,"",DatiOriginali!G1200)</f>
        <v>208300</v>
      </c>
      <c r="H1200" s="4">
        <v>3544832</v>
      </c>
      <c r="I1200" s="4">
        <f>IF(DatiOriginali!I1200 &gt;= SogliaPicchi!$B$13,"",DatiOriginali!I1200)</f>
        <v>69600</v>
      </c>
      <c r="J1200" s="4">
        <v>3531649</v>
      </c>
      <c r="K1200" s="4">
        <f>IF(DatiOriginali!K1200 &gt;= SogliaPicchi!$B$13,"",DatiOriginali!K1200)</f>
        <v>84400</v>
      </c>
    </row>
    <row r="1201" spans="1:11" x14ac:dyDescent="0.3">
      <c r="A1201" s="4" t="s">
        <v>1210</v>
      </c>
      <c r="B1201" s="4">
        <v>179700</v>
      </c>
      <c r="C1201" s="4">
        <f>IF(DatiOriginali!C1201 &gt;= SogliaPicchi!$B$13,"",DatiOriginali!C1201)</f>
        <v>1386400</v>
      </c>
      <c r="D1201" s="4">
        <v>91065</v>
      </c>
      <c r="E1201" s="4">
        <f>IF(DatiOriginali!E1201 &gt;= SogliaPicchi!$B$13,"",DatiOriginali!E1201)</f>
        <v>324800</v>
      </c>
      <c r="F1201" s="4">
        <v>2857621</v>
      </c>
      <c r="G1201" s="4">
        <f>IF(DatiOriginali!G1201 &gt;= SogliaPicchi!$B$14,"",DatiOriginali!G1201)</f>
        <v>214500</v>
      </c>
      <c r="H1201" s="4">
        <v>3550603</v>
      </c>
      <c r="I1201" s="4">
        <f>IF(DatiOriginali!I1201 &gt;= SogliaPicchi!$B$14,"",DatiOriginali!I1201)</f>
        <v>69000</v>
      </c>
      <c r="J1201" s="4">
        <v>3537316</v>
      </c>
      <c r="K1201" s="4">
        <f>IF(DatiOriginali!K1201 &gt;= SogliaPicchi!$B$14,"",DatiOriginali!K1201)</f>
        <v>79600</v>
      </c>
    </row>
    <row r="1202" spans="1:11" x14ac:dyDescent="0.3">
      <c r="A1202" s="4" t="s">
        <v>1211</v>
      </c>
      <c r="B1202" s="4">
        <v>210925</v>
      </c>
      <c r="C1202" s="4">
        <f>IF(DatiOriginali!C1202 &gt;= SogliaPicchi!$B$14,"",DatiOriginali!C1202)</f>
        <v>1843000</v>
      </c>
      <c r="D1202" s="4">
        <v>105509</v>
      </c>
      <c r="E1202" s="4">
        <f>IF(DatiOriginali!E1202 &gt;= SogliaPicchi!$B$14,"",DatiOriginali!E1202)</f>
        <v>368000</v>
      </c>
      <c r="F1202" s="4">
        <v>2862911</v>
      </c>
      <c r="G1202" s="4">
        <f>IF(DatiOriginali!G1202 &gt;= SogliaPicchi!$B$14,"",DatiOriginali!G1202)</f>
        <v>230500</v>
      </c>
      <c r="H1202" s="4">
        <v>3557288</v>
      </c>
      <c r="I1202" s="4">
        <f>IF(DatiOriginali!I1202 &gt;= SogliaPicchi!$B$14,"",DatiOriginali!I1202)</f>
        <v>78100</v>
      </c>
      <c r="J1202" s="4">
        <v>3544061</v>
      </c>
      <c r="K1202" s="4">
        <f>IF(DatiOriginali!K1202 &gt;= SogliaPicchi!$B$14,"",DatiOriginali!K1202)</f>
        <v>87000</v>
      </c>
    </row>
    <row r="1203" spans="1:11" x14ac:dyDescent="0.3">
      <c r="A1203" s="4" t="s">
        <v>1212</v>
      </c>
      <c r="B1203" s="4">
        <v>210925</v>
      </c>
      <c r="C1203" s="4">
        <f>IF(DatiOriginali!C1203 &gt;= SogliaPicchi!$B$14,"",DatiOriginali!C1203)</f>
        <v>1542500</v>
      </c>
      <c r="D1203" s="4">
        <v>102977</v>
      </c>
      <c r="E1203" s="4">
        <f>IF(DatiOriginali!E1203 &gt;= SogliaPicchi!$B$14,"",DatiOriginali!E1203)</f>
        <v>358800</v>
      </c>
      <c r="F1203" s="4">
        <v>2868191</v>
      </c>
      <c r="G1203" s="4">
        <f>IF(DatiOriginali!G1203 &gt;= SogliaPicchi!$B$14,"",DatiOriginali!G1203)</f>
        <v>232600</v>
      </c>
      <c r="H1203" s="4">
        <v>3564344</v>
      </c>
      <c r="I1203" s="4">
        <f>IF(DatiOriginali!I1203 &gt;= SogliaPicchi!$B$14,"",DatiOriginali!I1203)</f>
        <v>77700</v>
      </c>
      <c r="J1203" s="4">
        <v>3550418</v>
      </c>
      <c r="K1203" s="4">
        <f>IF(DatiOriginali!K1203 &gt;= SogliaPicchi!$B$14,"",DatiOriginali!K1203)</f>
        <v>83900</v>
      </c>
    </row>
    <row r="1204" spans="1:11" x14ac:dyDescent="0.3">
      <c r="A1204" s="4" t="s">
        <v>1213</v>
      </c>
      <c r="B1204" s="4">
        <v>210925</v>
      </c>
      <c r="C1204" s="4">
        <f>IF(DatiOriginali!C1204 &gt;= SogliaPicchi!$B$14,"",DatiOriginali!C1204)</f>
        <v>1606600</v>
      </c>
      <c r="D1204" s="4">
        <v>110797</v>
      </c>
      <c r="E1204" s="4">
        <f>IF(DatiOriginali!E1204 &gt;= SogliaPicchi!$B$14,"",DatiOriginali!E1204)</f>
        <v>388100</v>
      </c>
      <c r="F1204" s="4">
        <v>2873437</v>
      </c>
      <c r="G1204" s="4">
        <f>IF(DatiOriginali!G1204 &gt;= SogliaPicchi!$B$14,"",DatiOriginali!G1204)</f>
        <v>227600</v>
      </c>
      <c r="H1204" s="4">
        <v>3570985</v>
      </c>
      <c r="I1204" s="4">
        <f>IF(DatiOriginali!I1204 &gt;= SogliaPicchi!$B$14,"",DatiOriginali!I1204)</f>
        <v>78800</v>
      </c>
      <c r="J1204" s="4">
        <v>3556926</v>
      </c>
      <c r="K1204" s="4">
        <f>IF(DatiOriginali!K1204 &gt;= SogliaPicchi!$B$14,"",DatiOriginali!K1204)</f>
        <v>84000</v>
      </c>
    </row>
    <row r="1205" spans="1:11" x14ac:dyDescent="0.3">
      <c r="A1205" s="4" t="s">
        <v>1214</v>
      </c>
      <c r="B1205" s="4">
        <v>210925</v>
      </c>
      <c r="C1205" s="4">
        <f>IF(DatiOriginali!C1205 &gt;= SogliaPicchi!$B$14,"",DatiOriginali!C1205)</f>
        <v>1510800</v>
      </c>
      <c r="D1205" s="4">
        <v>103670</v>
      </c>
      <c r="E1205" s="4">
        <f>IF(DatiOriginali!E1205 &gt;= SogliaPicchi!$B$14,"",DatiOriginali!E1205)</f>
        <v>360100</v>
      </c>
      <c r="F1205" s="4">
        <v>2878702</v>
      </c>
      <c r="G1205" s="4">
        <f>IF(DatiOriginali!G1205 &gt;= SogliaPicchi!$B$14,"",DatiOriginali!G1205)</f>
        <v>228500</v>
      </c>
      <c r="H1205" s="4">
        <v>3577530</v>
      </c>
      <c r="I1205" s="4">
        <f>IF(DatiOriginali!I1205 &gt;= SogliaPicchi!$B$14,"",DatiOriginali!I1205)</f>
        <v>75300</v>
      </c>
      <c r="J1205" s="4">
        <v>3563406</v>
      </c>
      <c r="K1205" s="4">
        <f>IF(DatiOriginali!K1205 &gt;= SogliaPicchi!$B$14,"",DatiOriginali!K1205)</f>
        <v>84700</v>
      </c>
    </row>
    <row r="1206" spans="1:11" x14ac:dyDescent="0.3">
      <c r="A1206" s="4" t="s">
        <v>1215</v>
      </c>
      <c r="B1206" s="4">
        <v>210925</v>
      </c>
      <c r="C1206" s="4">
        <f>IF(DatiOriginali!C1206 &gt;= SogliaPicchi!$B$14,"",DatiOriginali!C1206)</f>
        <v>1497700</v>
      </c>
      <c r="D1206" s="4">
        <v>105027</v>
      </c>
      <c r="E1206" s="4">
        <f>IF(DatiOriginali!E1206 &gt;= SogliaPicchi!$B$14,"",DatiOriginali!E1206)</f>
        <v>374700</v>
      </c>
      <c r="F1206" s="4">
        <v>2883958</v>
      </c>
      <c r="G1206" s="4">
        <f>IF(DatiOriginali!G1206 &gt;= SogliaPicchi!$B$14,"",DatiOriginali!G1206)</f>
        <v>258900</v>
      </c>
      <c r="H1206" s="4">
        <v>3584039</v>
      </c>
      <c r="I1206" s="4">
        <f>IF(DatiOriginali!I1206 &gt;= SogliaPicchi!$B$14,"",DatiOriginali!I1206)</f>
        <v>75000</v>
      </c>
      <c r="J1206" s="4">
        <v>3570093</v>
      </c>
      <c r="K1206" s="4">
        <f>IF(DatiOriginali!K1206 &gt;= SogliaPicchi!$B$14,"",DatiOriginali!K1206)</f>
        <v>88300</v>
      </c>
    </row>
    <row r="1207" spans="1:11" x14ac:dyDescent="0.3">
      <c r="A1207" s="4" t="s">
        <v>1216</v>
      </c>
      <c r="B1207" s="4">
        <v>210925</v>
      </c>
      <c r="C1207" s="4">
        <f>IF(DatiOriginali!C1207 &gt;= SogliaPicchi!$B$14,"",DatiOriginali!C1207)</f>
        <v>1553900</v>
      </c>
      <c r="D1207" s="4">
        <v>107548</v>
      </c>
      <c r="E1207" s="4">
        <f>IF(DatiOriginali!E1207 &gt;= SogliaPicchi!$B$14,"",DatiOriginali!E1207)</f>
        <v>372000</v>
      </c>
      <c r="F1207" s="4">
        <v>2889229</v>
      </c>
      <c r="G1207" s="4">
        <f>IF(DatiOriginali!G1207 &gt;= SogliaPicchi!$B$14,"",DatiOriginali!G1207)</f>
        <v>229700</v>
      </c>
      <c r="H1207" s="4">
        <v>3590455</v>
      </c>
      <c r="I1207" s="4">
        <f>IF(DatiOriginali!I1207 &gt;= SogliaPicchi!$B$14,"",DatiOriginali!I1207)</f>
        <v>75500</v>
      </c>
      <c r="J1207" s="4">
        <v>3576595</v>
      </c>
      <c r="K1207" s="4">
        <f>IF(DatiOriginali!K1207 &gt;= SogliaPicchi!$B$14,"",DatiOriginali!K1207)</f>
        <v>87400</v>
      </c>
    </row>
    <row r="1208" spans="1:11" x14ac:dyDescent="0.3">
      <c r="A1208" s="4" t="s">
        <v>1217</v>
      </c>
      <c r="B1208" s="4">
        <v>210925</v>
      </c>
      <c r="C1208" s="4">
        <f>IF(DatiOriginali!C1208 &gt;= SogliaPicchi!$B$14,"",DatiOriginali!C1208)</f>
        <v>1758800</v>
      </c>
      <c r="D1208" s="4">
        <v>99873</v>
      </c>
      <c r="E1208" s="4">
        <f>IF(DatiOriginali!E1208 &gt;= SogliaPicchi!$B$14,"",DatiOriginali!E1208)</f>
        <v>418400</v>
      </c>
      <c r="F1208" s="4">
        <v>2894486</v>
      </c>
      <c r="G1208" s="4">
        <f>IF(DatiOriginali!G1208 &gt;= SogliaPicchi!$B$14,"",DatiOriginali!G1208)</f>
        <v>272200</v>
      </c>
      <c r="H1208" s="4">
        <v>3596931</v>
      </c>
      <c r="I1208" s="4">
        <f>IF(DatiOriginali!I1208 &gt;= SogliaPicchi!$B$14,"",DatiOriginali!I1208)</f>
        <v>92900</v>
      </c>
      <c r="J1208" s="4">
        <v>3582781</v>
      </c>
      <c r="K1208" s="4">
        <f>IF(DatiOriginali!K1208 &gt;= SogliaPicchi!$B$14,"",DatiOriginali!K1208)</f>
        <v>89400</v>
      </c>
    </row>
    <row r="1209" spans="1:11" x14ac:dyDescent="0.3">
      <c r="A1209" s="4" t="s">
        <v>1218</v>
      </c>
      <c r="B1209" s="4">
        <v>210925</v>
      </c>
      <c r="C1209" s="4">
        <f>IF(DatiOriginali!C1209 &gt;= SogliaPicchi!$B$14,"",DatiOriginali!C1209)</f>
        <v>1596000</v>
      </c>
      <c r="D1209" s="4">
        <v>102643</v>
      </c>
      <c r="E1209" s="4">
        <f>IF(DatiOriginali!E1209 &gt;= SogliaPicchi!$B$14,"",DatiOriginali!E1209)</f>
        <v>357000</v>
      </c>
      <c r="F1209" s="4">
        <v>2899770</v>
      </c>
      <c r="G1209" s="4">
        <f>IF(DatiOriginali!G1209 &gt;= SogliaPicchi!$B$14,"",DatiOriginali!G1209)</f>
        <v>227400</v>
      </c>
      <c r="H1209" s="4">
        <v>3604518</v>
      </c>
      <c r="I1209" s="4">
        <f>IF(DatiOriginali!I1209 &gt;= SogliaPicchi!$B$14,"",DatiOriginali!I1209)</f>
        <v>80600</v>
      </c>
      <c r="J1209" s="4">
        <v>3589367</v>
      </c>
      <c r="K1209" s="4">
        <f>IF(DatiOriginali!K1209 &gt;= SogliaPicchi!$B$14,"",DatiOriginali!K1209)</f>
        <v>86500</v>
      </c>
    </row>
    <row r="1210" spans="1:11" x14ac:dyDescent="0.3">
      <c r="A1210" s="4" t="s">
        <v>1219</v>
      </c>
      <c r="B1210" s="4">
        <v>210925</v>
      </c>
      <c r="C1210" s="4">
        <f>IF(DatiOriginali!C1210 &gt;= SogliaPicchi!$B$14,"",DatiOriginali!C1210)</f>
        <v>1651100</v>
      </c>
      <c r="D1210" s="4">
        <v>105739</v>
      </c>
      <c r="E1210" s="4">
        <f>IF(DatiOriginali!E1210 &gt;= SogliaPicchi!$B$14,"",DatiOriginali!E1210)</f>
        <v>367900</v>
      </c>
      <c r="F1210" s="4">
        <v>2905059</v>
      </c>
      <c r="G1210" s="4">
        <f>IF(DatiOriginali!G1210 &gt;= SogliaPicchi!$B$14,"",DatiOriginali!G1210)</f>
        <v>231100</v>
      </c>
      <c r="H1210" s="4">
        <v>3611548</v>
      </c>
      <c r="I1210" s="4">
        <f>IF(DatiOriginali!I1210 &gt;= SogliaPicchi!$B$14,"",DatiOriginali!I1210)</f>
        <v>77800</v>
      </c>
      <c r="J1210" s="4">
        <v>3596207</v>
      </c>
      <c r="K1210" s="4">
        <f>IF(DatiOriginali!K1210 &gt;= SogliaPicchi!$B$14,"",DatiOriginali!K1210)</f>
        <v>85700</v>
      </c>
    </row>
    <row r="1211" spans="1:11" x14ac:dyDescent="0.3">
      <c r="A1211" s="4" t="s">
        <v>1220</v>
      </c>
      <c r="B1211" s="4">
        <v>210925</v>
      </c>
      <c r="C1211" s="4">
        <f>IF(DatiOriginali!C1211 &gt;= SogliaPicchi!$B$14,"",DatiOriginali!C1211)</f>
        <v>1710800</v>
      </c>
      <c r="D1211" s="4">
        <v>108984</v>
      </c>
      <c r="E1211" s="4">
        <f>IF(DatiOriginali!E1211 &gt;= SogliaPicchi!$B$14,"",DatiOriginali!E1211)</f>
        <v>378700</v>
      </c>
      <c r="F1211" s="4">
        <v>2910287</v>
      </c>
      <c r="G1211" s="4">
        <f>IF(DatiOriginali!G1211 &gt;= SogliaPicchi!$B$14,"",DatiOriginali!G1211)</f>
        <v>229400</v>
      </c>
      <c r="H1211" s="4">
        <v>3618688</v>
      </c>
      <c r="I1211" s="4">
        <f>IF(DatiOriginali!I1211 &gt;= SogliaPicchi!$B$14,"",DatiOriginali!I1211)</f>
        <v>77600</v>
      </c>
      <c r="J1211" s="4">
        <v>3602798</v>
      </c>
      <c r="K1211" s="4">
        <f>IF(DatiOriginali!K1211 &gt;= SogliaPicchi!$B$14,"",DatiOriginali!K1211)</f>
        <v>88200</v>
      </c>
    </row>
    <row r="1212" spans="1:11" x14ac:dyDescent="0.3">
      <c r="A1212" s="4" t="s">
        <v>1221</v>
      </c>
      <c r="B1212" s="4">
        <v>210925</v>
      </c>
      <c r="C1212" s="4">
        <f>IF(DatiOriginali!C1212 &gt;= SogliaPicchi!$B$14,"",DatiOriginali!C1212)</f>
        <v>1795100</v>
      </c>
      <c r="D1212" s="4">
        <v>103669</v>
      </c>
      <c r="E1212" s="4">
        <f>IF(DatiOriginali!E1212 &gt;= SogliaPicchi!$B$14,"",DatiOriginali!E1212)</f>
        <v>365900</v>
      </c>
      <c r="F1212" s="4">
        <v>2915535</v>
      </c>
      <c r="G1212" s="4">
        <f>IF(DatiOriginali!G1212 &gt;= SogliaPicchi!$B$14,"",DatiOriginali!G1212)</f>
        <v>308800</v>
      </c>
      <c r="H1212" s="4">
        <v>3625475</v>
      </c>
      <c r="I1212" s="4">
        <f>IF(DatiOriginali!I1212 &gt;= SogliaPicchi!$B$14,"",DatiOriginali!I1212)</f>
        <v>106400</v>
      </c>
      <c r="J1212" s="4">
        <v>3610089</v>
      </c>
      <c r="K1212" s="4">
        <f>IF(DatiOriginali!K1212 &gt;= SogliaPicchi!$B$14,"",DatiOriginali!K1212)</f>
        <v>100500</v>
      </c>
    </row>
    <row r="1213" spans="1:11" x14ac:dyDescent="0.3">
      <c r="A1213" s="4" t="s">
        <v>1222</v>
      </c>
      <c r="B1213" s="4">
        <v>210925</v>
      </c>
      <c r="C1213" s="4">
        <f>IF(DatiOriginali!C1213 &gt;= SogliaPicchi!$B$14,"",DatiOriginali!C1213)</f>
        <v>1783000</v>
      </c>
      <c r="D1213" s="4">
        <v>105363</v>
      </c>
      <c r="E1213" s="4">
        <f>IF(DatiOriginali!E1213 &gt;= SogliaPicchi!$B$14,"",DatiOriginali!E1213)</f>
        <v>440100</v>
      </c>
      <c r="F1213" s="4">
        <v>2920808</v>
      </c>
      <c r="G1213" s="4">
        <f>IF(DatiOriginali!G1213 &gt;= SogliaPicchi!$B$14,"",DatiOriginali!G1213)</f>
        <v>229500</v>
      </c>
      <c r="H1213" s="4">
        <v>3631854</v>
      </c>
      <c r="I1213" s="4">
        <f>IF(DatiOriginali!I1213 &gt;= SogliaPicchi!$B$14,"",DatiOriginali!I1213)</f>
        <v>76100</v>
      </c>
      <c r="J1213" s="4">
        <v>3616482</v>
      </c>
      <c r="K1213" s="4">
        <f>IF(DatiOriginali!K1213 &gt;= SogliaPicchi!$B$14,"",DatiOriginali!K1213)</f>
        <v>88500</v>
      </c>
    </row>
    <row r="1214" spans="1:11" x14ac:dyDescent="0.3">
      <c r="A1214" s="4" t="s">
        <v>1223</v>
      </c>
      <c r="B1214" s="4">
        <v>210925</v>
      </c>
      <c r="C1214" s="4">
        <f>IF(DatiOriginali!C1214 &gt;= SogliaPicchi!$B$14,"",DatiOriginali!C1214)</f>
        <v>1648000</v>
      </c>
      <c r="D1214" s="4">
        <v>109635</v>
      </c>
      <c r="E1214" s="4">
        <f>IF(DatiOriginali!E1214 &gt;= SogliaPicchi!$B$14,"",DatiOriginali!E1214)</f>
        <v>399300</v>
      </c>
      <c r="F1214" s="4">
        <v>2926076</v>
      </c>
      <c r="G1214" s="4">
        <f>IF(DatiOriginali!G1214 &gt;= SogliaPicchi!$B$14,"",DatiOriginali!G1214)</f>
        <v>230400</v>
      </c>
      <c r="H1214" s="4">
        <v>3639060</v>
      </c>
      <c r="I1214" s="4">
        <f>IF(DatiOriginali!I1214 &gt;= SogliaPicchi!$B$14,"",DatiOriginali!I1214)</f>
        <v>79100</v>
      </c>
      <c r="J1214" s="4">
        <v>3623154</v>
      </c>
      <c r="K1214" s="4">
        <f>IF(DatiOriginali!K1214 &gt;= SogliaPicchi!$B$14,"",DatiOriginali!K1214)</f>
        <v>90600</v>
      </c>
    </row>
    <row r="1215" spans="1:11" x14ac:dyDescent="0.3">
      <c r="A1215" s="4" t="s">
        <v>1224</v>
      </c>
      <c r="B1215" s="4">
        <v>210925</v>
      </c>
      <c r="C1215" s="4">
        <f>IF(DatiOriginali!C1215 &gt;= SogliaPicchi!$B$14,"",DatiOriginali!C1215)</f>
        <v>1523800</v>
      </c>
      <c r="D1215" s="4">
        <v>102455</v>
      </c>
      <c r="E1215" s="4">
        <f>IF(DatiOriginali!E1215 &gt;= SogliaPicchi!$B$14,"",DatiOriginali!E1215)</f>
        <v>356000</v>
      </c>
      <c r="F1215" s="4">
        <v>2931375</v>
      </c>
      <c r="G1215" s="4">
        <f>IF(DatiOriginali!G1215 &gt;= SogliaPicchi!$B$14,"",DatiOriginali!G1215)</f>
        <v>225800</v>
      </c>
      <c r="H1215" s="4">
        <v>3645500</v>
      </c>
      <c r="I1215" s="4">
        <f>IF(DatiOriginali!I1215 &gt;= SogliaPicchi!$B$14,"",DatiOriginali!I1215)</f>
        <v>78200</v>
      </c>
      <c r="J1215" s="4">
        <v>3629421</v>
      </c>
      <c r="K1215" s="4">
        <f>IF(DatiOriginali!K1215 &gt;= SogliaPicchi!$B$14,"",DatiOriginali!K1215)</f>
        <v>86700</v>
      </c>
    </row>
    <row r="1216" spans="1:11" x14ac:dyDescent="0.3">
      <c r="A1216" s="4" t="s">
        <v>1225</v>
      </c>
      <c r="B1216" s="4">
        <v>210925</v>
      </c>
      <c r="C1216" s="4">
        <f>IF(DatiOriginali!C1216 &gt;= SogliaPicchi!$B$14,"",DatiOriginali!C1216)</f>
        <v>1645400</v>
      </c>
      <c r="D1216" s="4">
        <v>109660</v>
      </c>
      <c r="E1216" s="4">
        <f>IF(DatiOriginali!E1216 &gt;= SogliaPicchi!$B$14,"",DatiOriginali!E1216)</f>
        <v>387100</v>
      </c>
      <c r="F1216" s="4">
        <v>2936635</v>
      </c>
      <c r="G1216" s="4">
        <f>IF(DatiOriginali!G1216 &gt;= SogliaPicchi!$B$14,"",DatiOriginali!G1216)</f>
        <v>226900</v>
      </c>
      <c r="H1216" s="4">
        <v>3652151</v>
      </c>
      <c r="I1216" s="4">
        <f>IF(DatiOriginali!I1216 &gt;= SogliaPicchi!$B$14,"",DatiOriginali!I1216)</f>
        <v>76500</v>
      </c>
      <c r="J1216" s="4">
        <v>3635298</v>
      </c>
      <c r="K1216" s="4">
        <f>IF(DatiOriginali!K1216 &gt;= SogliaPicchi!$B$14,"",DatiOriginali!K1216)</f>
        <v>85800</v>
      </c>
    </row>
    <row r="1217" spans="1:11" x14ac:dyDescent="0.3">
      <c r="A1217" s="4" t="s">
        <v>1226</v>
      </c>
      <c r="B1217" s="4">
        <v>210925</v>
      </c>
      <c r="C1217" s="4">
        <f>IF(DatiOriginali!C1217 &gt;= SogliaPicchi!$B$14,"",DatiOriginali!C1217)</f>
        <v>1545700</v>
      </c>
      <c r="D1217" s="4">
        <v>102487</v>
      </c>
      <c r="E1217" s="4">
        <f>IF(DatiOriginali!E1217 &gt;= SogliaPicchi!$B$14,"",DatiOriginali!E1217)</f>
        <v>366000</v>
      </c>
      <c r="F1217" s="4">
        <v>2941911</v>
      </c>
      <c r="G1217" s="4">
        <f>IF(DatiOriginali!G1217 &gt;= SogliaPicchi!$B$14,"",DatiOriginali!G1217)</f>
        <v>227600</v>
      </c>
      <c r="H1217" s="4">
        <v>3658764</v>
      </c>
      <c r="I1217" s="4">
        <f>IF(DatiOriginali!I1217 &gt;= SogliaPicchi!$B$14,"",DatiOriginali!I1217)</f>
        <v>77400</v>
      </c>
      <c r="J1217" s="4">
        <v>3641105</v>
      </c>
      <c r="K1217" s="4">
        <f>IF(DatiOriginali!K1217 &gt;= SogliaPicchi!$B$14,"",DatiOriginali!K1217)</f>
        <v>84400</v>
      </c>
    </row>
    <row r="1218" spans="1:11" x14ac:dyDescent="0.3">
      <c r="A1218" s="4" t="s">
        <v>1227</v>
      </c>
      <c r="B1218" s="4">
        <v>210925</v>
      </c>
      <c r="C1218" s="4">
        <f>IF(DatiOriginali!C1218 &gt;= SogliaPicchi!$B$14,"",DatiOriginali!C1218)</f>
        <v>1655800</v>
      </c>
      <c r="D1218" s="4">
        <v>109269</v>
      </c>
      <c r="E1218" s="4">
        <f>IF(DatiOriginali!E1218 &gt;= SogliaPicchi!$B$14,"",DatiOriginali!E1218)</f>
        <v>395800</v>
      </c>
      <c r="F1218" s="4">
        <v>2947172</v>
      </c>
      <c r="G1218" s="4">
        <f>IF(DatiOriginali!G1218 &gt;= SogliaPicchi!$B$14,"",DatiOriginali!G1218)</f>
        <v>233600</v>
      </c>
      <c r="H1218" s="4">
        <v>3665285</v>
      </c>
      <c r="I1218" s="4">
        <f>IF(DatiOriginali!I1218 &gt;= SogliaPicchi!$B$14,"",DatiOriginali!I1218)</f>
        <v>76900</v>
      </c>
      <c r="J1218" s="4">
        <v>3648331</v>
      </c>
      <c r="K1218" s="4">
        <f>IF(DatiOriginali!K1218 &gt;= SogliaPicchi!$B$14,"",DatiOriginali!K1218)</f>
        <v>90800</v>
      </c>
    </row>
    <row r="1219" spans="1:11" x14ac:dyDescent="0.3">
      <c r="A1219" s="4" t="s">
        <v>1228</v>
      </c>
      <c r="B1219" s="4">
        <v>210925</v>
      </c>
      <c r="C1219" s="4">
        <f>IF(DatiOriginali!C1219 &gt;= SogliaPicchi!$B$14,"",DatiOriginali!C1219)</f>
        <v>1652100</v>
      </c>
      <c r="D1219" s="4">
        <v>106515</v>
      </c>
      <c r="E1219" s="4">
        <f>IF(DatiOriginali!E1219 &gt;= SogliaPicchi!$B$14,"",DatiOriginali!E1219)</f>
        <v>370000</v>
      </c>
      <c r="F1219" s="4">
        <v>2952426</v>
      </c>
      <c r="G1219" s="4">
        <f>IF(DatiOriginali!G1219 &gt;= SogliaPicchi!$B$14,"",DatiOriginali!G1219)</f>
        <v>249200</v>
      </c>
      <c r="H1219" s="4">
        <v>3671538</v>
      </c>
      <c r="I1219" s="4">
        <f>IF(DatiOriginali!I1219 &gt;= SogliaPicchi!$B$14,"",DatiOriginali!I1219)</f>
        <v>77900</v>
      </c>
      <c r="J1219" s="4">
        <v>3654533</v>
      </c>
      <c r="K1219" s="4">
        <f>IF(DatiOriginali!K1219 &gt;= SogliaPicchi!$B$14,"",DatiOriginali!K1219)</f>
        <v>85400</v>
      </c>
    </row>
    <row r="1220" spans="1:11" x14ac:dyDescent="0.3">
      <c r="A1220" s="4" t="s">
        <v>1229</v>
      </c>
      <c r="B1220" s="4">
        <v>210925</v>
      </c>
      <c r="C1220" s="4">
        <f>IF(DatiOriginali!C1220 &gt;= SogliaPicchi!$B$14,"",DatiOriginali!C1220)</f>
        <v>1774600</v>
      </c>
      <c r="D1220" s="4">
        <v>106882</v>
      </c>
      <c r="E1220" s="4">
        <f>IF(DatiOriginali!E1220 &gt;= SogliaPicchi!$B$14,"",DatiOriginali!E1220)</f>
        <v>372400</v>
      </c>
      <c r="F1220" s="4">
        <v>2957697</v>
      </c>
      <c r="G1220" s="4">
        <f>IF(DatiOriginali!G1220 &gt;= SogliaPicchi!$B$14,"",DatiOriginali!G1220)</f>
        <v>236800</v>
      </c>
      <c r="H1220" s="4">
        <v>3678467</v>
      </c>
      <c r="I1220" s="4">
        <f>IF(DatiOriginali!I1220 &gt;= SogliaPicchi!$B$14,"",DatiOriginali!I1220)</f>
        <v>80700</v>
      </c>
      <c r="J1220" s="4">
        <v>3661131</v>
      </c>
      <c r="K1220" s="4">
        <f>IF(DatiOriginali!K1220 &gt;= SogliaPicchi!$B$14,"",DatiOriginali!K1220)</f>
        <v>84300</v>
      </c>
    </row>
    <row r="1221" spans="1:11" x14ac:dyDescent="0.3">
      <c r="A1221" s="4" t="s">
        <v>1230</v>
      </c>
      <c r="B1221" s="4">
        <v>210925</v>
      </c>
      <c r="C1221" s="4">
        <f>IF(DatiOriginali!C1221 &gt;= SogliaPicchi!$B$14,"",DatiOriginali!C1221)</f>
        <v>1926400</v>
      </c>
      <c r="D1221" s="4">
        <v>104465</v>
      </c>
      <c r="E1221" s="4">
        <f>IF(DatiOriginali!E1221 &gt;= SogliaPicchi!$B$14,"",DatiOriginali!E1221)</f>
        <v>404800</v>
      </c>
      <c r="F1221" s="4">
        <v>2962963</v>
      </c>
      <c r="G1221" s="4">
        <f>IF(DatiOriginali!G1221 &gt;= SogliaPicchi!$B$14,"",DatiOriginali!G1221)</f>
        <v>226400</v>
      </c>
      <c r="H1221" s="4">
        <v>3684916</v>
      </c>
      <c r="I1221" s="4">
        <f>IF(DatiOriginali!I1221 &gt;= SogliaPicchi!$B$14,"",DatiOriginali!I1221)</f>
        <v>78800</v>
      </c>
      <c r="J1221" s="4">
        <v>3667243</v>
      </c>
      <c r="K1221" s="4">
        <f>IF(DatiOriginali!K1221 &gt;= SogliaPicchi!$B$14,"",DatiOriginali!K1221)</f>
        <v>85700</v>
      </c>
    </row>
    <row r="1222" spans="1:11" x14ac:dyDescent="0.3">
      <c r="A1222" s="4" t="s">
        <v>1231</v>
      </c>
      <c r="B1222" s="4">
        <v>210925</v>
      </c>
      <c r="C1222" s="4">
        <f>IF(DatiOriginali!C1222 &gt;= SogliaPicchi!$B$14,"",DatiOriginali!C1222)</f>
        <v>1789600</v>
      </c>
      <c r="D1222" s="4">
        <v>107916</v>
      </c>
      <c r="E1222" s="4">
        <f>IF(DatiOriginali!E1222 &gt;= SogliaPicchi!$B$14,"",DatiOriginali!E1222)</f>
        <v>546200</v>
      </c>
      <c r="F1222" s="4">
        <v>2968237</v>
      </c>
      <c r="G1222" s="4">
        <f>IF(DatiOriginali!G1222 &gt;= SogliaPicchi!$B$14,"",DatiOriginali!G1222)</f>
        <v>228000</v>
      </c>
      <c r="H1222" s="4">
        <v>3691409</v>
      </c>
      <c r="I1222" s="4">
        <f>IF(DatiOriginali!I1222 &gt;= SogliaPicchi!$B$14,"",DatiOriginali!I1222)</f>
        <v>76900</v>
      </c>
      <c r="J1222" s="4">
        <v>3674025</v>
      </c>
      <c r="K1222" s="4">
        <f>IF(DatiOriginali!K1222 &gt;= SogliaPicchi!$B$14,"",DatiOriginali!K1222)</f>
        <v>86800</v>
      </c>
    </row>
    <row r="1223" spans="1:11" x14ac:dyDescent="0.3">
      <c r="A1223" s="4" t="s">
        <v>1232</v>
      </c>
      <c r="B1223" s="4">
        <v>210925</v>
      </c>
      <c r="C1223" s="4">
        <f>IF(DatiOriginali!C1223 &gt;= SogliaPicchi!$B$14,"",DatiOriginali!C1223)</f>
        <v>1544200</v>
      </c>
      <c r="D1223" s="4">
        <v>106639</v>
      </c>
      <c r="E1223" s="4">
        <f>IF(DatiOriginali!E1223 &gt;= SogliaPicchi!$B$14,"",DatiOriginali!E1223)</f>
        <v>375400</v>
      </c>
      <c r="F1223" s="4">
        <v>2973511</v>
      </c>
      <c r="G1223" s="4">
        <f>IF(DatiOriginali!G1223 &gt;= SogliaPicchi!$B$14,"",DatiOriginali!G1223)</f>
        <v>226600</v>
      </c>
      <c r="H1223" s="4">
        <v>3698017</v>
      </c>
      <c r="I1223" s="4">
        <f>IF(DatiOriginali!I1223 &gt;= SogliaPicchi!$B$14,"",DatiOriginali!I1223)</f>
        <v>77800</v>
      </c>
      <c r="J1223" s="4">
        <v>3680473</v>
      </c>
      <c r="K1223" s="4">
        <f>IF(DatiOriginali!K1223 &gt;= SogliaPicchi!$B$14,"",DatiOriginali!K1223)</f>
        <v>86500</v>
      </c>
    </row>
    <row r="1224" spans="1:11" x14ac:dyDescent="0.3">
      <c r="A1224" s="4" t="s">
        <v>1233</v>
      </c>
      <c r="B1224" s="4">
        <v>210925</v>
      </c>
      <c r="C1224" s="4">
        <f>IF(DatiOriginali!C1224 &gt;= SogliaPicchi!$B$14,"",DatiOriginali!C1224)</f>
        <v>1601800</v>
      </c>
      <c r="D1224" s="4">
        <v>102778</v>
      </c>
      <c r="E1224" s="4">
        <f>IF(DatiOriginali!E1224 &gt;= SogliaPicchi!$B$14,"",DatiOriginali!E1224)</f>
        <v>357900</v>
      </c>
      <c r="F1224" s="4">
        <v>2978758</v>
      </c>
      <c r="G1224" s="4">
        <f>IF(DatiOriginali!G1224 &gt;= SogliaPicchi!$B$14,"",DatiOriginali!G1224)</f>
        <v>229600</v>
      </c>
      <c r="H1224" s="4">
        <v>3704808</v>
      </c>
      <c r="I1224" s="4">
        <f>IF(DatiOriginali!I1224 &gt;= SogliaPicchi!$B$14,"",DatiOriginali!I1224)</f>
        <v>78100</v>
      </c>
      <c r="J1224" s="4">
        <v>3686846</v>
      </c>
      <c r="K1224" s="4">
        <f>IF(DatiOriginali!K1224 &gt;= SogliaPicchi!$B$14,"",DatiOriginali!K1224)</f>
        <v>87400</v>
      </c>
    </row>
    <row r="1225" spans="1:11" x14ac:dyDescent="0.3">
      <c r="A1225" s="4" t="s">
        <v>1234</v>
      </c>
      <c r="B1225" s="4">
        <v>210925</v>
      </c>
      <c r="C1225" s="4">
        <f>IF(DatiOriginali!C1225 &gt;= SogliaPicchi!$B$14,"",DatiOriginali!C1225)</f>
        <v>1824000</v>
      </c>
      <c r="D1225" s="4">
        <v>105778</v>
      </c>
      <c r="E1225" s="4">
        <f>IF(DatiOriginali!E1225 &gt;= SogliaPicchi!$B$14,"",DatiOriginali!E1225)</f>
        <v>369200</v>
      </c>
      <c r="F1225" s="4">
        <v>2984037</v>
      </c>
      <c r="G1225" s="4">
        <f>IF(DatiOriginali!G1225 &gt;= SogliaPicchi!$B$14,"",DatiOriginali!G1225)</f>
        <v>231700</v>
      </c>
      <c r="H1225" s="4">
        <v>3710966</v>
      </c>
      <c r="I1225" s="4">
        <f>IF(DatiOriginali!I1225 &gt;= SogliaPicchi!$B$14,"",DatiOriginali!I1225)</f>
        <v>76300</v>
      </c>
      <c r="J1225" s="4">
        <v>3694577</v>
      </c>
      <c r="K1225" s="4">
        <f>IF(DatiOriginali!K1225 &gt;= SogliaPicchi!$B$14,"",DatiOriginali!K1225)</f>
        <v>92800</v>
      </c>
    </row>
    <row r="1226" spans="1:11" x14ac:dyDescent="0.3">
      <c r="A1226" s="4" t="s">
        <v>1235</v>
      </c>
      <c r="B1226" s="4">
        <v>210925</v>
      </c>
      <c r="C1226" s="4">
        <f>IF(DatiOriginali!C1226 &gt;= SogliaPicchi!$B$14,"",DatiOriginali!C1226)</f>
        <v>1572900</v>
      </c>
      <c r="D1226" s="4">
        <v>110016</v>
      </c>
      <c r="E1226" s="4">
        <f>IF(DatiOriginali!E1226 &gt;= SogliaPicchi!$B$14,"",DatiOriginali!E1226)</f>
        <v>387900</v>
      </c>
      <c r="F1226" s="4">
        <v>2989285</v>
      </c>
      <c r="G1226" s="4">
        <f>IF(DatiOriginali!G1226 &gt;= SogliaPicchi!$B$14,"",DatiOriginali!G1226)</f>
        <v>227300</v>
      </c>
      <c r="H1226" s="4">
        <v>3717600</v>
      </c>
      <c r="I1226" s="4">
        <f>IF(DatiOriginali!I1226 &gt;= SogliaPicchi!$B$14,"",DatiOriginali!I1226)</f>
        <v>79000</v>
      </c>
      <c r="J1226" s="4">
        <v>3701761</v>
      </c>
      <c r="K1226" s="4">
        <f>IF(DatiOriginali!K1226 &gt;= SogliaPicchi!$B$14,"",DatiOriginali!K1226)</f>
        <v>88200</v>
      </c>
    </row>
    <row r="1227" spans="1:11" x14ac:dyDescent="0.3">
      <c r="A1227" s="4" t="s">
        <v>1236</v>
      </c>
      <c r="B1227" s="4">
        <v>210925</v>
      </c>
      <c r="C1227" s="4">
        <f>IF(DatiOriginali!C1227 &gt;= SogliaPicchi!$B$14,"",DatiOriginali!C1227)</f>
        <v>1871200</v>
      </c>
      <c r="D1227" s="4">
        <v>106815</v>
      </c>
      <c r="E1227" s="4">
        <f>IF(DatiOriginali!E1227 &gt;= SogliaPicchi!$B$14,"",DatiOriginali!E1227)</f>
        <v>382400</v>
      </c>
      <c r="F1227" s="4">
        <v>2994549</v>
      </c>
      <c r="G1227" s="4">
        <f>IF(DatiOriginali!G1227 &gt;= SogliaPicchi!$B$14,"",DatiOriginali!G1227)</f>
        <v>230300</v>
      </c>
      <c r="H1227" s="4">
        <v>3724690</v>
      </c>
      <c r="I1227" s="4">
        <f>IF(DatiOriginali!I1227 &gt;= SogliaPicchi!$B$14,"",DatiOriginali!I1227)</f>
        <v>78000</v>
      </c>
      <c r="J1227" s="4">
        <v>3708417</v>
      </c>
      <c r="K1227" s="4">
        <f>IF(DatiOriginali!K1227 &gt;= SogliaPicchi!$B$14,"",DatiOriginali!K1227)</f>
        <v>89700</v>
      </c>
    </row>
    <row r="1228" spans="1:11" x14ac:dyDescent="0.3">
      <c r="A1228" s="4" t="s">
        <v>1237</v>
      </c>
      <c r="B1228" s="4">
        <v>210925</v>
      </c>
      <c r="C1228" s="4">
        <f>IF(DatiOriginali!C1228 &gt;= SogliaPicchi!$B$14,"",DatiOriginali!C1228)</f>
        <v>1597400</v>
      </c>
      <c r="D1228" s="4">
        <v>104666</v>
      </c>
      <c r="E1228" s="4">
        <f>IF(DatiOriginali!E1228 &gt;= SogliaPicchi!$B$14,"",DatiOriginali!E1228)</f>
        <v>363900</v>
      </c>
      <c r="F1228" s="4">
        <v>2999803</v>
      </c>
      <c r="G1228" s="4">
        <f>IF(DatiOriginali!G1228 &gt;= SogliaPicchi!$B$14,"",DatiOriginali!G1228)</f>
        <v>229900</v>
      </c>
      <c r="H1228" s="4">
        <v>3731415</v>
      </c>
      <c r="I1228" s="4">
        <f>IF(DatiOriginali!I1228 &gt;= SogliaPicchi!$B$14,"",DatiOriginali!I1228)</f>
        <v>75800</v>
      </c>
      <c r="J1228" s="4">
        <v>3715096</v>
      </c>
      <c r="K1228" s="4">
        <f>IF(DatiOriginali!K1228 &gt;= SogliaPicchi!$B$14,"",DatiOriginali!K1228)</f>
        <v>88200</v>
      </c>
    </row>
    <row r="1229" spans="1:11" x14ac:dyDescent="0.3">
      <c r="A1229" s="4" t="s">
        <v>1238</v>
      </c>
      <c r="B1229" s="4">
        <v>210925</v>
      </c>
      <c r="C1229" s="4">
        <f>IF(DatiOriginali!C1229 &gt;= SogliaPicchi!$B$14,"",DatiOriginali!C1229)</f>
        <v>1894000</v>
      </c>
      <c r="D1229" s="4">
        <v>111182</v>
      </c>
      <c r="E1229" s="4">
        <f>IF(DatiOriginali!E1229 &gt;= SogliaPicchi!$B$14,"",DatiOriginali!E1229)</f>
        <v>427800</v>
      </c>
      <c r="F1229" s="4">
        <v>3005105</v>
      </c>
      <c r="G1229" s="4">
        <f>IF(DatiOriginali!G1229 &gt;= SogliaPicchi!$B$14,"",DatiOriginali!G1229)</f>
        <v>229100</v>
      </c>
      <c r="H1229" s="4">
        <v>3738460</v>
      </c>
      <c r="I1229" s="4">
        <f>IF(DatiOriginali!I1229 &gt;= SogliaPicchi!$B$14,"",DatiOriginali!I1229)</f>
        <v>79900</v>
      </c>
      <c r="J1229" s="4">
        <v>3721238</v>
      </c>
      <c r="K1229" s="4">
        <f>IF(DatiOriginali!K1229 &gt;= SogliaPicchi!$B$14,"",DatiOriginali!K1229)</f>
        <v>87700</v>
      </c>
    </row>
    <row r="1230" spans="1:11" x14ac:dyDescent="0.3">
      <c r="A1230" s="4" t="s">
        <v>1239</v>
      </c>
      <c r="B1230" s="4">
        <v>210925</v>
      </c>
      <c r="C1230" s="4">
        <f>IF(DatiOriginali!C1230 &gt;= SogliaPicchi!$B$14,"",DatiOriginali!C1230)</f>
        <v>1523800</v>
      </c>
      <c r="D1230" s="4">
        <v>109651</v>
      </c>
      <c r="E1230" s="4">
        <f>IF(DatiOriginali!E1230 &gt;= SogliaPicchi!$B$14,"",DatiOriginali!E1230)</f>
        <v>381800</v>
      </c>
      <c r="F1230" s="4">
        <v>3010351</v>
      </c>
      <c r="G1230" s="4">
        <f>IF(DatiOriginali!G1230 &gt;= SogliaPicchi!$B$14,"",DatiOriginali!G1230)</f>
        <v>228000</v>
      </c>
      <c r="H1230" s="4">
        <v>3745532</v>
      </c>
      <c r="I1230" s="4">
        <f>IF(DatiOriginali!I1230 &gt;= SogliaPicchi!$B$14,"",DatiOriginali!I1230)</f>
        <v>81300</v>
      </c>
      <c r="J1230" s="4">
        <v>3728474</v>
      </c>
      <c r="K1230" s="4">
        <f>IF(DatiOriginali!K1230 &gt;= SogliaPicchi!$B$14,"",DatiOriginali!K1230)</f>
        <v>89300</v>
      </c>
    </row>
    <row r="1231" spans="1:11" x14ac:dyDescent="0.3">
      <c r="A1231" s="4" t="s">
        <v>1240</v>
      </c>
      <c r="B1231" s="4">
        <v>210925</v>
      </c>
      <c r="C1231" s="4">
        <f>IF(DatiOriginali!C1231 &gt;= SogliaPicchi!$B$14,"",DatiOriginali!C1231)</f>
        <v>1529200</v>
      </c>
      <c r="D1231" s="4">
        <v>108022</v>
      </c>
      <c r="E1231" s="4">
        <f>IF(DatiOriginali!E1231 &gt;= SogliaPicchi!$B$14,"",DatiOriginali!E1231)</f>
        <v>380000</v>
      </c>
      <c r="F1231" s="4">
        <v>3015626</v>
      </c>
      <c r="G1231" s="4">
        <f>IF(DatiOriginali!G1231 &gt;= SogliaPicchi!$B$14,"",DatiOriginali!G1231)</f>
        <v>225500</v>
      </c>
      <c r="H1231" s="4">
        <v>3751874</v>
      </c>
      <c r="I1231" s="4">
        <f>IF(DatiOriginali!I1231 &gt;= SogliaPicchi!$B$14,"",DatiOriginali!I1231)</f>
        <v>77700</v>
      </c>
      <c r="J1231" s="4">
        <v>3734616</v>
      </c>
      <c r="K1231" s="4">
        <f>IF(DatiOriginali!K1231 &gt;= SogliaPicchi!$B$14,"",DatiOriginali!K1231)</f>
        <v>85400</v>
      </c>
    </row>
    <row r="1232" spans="1:11" x14ac:dyDescent="0.3">
      <c r="A1232" s="4" t="s">
        <v>1241</v>
      </c>
      <c r="B1232" s="4">
        <v>210925</v>
      </c>
      <c r="C1232" s="4">
        <f>IF(DatiOriginali!C1232 &gt;= SogliaPicchi!$B$14,"",DatiOriginali!C1232)</f>
        <v>1524200</v>
      </c>
      <c r="D1232" s="4">
        <v>110243</v>
      </c>
      <c r="E1232" s="4">
        <f>IF(DatiOriginali!E1232 &gt;= SogliaPicchi!$B$14,"",DatiOriginali!E1232)</f>
        <v>382400</v>
      </c>
      <c r="F1232" s="4">
        <v>3020913</v>
      </c>
      <c r="G1232" s="4">
        <f>IF(DatiOriginali!G1232 &gt;= SogliaPicchi!$B$14,"",DatiOriginali!G1232)</f>
        <v>226300</v>
      </c>
      <c r="H1232" s="4">
        <v>3758662</v>
      </c>
      <c r="I1232" s="4">
        <f>IF(DatiOriginali!I1232 &gt;= SogliaPicchi!$B$14,"",DatiOriginali!I1232)</f>
        <v>79200</v>
      </c>
      <c r="J1232" s="4">
        <v>3741424</v>
      </c>
      <c r="K1232" s="4">
        <f>IF(DatiOriginali!K1232 &gt;= SogliaPicchi!$B$14,"",DatiOriginali!K1232)</f>
        <v>85300</v>
      </c>
    </row>
    <row r="1233" spans="1:11" x14ac:dyDescent="0.3">
      <c r="A1233" s="4" t="s">
        <v>1242</v>
      </c>
      <c r="B1233" s="4">
        <v>210925</v>
      </c>
      <c r="C1233" s="4">
        <f>IF(DatiOriginali!C1233 &gt;= SogliaPicchi!$B$14,"",DatiOriginali!C1233)</f>
        <v>1845000</v>
      </c>
      <c r="D1233" s="4">
        <v>103917</v>
      </c>
      <c r="E1233" s="4">
        <f>IF(DatiOriginali!E1233 &gt;= SogliaPicchi!$B$14,"",DatiOriginali!E1233)</f>
        <v>371200</v>
      </c>
      <c r="F1233" s="4">
        <v>3026188</v>
      </c>
      <c r="G1233" s="4">
        <f>IF(DatiOriginali!G1233 &gt;= SogliaPicchi!$B$14,"",DatiOriginali!G1233)</f>
        <v>231900</v>
      </c>
      <c r="H1233" s="4">
        <v>3764774</v>
      </c>
      <c r="I1233" s="4">
        <f>IF(DatiOriginali!I1233 &gt;= SogliaPicchi!$B$14,"",DatiOriginali!I1233)</f>
        <v>76400</v>
      </c>
      <c r="J1233" s="4">
        <v>3748039</v>
      </c>
      <c r="K1233" s="4">
        <f>IF(DatiOriginali!K1233 &gt;= SogliaPicchi!$B$14,"",DatiOriginali!K1233)</f>
        <v>87700</v>
      </c>
    </row>
    <row r="1234" spans="1:11" x14ac:dyDescent="0.3">
      <c r="A1234" s="4" t="s">
        <v>1243</v>
      </c>
      <c r="B1234" s="4">
        <v>210925</v>
      </c>
      <c r="C1234" s="4">
        <f>IF(DatiOriginali!C1234 &gt;= SogliaPicchi!$B$14,"",DatiOriginali!C1234)</f>
        <v>1532300</v>
      </c>
      <c r="D1234" s="4">
        <v>110472</v>
      </c>
      <c r="E1234" s="4">
        <f>IF(DatiOriginali!E1234 &gt;= SogliaPicchi!$B$14,"",DatiOriginali!E1234)</f>
        <v>383400</v>
      </c>
      <c r="F1234" s="4">
        <v>3031480</v>
      </c>
      <c r="G1234" s="4">
        <f>IF(DatiOriginali!G1234 &gt;= SogliaPicchi!$B$14,"",DatiOriginali!G1234)</f>
        <v>228900</v>
      </c>
      <c r="H1234" s="4">
        <v>3770954</v>
      </c>
      <c r="I1234" s="4">
        <f>IF(DatiOriginali!I1234 &gt;= SogliaPicchi!$B$14,"",DatiOriginali!I1234)</f>
        <v>77100</v>
      </c>
      <c r="J1234" s="4">
        <v>3754458</v>
      </c>
      <c r="K1234" s="4">
        <f>IF(DatiOriginali!K1234 &gt;= SogliaPicchi!$B$14,"",DatiOriginali!K1234)</f>
        <v>85700</v>
      </c>
    </row>
    <row r="1235" spans="1:11" x14ac:dyDescent="0.3">
      <c r="A1235" s="4" t="s">
        <v>1244</v>
      </c>
      <c r="B1235" s="4">
        <v>210925</v>
      </c>
      <c r="C1235" s="4">
        <f>IF(DatiOriginali!C1235 &gt;= SogliaPicchi!$B$14,"",DatiOriginali!C1235)</f>
        <v>1536700</v>
      </c>
      <c r="D1235" s="4">
        <v>111842</v>
      </c>
      <c r="E1235" s="4">
        <f>IF(DatiOriginali!E1235 &gt;= SogliaPicchi!$B$14,"",DatiOriginali!E1235)</f>
        <v>388500</v>
      </c>
      <c r="F1235" s="4">
        <v>3036757</v>
      </c>
      <c r="G1235" s="4">
        <f>IF(DatiOriginali!G1235 &gt;= SogliaPicchi!$B$14,"",DatiOriginali!G1235)</f>
        <v>225200</v>
      </c>
      <c r="H1235" s="4">
        <v>3777462</v>
      </c>
      <c r="I1235" s="4">
        <f>IF(DatiOriginali!I1235 &gt;= SogliaPicchi!$B$14,"",DatiOriginali!I1235)</f>
        <v>74500</v>
      </c>
      <c r="J1235" s="4">
        <v>3760288</v>
      </c>
      <c r="K1235" s="4">
        <f>IF(DatiOriginali!K1235 &gt;= SogliaPicchi!$B$14,"",DatiOriginali!K1235)</f>
        <v>86600</v>
      </c>
    </row>
    <row r="1236" spans="1:11" x14ac:dyDescent="0.3">
      <c r="A1236" s="4" t="s">
        <v>1245</v>
      </c>
      <c r="B1236" s="4">
        <v>210925</v>
      </c>
      <c r="C1236" s="4">
        <f>IF(DatiOriginali!C1236 &gt;= SogliaPicchi!$B$14,"",DatiOriginali!C1236)</f>
        <v>1637500</v>
      </c>
      <c r="D1236" s="4">
        <v>106491</v>
      </c>
      <c r="E1236" s="4">
        <f>IF(DatiOriginali!E1236 &gt;= SogliaPicchi!$B$14,"",DatiOriginali!E1236)</f>
        <v>374100</v>
      </c>
      <c r="F1236" s="4">
        <v>3042010</v>
      </c>
      <c r="G1236" s="4">
        <f>IF(DatiOriginali!G1236 &gt;= SogliaPicchi!$B$14,"",DatiOriginali!G1236)</f>
        <v>225400</v>
      </c>
      <c r="H1236" s="4">
        <v>3783955</v>
      </c>
      <c r="I1236" s="4">
        <f>IF(DatiOriginali!I1236 &gt;= SogliaPicchi!$B$14,"",DatiOriginali!I1236)</f>
        <v>79200</v>
      </c>
      <c r="J1236" s="4">
        <v>3766404</v>
      </c>
      <c r="K1236" s="4">
        <f>IF(DatiOriginali!K1236 &gt;= SogliaPicchi!$B$14,"",DatiOriginali!K1236)</f>
        <v>86500</v>
      </c>
    </row>
    <row r="1237" spans="1:11" x14ac:dyDescent="0.3">
      <c r="A1237" s="4" t="s">
        <v>1246</v>
      </c>
      <c r="B1237" s="4">
        <v>210925</v>
      </c>
      <c r="C1237" s="4">
        <f>IF(DatiOriginali!C1237 &gt;= SogliaPicchi!$B$14,"",DatiOriginali!C1237)</f>
        <v>1586800</v>
      </c>
      <c r="D1237" s="4">
        <v>104701</v>
      </c>
      <c r="E1237" s="4">
        <f>IF(DatiOriginali!E1237 &gt;= SogliaPicchi!$B$14,"",DatiOriginali!E1237)</f>
        <v>369200</v>
      </c>
      <c r="F1237" s="4">
        <v>3047267</v>
      </c>
      <c r="G1237" s="4">
        <f>IF(DatiOriginali!G1237 &gt;= SogliaPicchi!$B$14,"",DatiOriginali!G1237)</f>
        <v>337700</v>
      </c>
      <c r="H1237" s="4">
        <v>3790594</v>
      </c>
      <c r="I1237" s="4">
        <f>IF(DatiOriginali!I1237 &gt;= SogliaPicchi!$B$14,"",DatiOriginali!I1237)</f>
        <v>101500</v>
      </c>
      <c r="J1237" s="4">
        <v>3772747</v>
      </c>
      <c r="K1237" s="4">
        <f>IF(DatiOriginali!K1237 &gt;= SogliaPicchi!$B$14,"",DatiOriginali!K1237)</f>
        <v>88200</v>
      </c>
    </row>
    <row r="1238" spans="1:11" x14ac:dyDescent="0.3">
      <c r="A1238" s="4" t="s">
        <v>1247</v>
      </c>
      <c r="B1238" s="4">
        <v>210925</v>
      </c>
      <c r="C1238" s="4">
        <f>IF(DatiOriginali!C1238 &gt;= SogliaPicchi!$B$14,"",DatiOriginali!C1238)</f>
        <v>1543300</v>
      </c>
      <c r="D1238" s="4">
        <v>105146</v>
      </c>
      <c r="E1238" s="4">
        <f>IF(DatiOriginali!E1238 &gt;= SogliaPicchi!$B$14,"",DatiOriginali!E1238)</f>
        <v>370000</v>
      </c>
      <c r="F1238" s="4">
        <v>3052515</v>
      </c>
      <c r="G1238" s="4">
        <f>IF(DatiOriginali!G1238 &gt;= SogliaPicchi!$B$14,"",DatiOriginali!G1238)</f>
        <v>226700</v>
      </c>
      <c r="H1238" s="4">
        <v>3797324</v>
      </c>
      <c r="I1238" s="4">
        <f>IF(DatiOriginali!I1238 &gt;= SogliaPicchi!$B$14,"",DatiOriginali!I1238)</f>
        <v>74700</v>
      </c>
      <c r="J1238" s="4">
        <v>3779035</v>
      </c>
      <c r="K1238" s="4">
        <f>IF(DatiOriginali!K1238 &gt;= SogliaPicchi!$B$14,"",DatiOriginali!K1238)</f>
        <v>85500</v>
      </c>
    </row>
    <row r="1239" spans="1:11" x14ac:dyDescent="0.3">
      <c r="A1239" s="4" t="s">
        <v>1248</v>
      </c>
      <c r="B1239" s="4">
        <v>210925</v>
      </c>
      <c r="C1239" s="4">
        <f>IF(DatiOriginali!C1239 &gt;= SogliaPicchi!$B$14,"",DatiOriginali!C1239)</f>
        <v>1663400</v>
      </c>
      <c r="D1239" s="4">
        <v>104132</v>
      </c>
      <c r="E1239" s="4">
        <f>IF(DatiOriginali!E1239 &gt;= SogliaPicchi!$B$14,"",DatiOriginali!E1239)</f>
        <v>563900</v>
      </c>
      <c r="F1239" s="4">
        <v>3057785</v>
      </c>
      <c r="G1239" s="4">
        <f>IF(DatiOriginali!G1239 &gt;= SogliaPicchi!$B$14,"",DatiOriginali!G1239)</f>
        <v>235500</v>
      </c>
      <c r="H1239" s="4">
        <v>3804322</v>
      </c>
      <c r="I1239" s="4">
        <f>IF(DatiOriginali!I1239 &gt;= SogliaPicchi!$B$14,"",DatiOriginali!I1239)</f>
        <v>78300</v>
      </c>
      <c r="J1239" s="4">
        <v>3785453</v>
      </c>
      <c r="K1239" s="4">
        <f>IF(DatiOriginali!K1239 &gt;= SogliaPicchi!$B$14,"",DatiOriginali!K1239)</f>
        <v>84400</v>
      </c>
    </row>
    <row r="1240" spans="1:11" x14ac:dyDescent="0.3">
      <c r="A1240" s="4" t="s">
        <v>1249</v>
      </c>
      <c r="B1240" s="4">
        <v>210925</v>
      </c>
      <c r="C1240" s="4">
        <f>IF(DatiOriginali!C1240 &gt;= SogliaPicchi!$B$14,"",DatiOriginali!C1240)</f>
        <v>1512800</v>
      </c>
      <c r="D1240" s="4">
        <v>102965</v>
      </c>
      <c r="E1240" s="4">
        <f>IF(DatiOriginali!E1240 &gt;= SogliaPicchi!$B$14,"",DatiOriginali!E1240)</f>
        <v>358000</v>
      </c>
      <c r="F1240" s="4">
        <v>3063061</v>
      </c>
      <c r="G1240" s="4">
        <f>IF(DatiOriginali!G1240 &gt;= SogliaPicchi!$B$14,"",DatiOriginali!G1240)</f>
        <v>225500</v>
      </c>
      <c r="H1240" s="4">
        <v>3810540</v>
      </c>
      <c r="I1240" s="4">
        <f>IF(DatiOriginali!I1240 &gt;= SogliaPicchi!$B$14,"",DatiOriginali!I1240)</f>
        <v>76700</v>
      </c>
      <c r="J1240" s="4">
        <v>3792823</v>
      </c>
      <c r="K1240" s="4">
        <f>IF(DatiOriginali!K1240 &gt;= SogliaPicchi!$B$14,"",DatiOriginali!K1240)</f>
        <v>85800</v>
      </c>
    </row>
    <row r="1241" spans="1:11" x14ac:dyDescent="0.3">
      <c r="A1241" s="4" t="s">
        <v>1250</v>
      </c>
      <c r="B1241" s="4">
        <v>210925</v>
      </c>
      <c r="C1241" s="4">
        <f>IF(DatiOriginali!C1241 &gt;= SogliaPicchi!$B$14,"",DatiOriginali!C1241)</f>
        <v>1458500</v>
      </c>
      <c r="D1241" s="4">
        <v>105600</v>
      </c>
      <c r="E1241" s="4">
        <f>IF(DatiOriginali!E1241 &gt;= SogliaPicchi!$B$14,"",DatiOriginali!E1241)</f>
        <v>555800</v>
      </c>
      <c r="F1241" s="4">
        <v>3068313</v>
      </c>
      <c r="G1241" s="4">
        <f>IF(DatiOriginali!G1241 &gt;= SogliaPicchi!$B$14,"",DatiOriginali!G1241)</f>
        <v>228200</v>
      </c>
      <c r="H1241" s="4">
        <v>3817100</v>
      </c>
      <c r="I1241" s="4">
        <f>IF(DatiOriginali!I1241 &gt;= SogliaPicchi!$B$14,"",DatiOriginali!I1241)</f>
        <v>74100</v>
      </c>
      <c r="J1241" s="4">
        <v>3799059</v>
      </c>
      <c r="K1241" s="4">
        <f>IF(DatiOriginali!K1241 &gt;= SogliaPicchi!$B$14,"",DatiOriginali!K1241)</f>
        <v>88600</v>
      </c>
    </row>
    <row r="1242" spans="1:11" x14ac:dyDescent="0.3">
      <c r="A1242" s="4" t="s">
        <v>1251</v>
      </c>
      <c r="B1242" s="4">
        <v>210925</v>
      </c>
      <c r="C1242" s="4">
        <f>IF(DatiOriginali!C1242 &gt;= SogliaPicchi!$B$14,"",DatiOriginali!C1242)</f>
        <v>1761900</v>
      </c>
      <c r="D1242" s="4">
        <v>108574</v>
      </c>
      <c r="E1242" s="4">
        <f>IF(DatiOriginali!E1242 &gt;= SogliaPicchi!$B$14,"",DatiOriginali!E1242)</f>
        <v>429100</v>
      </c>
      <c r="F1242" s="4">
        <v>3073573</v>
      </c>
      <c r="G1242" s="4">
        <f>IF(DatiOriginali!G1242 &gt;= SogliaPicchi!$B$14,"",DatiOriginali!G1242)</f>
        <v>228200</v>
      </c>
      <c r="H1242" s="4">
        <v>3824035</v>
      </c>
      <c r="I1242" s="4">
        <f>IF(DatiOriginali!I1242 &gt;= SogliaPicchi!$B$14,"",DatiOriginali!I1242)</f>
        <v>77900</v>
      </c>
      <c r="J1242" s="4">
        <v>3805205</v>
      </c>
      <c r="K1242" s="4">
        <f>IF(DatiOriginali!K1242 &gt;= SogliaPicchi!$B$14,"",DatiOriginali!K1242)</f>
        <v>84200</v>
      </c>
    </row>
    <row r="1243" spans="1:11" x14ac:dyDescent="0.3">
      <c r="A1243" s="4" t="s">
        <v>1252</v>
      </c>
      <c r="B1243" s="4">
        <v>210925</v>
      </c>
      <c r="C1243" s="4">
        <f>IF(DatiOriginali!C1243 &gt;= SogliaPicchi!$B$14,"",DatiOriginali!C1243)</f>
        <v>1993500</v>
      </c>
      <c r="D1243" s="4">
        <v>104074</v>
      </c>
      <c r="E1243" s="4">
        <f>IF(DatiOriginali!E1243 &gt;= SogliaPicchi!$B$14,"",DatiOriginali!E1243)</f>
        <v>374200</v>
      </c>
      <c r="F1243" s="4">
        <v>3078853</v>
      </c>
      <c r="G1243" s="4">
        <f>IF(DatiOriginali!G1243 &gt;= SogliaPicchi!$B$14,"",DatiOriginali!G1243)</f>
        <v>228300</v>
      </c>
      <c r="H1243" s="4">
        <v>3830235</v>
      </c>
      <c r="I1243" s="4">
        <f>IF(DatiOriginali!I1243 &gt;= SogliaPicchi!$B$14,"",DatiOriginali!I1243)</f>
        <v>79100</v>
      </c>
      <c r="J1243" s="4">
        <v>3811739</v>
      </c>
      <c r="K1243" s="4">
        <f>IF(DatiOriginali!K1243 &gt;= SogliaPicchi!$B$14,"",DatiOriginali!K1243)</f>
        <v>87300</v>
      </c>
    </row>
    <row r="1244" spans="1:11" x14ac:dyDescent="0.3">
      <c r="A1244" s="4" t="s">
        <v>1253</v>
      </c>
      <c r="B1244" s="4">
        <v>210925</v>
      </c>
      <c r="C1244" s="4">
        <f>IF(DatiOriginali!C1244 &gt;= SogliaPicchi!$B$14,"",DatiOriginali!C1244)</f>
        <v>1820100</v>
      </c>
      <c r="D1244" s="4">
        <v>108069</v>
      </c>
      <c r="E1244" s="4">
        <f>IF(DatiOriginali!E1244 &gt;= SogliaPicchi!$B$14,"",DatiOriginali!E1244)</f>
        <v>375900</v>
      </c>
      <c r="F1244" s="4">
        <v>3084130</v>
      </c>
      <c r="G1244" s="4">
        <f>IF(DatiOriginali!G1244 &gt;= SogliaPicchi!$B$14,"",DatiOriginali!G1244)</f>
        <v>227900</v>
      </c>
      <c r="H1244" s="4">
        <v>3836442</v>
      </c>
      <c r="I1244" s="4">
        <f>IF(DatiOriginali!I1244 &gt;= SogliaPicchi!$B$14,"",DatiOriginali!I1244)</f>
        <v>79300</v>
      </c>
      <c r="J1244" s="4">
        <v>3818947</v>
      </c>
      <c r="K1244" s="4">
        <f>IF(DatiOriginali!K1244 &gt;= SogliaPicchi!$B$14,"",DatiOriginali!K1244)</f>
        <v>86000</v>
      </c>
    </row>
    <row r="1245" spans="1:11" x14ac:dyDescent="0.3">
      <c r="A1245" s="4" t="s">
        <v>1254</v>
      </c>
      <c r="B1245" s="4">
        <v>210925</v>
      </c>
      <c r="C1245" s="4">
        <f>IF(DatiOriginali!C1245 &gt;= SogliaPicchi!$B$14,"",DatiOriginali!C1245)</f>
        <v>2035500</v>
      </c>
      <c r="D1245" s="4">
        <v>105843</v>
      </c>
      <c r="E1245" s="4">
        <f>IF(DatiOriginali!E1245 &gt;= SogliaPicchi!$B$14,"",DatiOriginali!E1245)</f>
        <v>372000</v>
      </c>
      <c r="F1245" s="4">
        <v>3089378</v>
      </c>
      <c r="G1245" s="4">
        <f>IF(DatiOriginali!G1245 &gt;= SogliaPicchi!$B$14,"",DatiOriginali!G1245)</f>
        <v>267600</v>
      </c>
      <c r="H1245" s="4">
        <v>3843097</v>
      </c>
      <c r="I1245" s="4">
        <f>IF(DatiOriginali!I1245 &gt;= SogliaPicchi!$B$14,"",DatiOriginali!I1245)</f>
        <v>77900</v>
      </c>
      <c r="J1245" s="4">
        <v>3825438</v>
      </c>
      <c r="K1245" s="4">
        <f>IF(DatiOriginali!K1245 &gt;= SogliaPicchi!$B$14,"",DatiOriginali!K1245)</f>
        <v>84100</v>
      </c>
    </row>
    <row r="1246" spans="1:11" x14ac:dyDescent="0.3">
      <c r="A1246" s="4" t="s">
        <v>1255</v>
      </c>
      <c r="B1246" s="4">
        <v>210925</v>
      </c>
      <c r="C1246" s="4">
        <f>IF(DatiOriginali!C1246 &gt;= SogliaPicchi!$B$14,"",DatiOriginali!C1246)</f>
        <v>1529700</v>
      </c>
      <c r="D1246" s="4">
        <v>101841</v>
      </c>
      <c r="E1246" s="4">
        <f>IF(DatiOriginali!E1246 &gt;= SogliaPicchi!$B$14,"",DatiOriginali!E1246)</f>
        <v>359000</v>
      </c>
      <c r="F1246" s="4">
        <v>3094652</v>
      </c>
      <c r="G1246" s="4">
        <f>IF(DatiOriginali!G1246 &gt;= SogliaPicchi!$B$14,"",DatiOriginali!G1246)</f>
        <v>224200</v>
      </c>
      <c r="H1246" s="4">
        <v>3849143</v>
      </c>
      <c r="I1246" s="4">
        <f>IF(DatiOriginali!I1246 &gt;= SogliaPicchi!$B$14,"",DatiOriginali!I1246)</f>
        <v>74200</v>
      </c>
      <c r="J1246" s="4">
        <v>3832088</v>
      </c>
      <c r="K1246" s="4">
        <f>IF(DatiOriginali!K1246 &gt;= SogliaPicchi!$B$14,"",DatiOriginali!K1246)</f>
        <v>84100</v>
      </c>
    </row>
    <row r="1247" spans="1:11" x14ac:dyDescent="0.3">
      <c r="A1247" s="4" t="s">
        <v>1256</v>
      </c>
      <c r="B1247" s="4">
        <v>210925</v>
      </c>
      <c r="C1247" s="4">
        <f>IF(DatiOriginali!C1247 &gt;= SogliaPicchi!$B$14,"",DatiOriginali!C1247)</f>
        <v>1572300</v>
      </c>
      <c r="D1247" s="4">
        <v>105764</v>
      </c>
      <c r="E1247" s="4">
        <f>IF(DatiOriginali!E1247 &gt;= SogliaPicchi!$B$14,"",DatiOriginali!E1247)</f>
        <v>366600</v>
      </c>
      <c r="F1247" s="4">
        <v>3099905</v>
      </c>
      <c r="G1247" s="4">
        <f>IF(DatiOriginali!G1247 &gt;= SogliaPicchi!$B$14,"",DatiOriginali!G1247)</f>
        <v>226100</v>
      </c>
      <c r="H1247" s="4">
        <v>3855697</v>
      </c>
      <c r="I1247" s="4">
        <f>IF(DatiOriginali!I1247 &gt;= SogliaPicchi!$B$14,"",DatiOriginali!I1247)</f>
        <v>78900</v>
      </c>
      <c r="J1247" s="4">
        <v>3838990</v>
      </c>
      <c r="K1247" s="4">
        <f>IF(DatiOriginali!K1247 &gt;= SogliaPicchi!$B$14,"",DatiOriginali!K1247)</f>
        <v>92900</v>
      </c>
    </row>
    <row r="1248" spans="1:11" x14ac:dyDescent="0.3">
      <c r="A1248" s="4" t="s">
        <v>1257</v>
      </c>
      <c r="B1248" s="4">
        <v>210925</v>
      </c>
      <c r="C1248" s="4">
        <f>IF(DatiOriginali!C1248 &gt;= SogliaPicchi!$B$14,"",DatiOriginali!C1248)</f>
        <v>1539800</v>
      </c>
      <c r="D1248" s="4">
        <v>103521</v>
      </c>
      <c r="E1248" s="4">
        <f>IF(DatiOriginali!E1248 &gt;= SogliaPicchi!$B$14,"",DatiOriginali!E1248)</f>
        <v>359900</v>
      </c>
      <c r="F1248" s="4">
        <v>3105192</v>
      </c>
      <c r="G1248" s="4">
        <f>IF(DatiOriginali!G1248 &gt;= SogliaPicchi!$B$14,"",DatiOriginali!G1248)</f>
        <v>225900</v>
      </c>
      <c r="H1248" s="4">
        <v>3862727</v>
      </c>
      <c r="I1248" s="4">
        <f>IF(DatiOriginali!I1248 &gt;= SogliaPicchi!$B$14,"",DatiOriginali!I1248)</f>
        <v>77800</v>
      </c>
      <c r="J1248" s="4">
        <v>3845228</v>
      </c>
      <c r="K1248" s="4">
        <f>IF(DatiOriginali!K1248 &gt;= SogliaPicchi!$B$14,"",DatiOriginali!K1248)</f>
        <v>84700</v>
      </c>
    </row>
    <row r="1249" spans="1:11" x14ac:dyDescent="0.3">
      <c r="A1249" s="4" t="s">
        <v>1258</v>
      </c>
      <c r="B1249" s="4">
        <v>210925</v>
      </c>
      <c r="C1249" s="4">
        <f>IF(DatiOriginali!C1249 &gt;= SogliaPicchi!$B$14,"",DatiOriginali!C1249)</f>
        <v>1526400</v>
      </c>
      <c r="D1249" s="4">
        <v>105778</v>
      </c>
      <c r="E1249" s="4">
        <f>IF(DatiOriginali!E1249 &gt;= SogliaPicchi!$B$14,"",DatiOriginali!E1249)</f>
        <v>625100</v>
      </c>
      <c r="F1249" s="4">
        <v>3110431</v>
      </c>
      <c r="G1249" s="4">
        <f>IF(DatiOriginali!G1249 &gt;= SogliaPicchi!$B$14,"",DatiOriginali!G1249)</f>
        <v>313000</v>
      </c>
      <c r="H1249" s="4">
        <v>3868782</v>
      </c>
      <c r="I1249" s="4">
        <f>IF(DatiOriginali!I1249 &gt;= SogliaPicchi!$B$14,"",DatiOriginali!I1249)</f>
        <v>82700</v>
      </c>
      <c r="J1249" s="4">
        <v>3851976</v>
      </c>
      <c r="K1249" s="4">
        <f>IF(DatiOriginali!K1249 &gt;= SogliaPicchi!$B$14,"",DatiOriginali!K1249)</f>
        <v>94300</v>
      </c>
    </row>
    <row r="1250" spans="1:11" x14ac:dyDescent="0.3">
      <c r="A1250" s="4" t="s">
        <v>1259</v>
      </c>
      <c r="B1250" s="4">
        <v>210925</v>
      </c>
      <c r="C1250" s="4">
        <f>IF(DatiOriginali!C1250 &gt;= SogliaPicchi!$B$14,"",DatiOriginali!C1250)</f>
        <v>1556900</v>
      </c>
      <c r="D1250" s="4">
        <v>105364</v>
      </c>
      <c r="E1250" s="4">
        <f>IF(DatiOriginali!E1250 &gt;= SogliaPicchi!$B$14,"",DatiOriginali!E1250)</f>
        <v>366800</v>
      </c>
      <c r="F1250" s="4">
        <v>3115701</v>
      </c>
      <c r="G1250" s="4">
        <f>IF(DatiOriginali!G1250 &gt;= SogliaPicchi!$B$14,"",DatiOriginali!G1250)</f>
        <v>230900</v>
      </c>
      <c r="H1250" s="4">
        <v>3875642</v>
      </c>
      <c r="I1250" s="4">
        <f>IF(DatiOriginali!I1250 &gt;= SogliaPicchi!$B$14,"",DatiOriginali!I1250)</f>
        <v>81200</v>
      </c>
      <c r="J1250" s="4">
        <v>3858070</v>
      </c>
      <c r="K1250" s="4">
        <f>IF(DatiOriginali!K1250 &gt;= SogliaPicchi!$B$14,"",DatiOriginali!K1250)</f>
        <v>86700</v>
      </c>
    </row>
    <row r="1251" spans="1:11" x14ac:dyDescent="0.3">
      <c r="A1251" s="4" t="s">
        <v>1260</v>
      </c>
      <c r="B1251" s="4">
        <v>210925</v>
      </c>
      <c r="C1251" s="4">
        <f>IF(DatiOriginali!C1251 &gt;= SogliaPicchi!$B$14,"",DatiOriginali!C1251)</f>
        <v>1643500</v>
      </c>
      <c r="D1251" s="4">
        <v>109077</v>
      </c>
      <c r="E1251" s="4">
        <f>IF(DatiOriginali!E1251 &gt;= SogliaPicchi!$B$14,"",DatiOriginali!E1251)</f>
        <v>383700</v>
      </c>
      <c r="F1251" s="4">
        <v>3120963</v>
      </c>
      <c r="G1251" s="4">
        <f>IF(DatiOriginali!G1251 &gt;= SogliaPicchi!$B$14,"",DatiOriginali!G1251)</f>
        <v>231700</v>
      </c>
      <c r="H1251" s="4">
        <v>3882697</v>
      </c>
      <c r="I1251" s="4">
        <f>IF(DatiOriginali!I1251 &gt;= SogliaPicchi!$B$14,"",DatiOriginali!I1251)</f>
        <v>77300</v>
      </c>
      <c r="J1251" s="4">
        <v>3864220</v>
      </c>
      <c r="K1251" s="4">
        <f>IF(DatiOriginali!K1251 &gt;= SogliaPicchi!$B$14,"",DatiOriginali!K1251)</f>
        <v>88000</v>
      </c>
    </row>
    <row r="1252" spans="1:11" x14ac:dyDescent="0.3">
      <c r="A1252" s="4" t="s">
        <v>1261</v>
      </c>
      <c r="B1252" s="4">
        <v>210925</v>
      </c>
      <c r="C1252" s="4">
        <f>IF(DatiOriginali!C1252 &gt;= SogliaPicchi!$B$14,"",DatiOriginali!C1252)</f>
        <v>1735400</v>
      </c>
      <c r="D1252" s="4">
        <v>102340</v>
      </c>
      <c r="E1252" s="4">
        <f>IF(DatiOriginali!E1252 &gt;= SogliaPicchi!$B$14,"",DatiOriginali!E1252)</f>
        <v>358000</v>
      </c>
      <c r="F1252" s="4">
        <v>3126230</v>
      </c>
      <c r="G1252" s="4">
        <f>IF(DatiOriginali!G1252 &gt;= SogliaPicchi!$B$14,"",DatiOriginali!G1252)</f>
        <v>228000</v>
      </c>
      <c r="H1252" s="4">
        <v>3889073</v>
      </c>
      <c r="I1252" s="4">
        <f>IF(DatiOriginali!I1252 &gt;= SogliaPicchi!$B$14,"",DatiOriginali!I1252)</f>
        <v>78500</v>
      </c>
      <c r="J1252" s="4">
        <v>3871196</v>
      </c>
      <c r="K1252" s="4">
        <f>IF(DatiOriginali!K1252 &gt;= SogliaPicchi!$B$14,"",DatiOriginali!K1252)</f>
        <v>87200</v>
      </c>
    </row>
    <row r="1253" spans="1:11" x14ac:dyDescent="0.3">
      <c r="A1253" s="4" t="s">
        <v>1262</v>
      </c>
      <c r="B1253" s="4">
        <v>210925</v>
      </c>
      <c r="C1253" s="4">
        <f>IF(DatiOriginali!C1253 &gt;= SogliaPicchi!$B$14,"",DatiOriginali!C1253)</f>
        <v>1703500</v>
      </c>
      <c r="D1253" s="4">
        <v>102888</v>
      </c>
      <c r="E1253" s="4">
        <f>IF(DatiOriginali!E1253 &gt;= SogliaPicchi!$B$14,"",DatiOriginali!E1253)</f>
        <v>359100</v>
      </c>
      <c r="F1253" s="4">
        <v>3131502</v>
      </c>
      <c r="G1253" s="4">
        <f>IF(DatiOriginali!G1253 &gt;= SogliaPicchi!$B$14,"",DatiOriginali!G1253)</f>
        <v>236000</v>
      </c>
      <c r="H1253" s="4">
        <v>3895512</v>
      </c>
      <c r="I1253" s="4">
        <f>IF(DatiOriginali!I1253 &gt;= SogliaPicchi!$B$14,"",DatiOriginali!I1253)</f>
        <v>77800</v>
      </c>
      <c r="J1253" s="4">
        <v>3877738</v>
      </c>
      <c r="K1253" s="4">
        <f>IF(DatiOriginali!K1253 &gt;= SogliaPicchi!$B$14,"",DatiOriginali!K1253)</f>
        <v>85200</v>
      </c>
    </row>
    <row r="1254" spans="1:11" x14ac:dyDescent="0.3">
      <c r="A1254" s="4" t="s">
        <v>1263</v>
      </c>
      <c r="B1254" s="4">
        <v>210925</v>
      </c>
      <c r="C1254" s="4">
        <f>IF(DatiOriginali!C1254 &gt;= SogliaPicchi!$B$14,"",DatiOriginali!C1254)</f>
        <v>1946900</v>
      </c>
      <c r="D1254" s="4">
        <v>105023</v>
      </c>
      <c r="E1254" s="4">
        <f>IF(DatiOriginali!E1254 &gt;= SogliaPicchi!$B$14,"",DatiOriginali!E1254)</f>
        <v>365400</v>
      </c>
      <c r="F1254" s="4">
        <v>3136749</v>
      </c>
      <c r="G1254" s="4">
        <f>IF(DatiOriginali!G1254 &gt;= SogliaPicchi!$B$14,"",DatiOriginali!G1254)</f>
        <v>232400</v>
      </c>
      <c r="H1254" s="4">
        <v>3901853</v>
      </c>
      <c r="I1254" s="4">
        <f>IF(DatiOriginali!I1254 &gt;= SogliaPicchi!$B$14,"",DatiOriginali!I1254)</f>
        <v>77300</v>
      </c>
      <c r="J1254" s="4">
        <v>3884226</v>
      </c>
      <c r="K1254" s="4">
        <f>IF(DatiOriginali!K1254 &gt;= SogliaPicchi!$B$14,"",DatiOriginali!K1254)</f>
        <v>88800</v>
      </c>
    </row>
    <row r="1255" spans="1:11" x14ac:dyDescent="0.3">
      <c r="A1255" s="4" t="s">
        <v>1264</v>
      </c>
      <c r="B1255" s="4">
        <v>210925</v>
      </c>
      <c r="C1255" s="4">
        <f>IF(DatiOriginali!C1255 &gt;= SogliaPicchi!$B$14,"",DatiOriginali!C1255)</f>
        <v>1755900</v>
      </c>
      <c r="D1255" s="4">
        <v>108573</v>
      </c>
      <c r="E1255" s="4">
        <f>IF(DatiOriginali!E1255 &gt;= SogliaPicchi!$B$14,"",DatiOriginali!E1255)</f>
        <v>377100</v>
      </c>
      <c r="F1255" s="4">
        <v>3142036</v>
      </c>
      <c r="G1255" s="4">
        <f>IF(DatiOriginali!G1255 &gt;= SogliaPicchi!$B$14,"",DatiOriginali!G1255)</f>
        <v>231100</v>
      </c>
      <c r="H1255" s="4">
        <v>3908388</v>
      </c>
      <c r="I1255" s="4">
        <f>IF(DatiOriginali!I1255 &gt;= SogliaPicchi!$B$14,"",DatiOriginali!I1255)</f>
        <v>79200</v>
      </c>
      <c r="J1255" s="4">
        <v>3890507</v>
      </c>
      <c r="K1255" s="4">
        <f>IF(DatiOriginali!K1255 &gt;= SogliaPicchi!$B$14,"",DatiOriginali!K1255)</f>
        <v>85200</v>
      </c>
    </row>
    <row r="1256" spans="1:11" x14ac:dyDescent="0.3">
      <c r="A1256" s="4" t="s">
        <v>1265</v>
      </c>
      <c r="B1256" s="4">
        <v>210925</v>
      </c>
      <c r="C1256" s="4">
        <f>IF(DatiOriginali!C1256 &gt;= SogliaPicchi!$B$14,"",DatiOriginali!C1256)</f>
        <v>1660000</v>
      </c>
      <c r="D1256" s="4">
        <v>107621</v>
      </c>
      <c r="E1256" s="4">
        <f>IF(DatiOriginali!E1256 &gt;= SogliaPicchi!$B$14,"",DatiOriginali!E1256)</f>
        <v>379400</v>
      </c>
      <c r="F1256" s="4">
        <v>3147317</v>
      </c>
      <c r="G1256" s="4">
        <f>IF(DatiOriginali!G1256 &gt;= SogliaPicchi!$B$14,"",DatiOriginali!G1256)</f>
        <v>229900</v>
      </c>
      <c r="H1256" s="4">
        <v>3914771</v>
      </c>
      <c r="I1256" s="4">
        <f>IF(DatiOriginali!I1256 &gt;= SogliaPicchi!$B$14,"",DatiOriginali!I1256)</f>
        <v>77200</v>
      </c>
      <c r="J1256" s="4">
        <v>3896932</v>
      </c>
      <c r="K1256" s="4">
        <f>IF(DatiOriginali!K1256 &gt;= SogliaPicchi!$B$14,"",DatiOriginali!K1256)</f>
        <v>87800</v>
      </c>
    </row>
    <row r="1257" spans="1:11" x14ac:dyDescent="0.3">
      <c r="A1257" s="4" t="s">
        <v>1266</v>
      </c>
      <c r="B1257" s="4">
        <v>210925</v>
      </c>
      <c r="C1257" s="4">
        <f>IF(DatiOriginali!C1257 &gt;= SogliaPicchi!$B$14,"",DatiOriginali!C1257)</f>
        <v>1848500</v>
      </c>
      <c r="D1257" s="4">
        <v>106177</v>
      </c>
      <c r="E1257" s="4">
        <f>IF(DatiOriginali!E1257 &gt;= SogliaPicchi!$B$14,"",DatiOriginali!E1257)</f>
        <v>404000</v>
      </c>
      <c r="F1257" s="4">
        <v>3152570</v>
      </c>
      <c r="G1257" s="4">
        <f>IF(DatiOriginali!G1257 &gt;= SogliaPicchi!$B$14,"",DatiOriginali!G1257)</f>
        <v>229600</v>
      </c>
      <c r="H1257" s="4">
        <v>3921039</v>
      </c>
      <c r="I1257" s="4">
        <f>IF(DatiOriginali!I1257 &gt;= SogliaPicchi!$B$14,"",DatiOriginali!I1257)</f>
        <v>74400</v>
      </c>
      <c r="J1257" s="4">
        <v>3902965</v>
      </c>
      <c r="K1257" s="4">
        <f>IF(DatiOriginali!K1257 &gt;= SogliaPicchi!$B$14,"",DatiOriginali!K1257)</f>
        <v>85500</v>
      </c>
    </row>
    <row r="1258" spans="1:11" x14ac:dyDescent="0.3">
      <c r="A1258" s="4" t="s">
        <v>1267</v>
      </c>
      <c r="B1258" s="4">
        <v>210925</v>
      </c>
      <c r="C1258" s="4">
        <f>IF(DatiOriginali!C1258 &gt;= SogliaPicchi!$B$14,"",DatiOriginali!C1258)</f>
        <v>1774400</v>
      </c>
      <c r="D1258" s="4">
        <v>106730</v>
      </c>
      <c r="E1258" s="4">
        <f>IF(DatiOriginali!E1258 &gt;= SogliaPicchi!$B$14,"",DatiOriginali!E1258)</f>
        <v>479300</v>
      </c>
      <c r="F1258" s="4">
        <v>3157861</v>
      </c>
      <c r="G1258" s="4">
        <f>IF(DatiOriginali!G1258 &gt;= SogliaPicchi!$B$14,"",DatiOriginali!G1258)</f>
        <v>319300</v>
      </c>
      <c r="H1258" s="4">
        <v>3927680</v>
      </c>
      <c r="I1258" s="4">
        <f>IF(DatiOriginali!I1258 &gt;= SogliaPicchi!$B$14,"",DatiOriginali!I1258)</f>
        <v>77900</v>
      </c>
      <c r="J1258" s="4">
        <v>3910407</v>
      </c>
      <c r="K1258" s="4">
        <f>IF(DatiOriginali!K1258 &gt;= SogliaPicchi!$B$14,"",DatiOriginali!K1258)</f>
        <v>86800</v>
      </c>
    </row>
    <row r="1259" spans="1:11" x14ac:dyDescent="0.3">
      <c r="A1259" s="4" t="s">
        <v>1268</v>
      </c>
      <c r="B1259" s="4">
        <v>210925</v>
      </c>
      <c r="C1259" s="4">
        <f>IF(DatiOriginali!C1259 &gt;= SogliaPicchi!$B$14,"",DatiOriginali!C1259)</f>
        <v>1548000</v>
      </c>
      <c r="D1259" s="4">
        <v>105729</v>
      </c>
      <c r="E1259" s="4">
        <f>IF(DatiOriginali!E1259 &gt;= SogliaPicchi!$B$14,"",DatiOriginali!E1259)</f>
        <v>368000</v>
      </c>
      <c r="F1259" s="4">
        <v>3163122</v>
      </c>
      <c r="G1259" s="4">
        <f>IF(DatiOriginali!G1259 &gt;= SogliaPicchi!$B$14,"",DatiOriginali!G1259)</f>
        <v>227000</v>
      </c>
      <c r="H1259" s="4">
        <v>3934781</v>
      </c>
      <c r="I1259" s="4">
        <f>IF(DatiOriginali!I1259 &gt;= SogliaPicchi!$B$14,"",DatiOriginali!I1259)</f>
        <v>79200</v>
      </c>
      <c r="J1259" s="4">
        <v>3918367</v>
      </c>
      <c r="K1259" s="4">
        <f>IF(DatiOriginali!K1259 &gt;= SogliaPicchi!$B$14,"",DatiOriginali!K1259)</f>
        <v>85000</v>
      </c>
    </row>
    <row r="1260" spans="1:11" x14ac:dyDescent="0.3">
      <c r="A1260" s="4" t="s">
        <v>1269</v>
      </c>
      <c r="B1260" s="4">
        <v>210925</v>
      </c>
      <c r="C1260" s="4">
        <f>IF(DatiOriginali!C1260 &gt;= SogliaPicchi!$B$14,"",DatiOriginali!C1260)</f>
        <v>1762900</v>
      </c>
      <c r="D1260" s="4">
        <v>103785</v>
      </c>
      <c r="E1260" s="4">
        <f>IF(DatiOriginali!E1260 &gt;= SogliaPicchi!$B$14,"",DatiOriginali!E1260)</f>
        <v>365600</v>
      </c>
      <c r="F1260" s="4">
        <v>3168386</v>
      </c>
      <c r="G1260" s="4">
        <f>IF(DatiOriginali!G1260 &gt;= SogliaPicchi!$B$14,"",DatiOriginali!G1260)</f>
        <v>232900</v>
      </c>
      <c r="H1260" s="4">
        <v>3940765</v>
      </c>
      <c r="I1260" s="4">
        <f>IF(DatiOriginali!I1260 &gt;= SogliaPicchi!$B$14,"",DatiOriginali!I1260)</f>
        <v>82200</v>
      </c>
      <c r="J1260" s="4">
        <v>3924557</v>
      </c>
      <c r="K1260" s="4">
        <f>IF(DatiOriginali!K1260 &gt;= SogliaPicchi!$B$14,"",DatiOriginali!K1260)</f>
        <v>86300</v>
      </c>
    </row>
    <row r="1261" spans="1:11" x14ac:dyDescent="0.3">
      <c r="A1261" s="4" t="s">
        <v>1270</v>
      </c>
      <c r="B1261" s="4">
        <v>210925</v>
      </c>
      <c r="C1261" s="4">
        <f>IF(DatiOriginali!C1261 &gt;= SogliaPicchi!$B$14,"",DatiOriginali!C1261)</f>
        <v>1500800</v>
      </c>
      <c r="D1261" s="4">
        <v>105700</v>
      </c>
      <c r="E1261" s="4">
        <f>IF(DatiOriginali!E1261 &gt;= SogliaPicchi!$B$14,"",DatiOriginali!E1261)</f>
        <v>367800</v>
      </c>
      <c r="F1261" s="4">
        <v>3173666</v>
      </c>
      <c r="G1261" s="4">
        <f>IF(DatiOriginali!G1261 &gt;= SogliaPicchi!$B$14,"",DatiOriginali!G1261)</f>
        <v>227000</v>
      </c>
      <c r="H1261" s="4">
        <v>3947967</v>
      </c>
      <c r="I1261" s="4">
        <f>IF(DatiOriginali!I1261 &gt;= SogliaPicchi!$B$14,"",DatiOriginali!I1261)</f>
        <v>81300</v>
      </c>
      <c r="J1261" s="4">
        <v>3931540</v>
      </c>
      <c r="K1261" s="4">
        <f>IF(DatiOriginali!K1261 &gt;= SogliaPicchi!$B$14,"",DatiOriginali!K1261)</f>
        <v>88600</v>
      </c>
    </row>
    <row r="1262" spans="1:11" x14ac:dyDescent="0.3">
      <c r="A1262" s="4" t="s">
        <v>1271</v>
      </c>
      <c r="B1262" s="4">
        <v>210925</v>
      </c>
      <c r="C1262" s="4">
        <f>IF(DatiOriginali!C1262 &gt;= SogliaPicchi!$B$14,"",DatiOriginali!C1262)</f>
        <v>1734400</v>
      </c>
      <c r="D1262" s="4">
        <v>104432</v>
      </c>
      <c r="E1262" s="4">
        <f>IF(DatiOriginali!E1262 &gt;= SogliaPicchi!$B$14,"",DatiOriginali!E1262)</f>
        <v>364000</v>
      </c>
      <c r="F1262" s="4">
        <v>3178940</v>
      </c>
      <c r="G1262" s="4">
        <f>IF(DatiOriginali!G1262 &gt;= SogliaPicchi!$B$14,"",DatiOriginali!G1262)</f>
        <v>226200</v>
      </c>
      <c r="H1262" s="4">
        <v>3955093</v>
      </c>
      <c r="I1262" s="4">
        <f>IF(DatiOriginali!I1262 &gt;= SogliaPicchi!$B$14,"",DatiOriginali!I1262)</f>
        <v>78900</v>
      </c>
      <c r="J1262" s="4">
        <v>3938022</v>
      </c>
      <c r="K1262" s="4">
        <f>IF(DatiOriginali!K1262 &gt;= SogliaPicchi!$B$14,"",DatiOriginali!K1262)</f>
        <v>85600</v>
      </c>
    </row>
    <row r="1263" spans="1:11" x14ac:dyDescent="0.3">
      <c r="A1263" s="4" t="s">
        <v>1272</v>
      </c>
      <c r="B1263" s="4">
        <v>210925</v>
      </c>
      <c r="C1263" s="4">
        <f>IF(DatiOriginali!C1263 &gt;= SogliaPicchi!$B$14,"",DatiOriginali!C1263)</f>
        <v>1616100</v>
      </c>
      <c r="D1263" s="4">
        <v>105827</v>
      </c>
      <c r="E1263" s="4">
        <f>IF(DatiOriginali!E1263 &gt;= SogliaPicchi!$B$14,"",DatiOriginali!E1263)</f>
        <v>375800</v>
      </c>
      <c r="F1263" s="4">
        <v>3184216</v>
      </c>
      <c r="G1263" s="4">
        <f>IF(DatiOriginali!G1263 &gt;= SogliaPicchi!$B$14,"",DatiOriginali!G1263)</f>
        <v>226000</v>
      </c>
      <c r="H1263" s="4">
        <v>3960890</v>
      </c>
      <c r="I1263" s="4">
        <f>IF(DatiOriginali!I1263 &gt;= SogliaPicchi!$B$14,"",DatiOriginali!I1263)</f>
        <v>75700</v>
      </c>
      <c r="J1263" s="4">
        <v>3944934</v>
      </c>
      <c r="K1263" s="4">
        <f>IF(DatiOriginali!K1263 &gt;= SogliaPicchi!$B$14,"",DatiOriginali!K1263)</f>
        <v>84600</v>
      </c>
    </row>
    <row r="1264" spans="1:11" x14ac:dyDescent="0.3">
      <c r="A1264" s="4" t="s">
        <v>1273</v>
      </c>
      <c r="B1264" s="4">
        <v>210925</v>
      </c>
      <c r="C1264" s="4">
        <f>IF(DatiOriginali!C1264 &gt;= SogliaPicchi!$B$14,"",DatiOriginali!C1264)</f>
        <v>1720900</v>
      </c>
      <c r="D1264" s="4">
        <v>106736</v>
      </c>
      <c r="E1264" s="4">
        <f>IF(DatiOriginali!E1264 &gt;= SogliaPicchi!$B$14,"",DatiOriginali!E1264)</f>
        <v>371200</v>
      </c>
      <c r="F1264" s="4">
        <v>3189494</v>
      </c>
      <c r="G1264" s="4">
        <f>IF(DatiOriginali!G1264 &gt;= SogliaPicchi!$B$14,"",DatiOriginali!G1264)</f>
        <v>227000</v>
      </c>
      <c r="H1264" s="4">
        <v>3967452</v>
      </c>
      <c r="I1264" s="4">
        <f>IF(DatiOriginali!I1264 &gt;= SogliaPicchi!$B$14,"",DatiOriginali!I1264)</f>
        <v>77600</v>
      </c>
      <c r="J1264" s="4">
        <v>3951197</v>
      </c>
      <c r="K1264" s="4">
        <f>IF(DatiOriginali!K1264 &gt;= SogliaPicchi!$B$14,"",DatiOriginali!K1264)</f>
        <v>85000</v>
      </c>
    </row>
    <row r="1265" spans="1:11" x14ac:dyDescent="0.3">
      <c r="A1265" s="4" t="s">
        <v>1274</v>
      </c>
      <c r="B1265" s="4">
        <v>210925</v>
      </c>
      <c r="C1265" s="4">
        <f>IF(DatiOriginali!C1265 &gt;= SogliaPicchi!$B$14,"",DatiOriginali!C1265)</f>
        <v>1616000</v>
      </c>
      <c r="D1265" s="4">
        <v>103551</v>
      </c>
      <c r="E1265" s="4">
        <f>IF(DatiOriginali!E1265 &gt;= SogliaPicchi!$B$14,"",DatiOriginali!E1265)</f>
        <v>406700</v>
      </c>
      <c r="F1265" s="4">
        <v>3194747</v>
      </c>
      <c r="G1265" s="4">
        <f>IF(DatiOriginali!G1265 &gt;= SogliaPicchi!$B$14,"",DatiOriginali!G1265)</f>
        <v>224500</v>
      </c>
      <c r="H1265" s="4">
        <v>3974572</v>
      </c>
      <c r="I1265" s="4">
        <f>IF(DatiOriginali!I1265 &gt;= SogliaPicchi!$B$14,"",DatiOriginali!I1265)</f>
        <v>79400</v>
      </c>
      <c r="J1265" s="4">
        <v>3957373</v>
      </c>
      <c r="K1265" s="4">
        <f>IF(DatiOriginali!K1265 &gt;= SogliaPicchi!$B$14,"",DatiOriginali!K1265)</f>
        <v>86100</v>
      </c>
    </row>
    <row r="1266" spans="1:11" x14ac:dyDescent="0.3">
      <c r="A1266" s="4" t="s">
        <v>1275</v>
      </c>
      <c r="B1266" s="4">
        <v>210925</v>
      </c>
      <c r="C1266" s="4">
        <f>IF(DatiOriginali!C1266 &gt;= SogliaPicchi!$B$14,"",DatiOriginali!C1266)</f>
        <v>1653600</v>
      </c>
      <c r="D1266" s="4">
        <v>110472</v>
      </c>
      <c r="E1266" s="4">
        <f>IF(DatiOriginali!E1266 &gt;= SogliaPicchi!$B$14,"",DatiOriginali!E1266)</f>
        <v>456100</v>
      </c>
      <c r="F1266" s="4">
        <v>3200029</v>
      </c>
      <c r="G1266" s="4">
        <f>IF(DatiOriginali!G1266 &gt;= SogliaPicchi!$B$14,"",DatiOriginali!G1266)</f>
        <v>233800</v>
      </c>
      <c r="H1266" s="4">
        <v>3981172</v>
      </c>
      <c r="I1266" s="4">
        <f>IF(DatiOriginali!I1266 &gt;= SogliaPicchi!$B$14,"",DatiOriginali!I1266)</f>
        <v>86800</v>
      </c>
      <c r="J1266" s="4">
        <v>3963754</v>
      </c>
      <c r="K1266" s="4">
        <f>IF(DatiOriginali!K1266 &gt;= SogliaPicchi!$B$14,"",DatiOriginali!K1266)</f>
        <v>85700</v>
      </c>
    </row>
    <row r="1267" spans="1:11" x14ac:dyDescent="0.3">
      <c r="A1267" s="4" t="s">
        <v>1276</v>
      </c>
      <c r="B1267" s="4">
        <v>210925</v>
      </c>
      <c r="C1267" s="4">
        <f>IF(DatiOriginali!C1267 &gt;= SogliaPicchi!$B$14,"",DatiOriginali!C1267)</f>
        <v>1568600</v>
      </c>
      <c r="D1267" s="4">
        <v>107888</v>
      </c>
      <c r="E1267" s="4">
        <f>IF(DatiOriginali!E1267 &gt;= SogliaPicchi!$B$14,"",DatiOriginali!E1267)</f>
        <v>383800</v>
      </c>
      <c r="F1267" s="4">
        <v>3205293</v>
      </c>
      <c r="G1267" s="4">
        <f>IF(DatiOriginali!G1267 &gt;= SogliaPicchi!$B$14,"",DatiOriginali!G1267)</f>
        <v>225500</v>
      </c>
      <c r="H1267" s="4">
        <v>3987530</v>
      </c>
      <c r="I1267" s="4">
        <f>IF(DatiOriginali!I1267 &gt;= SogliaPicchi!$B$14,"",DatiOriginali!I1267)</f>
        <v>74500</v>
      </c>
      <c r="J1267" s="4">
        <v>3970320</v>
      </c>
      <c r="K1267" s="4">
        <f>IF(DatiOriginali!K1267 &gt;= SogliaPicchi!$B$14,"",DatiOriginali!K1267)</f>
        <v>83100</v>
      </c>
    </row>
    <row r="1268" spans="1:11" x14ac:dyDescent="0.3">
      <c r="A1268" s="4" t="s">
        <v>1277</v>
      </c>
      <c r="B1268" s="4">
        <v>210925</v>
      </c>
      <c r="C1268" s="4">
        <f>IF(DatiOriginali!C1268 &gt;= SogliaPicchi!$B$14,"",DatiOriginali!C1268)</f>
        <v>1814700</v>
      </c>
      <c r="D1268" s="4">
        <v>111788</v>
      </c>
      <c r="E1268" s="4">
        <f>IF(DatiOriginali!E1268 &gt;= SogliaPicchi!$B$14,"",DatiOriginali!E1268)</f>
        <v>589300</v>
      </c>
      <c r="F1268" s="4">
        <v>3210599</v>
      </c>
      <c r="G1268" s="4">
        <f>IF(DatiOriginali!G1268 &gt;= SogliaPicchi!$B$14,"",DatiOriginali!G1268)</f>
        <v>232700</v>
      </c>
      <c r="H1268" s="4">
        <v>3993549</v>
      </c>
      <c r="I1268" s="4">
        <f>IF(DatiOriginali!I1268 &gt;= SogliaPicchi!$B$14,"",DatiOriginali!I1268)</f>
        <v>77200</v>
      </c>
      <c r="J1268" s="4">
        <v>3976980</v>
      </c>
      <c r="K1268" s="4">
        <f>IF(DatiOriginali!K1268 &gt;= SogliaPicchi!$B$14,"",DatiOriginali!K1268)</f>
        <v>85900</v>
      </c>
    </row>
    <row r="1269" spans="1:11" x14ac:dyDescent="0.3">
      <c r="A1269" s="4" t="s">
        <v>1278</v>
      </c>
      <c r="B1269" s="4">
        <v>210925</v>
      </c>
      <c r="C1269" s="4">
        <f>IF(DatiOriginali!C1269 &gt;= SogliaPicchi!$B$14,"",DatiOriginali!C1269)</f>
        <v>1706800</v>
      </c>
      <c r="D1269" s="4">
        <v>107252</v>
      </c>
      <c r="E1269" s="4">
        <f>IF(DatiOriginali!E1269 &gt;= SogliaPicchi!$B$14,"",DatiOriginali!E1269)</f>
        <v>381000</v>
      </c>
      <c r="F1269" s="4">
        <v>3215890</v>
      </c>
      <c r="G1269" s="4">
        <f>IF(DatiOriginali!G1269 &gt;= SogliaPicchi!$B$14,"",DatiOriginali!G1269)</f>
        <v>234700</v>
      </c>
      <c r="H1269" s="4">
        <v>3999861</v>
      </c>
      <c r="I1269" s="4">
        <f>IF(DatiOriginali!I1269 &gt;= SogliaPicchi!$B$14,"",DatiOriginali!I1269)</f>
        <v>89300</v>
      </c>
      <c r="J1269" s="4">
        <v>3983714</v>
      </c>
      <c r="K1269" s="4">
        <f>IF(DatiOriginali!K1269 &gt;= SogliaPicchi!$B$14,"",DatiOriginali!K1269)</f>
        <v>90300</v>
      </c>
    </row>
    <row r="1270" spans="1:11" x14ac:dyDescent="0.3">
      <c r="A1270" s="4" t="s">
        <v>1279</v>
      </c>
      <c r="B1270" s="4">
        <v>210925</v>
      </c>
      <c r="C1270" s="4">
        <f>IF(DatiOriginali!C1270 &gt;= SogliaPicchi!$B$14,"",DatiOriginali!C1270)</f>
        <v>1572500</v>
      </c>
      <c r="D1270" s="4">
        <v>97200</v>
      </c>
      <c r="E1270" s="4">
        <f>IF(DatiOriginali!E1270 &gt;= SogliaPicchi!$B$14,"",DatiOriginali!E1270)</f>
        <v>339400</v>
      </c>
      <c r="F1270" s="4">
        <v>3221137</v>
      </c>
      <c r="G1270" s="4">
        <f>IF(DatiOriginali!G1270 &gt;= SogliaPicchi!$B$14,"",DatiOriginali!G1270)</f>
        <v>235100</v>
      </c>
      <c r="H1270" s="4">
        <v>4006201</v>
      </c>
      <c r="I1270" s="4">
        <f>IF(DatiOriginali!I1270 &gt;= SogliaPicchi!$B$14,"",DatiOriginali!I1270)</f>
        <v>73800</v>
      </c>
      <c r="J1270" s="4">
        <v>3990032</v>
      </c>
      <c r="K1270" s="4">
        <f>IF(DatiOriginali!K1270 &gt;= SogliaPicchi!$B$14,"",DatiOriginali!K1270)</f>
        <v>85000</v>
      </c>
    </row>
    <row r="1271" spans="1:11" x14ac:dyDescent="0.3">
      <c r="A1271" s="4" t="s">
        <v>1280</v>
      </c>
      <c r="B1271" s="4">
        <v>210925</v>
      </c>
      <c r="C1271" s="4">
        <f>IF(DatiOriginali!C1271 &gt;= SogliaPicchi!$B$14,"",DatiOriginali!C1271)</f>
        <v>1615000</v>
      </c>
      <c r="D1271" s="4">
        <v>101071</v>
      </c>
      <c r="E1271" s="4">
        <f>IF(DatiOriginali!E1271 &gt;= SogliaPicchi!$B$14,"",DatiOriginali!E1271)</f>
        <v>423900</v>
      </c>
      <c r="F1271" s="4">
        <v>3226398</v>
      </c>
      <c r="G1271" s="4">
        <f>IF(DatiOriginali!G1271 &gt;= SogliaPicchi!$B$14,"",DatiOriginali!G1271)</f>
        <v>230500</v>
      </c>
      <c r="H1271" s="4">
        <v>4012785</v>
      </c>
      <c r="I1271" s="4">
        <f>IF(DatiOriginali!I1271 &gt;= SogliaPicchi!$B$14,"",DatiOriginali!I1271)</f>
        <v>76600</v>
      </c>
      <c r="J1271" s="4">
        <v>3996324</v>
      </c>
      <c r="K1271" s="4">
        <f>IF(DatiOriginali!K1271 &gt;= SogliaPicchi!$B$14,"",DatiOriginali!K1271)</f>
        <v>86000</v>
      </c>
    </row>
    <row r="1272" spans="1:11" x14ac:dyDescent="0.3">
      <c r="A1272" s="4" t="s">
        <v>1281</v>
      </c>
      <c r="B1272" s="4">
        <v>210925</v>
      </c>
      <c r="C1272" s="4">
        <f>IF(DatiOriginali!C1272 &gt;= SogliaPicchi!$B$14,"",DatiOriginali!C1272)</f>
        <v>1538700</v>
      </c>
      <c r="D1272" s="4">
        <v>106444</v>
      </c>
      <c r="E1272" s="4">
        <f>IF(DatiOriginali!E1272 &gt;= SogliaPicchi!$B$14,"",DatiOriginali!E1272)</f>
        <v>376600</v>
      </c>
      <c r="F1272" s="4">
        <v>3231652</v>
      </c>
      <c r="G1272" s="4">
        <f>IF(DatiOriginali!G1272 &gt;= SogliaPicchi!$B$14,"",DatiOriginali!G1272)</f>
        <v>255900</v>
      </c>
      <c r="H1272" s="4">
        <v>4019224</v>
      </c>
      <c r="I1272" s="4">
        <f>IF(DatiOriginali!I1272 &gt;= SogliaPicchi!$B$14,"",DatiOriginali!I1272)</f>
        <v>74600</v>
      </c>
      <c r="J1272" s="4">
        <v>4003198</v>
      </c>
      <c r="K1272" s="4">
        <f>IF(DatiOriginali!K1272 &gt;= SogliaPicchi!$B$14,"",DatiOriginali!K1272)</f>
        <v>87800</v>
      </c>
    </row>
    <row r="1273" spans="1:11" x14ac:dyDescent="0.3">
      <c r="A1273" s="4" t="s">
        <v>1282</v>
      </c>
      <c r="B1273" s="4">
        <v>210925</v>
      </c>
      <c r="C1273" s="4">
        <f>IF(DatiOriginali!C1273 &gt;= SogliaPicchi!$B$14,"",DatiOriginali!C1273)</f>
        <v>1581700</v>
      </c>
      <c r="D1273" s="4">
        <v>105766</v>
      </c>
      <c r="E1273" s="4">
        <f>IF(DatiOriginali!E1273 &gt;= SogliaPicchi!$B$14,"",DatiOriginali!E1273)</f>
        <v>381500</v>
      </c>
      <c r="F1273" s="4">
        <v>3236907</v>
      </c>
      <c r="G1273" s="4">
        <f>IF(DatiOriginali!G1273 &gt;= SogliaPicchi!$B$14,"",DatiOriginali!G1273)</f>
        <v>229400</v>
      </c>
      <c r="H1273" s="4">
        <v>4025677</v>
      </c>
      <c r="I1273" s="4">
        <f>IF(DatiOriginali!I1273 &gt;= SogliaPicchi!$B$14,"",DatiOriginali!I1273)</f>
        <v>75100</v>
      </c>
      <c r="J1273" s="4">
        <v>4009786</v>
      </c>
      <c r="K1273" s="4">
        <f>IF(DatiOriginali!K1273 &gt;= SogliaPicchi!$B$14,"",DatiOriginali!K1273)</f>
        <v>85500</v>
      </c>
    </row>
    <row r="1274" spans="1:11" x14ac:dyDescent="0.3">
      <c r="A1274" s="4" t="s">
        <v>1283</v>
      </c>
      <c r="B1274" s="4">
        <v>210925</v>
      </c>
      <c r="C1274" s="4">
        <f>IF(DatiOriginali!C1274 &gt;= SogliaPicchi!$B$14,"",DatiOriginali!C1274)</f>
        <v>1749800</v>
      </c>
      <c r="D1274" s="4">
        <v>106767</v>
      </c>
      <c r="E1274" s="4">
        <f>IF(DatiOriginali!E1274 &gt;= SogliaPicchi!$B$14,"",DatiOriginali!E1274)</f>
        <v>371500</v>
      </c>
      <c r="F1274" s="4">
        <v>3242197</v>
      </c>
      <c r="G1274" s="4">
        <f>IF(DatiOriginali!G1274 &gt;= SogliaPicchi!$B$14,"",DatiOriginali!G1274)</f>
        <v>232200</v>
      </c>
      <c r="H1274" s="4">
        <v>4032552</v>
      </c>
      <c r="I1274" s="4">
        <f>IF(DatiOriginali!I1274 &gt;= SogliaPicchi!$B$14,"",DatiOriginali!I1274)</f>
        <v>79100</v>
      </c>
      <c r="J1274" s="4">
        <v>4016457</v>
      </c>
      <c r="K1274" s="4">
        <f>IF(DatiOriginali!K1274 &gt;= SogliaPicchi!$B$14,"",DatiOriginali!K1274)</f>
        <v>87200</v>
      </c>
    </row>
    <row r="1275" spans="1:11" x14ac:dyDescent="0.3">
      <c r="A1275" s="4" t="s">
        <v>1284</v>
      </c>
      <c r="B1275" s="4">
        <v>210925</v>
      </c>
      <c r="C1275" s="4">
        <f>IF(DatiOriginali!C1275 &gt;= SogliaPicchi!$B$14,"",DatiOriginali!C1275)</f>
        <v>1835800</v>
      </c>
      <c r="D1275" s="4">
        <v>108104</v>
      </c>
      <c r="E1275" s="4">
        <f>IF(DatiOriginali!E1275 &gt;= SogliaPicchi!$B$14,"",DatiOriginali!E1275)</f>
        <v>389000</v>
      </c>
      <c r="F1275" s="4">
        <v>3247472</v>
      </c>
      <c r="G1275" s="4">
        <f>IF(DatiOriginali!G1275 &gt;= SogliaPicchi!$B$14,"",DatiOriginali!G1275)</f>
        <v>230200</v>
      </c>
      <c r="H1275" s="4">
        <v>4038741</v>
      </c>
      <c r="I1275" s="4">
        <f>IF(DatiOriginali!I1275 &gt;= SogliaPicchi!$B$14,"",DatiOriginali!I1275)</f>
        <v>77300</v>
      </c>
      <c r="J1275" s="4">
        <v>4023829</v>
      </c>
      <c r="K1275" s="4">
        <f>IF(DatiOriginali!K1275 &gt;= SogliaPicchi!$B$14,"",DatiOriginali!K1275)</f>
        <v>91500</v>
      </c>
    </row>
    <row r="1276" spans="1:11" x14ac:dyDescent="0.3">
      <c r="A1276" s="4" t="s">
        <v>1285</v>
      </c>
      <c r="B1276" s="4">
        <v>210925</v>
      </c>
      <c r="C1276" s="4">
        <f>IF(DatiOriginali!C1276 &gt;= SogliaPicchi!$B$14,"",DatiOriginali!C1276)</f>
        <v>1522900</v>
      </c>
      <c r="D1276" s="4">
        <v>109622</v>
      </c>
      <c r="E1276" s="4">
        <f>IF(DatiOriginali!E1276 &gt;= SogliaPicchi!$B$14,"",DatiOriginali!E1276)</f>
        <v>379900</v>
      </c>
      <c r="F1276" s="4">
        <v>3252747</v>
      </c>
      <c r="G1276" s="4">
        <f>IF(DatiOriginali!G1276 &gt;= SogliaPicchi!$B$14,"",DatiOriginali!G1276)</f>
        <v>227400</v>
      </c>
      <c r="H1276" s="4">
        <v>4044812</v>
      </c>
      <c r="I1276" s="4">
        <f>IF(DatiOriginali!I1276 &gt;= SogliaPicchi!$B$14,"",DatiOriginali!I1276)</f>
        <v>77200</v>
      </c>
      <c r="J1276" s="4">
        <v>4030203</v>
      </c>
      <c r="K1276" s="4">
        <f>IF(DatiOriginali!K1276 &gt;= SogliaPicchi!$B$14,"",DatiOriginali!K1276)</f>
        <v>85500</v>
      </c>
    </row>
    <row r="1277" spans="1:11" x14ac:dyDescent="0.3">
      <c r="A1277" s="4" t="s">
        <v>1286</v>
      </c>
      <c r="B1277" s="4">
        <v>210925</v>
      </c>
      <c r="C1277" s="4">
        <f>IF(DatiOriginali!C1277 &gt;= SogliaPicchi!$B$14,"",DatiOriginali!C1277)</f>
        <v>1894500</v>
      </c>
      <c r="D1277" s="4">
        <v>113188</v>
      </c>
      <c r="E1277" s="4">
        <f>IF(DatiOriginali!E1277 &gt;= SogliaPicchi!$B$14,"",DatiOriginali!E1277)</f>
        <v>396800</v>
      </c>
      <c r="F1277" s="4">
        <v>3258028</v>
      </c>
      <c r="G1277" s="4">
        <f>IF(DatiOriginali!G1277 &gt;= SogliaPicchi!$B$14,"",DatiOriginali!G1277)</f>
        <v>268800</v>
      </c>
      <c r="H1277" s="4">
        <v>4051276</v>
      </c>
      <c r="I1277" s="4">
        <f>IF(DatiOriginali!I1277 &gt;= SogliaPicchi!$B$14,"",DatiOriginali!I1277)</f>
        <v>78500</v>
      </c>
      <c r="J1277" s="4">
        <v>4037433</v>
      </c>
      <c r="K1277" s="4">
        <f>IF(DatiOriginali!K1277 &gt;= SogliaPicchi!$B$14,"",DatiOriginali!K1277)</f>
        <v>84900</v>
      </c>
    </row>
    <row r="1278" spans="1:11" x14ac:dyDescent="0.3">
      <c r="A1278" s="4" t="s">
        <v>1287</v>
      </c>
      <c r="B1278" s="4">
        <v>210925</v>
      </c>
      <c r="C1278" s="4">
        <f>IF(DatiOriginali!C1278 &gt;= SogliaPicchi!$B$14,"",DatiOriginali!C1278)</f>
        <v>1493800</v>
      </c>
      <c r="D1278" s="4">
        <v>108361</v>
      </c>
      <c r="E1278" s="4">
        <f>IF(DatiOriginali!E1278 &gt;= SogliaPicchi!$B$14,"",DatiOriginali!E1278)</f>
        <v>376800</v>
      </c>
      <c r="F1278" s="4">
        <v>3263304</v>
      </c>
      <c r="G1278" s="4">
        <f>IF(DatiOriginali!G1278 &gt;= SogliaPicchi!$B$14,"",DatiOriginali!G1278)</f>
        <v>232000</v>
      </c>
      <c r="H1278" s="4">
        <v>4058345</v>
      </c>
      <c r="I1278" s="4">
        <f>IF(DatiOriginali!I1278 &gt;= SogliaPicchi!$B$14,"",DatiOriginali!I1278)</f>
        <v>85400</v>
      </c>
      <c r="J1278" s="4">
        <v>4043809</v>
      </c>
      <c r="K1278" s="4">
        <f>IF(DatiOriginali!K1278 &gt;= SogliaPicchi!$B$14,"",DatiOriginali!K1278)</f>
        <v>87400</v>
      </c>
    </row>
    <row r="1279" spans="1:11" x14ac:dyDescent="0.3">
      <c r="A1279" s="4" t="s">
        <v>1288</v>
      </c>
      <c r="B1279" s="4">
        <v>210925</v>
      </c>
      <c r="C1279" s="4">
        <f>IF(DatiOriginali!C1279 &gt;= SogliaPicchi!$B$14,"",DatiOriginali!C1279)</f>
        <v>1996300</v>
      </c>
      <c r="D1279" s="4">
        <v>113534</v>
      </c>
      <c r="E1279" s="4">
        <f>IF(DatiOriginali!E1279 &gt;= SogliaPicchi!$B$14,"",DatiOriginali!E1279)</f>
        <v>443000</v>
      </c>
      <c r="F1279" s="4">
        <v>3268550</v>
      </c>
      <c r="G1279" s="4">
        <f>IF(DatiOriginali!G1279 &gt;= SogliaPicchi!$B$14,"",DatiOriginali!G1279)</f>
        <v>231700</v>
      </c>
      <c r="H1279" s="4">
        <v>4065551</v>
      </c>
      <c r="I1279" s="4">
        <f>IF(DatiOriginali!I1279 &gt;= SogliaPicchi!$B$14,"",DatiOriginali!I1279)</f>
        <v>82400</v>
      </c>
      <c r="J1279" s="4">
        <v>4050407</v>
      </c>
      <c r="K1279" s="4">
        <f>IF(DatiOriginali!K1279 &gt;= SogliaPicchi!$B$14,"",DatiOriginali!K1279)</f>
        <v>88700</v>
      </c>
    </row>
    <row r="1280" spans="1:11" x14ac:dyDescent="0.3">
      <c r="A1280" s="4" t="s">
        <v>1289</v>
      </c>
      <c r="B1280" s="4">
        <v>210925</v>
      </c>
      <c r="C1280" s="4">
        <f>IF(DatiOriginali!C1280 &gt;= SogliaPicchi!$B$14,"",DatiOriginali!C1280)</f>
        <v>1526400</v>
      </c>
      <c r="D1280" s="4">
        <v>106712</v>
      </c>
      <c r="E1280" s="4">
        <f>IF(DatiOriginali!E1280 &gt;= SogliaPicchi!$B$14,"",DatiOriginali!E1280)</f>
        <v>370700</v>
      </c>
      <c r="F1280" s="4">
        <v>3273825</v>
      </c>
      <c r="G1280" s="4">
        <f>IF(DatiOriginali!G1280 &gt;= SogliaPicchi!$B$14,"",DatiOriginali!G1280)</f>
        <v>227400</v>
      </c>
      <c r="H1280" s="4">
        <v>4071711</v>
      </c>
      <c r="I1280" s="4">
        <f>IF(DatiOriginali!I1280 &gt;= SogliaPicchi!$B$14,"",DatiOriginali!I1280)</f>
        <v>78600</v>
      </c>
      <c r="J1280" s="4">
        <v>4056735</v>
      </c>
      <c r="K1280" s="4">
        <f>IF(DatiOriginali!K1280 &gt;= SogliaPicchi!$B$14,"",DatiOriginali!K1280)</f>
        <v>85300</v>
      </c>
    </row>
    <row r="1281" spans="1:11" x14ac:dyDescent="0.3">
      <c r="A1281" s="4" t="s">
        <v>1290</v>
      </c>
      <c r="B1281" s="4">
        <v>210925</v>
      </c>
      <c r="C1281" s="4">
        <f>IF(DatiOriginali!C1281 &gt;= SogliaPicchi!$B$14,"",DatiOriginali!C1281)</f>
        <v>1924600</v>
      </c>
      <c r="D1281" s="4">
        <v>107935</v>
      </c>
      <c r="E1281" s="4">
        <f>IF(DatiOriginali!E1281 &gt;= SogliaPicchi!$B$14,"",DatiOriginali!E1281)</f>
        <v>374100</v>
      </c>
      <c r="F1281" s="4">
        <v>3279104</v>
      </c>
      <c r="G1281" s="4">
        <f>IF(DatiOriginali!G1281 &gt;= SogliaPicchi!$B$14,"",DatiOriginali!G1281)</f>
        <v>239700</v>
      </c>
      <c r="H1281" s="4">
        <v>4077904</v>
      </c>
      <c r="I1281" s="4">
        <f>IF(DatiOriginali!I1281 &gt;= SogliaPicchi!$B$14,"",DatiOriginali!I1281)</f>
        <v>80500</v>
      </c>
      <c r="J1281" s="4">
        <v>4063293</v>
      </c>
      <c r="K1281" s="4">
        <f>IF(DatiOriginali!K1281 &gt;= SogliaPicchi!$B$14,"",DatiOriginali!K1281)</f>
        <v>89600</v>
      </c>
    </row>
    <row r="1282" spans="1:11" x14ac:dyDescent="0.3">
      <c r="A1282" s="4" t="s">
        <v>1291</v>
      </c>
      <c r="B1282" s="4">
        <v>210925</v>
      </c>
      <c r="C1282" s="4">
        <f>IF(DatiOriginali!C1282 &gt;= SogliaPicchi!$B$14,"",DatiOriginali!C1282)</f>
        <v>1700100</v>
      </c>
      <c r="D1282" s="4">
        <v>108398</v>
      </c>
      <c r="E1282" s="4">
        <f>IF(DatiOriginali!E1282 &gt;= SogliaPicchi!$B$14,"",DatiOriginali!E1282)</f>
        <v>392800</v>
      </c>
      <c r="F1282" s="4">
        <v>3284355</v>
      </c>
      <c r="G1282" s="4">
        <f>IF(DatiOriginali!G1282 &gt;= SogliaPicchi!$B$14,"",DatiOriginali!G1282)</f>
        <v>228400</v>
      </c>
      <c r="H1282" s="4">
        <v>4084099</v>
      </c>
      <c r="I1282" s="4">
        <f>IF(DatiOriginali!I1282 &gt;= SogliaPicchi!$B$14,"",DatiOriginali!I1282)</f>
        <v>76800</v>
      </c>
      <c r="J1282" s="4">
        <v>4070319</v>
      </c>
      <c r="K1282" s="4">
        <f>IF(DatiOriginali!K1282 &gt;= SogliaPicchi!$B$14,"",DatiOriginali!K1282)</f>
        <v>86600</v>
      </c>
    </row>
    <row r="1283" spans="1:11" x14ac:dyDescent="0.3">
      <c r="A1283" s="4" t="s">
        <v>1292</v>
      </c>
      <c r="B1283" s="4">
        <v>210925</v>
      </c>
      <c r="C1283" s="4">
        <f>IF(DatiOriginali!C1283 &gt;= SogliaPicchi!$B$14,"",DatiOriginali!C1283)</f>
        <v>1521900</v>
      </c>
      <c r="D1283" s="4">
        <v>103573</v>
      </c>
      <c r="E1283" s="4">
        <f>IF(DatiOriginali!E1283 &gt;= SogliaPicchi!$B$14,"",DatiOriginali!E1283)</f>
        <v>370900</v>
      </c>
      <c r="F1283" s="4">
        <v>3289583</v>
      </c>
      <c r="G1283" s="4">
        <f>IF(DatiOriginali!G1283 &gt;= SogliaPicchi!$B$14,"",DatiOriginali!G1283)</f>
        <v>228700</v>
      </c>
      <c r="H1283" s="4">
        <v>4090294</v>
      </c>
      <c r="I1283" s="4">
        <f>IF(DatiOriginali!I1283 &gt;= SogliaPicchi!$B$14,"",DatiOriginali!I1283)</f>
        <v>79700</v>
      </c>
      <c r="J1283" s="4">
        <v>4076698</v>
      </c>
      <c r="K1283" s="4">
        <f>IF(DatiOriginali!K1283 &gt;= SogliaPicchi!$B$14,"",DatiOriginali!K1283)</f>
        <v>88400</v>
      </c>
    </row>
    <row r="1284" spans="1:11" x14ac:dyDescent="0.3">
      <c r="A1284" s="4" t="s">
        <v>1293</v>
      </c>
      <c r="B1284" s="4">
        <v>210925</v>
      </c>
      <c r="C1284" s="4">
        <f>IF(DatiOriginali!C1284 &gt;= SogliaPicchi!$B$14,"",DatiOriginali!C1284)</f>
        <v>1471300</v>
      </c>
      <c r="D1284" s="4">
        <v>109353</v>
      </c>
      <c r="E1284" s="4">
        <f>IF(DatiOriginali!E1284 &gt;= SogliaPicchi!$B$14,"",DatiOriginali!E1284)</f>
        <v>416100</v>
      </c>
      <c r="F1284" s="4">
        <v>3294872</v>
      </c>
      <c r="G1284" s="4">
        <f>IF(DatiOriginali!G1284 &gt;= SogliaPicchi!$B$14,"",DatiOriginali!G1284)</f>
        <v>224900</v>
      </c>
      <c r="H1284" s="4">
        <v>4097297</v>
      </c>
      <c r="I1284" s="4">
        <f>IF(DatiOriginali!I1284 &gt;= SogliaPicchi!$B$14,"",DatiOriginali!I1284)</f>
        <v>80500</v>
      </c>
      <c r="J1284" s="4">
        <v>4083444</v>
      </c>
      <c r="K1284" s="4">
        <f>IF(DatiOriginali!K1284 &gt;= SogliaPicchi!$B$14,"",DatiOriginali!K1284)</f>
        <v>83400</v>
      </c>
    </row>
    <row r="1285" spans="1:11" x14ac:dyDescent="0.3">
      <c r="A1285" s="4" t="s">
        <v>1294</v>
      </c>
      <c r="B1285" s="4">
        <v>210925</v>
      </c>
      <c r="C1285" s="4">
        <f>IF(DatiOriginali!C1285 &gt;= SogliaPicchi!$B$14,"",DatiOriginali!C1285)</f>
        <v>1886100</v>
      </c>
      <c r="D1285" s="4">
        <v>106780</v>
      </c>
      <c r="E1285" s="4">
        <f>IF(DatiOriginali!E1285 &gt;= SogliaPicchi!$B$14,"",DatiOriginali!E1285)</f>
        <v>577700</v>
      </c>
      <c r="F1285" s="4">
        <v>3300144</v>
      </c>
      <c r="G1285" s="4">
        <f>IF(DatiOriginali!G1285 &gt;= SogliaPicchi!$B$14,"",DatiOriginali!G1285)</f>
        <v>229100</v>
      </c>
      <c r="H1285" s="4">
        <v>4103688</v>
      </c>
      <c r="I1285" s="4">
        <f>IF(DatiOriginali!I1285 &gt;= SogliaPicchi!$B$14,"",DatiOriginali!I1285)</f>
        <v>77800</v>
      </c>
      <c r="J1285" s="4">
        <v>4091207</v>
      </c>
      <c r="K1285" s="4">
        <f>IF(DatiOriginali!K1285 &gt;= SogliaPicchi!$B$14,"",DatiOriginali!K1285)</f>
        <v>87600</v>
      </c>
    </row>
    <row r="1286" spans="1:11" x14ac:dyDescent="0.3">
      <c r="A1286" s="4" t="s">
        <v>1295</v>
      </c>
      <c r="B1286" s="4">
        <v>210925</v>
      </c>
      <c r="C1286" s="4">
        <f>IF(DatiOriginali!C1286 &gt;= SogliaPicchi!$B$14,"",DatiOriginali!C1286)</f>
        <v>1727400</v>
      </c>
      <c r="D1286" s="4">
        <v>107179</v>
      </c>
      <c r="E1286" s="4">
        <f>IF(DatiOriginali!E1286 &gt;= SogliaPicchi!$B$14,"",DatiOriginali!E1286)</f>
        <v>373000</v>
      </c>
      <c r="F1286" s="4">
        <v>3305408</v>
      </c>
      <c r="G1286" s="4">
        <f>IF(DatiOriginali!G1286 &gt;= SogliaPicchi!$B$14,"",DatiOriginali!G1286)</f>
        <v>228800</v>
      </c>
      <c r="H1286" s="4">
        <v>4111164</v>
      </c>
      <c r="I1286" s="4">
        <f>IF(DatiOriginali!I1286 &gt;= SogliaPicchi!$B$14,"",DatiOriginali!I1286)</f>
        <v>78300</v>
      </c>
      <c r="J1286" s="4">
        <v>4097936</v>
      </c>
      <c r="K1286" s="4">
        <f>IF(DatiOriginali!K1286 &gt;= SogliaPicchi!$B$14,"",DatiOriginali!K1286)</f>
        <v>85200</v>
      </c>
    </row>
    <row r="1287" spans="1:11" x14ac:dyDescent="0.3">
      <c r="A1287" s="4" t="s">
        <v>1296</v>
      </c>
      <c r="B1287" s="4">
        <v>210925</v>
      </c>
      <c r="C1287" s="4">
        <f>IF(DatiOriginali!C1287 &gt;= SogliaPicchi!$B$14,"",DatiOriginali!C1287)</f>
        <v>1621900</v>
      </c>
      <c r="D1287" s="4">
        <v>109287</v>
      </c>
      <c r="E1287" s="4">
        <f>IF(DatiOriginali!E1287 &gt;= SogliaPicchi!$B$14,"",DatiOriginali!E1287)</f>
        <v>387900</v>
      </c>
      <c r="F1287" s="4">
        <v>3310667</v>
      </c>
      <c r="G1287" s="4">
        <f>IF(DatiOriginali!G1287 &gt;= SogliaPicchi!$B$14,"",DatiOriginali!G1287)</f>
        <v>232300</v>
      </c>
      <c r="H1287" s="4">
        <v>4117609</v>
      </c>
      <c r="I1287" s="4">
        <f>IF(DatiOriginali!I1287 &gt;= SogliaPicchi!$B$14,"",DatiOriginali!I1287)</f>
        <v>78000</v>
      </c>
      <c r="J1287" s="4">
        <v>4104433</v>
      </c>
      <c r="K1287" s="4">
        <f>IF(DatiOriginali!K1287 &gt;= SogliaPicchi!$B$14,"",DatiOriginali!K1287)</f>
        <v>83800</v>
      </c>
    </row>
    <row r="1288" spans="1:11" x14ac:dyDescent="0.3">
      <c r="A1288" s="4" t="s">
        <v>1297</v>
      </c>
      <c r="B1288" s="4">
        <v>210925</v>
      </c>
      <c r="C1288" s="4">
        <f>IF(DatiOriginali!C1288 &gt;= SogliaPicchi!$B$14,"",DatiOriginali!C1288)</f>
        <v>1555000</v>
      </c>
      <c r="D1288" s="4">
        <v>108099</v>
      </c>
      <c r="E1288" s="4">
        <f>IF(DatiOriginali!E1288 &gt;= SogliaPicchi!$B$14,"",DatiOriginali!E1288)</f>
        <v>385000</v>
      </c>
      <c r="F1288" s="4">
        <v>3315951</v>
      </c>
      <c r="G1288" s="4">
        <f>IF(DatiOriginali!G1288 &gt;= SogliaPicchi!$B$14,"",DatiOriginali!G1288)</f>
        <v>228100</v>
      </c>
      <c r="H1288" s="4">
        <v>4124060</v>
      </c>
      <c r="I1288" s="4">
        <f>IF(DatiOriginali!I1288 &gt;= SogliaPicchi!$B$14,"",DatiOriginali!I1288)</f>
        <v>76800</v>
      </c>
      <c r="J1288" s="4">
        <v>4111501</v>
      </c>
      <c r="K1288" s="4">
        <f>IF(DatiOriginali!K1288 &gt;= SogliaPicchi!$B$14,"",DatiOriginali!K1288)</f>
        <v>85100</v>
      </c>
    </row>
    <row r="1289" spans="1:11" x14ac:dyDescent="0.3">
      <c r="A1289" s="4" t="s">
        <v>1298</v>
      </c>
      <c r="B1289" s="4">
        <v>210925</v>
      </c>
      <c r="C1289" s="4">
        <f>IF(DatiOriginali!C1289 &gt;= SogliaPicchi!$B$14,"",DatiOriginali!C1289)</f>
        <v>1764700</v>
      </c>
      <c r="D1289" s="4">
        <v>104847</v>
      </c>
      <c r="E1289" s="4">
        <f>IF(DatiOriginali!E1289 &gt;= SogliaPicchi!$B$14,"",DatiOriginali!E1289)</f>
        <v>365700</v>
      </c>
      <c r="F1289" s="4">
        <v>3321214</v>
      </c>
      <c r="G1289" s="4">
        <f>IF(DatiOriginali!G1289 &gt;= SogliaPicchi!$B$14,"",DatiOriginali!G1289)</f>
        <v>229400</v>
      </c>
      <c r="H1289" s="4">
        <v>4130337</v>
      </c>
      <c r="I1289" s="4">
        <f>IF(DatiOriginali!I1289 &gt;= SogliaPicchi!$B$14,"",DatiOriginali!I1289)</f>
        <v>73700</v>
      </c>
      <c r="J1289" s="4">
        <v>4117787</v>
      </c>
      <c r="K1289" s="4">
        <f>IF(DatiOriginali!K1289 &gt;= SogliaPicchi!$B$14,"",DatiOriginali!K1289)</f>
        <v>89900</v>
      </c>
    </row>
    <row r="1290" spans="1:11" x14ac:dyDescent="0.3">
      <c r="A1290" s="4" t="s">
        <v>1299</v>
      </c>
      <c r="B1290" s="4">
        <v>210925</v>
      </c>
      <c r="C1290" s="4">
        <f>IF(DatiOriginali!C1290 &gt;= SogliaPicchi!$B$14,"",DatiOriginali!C1290)</f>
        <v>1613100</v>
      </c>
      <c r="D1290" s="4">
        <v>108943</v>
      </c>
      <c r="E1290" s="4">
        <f>IF(DatiOriginali!E1290 &gt;= SogliaPicchi!$B$14,"",DatiOriginali!E1290)</f>
        <v>378600</v>
      </c>
      <c r="F1290" s="4">
        <v>3326477</v>
      </c>
      <c r="G1290" s="4">
        <f>IF(DatiOriginali!G1290 &gt;= SogliaPicchi!$B$14,"",DatiOriginali!G1290)</f>
        <v>230900</v>
      </c>
      <c r="H1290" s="4">
        <v>4136560</v>
      </c>
      <c r="I1290" s="4">
        <f>IF(DatiOriginali!I1290 &gt;= SogliaPicchi!$B$14,"",DatiOriginali!I1290)</f>
        <v>78000</v>
      </c>
      <c r="J1290" s="4">
        <v>4124167</v>
      </c>
      <c r="K1290" s="4">
        <f>IF(DatiOriginali!K1290 &gt;= SogliaPicchi!$B$14,"",DatiOriginali!K1290)</f>
        <v>85700</v>
      </c>
    </row>
    <row r="1291" spans="1:11" x14ac:dyDescent="0.3">
      <c r="A1291" s="4" t="s">
        <v>1300</v>
      </c>
      <c r="B1291" s="4">
        <v>210925</v>
      </c>
      <c r="C1291" s="4">
        <f>IF(DatiOriginali!C1291 &gt;= SogliaPicchi!$B$14,"",DatiOriginali!C1291)</f>
        <v>1727800</v>
      </c>
      <c r="D1291" s="4">
        <v>105219</v>
      </c>
      <c r="E1291" s="4">
        <f>IF(DatiOriginali!E1291 &gt;= SogliaPicchi!$B$14,"",DatiOriginali!E1291)</f>
        <v>367700</v>
      </c>
      <c r="F1291" s="4">
        <v>3331739</v>
      </c>
      <c r="G1291" s="4">
        <f>IF(DatiOriginali!G1291 &gt;= SogliaPicchi!$B$14,"",DatiOriginali!G1291)</f>
        <v>240000</v>
      </c>
      <c r="H1291" s="4">
        <v>4143477</v>
      </c>
      <c r="I1291" s="4">
        <f>IF(DatiOriginali!I1291 &gt;= SogliaPicchi!$B$14,"",DatiOriginali!I1291)</f>
        <v>77400</v>
      </c>
      <c r="J1291" s="4">
        <v>4130823</v>
      </c>
      <c r="K1291" s="4">
        <f>IF(DatiOriginali!K1291 &gt;= SogliaPicchi!$B$14,"",DatiOriginali!K1291)</f>
        <v>102400</v>
      </c>
    </row>
    <row r="1292" spans="1:11" x14ac:dyDescent="0.3">
      <c r="A1292" s="4" t="s">
        <v>1301</v>
      </c>
      <c r="B1292" s="4">
        <v>210925</v>
      </c>
      <c r="C1292" s="4">
        <f>IF(DatiOriginali!C1292 &gt;= SogliaPicchi!$B$14,"",DatiOriginali!C1292)</f>
        <v>1551400</v>
      </c>
      <c r="D1292" s="4">
        <v>105556</v>
      </c>
      <c r="E1292" s="4">
        <f>IF(DatiOriginali!E1292 &gt;= SogliaPicchi!$B$14,"",DatiOriginali!E1292)</f>
        <v>378500</v>
      </c>
      <c r="F1292" s="4">
        <v>3337020</v>
      </c>
      <c r="G1292" s="4">
        <f>IF(DatiOriginali!G1292 &gt;= SogliaPicchi!$B$14,"",DatiOriginali!G1292)</f>
        <v>229800</v>
      </c>
      <c r="H1292" s="4">
        <v>4149987</v>
      </c>
      <c r="I1292" s="4">
        <f>IF(DatiOriginali!I1292 &gt;= SogliaPicchi!$B$14,"",DatiOriginali!I1292)</f>
        <v>75100</v>
      </c>
      <c r="J1292" s="4">
        <v>4138708</v>
      </c>
      <c r="K1292" s="4">
        <f>IF(DatiOriginali!K1292 &gt;= SogliaPicchi!$B$14,"",DatiOriginali!K1292)</f>
        <v>88300</v>
      </c>
    </row>
    <row r="1293" spans="1:11" x14ac:dyDescent="0.3">
      <c r="A1293" s="4" t="s">
        <v>1302</v>
      </c>
      <c r="B1293" s="4">
        <v>210925</v>
      </c>
      <c r="C1293" s="4">
        <f>IF(DatiOriginali!C1293 &gt;= SogliaPicchi!$B$14,"",DatiOriginali!C1293)</f>
        <v>1756500</v>
      </c>
      <c r="D1293" s="4">
        <v>109216</v>
      </c>
      <c r="E1293" s="4">
        <f>IF(DatiOriginali!E1293 &gt;= SogliaPicchi!$B$14,"",DatiOriginali!E1293)</f>
        <v>409100</v>
      </c>
      <c r="F1293" s="4">
        <v>3342288</v>
      </c>
      <c r="G1293" s="4">
        <f>IF(DatiOriginali!G1293 &gt;= SogliaPicchi!$B$14,"",DatiOriginali!G1293)</f>
        <v>232300</v>
      </c>
      <c r="H1293" s="4">
        <v>4156757</v>
      </c>
      <c r="I1293" s="4">
        <f>IF(DatiOriginali!I1293 &gt;= SogliaPicchi!$B$14,"",DatiOriginali!I1293)</f>
        <v>78700</v>
      </c>
      <c r="J1293" s="4">
        <v>4145439</v>
      </c>
      <c r="K1293" s="4">
        <f>IF(DatiOriginali!K1293 &gt;= SogliaPicchi!$B$14,"",DatiOriginali!K1293)</f>
        <v>87800</v>
      </c>
    </row>
    <row r="1294" spans="1:11" x14ac:dyDescent="0.3">
      <c r="A1294" s="4" t="s">
        <v>1303</v>
      </c>
      <c r="B1294" s="4">
        <v>210925</v>
      </c>
      <c r="C1294" s="4">
        <f>IF(DatiOriginali!C1294 &gt;= SogliaPicchi!$B$14,"",DatiOriginali!C1294)</f>
        <v>1857800</v>
      </c>
      <c r="D1294" s="4">
        <v>108990</v>
      </c>
      <c r="E1294" s="4">
        <f>IF(DatiOriginali!E1294 &gt;= SogliaPicchi!$B$14,"",DatiOriginali!E1294)</f>
        <v>474700</v>
      </c>
      <c r="F1294" s="4">
        <v>3347564</v>
      </c>
      <c r="G1294" s="4">
        <f>IF(DatiOriginali!G1294 &gt;= SogliaPicchi!$B$14,"",DatiOriginali!G1294)</f>
        <v>234100</v>
      </c>
      <c r="H1294" s="4">
        <v>4162845</v>
      </c>
      <c r="I1294" s="4">
        <f>IF(DatiOriginali!I1294 &gt;= SogliaPicchi!$B$14,"",DatiOriginali!I1294)</f>
        <v>78900</v>
      </c>
      <c r="J1294" s="4">
        <v>4152088</v>
      </c>
      <c r="K1294" s="4">
        <f>IF(DatiOriginali!K1294 &gt;= SogliaPicchi!$B$14,"",DatiOriginali!K1294)</f>
        <v>88000</v>
      </c>
    </row>
    <row r="1295" spans="1:11" x14ac:dyDescent="0.3">
      <c r="A1295" s="4" t="s">
        <v>1304</v>
      </c>
      <c r="B1295" s="4">
        <v>210925</v>
      </c>
      <c r="C1295" s="4">
        <f>IF(DatiOriginali!C1295 &gt;= SogliaPicchi!$B$14,"",DatiOriginali!C1295)</f>
        <v>1687800</v>
      </c>
      <c r="D1295" s="4">
        <v>105754</v>
      </c>
      <c r="E1295" s="4">
        <f>IF(DatiOriginali!E1295 &gt;= SogliaPicchi!$B$14,"",DatiOriginali!E1295)</f>
        <v>367600</v>
      </c>
      <c r="F1295" s="4">
        <v>3352846</v>
      </c>
      <c r="G1295" s="4">
        <f>IF(DatiOriginali!G1295 &gt;= SogliaPicchi!$B$14,"",DatiOriginali!G1295)</f>
        <v>235000</v>
      </c>
      <c r="H1295" s="4">
        <v>4169763</v>
      </c>
      <c r="I1295" s="4">
        <f>IF(DatiOriginali!I1295 &gt;= SogliaPicchi!$B$14,"",DatiOriginali!I1295)</f>
        <v>77000</v>
      </c>
      <c r="J1295" s="4">
        <v>4158345</v>
      </c>
      <c r="K1295" s="4">
        <f>IF(DatiOriginali!K1295 &gt;= SogliaPicchi!$B$14,"",DatiOriginali!K1295)</f>
        <v>87900</v>
      </c>
    </row>
    <row r="1296" spans="1:11" x14ac:dyDescent="0.3">
      <c r="A1296" s="4" t="s">
        <v>1305</v>
      </c>
      <c r="B1296" s="4">
        <v>210925</v>
      </c>
      <c r="C1296" s="4">
        <f>IF(DatiOriginali!C1296 &gt;= SogliaPicchi!$B$14,"",DatiOriginali!C1296)</f>
        <v>1564900</v>
      </c>
      <c r="D1296" s="4">
        <v>112804</v>
      </c>
      <c r="E1296" s="4">
        <f>IF(DatiOriginali!E1296 &gt;= SogliaPicchi!$B$14,"",DatiOriginali!E1296)</f>
        <v>396100</v>
      </c>
      <c r="F1296" s="4">
        <v>3358135</v>
      </c>
      <c r="G1296" s="4">
        <f>IF(DatiOriginali!G1296 &gt;= SogliaPicchi!$B$14,"",DatiOriginali!G1296)</f>
        <v>231400</v>
      </c>
      <c r="H1296" s="4">
        <v>4177392</v>
      </c>
      <c r="I1296" s="4">
        <f>IF(DatiOriginali!I1296 &gt;= SogliaPicchi!$B$14,"",DatiOriginali!I1296)</f>
        <v>80200</v>
      </c>
      <c r="J1296" s="4">
        <v>4164501</v>
      </c>
      <c r="K1296" s="4">
        <f>IF(DatiOriginali!K1296 &gt;= SogliaPicchi!$B$14,"",DatiOriginali!K1296)</f>
        <v>86200</v>
      </c>
    </row>
    <row r="1297" spans="1:11" x14ac:dyDescent="0.3">
      <c r="A1297" s="4" t="s">
        <v>1306</v>
      </c>
      <c r="B1297" s="4">
        <v>210925</v>
      </c>
      <c r="C1297" s="4">
        <f>IF(DatiOriginali!C1297 &gt;= SogliaPicchi!$B$14,"",DatiOriginali!C1297)</f>
        <v>1714100</v>
      </c>
      <c r="D1297" s="4">
        <v>104646</v>
      </c>
      <c r="E1297" s="4">
        <f>IF(DatiOriginali!E1297 &gt;= SogliaPicchi!$B$14,"",DatiOriginali!E1297)</f>
        <v>376800</v>
      </c>
      <c r="F1297" s="4">
        <v>3363419</v>
      </c>
      <c r="G1297" s="4">
        <f>IF(DatiOriginali!G1297 &gt;= SogliaPicchi!$B$14,"",DatiOriginali!G1297)</f>
        <v>228800</v>
      </c>
      <c r="H1297" s="4">
        <v>4184284</v>
      </c>
      <c r="I1297" s="4">
        <f>IF(DatiOriginali!I1297 &gt;= SogliaPicchi!$B$14,"",DatiOriginali!I1297)</f>
        <v>77000</v>
      </c>
      <c r="J1297" s="4">
        <v>4170465</v>
      </c>
      <c r="K1297" s="4">
        <f>IF(DatiOriginali!K1297 &gt;= SogliaPicchi!$B$14,"",DatiOriginali!K1297)</f>
        <v>88700</v>
      </c>
    </row>
    <row r="1298" spans="1:11" x14ac:dyDescent="0.3">
      <c r="A1298" s="4" t="s">
        <v>1307</v>
      </c>
      <c r="B1298" s="4">
        <v>210925</v>
      </c>
      <c r="C1298" s="4">
        <f>IF(DatiOriginali!C1298 &gt;= SogliaPicchi!$B$14,"",DatiOriginali!C1298)</f>
        <v>1903100</v>
      </c>
      <c r="D1298" s="4">
        <v>107666</v>
      </c>
      <c r="E1298" s="4">
        <f>IF(DatiOriginali!E1298 &gt;= SogliaPicchi!$B$14,"",DatiOriginali!E1298)</f>
        <v>420500</v>
      </c>
      <c r="F1298" s="4">
        <v>3368686</v>
      </c>
      <c r="G1298" s="4">
        <f>IF(DatiOriginali!G1298 &gt;= SogliaPicchi!$B$14,"",DatiOriginali!G1298)</f>
        <v>228800</v>
      </c>
      <c r="H1298" s="4">
        <v>4191889</v>
      </c>
      <c r="I1298" s="4">
        <f>IF(DatiOriginali!I1298 &gt;= SogliaPicchi!$B$14,"",DatiOriginali!I1298)</f>
        <v>79800</v>
      </c>
      <c r="J1298" s="4">
        <v>4176952</v>
      </c>
      <c r="K1298" s="4">
        <f>IF(DatiOriginali!K1298 &gt;= SogliaPicchi!$B$14,"",DatiOriginali!K1298)</f>
        <v>87600</v>
      </c>
    </row>
    <row r="1299" spans="1:11" x14ac:dyDescent="0.3">
      <c r="A1299" s="4" t="s">
        <v>1308</v>
      </c>
      <c r="B1299" s="4">
        <v>210925</v>
      </c>
      <c r="C1299" s="4">
        <f>IF(DatiOriginali!C1299 &gt;= SogliaPicchi!$B$14,"",DatiOriginali!C1299)</f>
        <v>1585600</v>
      </c>
      <c r="D1299" s="4">
        <v>106441</v>
      </c>
      <c r="E1299" s="4">
        <f>IF(DatiOriginali!E1299 &gt;= SogliaPicchi!$B$14,"",DatiOriginali!E1299)</f>
        <v>376300</v>
      </c>
      <c r="F1299" s="4">
        <v>3373953</v>
      </c>
      <c r="G1299" s="4">
        <f>IF(DatiOriginali!G1299 &gt;= SogliaPicchi!$B$14,"",DatiOriginali!G1299)</f>
        <v>230300</v>
      </c>
      <c r="H1299" s="4">
        <v>4198153</v>
      </c>
      <c r="I1299" s="4">
        <f>IF(DatiOriginali!I1299 &gt;= SogliaPicchi!$B$14,"",DatiOriginali!I1299)</f>
        <v>77300</v>
      </c>
      <c r="J1299" s="4">
        <v>4183355</v>
      </c>
      <c r="K1299" s="4">
        <f>IF(DatiOriginali!K1299 &gt;= SogliaPicchi!$B$14,"",DatiOriginali!K1299)</f>
        <v>84300</v>
      </c>
    </row>
    <row r="1300" spans="1:11" x14ac:dyDescent="0.3">
      <c r="A1300" s="4" t="s">
        <v>1309</v>
      </c>
      <c r="B1300" s="4">
        <v>210925</v>
      </c>
      <c r="C1300" s="4">
        <f>IF(DatiOriginali!C1300 &gt;= SogliaPicchi!$B$14,"",DatiOriginali!C1300)</f>
        <v>1824800</v>
      </c>
      <c r="D1300" s="4">
        <v>106032</v>
      </c>
      <c r="E1300" s="4">
        <f>IF(DatiOriginali!E1300 &gt;= SogliaPicchi!$B$14,"",DatiOriginali!E1300)</f>
        <v>472800</v>
      </c>
      <c r="F1300" s="4">
        <v>3379218</v>
      </c>
      <c r="G1300" s="4">
        <f>IF(DatiOriginali!G1300 &gt;= SogliaPicchi!$B$14,"",DatiOriginali!G1300)</f>
        <v>227100</v>
      </c>
      <c r="H1300" s="4">
        <v>4205187</v>
      </c>
      <c r="I1300" s="4">
        <f>IF(DatiOriginali!I1300 &gt;= SogliaPicchi!$B$14,"",DatiOriginali!I1300)</f>
        <v>76100</v>
      </c>
      <c r="J1300" s="4">
        <v>4189702</v>
      </c>
      <c r="K1300" s="4">
        <f>IF(DatiOriginali!K1300 &gt;= SogliaPicchi!$B$14,"",DatiOriginali!K1300)</f>
        <v>86200</v>
      </c>
    </row>
    <row r="1301" spans="1:11" x14ac:dyDescent="0.3">
      <c r="A1301" s="4" t="s">
        <v>1310</v>
      </c>
      <c r="B1301" s="4">
        <v>210925</v>
      </c>
      <c r="C1301" s="4">
        <f>IF(DatiOriginali!C1301 &gt;= SogliaPicchi!$B$14,"",DatiOriginali!C1301)</f>
        <v>1477700</v>
      </c>
      <c r="D1301" s="4">
        <v>103388</v>
      </c>
      <c r="E1301" s="4">
        <f>IF(DatiOriginali!E1301 &gt;= SogliaPicchi!$B$14,"",DatiOriginali!E1301)</f>
        <v>359800</v>
      </c>
      <c r="F1301" s="4">
        <v>3384454</v>
      </c>
      <c r="G1301" s="4">
        <f>IF(DatiOriginali!G1301 &gt;= SogliaPicchi!$B$15,"",DatiOriginali!G1301)</f>
        <v>229900</v>
      </c>
      <c r="H1301" s="4">
        <v>4211662</v>
      </c>
      <c r="I1301" s="4">
        <f>IF(DatiOriginali!I1301 &gt;= SogliaPicchi!$B$15,"",DatiOriginali!I1301)</f>
        <v>77300</v>
      </c>
      <c r="J1301" s="4">
        <v>4197113</v>
      </c>
      <c r="K1301" s="4">
        <f>IF(DatiOriginali!K1301 &gt;= SogliaPicchi!$B$15,"",DatiOriginali!K1301)</f>
        <v>90400</v>
      </c>
    </row>
    <row r="1302" spans="1:11" x14ac:dyDescent="0.3">
      <c r="A1302" s="4" t="s">
        <v>1311</v>
      </c>
      <c r="B1302" s="4">
        <v>244650</v>
      </c>
      <c r="C1302" s="4">
        <f>IF(DatiOriginali!C1302 &gt;= SogliaPicchi!$B$15,"",DatiOriginali!C1302)</f>
        <v>2063300</v>
      </c>
      <c r="D1302" s="4">
        <v>120020</v>
      </c>
      <c r="E1302" s="4">
        <f>IF(DatiOriginali!E1302 &gt;= SogliaPicchi!$B$15,"",DatiOriginali!E1302)</f>
        <v>417800</v>
      </c>
      <c r="F1302" s="4">
        <v>3390210</v>
      </c>
      <c r="G1302" s="4">
        <f>IF(DatiOriginali!G1302 &gt;= SogliaPicchi!$B$15,"",DatiOriginali!G1302)</f>
        <v>247600</v>
      </c>
      <c r="H1302" s="4">
        <v>4219278</v>
      </c>
      <c r="I1302" s="4">
        <f>IF(DatiOriginali!I1302 &gt;= SogliaPicchi!$B$15,"",DatiOriginali!I1302)</f>
        <v>85200</v>
      </c>
      <c r="J1302" s="4">
        <v>4204439</v>
      </c>
      <c r="K1302" s="4">
        <f>IF(DatiOriginali!K1302 &gt;= SogliaPicchi!$B$15,"",DatiOriginali!K1302)</f>
        <v>94100</v>
      </c>
    </row>
    <row r="1303" spans="1:11" x14ac:dyDescent="0.3">
      <c r="A1303" s="4" t="s">
        <v>1312</v>
      </c>
      <c r="B1303" s="4">
        <v>244650</v>
      </c>
      <c r="C1303" s="4">
        <f>IF(DatiOriginali!C1303 &gt;= SogliaPicchi!$B$15,"",DatiOriginali!C1303)</f>
        <v>1840100</v>
      </c>
      <c r="D1303" s="4">
        <v>117780</v>
      </c>
      <c r="E1303" s="4">
        <f>IF(DatiOriginali!E1303 &gt;= SogliaPicchi!$B$15,"",DatiOriginali!E1303)</f>
        <v>419600</v>
      </c>
      <c r="F1303" s="4">
        <v>3395954</v>
      </c>
      <c r="G1303" s="4">
        <f>IF(DatiOriginali!G1303 &gt;= SogliaPicchi!$B$15,"",DatiOriginali!G1303)</f>
        <v>247800</v>
      </c>
      <c r="H1303" s="4">
        <v>4226654</v>
      </c>
      <c r="I1303" s="4">
        <f>IF(DatiOriginali!I1303 &gt;= SogliaPicchi!$B$15,"",DatiOriginali!I1303)</f>
        <v>82800</v>
      </c>
      <c r="J1303" s="4">
        <v>4211543</v>
      </c>
      <c r="K1303" s="4">
        <f>IF(DatiOriginali!K1303 &gt;= SogliaPicchi!$B$15,"",DatiOriginali!K1303)</f>
        <v>93900</v>
      </c>
    </row>
    <row r="1304" spans="1:11" x14ac:dyDescent="0.3">
      <c r="A1304" s="4" t="s">
        <v>1313</v>
      </c>
      <c r="B1304" s="4">
        <v>244650</v>
      </c>
      <c r="C1304" s="4">
        <f>IF(DatiOriginali!C1304 &gt;= SogliaPicchi!$B$15,"",DatiOriginali!C1304)</f>
        <v>1916500</v>
      </c>
      <c r="D1304" s="4">
        <v>129007</v>
      </c>
      <c r="E1304" s="4">
        <f>IF(DatiOriginali!E1304 &gt;= SogliaPicchi!$B$15,"",DatiOriginali!E1304)</f>
        <v>666700</v>
      </c>
      <c r="F1304" s="4">
        <v>3401687</v>
      </c>
      <c r="G1304" s="4">
        <f>IF(DatiOriginali!G1304 &gt;= SogliaPicchi!$B$15,"",DatiOriginali!G1304)</f>
        <v>253900</v>
      </c>
      <c r="H1304" s="4">
        <v>4233648</v>
      </c>
      <c r="I1304" s="4">
        <f>IF(DatiOriginali!I1304 &gt;= SogliaPicchi!$B$15,"",DatiOriginali!I1304)</f>
        <v>83900</v>
      </c>
      <c r="J1304" s="4">
        <v>4218386</v>
      </c>
      <c r="K1304" s="4">
        <f>IF(DatiOriginali!K1304 &gt;= SogliaPicchi!$B$15,"",DatiOriginali!K1304)</f>
        <v>92800</v>
      </c>
    </row>
    <row r="1305" spans="1:11" x14ac:dyDescent="0.3">
      <c r="A1305" s="4" t="s">
        <v>1314</v>
      </c>
      <c r="B1305" s="4">
        <v>244650</v>
      </c>
      <c r="C1305" s="4">
        <f>IF(DatiOriginali!C1305 &gt;= SogliaPicchi!$B$15,"",DatiOriginali!C1305)</f>
        <v>1740000</v>
      </c>
      <c r="D1305" s="4">
        <v>129900</v>
      </c>
      <c r="E1305" s="4">
        <f>IF(DatiOriginali!E1305 &gt;= SogliaPicchi!$B$15,"",DatiOriginali!E1305)</f>
        <v>449600</v>
      </c>
      <c r="F1305" s="4">
        <v>3407424</v>
      </c>
      <c r="G1305" s="4">
        <f>IF(DatiOriginali!G1305 &gt;= SogliaPicchi!$B$15,"",DatiOriginali!G1305)</f>
        <v>251200</v>
      </c>
      <c r="H1305" s="4">
        <v>4240683</v>
      </c>
      <c r="I1305" s="4">
        <f>IF(DatiOriginali!I1305 &gt;= SogliaPicchi!$B$15,"",DatiOriginali!I1305)</f>
        <v>82100</v>
      </c>
      <c r="J1305" s="4">
        <v>4225672</v>
      </c>
      <c r="K1305" s="4">
        <f>IF(DatiOriginali!K1305 &gt;= SogliaPicchi!$B$15,"",DatiOriginali!K1305)</f>
        <v>91100</v>
      </c>
    </row>
    <row r="1306" spans="1:11" x14ac:dyDescent="0.3">
      <c r="A1306" s="4" t="s">
        <v>1315</v>
      </c>
      <c r="B1306" s="4">
        <v>244650</v>
      </c>
      <c r="C1306" s="4">
        <f>IF(DatiOriginali!C1306 &gt;= SogliaPicchi!$B$15,"",DatiOriginali!C1306)</f>
        <v>1922900</v>
      </c>
      <c r="D1306" s="4">
        <v>126723</v>
      </c>
      <c r="E1306" s="4">
        <f>IF(DatiOriginali!E1306 &gt;= SogliaPicchi!$B$15,"",DatiOriginali!E1306)</f>
        <v>457500</v>
      </c>
      <c r="F1306" s="4">
        <v>3413201</v>
      </c>
      <c r="G1306" s="4">
        <f>IF(DatiOriginali!G1306 &gt;= SogliaPicchi!$B$15,"",DatiOriginali!G1306)</f>
        <v>249300</v>
      </c>
      <c r="H1306" s="4">
        <v>4247400</v>
      </c>
      <c r="I1306" s="4">
        <f>IF(DatiOriginali!I1306 &gt;= SogliaPicchi!$B$15,"",DatiOriginali!I1306)</f>
        <v>83900</v>
      </c>
      <c r="J1306" s="4">
        <v>4232344</v>
      </c>
      <c r="K1306" s="4">
        <f>IF(DatiOriginali!K1306 &gt;= SogliaPicchi!$B$15,"",DatiOriginali!K1306)</f>
        <v>90600</v>
      </c>
    </row>
    <row r="1307" spans="1:11" x14ac:dyDescent="0.3">
      <c r="A1307" s="4" t="s">
        <v>1316</v>
      </c>
      <c r="B1307" s="4">
        <v>244650</v>
      </c>
      <c r="C1307" s="4">
        <f>IF(DatiOriginali!C1307 &gt;= SogliaPicchi!$B$15,"",DatiOriginali!C1307)</f>
        <v>2215800</v>
      </c>
      <c r="D1307" s="4">
        <v>123309</v>
      </c>
      <c r="E1307" s="4">
        <f>IF(DatiOriginali!E1307 &gt;= SogliaPicchi!$B$15,"",DatiOriginali!E1307)</f>
        <v>428900</v>
      </c>
      <c r="F1307" s="4">
        <v>3418977</v>
      </c>
      <c r="G1307" s="4">
        <f>IF(DatiOriginali!G1307 &gt;= SogliaPicchi!$B$15,"",DatiOriginali!G1307)</f>
        <v>252700</v>
      </c>
      <c r="H1307" s="4">
        <v>4254007</v>
      </c>
      <c r="I1307" s="4">
        <f>IF(DatiOriginali!I1307 &gt;= SogliaPicchi!$B$15,"",DatiOriginali!I1307)</f>
        <v>85300</v>
      </c>
      <c r="J1307" s="4">
        <v>4239234</v>
      </c>
      <c r="K1307" s="4">
        <f>IF(DatiOriginali!K1307 &gt;= SogliaPicchi!$B$15,"",DatiOriginali!K1307)</f>
        <v>94200</v>
      </c>
    </row>
    <row r="1308" spans="1:11" x14ac:dyDescent="0.3">
      <c r="A1308" s="4" t="s">
        <v>1317</v>
      </c>
      <c r="B1308" s="4">
        <v>244650</v>
      </c>
      <c r="C1308" s="4">
        <f>IF(DatiOriginali!C1308 &gt;= SogliaPicchi!$B$15,"",DatiOriginali!C1308)</f>
        <v>1831000</v>
      </c>
      <c r="D1308" s="4">
        <v>120264</v>
      </c>
      <c r="E1308" s="4">
        <f>IF(DatiOriginali!E1308 &gt;= SogliaPicchi!$B$15,"",DatiOriginali!E1308)</f>
        <v>428000</v>
      </c>
      <c r="F1308" s="4">
        <v>3424744</v>
      </c>
      <c r="G1308" s="4">
        <f>IF(DatiOriginali!G1308 &gt;= SogliaPicchi!$B$15,"",DatiOriginali!G1308)</f>
        <v>248800</v>
      </c>
      <c r="H1308" s="4">
        <v>4260451</v>
      </c>
      <c r="I1308" s="4">
        <f>IF(DatiOriginali!I1308 &gt;= SogliaPicchi!$B$15,"",DatiOriginali!I1308)</f>
        <v>84100</v>
      </c>
      <c r="J1308" s="4">
        <v>4247958</v>
      </c>
      <c r="K1308" s="4">
        <f>IF(DatiOriginali!K1308 &gt;= SogliaPicchi!$B$15,"",DatiOriginali!K1308)</f>
        <v>100400</v>
      </c>
    </row>
    <row r="1309" spans="1:11" x14ac:dyDescent="0.3">
      <c r="A1309" s="4" t="s">
        <v>1318</v>
      </c>
      <c r="B1309" s="4">
        <v>244650</v>
      </c>
      <c r="C1309" s="4">
        <f>IF(DatiOriginali!C1309 &gt;= SogliaPicchi!$B$15,"",DatiOriginali!C1309)</f>
        <v>2162400</v>
      </c>
      <c r="D1309" s="4">
        <v>123091</v>
      </c>
      <c r="E1309" s="4">
        <f>IF(DatiOriginali!E1309 &gt;= SogliaPicchi!$B$15,"",DatiOriginali!E1309)</f>
        <v>472300</v>
      </c>
      <c r="F1309" s="4">
        <v>3430481</v>
      </c>
      <c r="G1309" s="4">
        <f>IF(DatiOriginali!G1309 &gt;= SogliaPicchi!$B$15,"",DatiOriginali!G1309)</f>
        <v>251100</v>
      </c>
      <c r="H1309" s="4">
        <v>4267234</v>
      </c>
      <c r="I1309" s="4">
        <f>IF(DatiOriginali!I1309 &gt;= SogliaPicchi!$B$15,"",DatiOriginali!I1309)</f>
        <v>83100</v>
      </c>
      <c r="J1309" s="4">
        <v>4255114</v>
      </c>
      <c r="K1309" s="4">
        <f>IF(DatiOriginali!K1309 &gt;= SogliaPicchi!$B$15,"",DatiOriginali!K1309)</f>
        <v>92200</v>
      </c>
    </row>
    <row r="1310" spans="1:11" x14ac:dyDescent="0.3">
      <c r="A1310" s="4" t="s">
        <v>1319</v>
      </c>
      <c r="B1310" s="4">
        <v>244650</v>
      </c>
      <c r="C1310" s="4">
        <f>IF(DatiOriginali!C1310 &gt;= SogliaPicchi!$B$15,"",DatiOriginali!C1310)</f>
        <v>1843500</v>
      </c>
      <c r="D1310" s="4">
        <v>122174</v>
      </c>
      <c r="E1310" s="4">
        <f>IF(DatiOriginali!E1310 &gt;= SogliaPicchi!$B$15,"",DatiOriginali!E1310)</f>
        <v>424100</v>
      </c>
      <c r="F1310" s="4">
        <v>3436249</v>
      </c>
      <c r="G1310" s="4">
        <f>IF(DatiOriginali!G1310 &gt;= SogliaPicchi!$B$15,"",DatiOriginali!G1310)</f>
        <v>246900</v>
      </c>
      <c r="H1310" s="4">
        <v>4274111</v>
      </c>
      <c r="I1310" s="4">
        <f>IF(DatiOriginali!I1310 &gt;= SogliaPicchi!$B$15,"",DatiOriginali!I1310)</f>
        <v>82100</v>
      </c>
      <c r="J1310" s="4">
        <v>4262389</v>
      </c>
      <c r="K1310" s="4">
        <f>IF(DatiOriginali!K1310 &gt;= SogliaPicchi!$B$15,"",DatiOriginali!K1310)</f>
        <v>93700</v>
      </c>
    </row>
    <row r="1311" spans="1:11" x14ac:dyDescent="0.3">
      <c r="A1311" s="4" t="s">
        <v>1320</v>
      </c>
      <c r="B1311" s="4">
        <v>244650</v>
      </c>
      <c r="C1311" s="4">
        <f>IF(DatiOriginali!C1311 &gt;= SogliaPicchi!$B$15,"",DatiOriginali!C1311)</f>
        <v>1825600</v>
      </c>
      <c r="D1311" s="4">
        <v>123718</v>
      </c>
      <c r="E1311" s="4">
        <f>IF(DatiOriginali!E1311 &gt;= SogliaPicchi!$B$15,"",DatiOriginali!E1311)</f>
        <v>445500</v>
      </c>
      <c r="F1311" s="4">
        <v>3441990</v>
      </c>
      <c r="G1311" s="4">
        <f>IF(DatiOriginali!G1311 &gt;= SogliaPicchi!$B$15,"",DatiOriginali!G1311)</f>
        <v>261400</v>
      </c>
      <c r="H1311" s="4">
        <v>4280898</v>
      </c>
      <c r="I1311" s="4">
        <f>IF(DatiOriginali!I1311 &gt;= SogliaPicchi!$B$15,"",DatiOriginali!I1311)</f>
        <v>95600</v>
      </c>
      <c r="J1311" s="4">
        <v>4269061</v>
      </c>
      <c r="K1311" s="4">
        <f>IF(DatiOriginali!K1311 &gt;= SogliaPicchi!$B$15,"",DatiOriginali!K1311)</f>
        <v>134400</v>
      </c>
    </row>
    <row r="1312" spans="1:11" x14ac:dyDescent="0.3">
      <c r="A1312" s="4" t="s">
        <v>1321</v>
      </c>
      <c r="B1312" s="4">
        <v>244650</v>
      </c>
      <c r="C1312" s="4">
        <f>IF(DatiOriginali!C1312 &gt;= SogliaPicchi!$B$15,"",DatiOriginali!C1312)</f>
        <v>2349700</v>
      </c>
      <c r="D1312" s="4">
        <v>121079</v>
      </c>
      <c r="E1312" s="4">
        <f>IF(DatiOriginali!E1312 &gt;= SogliaPicchi!$B$15,"",DatiOriginali!E1312)</f>
        <v>420900</v>
      </c>
      <c r="F1312" s="4">
        <v>3447746</v>
      </c>
      <c r="G1312" s="4">
        <f>IF(DatiOriginali!G1312 &gt;= SogliaPicchi!$B$15,"",DatiOriginali!G1312)</f>
        <v>251200</v>
      </c>
      <c r="H1312" s="4">
        <v>4288502</v>
      </c>
      <c r="I1312" s="4">
        <f>IF(DatiOriginali!I1312 &gt;= SogliaPicchi!$B$15,"",DatiOriginali!I1312)</f>
        <v>87800</v>
      </c>
      <c r="J1312" s="4">
        <v>4277661</v>
      </c>
      <c r="K1312" s="4">
        <f>IF(DatiOriginali!K1312 &gt;= SogliaPicchi!$B$15,"",DatiOriginali!K1312)</f>
        <v>98500</v>
      </c>
    </row>
    <row r="1313" spans="1:11" x14ac:dyDescent="0.3">
      <c r="A1313" s="4" t="s">
        <v>1322</v>
      </c>
      <c r="B1313" s="4">
        <v>244650</v>
      </c>
      <c r="C1313" s="4">
        <f>IF(DatiOriginali!C1313 &gt;= SogliaPicchi!$B$15,"",DatiOriginali!C1313)</f>
        <v>2082400</v>
      </c>
      <c r="D1313" s="4">
        <v>125409</v>
      </c>
      <c r="E1313" s="4">
        <f>IF(DatiOriginali!E1313 &gt;= SogliaPicchi!$B$15,"",DatiOriginali!E1313)</f>
        <v>456600</v>
      </c>
      <c r="F1313" s="4">
        <v>3453508</v>
      </c>
      <c r="G1313" s="4">
        <f>IF(DatiOriginali!G1313 &gt;= SogliaPicchi!$B$15,"",DatiOriginali!G1313)</f>
        <v>255600</v>
      </c>
      <c r="H1313" s="4">
        <v>4295109</v>
      </c>
      <c r="I1313" s="4">
        <f>IF(DatiOriginali!I1313 &gt;= SogliaPicchi!$B$15,"",DatiOriginali!I1313)</f>
        <v>84000</v>
      </c>
      <c r="J1313" s="4">
        <v>4286090</v>
      </c>
      <c r="K1313" s="4">
        <f>IF(DatiOriginali!K1313 &gt;= SogliaPicchi!$B$15,"",DatiOriginali!K1313)</f>
        <v>97800</v>
      </c>
    </row>
    <row r="1314" spans="1:11" x14ac:dyDescent="0.3">
      <c r="A1314" s="4" t="s">
        <v>1323</v>
      </c>
      <c r="B1314" s="4">
        <v>244650</v>
      </c>
      <c r="C1314" s="4">
        <f>IF(DatiOriginali!C1314 &gt;= SogliaPicchi!$B$15,"",DatiOriginali!C1314)</f>
        <v>1866400</v>
      </c>
      <c r="D1314" s="4">
        <v>121801</v>
      </c>
      <c r="E1314" s="4">
        <f>IF(DatiOriginali!E1314 &gt;= SogliaPicchi!$B$15,"",DatiOriginali!E1314)</f>
        <v>422300</v>
      </c>
      <c r="F1314" s="4">
        <v>3459250</v>
      </c>
      <c r="G1314" s="4">
        <f>IF(DatiOriginali!G1314 &gt;= SogliaPicchi!$B$15,"",DatiOriginali!G1314)</f>
        <v>273700</v>
      </c>
      <c r="H1314" s="4">
        <v>4302339</v>
      </c>
      <c r="I1314" s="4">
        <f>IF(DatiOriginali!I1314 &gt;= SogliaPicchi!$B$15,"",DatiOriginali!I1314)</f>
        <v>88500</v>
      </c>
      <c r="J1314" s="4">
        <v>4292515</v>
      </c>
      <c r="K1314" s="4">
        <f>IF(DatiOriginali!K1314 &gt;= SogliaPicchi!$B$15,"",DatiOriginali!K1314)</f>
        <v>93000</v>
      </c>
    </row>
    <row r="1315" spans="1:11" x14ac:dyDescent="0.3">
      <c r="A1315" s="4" t="s">
        <v>1324</v>
      </c>
      <c r="B1315" s="4">
        <v>244650</v>
      </c>
      <c r="C1315" s="4">
        <f>IF(DatiOriginali!C1315 &gt;= SogliaPicchi!$B$15,"",DatiOriginali!C1315)</f>
        <v>1938500</v>
      </c>
      <c r="D1315" s="4">
        <v>124538</v>
      </c>
      <c r="E1315" s="4">
        <f>IF(DatiOriginali!E1315 &gt;= SogliaPicchi!$B$15,"",DatiOriginali!E1315)</f>
        <v>432200</v>
      </c>
      <c r="F1315" s="4">
        <v>3465028</v>
      </c>
      <c r="G1315" s="4">
        <f>IF(DatiOriginali!G1315 &gt;= SogliaPicchi!$B$15,"",DatiOriginali!G1315)</f>
        <v>250000</v>
      </c>
      <c r="H1315" s="4">
        <v>4309775</v>
      </c>
      <c r="I1315" s="4">
        <f>IF(DatiOriginali!I1315 &gt;= SogliaPicchi!$B$15,"",DatiOriginali!I1315)</f>
        <v>84300</v>
      </c>
      <c r="J1315" s="4">
        <v>4299738</v>
      </c>
      <c r="K1315" s="4">
        <f>IF(DatiOriginali!K1315 &gt;= SogliaPicchi!$B$15,"",DatiOriginali!K1315)</f>
        <v>93600</v>
      </c>
    </row>
    <row r="1316" spans="1:11" x14ac:dyDescent="0.3">
      <c r="A1316" s="4" t="s">
        <v>1325</v>
      </c>
      <c r="B1316" s="4">
        <v>244650</v>
      </c>
      <c r="C1316" s="4">
        <f>IF(DatiOriginali!C1316 &gt;= SogliaPicchi!$B$15,"",DatiOriginali!C1316)</f>
        <v>1823900</v>
      </c>
      <c r="D1316" s="4">
        <v>125951</v>
      </c>
      <c r="E1316" s="4">
        <f>IF(DatiOriginali!E1316 &gt;= SogliaPicchi!$B$15,"",DatiOriginali!E1316)</f>
        <v>437200</v>
      </c>
      <c r="F1316" s="4">
        <v>3470769</v>
      </c>
      <c r="G1316" s="4">
        <f>IF(DatiOriginali!G1316 &gt;= SogliaPicchi!$B$15,"",DatiOriginali!G1316)</f>
        <v>248000</v>
      </c>
      <c r="H1316" s="4">
        <v>4317130</v>
      </c>
      <c r="I1316" s="4">
        <f>IF(DatiOriginali!I1316 &gt;= SogliaPicchi!$B$15,"",DatiOriginali!I1316)</f>
        <v>84000</v>
      </c>
      <c r="J1316" s="4">
        <v>4306510</v>
      </c>
      <c r="K1316" s="4">
        <f>IF(DatiOriginali!K1316 &gt;= SogliaPicchi!$B$15,"",DatiOriginali!K1316)</f>
        <v>93500</v>
      </c>
    </row>
    <row r="1317" spans="1:11" x14ac:dyDescent="0.3">
      <c r="A1317" s="4" t="s">
        <v>1326</v>
      </c>
      <c r="B1317" s="4">
        <v>244650</v>
      </c>
      <c r="C1317" s="4">
        <f>IF(DatiOriginali!C1317 &gt;= SogliaPicchi!$B$15,"",DatiOriginali!C1317)</f>
        <v>2075300</v>
      </c>
      <c r="D1317" s="4">
        <v>123784</v>
      </c>
      <c r="E1317" s="4">
        <f>IF(DatiOriginali!E1317 &gt;= SogliaPicchi!$B$15,"",DatiOriginali!E1317)</f>
        <v>441500</v>
      </c>
      <c r="F1317" s="4">
        <v>3476519</v>
      </c>
      <c r="G1317" s="4">
        <f>IF(DatiOriginali!G1317 &gt;= SogliaPicchi!$B$15,"",DatiOriginali!G1317)</f>
        <v>251300</v>
      </c>
      <c r="H1317" s="4">
        <v>4324817</v>
      </c>
      <c r="I1317" s="4">
        <f>IF(DatiOriginali!I1317 &gt;= SogliaPicchi!$B$15,"",DatiOriginali!I1317)</f>
        <v>86200</v>
      </c>
      <c r="J1317" s="4">
        <v>4314549</v>
      </c>
      <c r="K1317" s="4">
        <f>IF(DatiOriginali!K1317 &gt;= SogliaPicchi!$B$15,"",DatiOriginali!K1317)</f>
        <v>99200</v>
      </c>
    </row>
    <row r="1318" spans="1:11" x14ac:dyDescent="0.3">
      <c r="A1318" s="4" t="s">
        <v>1327</v>
      </c>
      <c r="B1318" s="4">
        <v>244650</v>
      </c>
      <c r="C1318" s="4">
        <f>IF(DatiOriginali!C1318 &gt;= SogliaPicchi!$B$15,"",DatiOriginali!C1318)</f>
        <v>1781400</v>
      </c>
      <c r="D1318" s="4">
        <v>119315</v>
      </c>
      <c r="E1318" s="4">
        <f>IF(DatiOriginali!E1318 &gt;= SogliaPicchi!$B$15,"",DatiOriginali!E1318)</f>
        <v>413800</v>
      </c>
      <c r="F1318" s="4">
        <v>3482233</v>
      </c>
      <c r="G1318" s="4">
        <f>IF(DatiOriginali!G1318 &gt;= SogliaPicchi!$B$15,"",DatiOriginali!G1318)</f>
        <v>252500</v>
      </c>
      <c r="H1318" s="4">
        <v>4331468</v>
      </c>
      <c r="I1318" s="4">
        <f>IF(DatiOriginali!I1318 &gt;= SogliaPicchi!$B$15,"",DatiOriginali!I1318)</f>
        <v>82900</v>
      </c>
      <c r="J1318" s="4">
        <v>4322976</v>
      </c>
      <c r="K1318" s="4">
        <f>IF(DatiOriginali!K1318 &gt;= SogliaPicchi!$B$15,"",DatiOriginali!K1318)</f>
        <v>99400</v>
      </c>
    </row>
    <row r="1319" spans="1:11" x14ac:dyDescent="0.3">
      <c r="A1319" s="4" t="s">
        <v>1328</v>
      </c>
      <c r="B1319" s="4">
        <v>244650</v>
      </c>
      <c r="C1319" s="4">
        <f>IF(DatiOriginali!C1319 &gt;= SogliaPicchi!$B$15,"",DatiOriginali!C1319)</f>
        <v>1815800</v>
      </c>
      <c r="D1319" s="4">
        <v>123770</v>
      </c>
      <c r="E1319" s="4">
        <f>IF(DatiOriginali!E1319 &gt;= SogliaPicchi!$B$15,"",DatiOriginali!E1319)</f>
        <v>637800</v>
      </c>
      <c r="F1319" s="4">
        <v>3487968</v>
      </c>
      <c r="G1319" s="4">
        <f>IF(DatiOriginali!G1319 &gt;= SogliaPicchi!$B$15,"",DatiOriginali!G1319)</f>
        <v>299600</v>
      </c>
      <c r="H1319" s="4">
        <v>4338162</v>
      </c>
      <c r="I1319" s="4">
        <f>IF(DatiOriginali!I1319 &gt;= SogliaPicchi!$B$15,"",DatiOriginali!I1319)</f>
        <v>99300</v>
      </c>
      <c r="J1319" s="4">
        <v>4329950</v>
      </c>
      <c r="K1319" s="4">
        <f>IF(DatiOriginali!K1319 &gt;= SogliaPicchi!$B$15,"",DatiOriginali!K1319)</f>
        <v>93300</v>
      </c>
    </row>
    <row r="1320" spans="1:11" x14ac:dyDescent="0.3">
      <c r="A1320" s="4" t="s">
        <v>1329</v>
      </c>
      <c r="B1320" s="4">
        <v>244650</v>
      </c>
      <c r="C1320" s="4">
        <f>IF(DatiOriginali!C1320 &gt;= SogliaPicchi!$B$15,"",DatiOriginali!C1320)</f>
        <v>1908600</v>
      </c>
      <c r="D1320" s="4">
        <v>123430</v>
      </c>
      <c r="E1320" s="4">
        <f>IF(DatiOriginali!E1320 &gt;= SogliaPicchi!$B$15,"",DatiOriginali!E1320)</f>
        <v>432800</v>
      </c>
      <c r="F1320" s="4">
        <v>3493745</v>
      </c>
      <c r="G1320" s="4">
        <f>IF(DatiOriginali!G1320 &gt;= SogliaPicchi!$B$15,"",DatiOriginali!G1320)</f>
        <v>247700</v>
      </c>
      <c r="H1320" s="4">
        <v>4344883</v>
      </c>
      <c r="I1320" s="4">
        <f>IF(DatiOriginali!I1320 &gt;= SogliaPicchi!$B$15,"",DatiOriginali!I1320)</f>
        <v>84100</v>
      </c>
      <c r="J1320" s="4">
        <v>4337736</v>
      </c>
      <c r="K1320" s="4">
        <f>IF(DatiOriginali!K1320 &gt;= SogliaPicchi!$B$15,"",DatiOriginali!K1320)</f>
        <v>98600</v>
      </c>
    </row>
    <row r="1321" spans="1:11" x14ac:dyDescent="0.3">
      <c r="A1321" s="4" t="s">
        <v>1330</v>
      </c>
      <c r="B1321" s="4">
        <v>244650</v>
      </c>
      <c r="C1321" s="4">
        <f>IF(DatiOriginali!C1321 &gt;= SogliaPicchi!$B$15,"",DatiOriginali!C1321)</f>
        <v>2108500</v>
      </c>
      <c r="D1321" s="4">
        <v>122724</v>
      </c>
      <c r="E1321" s="4">
        <f>IF(DatiOriginali!E1321 &gt;= SogliaPicchi!$B$15,"",DatiOriginali!E1321)</f>
        <v>438100</v>
      </c>
      <c r="F1321" s="4">
        <v>3499508</v>
      </c>
      <c r="G1321" s="4">
        <f>IF(DatiOriginali!G1321 &gt;= SogliaPicchi!$B$15,"",DatiOriginali!G1321)</f>
        <v>247400</v>
      </c>
      <c r="H1321" s="4">
        <v>4352092</v>
      </c>
      <c r="I1321" s="4">
        <f>IF(DatiOriginali!I1321 &gt;= SogliaPicchi!$B$15,"",DatiOriginali!I1321)</f>
        <v>83900</v>
      </c>
      <c r="J1321" s="4">
        <v>4345227</v>
      </c>
      <c r="K1321" s="4">
        <f>IF(DatiOriginali!K1321 &gt;= SogliaPicchi!$B$15,"",DatiOriginali!K1321)</f>
        <v>94200</v>
      </c>
    </row>
    <row r="1322" spans="1:11" x14ac:dyDescent="0.3">
      <c r="A1322" s="4" t="s">
        <v>1331</v>
      </c>
      <c r="B1322" s="4">
        <v>244650</v>
      </c>
      <c r="C1322" s="4">
        <f>IF(DatiOriginali!C1322 &gt;= SogliaPicchi!$B$15,"",DatiOriginali!C1322)</f>
        <v>1806900</v>
      </c>
      <c r="D1322" s="4">
        <v>120763</v>
      </c>
      <c r="E1322" s="4">
        <f>IF(DatiOriginali!E1322 &gt;= SogliaPicchi!$B$15,"",DatiOriginali!E1322)</f>
        <v>418700</v>
      </c>
      <c r="F1322" s="4">
        <v>3505268</v>
      </c>
      <c r="G1322" s="4">
        <f>IF(DatiOriginali!G1322 &gt;= SogliaPicchi!$B$15,"",DatiOriginali!G1322)</f>
        <v>250300</v>
      </c>
      <c r="H1322" s="4">
        <v>4359151</v>
      </c>
      <c r="I1322" s="4">
        <f>IF(DatiOriginali!I1322 &gt;= SogliaPicchi!$B$15,"",DatiOriginali!I1322)</f>
        <v>83800</v>
      </c>
      <c r="J1322" s="4">
        <v>4352194</v>
      </c>
      <c r="K1322" s="4">
        <f>IF(DatiOriginali!K1322 &gt;= SogliaPicchi!$B$15,"",DatiOriginali!K1322)</f>
        <v>90700</v>
      </c>
    </row>
    <row r="1323" spans="1:11" x14ac:dyDescent="0.3">
      <c r="A1323" s="4" t="s">
        <v>1332</v>
      </c>
      <c r="B1323" s="4">
        <v>244650</v>
      </c>
      <c r="C1323" s="4">
        <f>IF(DatiOriginali!C1323 &gt;= SogliaPicchi!$B$15,"",DatiOriginali!C1323)</f>
        <v>1810100</v>
      </c>
      <c r="D1323" s="4">
        <v>123001</v>
      </c>
      <c r="E1323" s="4">
        <f>IF(DatiOriginali!E1323 &gt;= SogliaPicchi!$B$15,"",DatiOriginali!E1323)</f>
        <v>426400</v>
      </c>
      <c r="F1323" s="4">
        <v>3511004</v>
      </c>
      <c r="G1323" s="4">
        <f>IF(DatiOriginali!G1323 &gt;= SogliaPicchi!$B$15,"",DatiOriginali!G1323)</f>
        <v>251000</v>
      </c>
      <c r="H1323" s="4">
        <v>4366315</v>
      </c>
      <c r="I1323" s="4">
        <f>IF(DatiOriginali!I1323 &gt;= SogliaPicchi!$B$15,"",DatiOriginali!I1323)</f>
        <v>86500</v>
      </c>
      <c r="J1323" s="4">
        <v>4358755</v>
      </c>
      <c r="K1323" s="4">
        <f>IF(DatiOriginali!K1323 &gt;= SogliaPicchi!$B$15,"",DatiOriginali!K1323)</f>
        <v>94700</v>
      </c>
    </row>
    <row r="1324" spans="1:11" x14ac:dyDescent="0.3">
      <c r="A1324" s="4" t="s">
        <v>1333</v>
      </c>
      <c r="B1324" s="4">
        <v>244650</v>
      </c>
      <c r="C1324" s="4">
        <f>IF(DatiOriginali!C1324 &gt;= SogliaPicchi!$B$15,"",DatiOriginali!C1324)</f>
        <v>1915500</v>
      </c>
      <c r="D1324" s="4">
        <v>122797</v>
      </c>
      <c r="E1324" s="4">
        <f>IF(DatiOriginali!E1324 &gt;= SogliaPicchi!$B$15,"",DatiOriginali!E1324)</f>
        <v>433800</v>
      </c>
      <c r="F1324" s="4">
        <v>3516737</v>
      </c>
      <c r="G1324" s="4">
        <f>IF(DatiOriginali!G1324 &gt;= SogliaPicchi!$B$15,"",DatiOriginali!G1324)</f>
        <v>247200</v>
      </c>
      <c r="H1324" s="4">
        <v>4373813</v>
      </c>
      <c r="I1324" s="4">
        <f>IF(DatiOriginali!I1324 &gt;= SogliaPicchi!$B$15,"",DatiOriginali!I1324)</f>
        <v>82800</v>
      </c>
      <c r="J1324" s="4">
        <v>4365778</v>
      </c>
      <c r="K1324" s="4">
        <f>IF(DatiOriginali!K1324 &gt;= SogliaPicchi!$B$15,"",DatiOriginali!K1324)</f>
        <v>101100</v>
      </c>
    </row>
    <row r="1325" spans="1:11" x14ac:dyDescent="0.3">
      <c r="A1325" s="4" t="s">
        <v>1334</v>
      </c>
      <c r="B1325" s="4">
        <v>244650</v>
      </c>
      <c r="C1325" s="4">
        <f>IF(DatiOriginali!C1325 &gt;= SogliaPicchi!$B$15,"",DatiOriginali!C1325)</f>
        <v>1859000</v>
      </c>
      <c r="D1325" s="4">
        <v>131557</v>
      </c>
      <c r="E1325" s="4">
        <f>IF(DatiOriginali!E1325 &gt;= SogliaPicchi!$B$15,"",DatiOriginali!E1325)</f>
        <v>670300</v>
      </c>
      <c r="F1325" s="4">
        <v>3522482</v>
      </c>
      <c r="G1325" s="4">
        <f>IF(DatiOriginali!G1325 &gt;= SogliaPicchi!$B$15,"",DatiOriginali!G1325)</f>
        <v>247700</v>
      </c>
      <c r="H1325" s="4">
        <v>4380727</v>
      </c>
      <c r="I1325" s="4">
        <f>IF(DatiOriginali!I1325 &gt;= SogliaPicchi!$B$15,"",DatiOriginali!I1325)</f>
        <v>89000</v>
      </c>
      <c r="J1325" s="4">
        <v>4373150</v>
      </c>
      <c r="K1325" s="4">
        <f>IF(DatiOriginali!K1325 &gt;= SogliaPicchi!$B$15,"",DatiOriginali!K1325)</f>
        <v>98800</v>
      </c>
    </row>
    <row r="1326" spans="1:11" x14ac:dyDescent="0.3">
      <c r="A1326" s="4" t="s">
        <v>1335</v>
      </c>
      <c r="B1326" s="4">
        <v>244650</v>
      </c>
      <c r="C1326" s="4">
        <f>IF(DatiOriginali!C1326 &gt;= SogliaPicchi!$B$15,"",DatiOriginali!C1326)</f>
        <v>1804500</v>
      </c>
      <c r="D1326" s="4">
        <v>119090</v>
      </c>
      <c r="E1326" s="4">
        <f>IF(DatiOriginali!E1326 &gt;= SogliaPicchi!$B$15,"",DatiOriginali!E1326)</f>
        <v>427000</v>
      </c>
      <c r="F1326" s="4">
        <v>3528242</v>
      </c>
      <c r="G1326" s="4">
        <f>IF(DatiOriginali!G1326 &gt;= SogliaPicchi!$B$15,"",DatiOriginali!G1326)</f>
        <v>246900</v>
      </c>
      <c r="H1326" s="4">
        <v>4387666</v>
      </c>
      <c r="I1326" s="4">
        <f>IF(DatiOriginali!I1326 &gt;= SogliaPicchi!$B$15,"",DatiOriginali!I1326)</f>
        <v>82500</v>
      </c>
      <c r="J1326" s="4">
        <v>4380785</v>
      </c>
      <c r="K1326" s="4">
        <f>IF(DatiOriginali!K1326 &gt;= SogliaPicchi!$B$15,"",DatiOriginali!K1326)</f>
        <v>92000</v>
      </c>
    </row>
    <row r="1327" spans="1:11" x14ac:dyDescent="0.3">
      <c r="A1327" s="4" t="s">
        <v>1336</v>
      </c>
      <c r="B1327" s="4">
        <v>244650</v>
      </c>
      <c r="C1327" s="4">
        <f>IF(DatiOriginali!C1327 &gt;= SogliaPicchi!$B$15,"",DatiOriginali!C1327)</f>
        <v>1934600</v>
      </c>
      <c r="D1327" s="4">
        <v>121005</v>
      </c>
      <c r="E1327" s="4">
        <f>IF(DatiOriginali!E1327 &gt;= SogliaPicchi!$B$15,"",DatiOriginali!E1327)</f>
        <v>458800</v>
      </c>
      <c r="F1327" s="4">
        <v>3533986</v>
      </c>
      <c r="G1327" s="4">
        <f>IF(DatiOriginali!G1327 &gt;= SogliaPicchi!$B$15,"",DatiOriginali!G1327)</f>
        <v>254200</v>
      </c>
      <c r="H1327" s="4">
        <v>4394613</v>
      </c>
      <c r="I1327" s="4">
        <f>IF(DatiOriginali!I1327 &gt;= SogliaPicchi!$B$15,"",DatiOriginali!I1327)</f>
        <v>83000</v>
      </c>
      <c r="J1327" s="4">
        <v>4388097</v>
      </c>
      <c r="K1327" s="4">
        <f>IF(DatiOriginali!K1327 &gt;= SogliaPicchi!$B$15,"",DatiOriginali!K1327)</f>
        <v>95400</v>
      </c>
    </row>
    <row r="1328" spans="1:11" x14ac:dyDescent="0.3">
      <c r="A1328" s="4" t="s">
        <v>1337</v>
      </c>
      <c r="B1328" s="4">
        <v>244650</v>
      </c>
      <c r="C1328" s="4">
        <f>IF(DatiOriginali!C1328 &gt;= SogliaPicchi!$B$15,"",DatiOriginali!C1328)</f>
        <v>1885600</v>
      </c>
      <c r="D1328" s="4">
        <v>118509</v>
      </c>
      <c r="E1328" s="4">
        <f>IF(DatiOriginali!E1328 &gt;= SogliaPicchi!$B$15,"",DatiOriginali!E1328)</f>
        <v>411000</v>
      </c>
      <c r="F1328" s="4">
        <v>3539730</v>
      </c>
      <c r="G1328" s="4">
        <f>IF(DatiOriginali!G1328 &gt;= SogliaPicchi!$B$15,"",DatiOriginali!G1328)</f>
        <v>255200</v>
      </c>
      <c r="H1328" s="4">
        <v>4402986</v>
      </c>
      <c r="I1328" s="4">
        <f>IF(DatiOriginali!I1328 &gt;= SogliaPicchi!$B$15,"",DatiOriginali!I1328)</f>
        <v>89700</v>
      </c>
      <c r="J1328" s="4">
        <v>4395959</v>
      </c>
      <c r="K1328" s="4">
        <f>IF(DatiOriginali!K1328 &gt;= SogliaPicchi!$B$15,"",DatiOriginali!K1328)</f>
        <v>99200</v>
      </c>
    </row>
    <row r="1329" spans="1:11" x14ac:dyDescent="0.3">
      <c r="A1329" s="4" t="s">
        <v>1338</v>
      </c>
      <c r="B1329" s="4">
        <v>244650</v>
      </c>
      <c r="C1329" s="4">
        <f>IF(DatiOriginali!C1329 &gt;= SogliaPicchi!$B$15,"",DatiOriginali!C1329)</f>
        <v>1892100</v>
      </c>
      <c r="D1329" s="4">
        <v>122700</v>
      </c>
      <c r="E1329" s="4">
        <f>IF(DatiOriginali!E1329 &gt;= SogliaPicchi!$B$15,"",DatiOriginali!E1329)</f>
        <v>441700</v>
      </c>
      <c r="F1329" s="4">
        <v>3545478</v>
      </c>
      <c r="G1329" s="4">
        <f>IF(DatiOriginali!G1329 &gt;= SogliaPicchi!$B$15,"",DatiOriginali!G1329)</f>
        <v>248200</v>
      </c>
      <c r="H1329" s="4">
        <v>4410037</v>
      </c>
      <c r="I1329" s="4">
        <f>IF(DatiOriginali!I1329 &gt;= SogliaPicchi!$B$15,"",DatiOriginali!I1329)</f>
        <v>83000</v>
      </c>
      <c r="J1329" s="4">
        <v>4403719</v>
      </c>
      <c r="K1329" s="4">
        <f>IF(DatiOriginali!K1329 &gt;= SogliaPicchi!$B$15,"",DatiOriginali!K1329)</f>
        <v>99000</v>
      </c>
    </row>
    <row r="1330" spans="1:11" x14ac:dyDescent="0.3">
      <c r="A1330" s="4" t="s">
        <v>1339</v>
      </c>
      <c r="B1330" s="4">
        <v>244650</v>
      </c>
      <c r="C1330" s="4">
        <f>IF(DatiOriginali!C1330 &gt;= SogliaPicchi!$B$15,"",DatiOriginali!C1330)</f>
        <v>2252400</v>
      </c>
      <c r="D1330" s="4">
        <v>125295</v>
      </c>
      <c r="E1330" s="4">
        <f>IF(DatiOriginali!E1330 &gt;= SogliaPicchi!$B$15,"",DatiOriginali!E1330)</f>
        <v>435900</v>
      </c>
      <c r="F1330" s="4">
        <v>3551223</v>
      </c>
      <c r="G1330" s="4">
        <f>IF(DatiOriginali!G1330 &gt;= SogliaPicchi!$B$15,"",DatiOriginali!G1330)</f>
        <v>251100</v>
      </c>
      <c r="H1330" s="4">
        <v>4417096</v>
      </c>
      <c r="I1330" s="4">
        <f>IF(DatiOriginali!I1330 &gt;= SogliaPicchi!$B$15,"",DatiOriginali!I1330)</f>
        <v>85400</v>
      </c>
      <c r="J1330" s="4">
        <v>4410756</v>
      </c>
      <c r="K1330" s="4">
        <f>IF(DatiOriginali!K1330 &gt;= SogliaPicchi!$B$15,"",DatiOriginali!K1330)</f>
        <v>96100</v>
      </c>
    </row>
    <row r="1331" spans="1:11" x14ac:dyDescent="0.3">
      <c r="A1331" s="4" t="s">
        <v>1340</v>
      </c>
      <c r="B1331" s="4">
        <v>244650</v>
      </c>
      <c r="C1331" s="4">
        <f>IF(DatiOriginali!C1331 &gt;= SogliaPicchi!$B$15,"",DatiOriginali!C1331)</f>
        <v>1824800</v>
      </c>
      <c r="D1331" s="4">
        <v>121240</v>
      </c>
      <c r="E1331" s="4">
        <f>IF(DatiOriginali!E1331 &gt;= SogliaPicchi!$B$15,"",DatiOriginali!E1331)</f>
        <v>420100</v>
      </c>
      <c r="F1331" s="4">
        <v>3556998</v>
      </c>
      <c r="G1331" s="4">
        <f>IF(DatiOriginali!G1331 &gt;= SogliaPicchi!$B$15,"",DatiOriginali!G1331)</f>
        <v>247400</v>
      </c>
      <c r="H1331" s="4">
        <v>4424410</v>
      </c>
      <c r="I1331" s="4">
        <f>IF(DatiOriginali!I1331 &gt;= SogliaPicchi!$B$15,"",DatiOriginali!I1331)</f>
        <v>85600</v>
      </c>
      <c r="J1331" s="4">
        <v>4417897</v>
      </c>
      <c r="K1331" s="4">
        <f>IF(DatiOriginali!K1331 &gt;= SogliaPicchi!$B$15,"",DatiOriginali!K1331)</f>
        <v>92900</v>
      </c>
    </row>
    <row r="1332" spans="1:11" x14ac:dyDescent="0.3">
      <c r="A1332" s="4" t="s">
        <v>1341</v>
      </c>
      <c r="B1332" s="4">
        <v>244650</v>
      </c>
      <c r="C1332" s="4">
        <f>IF(DatiOriginali!C1332 &gt;= SogliaPicchi!$B$15,"",DatiOriginali!C1332)</f>
        <v>1787400</v>
      </c>
      <c r="D1332" s="4">
        <v>120814</v>
      </c>
      <c r="E1332" s="4">
        <f>IF(DatiOriginali!E1332 &gt;= SogliaPicchi!$B$15,"",DatiOriginali!E1332)</f>
        <v>419500</v>
      </c>
      <c r="F1332" s="4">
        <v>3562743</v>
      </c>
      <c r="G1332" s="4">
        <f>IF(DatiOriginali!G1332 &gt;= SogliaPicchi!$B$15,"",DatiOriginali!G1332)</f>
        <v>273900</v>
      </c>
      <c r="H1332" s="4">
        <v>4431390</v>
      </c>
      <c r="I1332" s="4">
        <f>IF(DatiOriginali!I1332 &gt;= SogliaPicchi!$B$15,"",DatiOriginali!I1332)</f>
        <v>82800</v>
      </c>
      <c r="J1332" s="4">
        <v>4425002</v>
      </c>
      <c r="K1332" s="4">
        <f>IF(DatiOriginali!K1332 &gt;= SogliaPicchi!$B$15,"",DatiOriginali!K1332)</f>
        <v>93400</v>
      </c>
    </row>
    <row r="1333" spans="1:11" x14ac:dyDescent="0.3">
      <c r="A1333" s="4" t="s">
        <v>1342</v>
      </c>
      <c r="B1333" s="4">
        <v>244650</v>
      </c>
      <c r="C1333" s="4">
        <f>IF(DatiOriginali!C1333 &gt;= SogliaPicchi!$B$15,"",DatiOriginali!C1333)</f>
        <v>2248900</v>
      </c>
      <c r="D1333" s="4">
        <v>122526</v>
      </c>
      <c r="E1333" s="4">
        <f>IF(DatiOriginali!E1333 &gt;= SogliaPicchi!$B$15,"",DatiOriginali!E1333)</f>
        <v>467500</v>
      </c>
      <c r="F1333" s="4">
        <v>3568486</v>
      </c>
      <c r="G1333" s="4">
        <f>IF(DatiOriginali!G1333 &gt;= SogliaPicchi!$B$15,"",DatiOriginali!G1333)</f>
        <v>252000</v>
      </c>
      <c r="H1333" s="4">
        <v>4439475</v>
      </c>
      <c r="I1333" s="4">
        <f>IF(DatiOriginali!I1333 &gt;= SogliaPicchi!$B$15,"",DatiOriginali!I1333)</f>
        <v>84400</v>
      </c>
      <c r="J1333" s="4">
        <v>4432316</v>
      </c>
      <c r="K1333" s="4">
        <f>IF(DatiOriginali!K1333 &gt;= SogliaPicchi!$B$15,"",DatiOriginali!K1333)</f>
        <v>96500</v>
      </c>
    </row>
    <row r="1334" spans="1:11" x14ac:dyDescent="0.3">
      <c r="A1334" s="4" t="s">
        <v>1343</v>
      </c>
      <c r="B1334" s="4">
        <v>244650</v>
      </c>
      <c r="C1334" s="4">
        <f>IF(DatiOriginali!C1334 &gt;= SogliaPicchi!$B$15,"",DatiOriginali!C1334)</f>
        <v>1893600</v>
      </c>
      <c r="D1334" s="4">
        <v>123266</v>
      </c>
      <c r="E1334" s="4">
        <f>IF(DatiOriginali!E1334 &gt;= SogliaPicchi!$B$15,"",DatiOriginali!E1334)</f>
        <v>573100</v>
      </c>
      <c r="F1334" s="4">
        <v>3574199</v>
      </c>
      <c r="G1334" s="4">
        <f>IF(DatiOriginali!G1334 &gt;= SogliaPicchi!$B$15,"",DatiOriginali!G1334)</f>
        <v>283700</v>
      </c>
      <c r="H1334" s="4">
        <v>4446692</v>
      </c>
      <c r="I1334" s="4">
        <f>IF(DatiOriginali!I1334 &gt;= SogliaPicchi!$B$15,"",DatiOriginali!I1334)</f>
        <v>82600</v>
      </c>
      <c r="J1334" s="4">
        <v>4440571</v>
      </c>
      <c r="K1334" s="4">
        <f>IF(DatiOriginali!K1334 &gt;= SogliaPicchi!$B$15,"",DatiOriginali!K1334)</f>
        <v>95700</v>
      </c>
    </row>
    <row r="1335" spans="1:11" x14ac:dyDescent="0.3">
      <c r="A1335" s="4" t="s">
        <v>1344</v>
      </c>
      <c r="B1335" s="4">
        <v>244650</v>
      </c>
      <c r="C1335" s="4">
        <f>IF(DatiOriginali!C1335 &gt;= SogliaPicchi!$B$15,"",DatiOriginali!C1335)</f>
        <v>2084500</v>
      </c>
      <c r="D1335" s="4">
        <v>116604</v>
      </c>
      <c r="E1335" s="4">
        <f>IF(DatiOriginali!E1335 &gt;= SogliaPicchi!$B$15,"",DatiOriginali!E1335)</f>
        <v>405200</v>
      </c>
      <c r="F1335" s="4">
        <v>3579966</v>
      </c>
      <c r="G1335" s="4">
        <f>IF(DatiOriginali!G1335 &gt;= SogliaPicchi!$B$15,"",DatiOriginali!G1335)</f>
        <v>249100</v>
      </c>
      <c r="H1335" s="4">
        <v>4453580</v>
      </c>
      <c r="I1335" s="4">
        <f>IF(DatiOriginali!I1335 &gt;= SogliaPicchi!$B$15,"",DatiOriginali!I1335)</f>
        <v>83100</v>
      </c>
      <c r="J1335" s="4">
        <v>4448273</v>
      </c>
      <c r="K1335" s="4">
        <f>IF(DatiOriginali!K1335 &gt;= SogliaPicchi!$B$15,"",DatiOriginali!K1335)</f>
        <v>93200</v>
      </c>
    </row>
    <row r="1336" spans="1:11" x14ac:dyDescent="0.3">
      <c r="A1336" s="4" t="s">
        <v>1345</v>
      </c>
      <c r="B1336" s="4">
        <v>244650</v>
      </c>
      <c r="C1336" s="4">
        <f>IF(DatiOriginali!C1336 &gt;= SogliaPicchi!$B$15,"",DatiOriginali!C1336)</f>
        <v>1814500</v>
      </c>
      <c r="D1336" s="4">
        <v>124311</v>
      </c>
      <c r="E1336" s="4">
        <f>IF(DatiOriginali!E1336 &gt;= SogliaPicchi!$B$15,"",DatiOriginali!E1336)</f>
        <v>444600</v>
      </c>
      <c r="F1336" s="4">
        <v>3585725</v>
      </c>
      <c r="G1336" s="4">
        <f>IF(DatiOriginali!G1336 &gt;= SogliaPicchi!$B$15,"",DatiOriginali!G1336)</f>
        <v>249300</v>
      </c>
      <c r="H1336" s="4">
        <v>4461355</v>
      </c>
      <c r="I1336" s="4">
        <f>IF(DatiOriginali!I1336 &gt;= SogliaPicchi!$B$15,"",DatiOriginali!I1336)</f>
        <v>82000</v>
      </c>
      <c r="J1336" s="4">
        <v>4455336</v>
      </c>
      <c r="K1336" s="4">
        <f>IF(DatiOriginali!K1336 &gt;= SogliaPicchi!$B$15,"",DatiOriginali!K1336)</f>
        <v>93700</v>
      </c>
    </row>
    <row r="1337" spans="1:11" x14ac:dyDescent="0.3">
      <c r="A1337" s="4" t="s">
        <v>1346</v>
      </c>
      <c r="B1337" s="4">
        <v>244650</v>
      </c>
      <c r="C1337" s="4">
        <f>IF(DatiOriginali!C1337 &gt;= SogliaPicchi!$B$15,"",DatiOriginali!C1337)</f>
        <v>1871400</v>
      </c>
      <c r="D1337" s="4">
        <v>118114</v>
      </c>
      <c r="E1337" s="4">
        <f>IF(DatiOriginali!E1337 &gt;= SogliaPicchi!$B$15,"",DatiOriginali!E1337)</f>
        <v>409900</v>
      </c>
      <c r="F1337" s="4">
        <v>3591493</v>
      </c>
      <c r="G1337" s="4">
        <f>IF(DatiOriginali!G1337 &gt;= SogliaPicchi!$B$15,"",DatiOriginali!G1337)</f>
        <v>245600</v>
      </c>
      <c r="H1337" s="4">
        <v>4467968</v>
      </c>
      <c r="I1337" s="4">
        <f>IF(DatiOriginali!I1337 &gt;= SogliaPicchi!$B$15,"",DatiOriginali!I1337)</f>
        <v>80900</v>
      </c>
      <c r="J1337" s="4">
        <v>4462280</v>
      </c>
      <c r="K1337" s="4">
        <f>IF(DatiOriginali!K1337 &gt;= SogliaPicchi!$B$15,"",DatiOriginali!K1337)</f>
        <v>90700</v>
      </c>
    </row>
    <row r="1338" spans="1:11" x14ac:dyDescent="0.3">
      <c r="A1338" s="4" t="s">
        <v>1347</v>
      </c>
      <c r="B1338" s="4">
        <v>244650</v>
      </c>
      <c r="C1338" s="4">
        <f>IF(DatiOriginali!C1338 &gt;= SogliaPicchi!$B$15,"",DatiOriginali!C1338)</f>
        <v>1878900</v>
      </c>
      <c r="D1338" s="4">
        <v>126649</v>
      </c>
      <c r="E1338" s="4">
        <f>IF(DatiOriginali!E1338 &gt;= SogliaPicchi!$B$15,"",DatiOriginali!E1338)</f>
        <v>438500</v>
      </c>
      <c r="F1338" s="4">
        <v>3597234</v>
      </c>
      <c r="G1338" s="4">
        <f>IF(DatiOriginali!G1338 &gt;= SogliaPicchi!$B$15,"",DatiOriginali!G1338)</f>
        <v>253000</v>
      </c>
      <c r="H1338" s="4">
        <v>4476814</v>
      </c>
      <c r="I1338" s="4">
        <f>IF(DatiOriginali!I1338 &gt;= SogliaPicchi!$B$15,"",DatiOriginali!I1338)</f>
        <v>87500</v>
      </c>
      <c r="J1338" s="4">
        <v>4469544</v>
      </c>
      <c r="K1338" s="4">
        <f>IF(DatiOriginali!K1338 &gt;= SogliaPicchi!$B$15,"",DatiOriginali!K1338)</f>
        <v>93900</v>
      </c>
    </row>
    <row r="1339" spans="1:11" x14ac:dyDescent="0.3">
      <c r="A1339" s="4" t="s">
        <v>1348</v>
      </c>
      <c r="B1339" s="4">
        <v>244650</v>
      </c>
      <c r="C1339" s="4">
        <f>IF(DatiOriginali!C1339 &gt;= SogliaPicchi!$B$15,"",DatiOriginali!C1339)</f>
        <v>1881100</v>
      </c>
      <c r="D1339" s="4">
        <v>122525</v>
      </c>
      <c r="E1339" s="4">
        <f>IF(DatiOriginali!E1339 &gt;= SogliaPicchi!$B$15,"",DatiOriginali!E1339)</f>
        <v>431800</v>
      </c>
      <c r="F1339" s="4">
        <v>3603004</v>
      </c>
      <c r="G1339" s="4">
        <f>IF(DatiOriginali!G1339 &gt;= SogliaPicchi!$B$15,"",DatiOriginali!G1339)</f>
        <v>247700</v>
      </c>
      <c r="H1339" s="4">
        <v>4484741</v>
      </c>
      <c r="I1339" s="4">
        <f>IF(DatiOriginali!I1339 &gt;= SogliaPicchi!$B$15,"",DatiOriginali!I1339)</f>
        <v>83900</v>
      </c>
      <c r="J1339" s="4">
        <v>4476751</v>
      </c>
      <c r="K1339" s="4">
        <f>IF(DatiOriginali!K1339 &gt;= SogliaPicchi!$B$15,"",DatiOriginali!K1339)</f>
        <v>98200</v>
      </c>
    </row>
    <row r="1340" spans="1:11" x14ac:dyDescent="0.3">
      <c r="A1340" s="4" t="s">
        <v>1349</v>
      </c>
      <c r="B1340" s="4">
        <v>244650</v>
      </c>
      <c r="C1340" s="4">
        <f>IF(DatiOriginali!C1340 &gt;= SogliaPicchi!$B$15,"",DatiOriginali!C1340)</f>
        <v>1753400</v>
      </c>
      <c r="D1340" s="4">
        <v>125792</v>
      </c>
      <c r="E1340" s="4">
        <f>IF(DatiOriginali!E1340 &gt;= SogliaPicchi!$B$15,"",DatiOriginali!E1340)</f>
        <v>435700</v>
      </c>
      <c r="F1340" s="4">
        <v>3608767</v>
      </c>
      <c r="G1340" s="4">
        <f>IF(DatiOriginali!G1340 &gt;= SogliaPicchi!$B$15,"",DatiOriginali!G1340)</f>
        <v>247900</v>
      </c>
      <c r="H1340" s="4">
        <v>4492329</v>
      </c>
      <c r="I1340" s="4">
        <f>IF(DatiOriginali!I1340 &gt;= SogliaPicchi!$B$15,"",DatiOriginali!I1340)</f>
        <v>87700</v>
      </c>
      <c r="J1340" s="4">
        <v>4483581</v>
      </c>
      <c r="K1340" s="4">
        <f>IF(DatiOriginali!K1340 &gt;= SogliaPicchi!$B$15,"",DatiOriginali!K1340)</f>
        <v>92800</v>
      </c>
    </row>
    <row r="1341" spans="1:11" x14ac:dyDescent="0.3">
      <c r="A1341" s="4" t="s">
        <v>1350</v>
      </c>
      <c r="B1341" s="4">
        <v>244650</v>
      </c>
      <c r="C1341" s="4">
        <f>IF(DatiOriginali!C1341 &gt;= SogliaPicchi!$B$15,"",DatiOriginali!C1341)</f>
        <v>1905700</v>
      </c>
      <c r="D1341" s="4">
        <v>119575</v>
      </c>
      <c r="E1341" s="4">
        <f>IF(DatiOriginali!E1341 &gt;= SogliaPicchi!$B$15,"",DatiOriginali!E1341)</f>
        <v>416000</v>
      </c>
      <c r="F1341" s="4">
        <v>3614507</v>
      </c>
      <c r="G1341" s="4">
        <f>IF(DatiOriginali!G1341 &gt;= SogliaPicchi!$B$15,"",DatiOriginali!G1341)</f>
        <v>258400</v>
      </c>
      <c r="H1341" s="4">
        <v>4498968</v>
      </c>
      <c r="I1341" s="4">
        <f>IF(DatiOriginali!I1341 &gt;= SogliaPicchi!$B$15,"",DatiOriginali!I1341)</f>
        <v>83600</v>
      </c>
      <c r="J1341" s="4">
        <v>4490403</v>
      </c>
      <c r="K1341" s="4">
        <f>IF(DatiOriginali!K1341 &gt;= SogliaPicchi!$B$15,"",DatiOriginali!K1341)</f>
        <v>92300</v>
      </c>
    </row>
    <row r="1342" spans="1:11" x14ac:dyDescent="0.3">
      <c r="A1342" s="4" t="s">
        <v>1351</v>
      </c>
      <c r="B1342" s="4">
        <v>244650</v>
      </c>
      <c r="C1342" s="4">
        <f>IF(DatiOriginali!C1342 &gt;= SogliaPicchi!$B$15,"",DatiOriginali!C1342)</f>
        <v>1843900</v>
      </c>
      <c r="D1342" s="4">
        <v>122306</v>
      </c>
      <c r="E1342" s="4">
        <f>IF(DatiOriginali!E1342 &gt;= SogliaPicchi!$B$15,"",DatiOriginali!E1342)</f>
        <v>425000</v>
      </c>
      <c r="F1342" s="4">
        <v>3620239</v>
      </c>
      <c r="G1342" s="4">
        <f>IF(DatiOriginali!G1342 &gt;= SogliaPicchi!$B$15,"",DatiOriginali!G1342)</f>
        <v>245800</v>
      </c>
      <c r="H1342" s="4">
        <v>4505871</v>
      </c>
      <c r="I1342" s="4">
        <f>IF(DatiOriginali!I1342 &gt;= SogliaPicchi!$B$15,"",DatiOriginali!I1342)</f>
        <v>84600</v>
      </c>
      <c r="J1342" s="4">
        <v>4497766</v>
      </c>
      <c r="K1342" s="4">
        <f>IF(DatiOriginali!K1342 &gt;= SogliaPicchi!$B$15,"",DatiOriginali!K1342)</f>
        <v>93400</v>
      </c>
    </row>
    <row r="1343" spans="1:11" x14ac:dyDescent="0.3">
      <c r="A1343" s="4" t="s">
        <v>1352</v>
      </c>
      <c r="B1343" s="4">
        <v>244650</v>
      </c>
      <c r="C1343" s="4">
        <f>IF(DatiOriginali!C1343 &gt;= SogliaPicchi!$B$15,"",DatiOriginali!C1343)</f>
        <v>1833600</v>
      </c>
      <c r="D1343" s="4">
        <v>126423</v>
      </c>
      <c r="E1343" s="4">
        <f>IF(DatiOriginali!E1343 &gt;= SogliaPicchi!$B$15,"",DatiOriginali!E1343)</f>
        <v>438600</v>
      </c>
      <c r="F1343" s="4">
        <v>3625991</v>
      </c>
      <c r="G1343" s="4">
        <f>IF(DatiOriginali!G1343 &gt;= SogliaPicchi!$B$15,"",DatiOriginali!G1343)</f>
        <v>247400</v>
      </c>
      <c r="H1343" s="4">
        <v>4512469</v>
      </c>
      <c r="I1343" s="4">
        <f>IF(DatiOriginali!I1343 &gt;= SogliaPicchi!$B$15,"",DatiOriginali!I1343)</f>
        <v>84300</v>
      </c>
      <c r="J1343" s="4">
        <v>4505353</v>
      </c>
      <c r="K1343" s="4">
        <f>IF(DatiOriginali!K1343 &gt;= SogliaPicchi!$B$15,"",DatiOriginali!K1343)</f>
        <v>96700</v>
      </c>
    </row>
    <row r="1344" spans="1:11" x14ac:dyDescent="0.3">
      <c r="A1344" s="4" t="s">
        <v>1353</v>
      </c>
      <c r="B1344" s="4">
        <v>244650</v>
      </c>
      <c r="C1344" s="4">
        <f>IF(DatiOriginali!C1344 &gt;= SogliaPicchi!$B$15,"",DatiOriginali!C1344)</f>
        <v>1904700</v>
      </c>
      <c r="D1344" s="4">
        <v>122834</v>
      </c>
      <c r="E1344" s="4">
        <f>IF(DatiOriginali!E1344 &gt;= SogliaPicchi!$B$15,"",DatiOriginali!E1344)</f>
        <v>426000</v>
      </c>
      <c r="F1344" s="4">
        <v>3631732</v>
      </c>
      <c r="G1344" s="4">
        <f>IF(DatiOriginali!G1344 &gt;= SogliaPicchi!$B$15,"",DatiOriginali!G1344)</f>
        <v>244800</v>
      </c>
      <c r="H1344" s="4">
        <v>4519190</v>
      </c>
      <c r="I1344" s="4">
        <f>IF(DatiOriginali!I1344 &gt;= SogliaPicchi!$B$15,"",DatiOriginali!I1344)</f>
        <v>79800</v>
      </c>
      <c r="J1344" s="4">
        <v>4512175</v>
      </c>
      <c r="K1344" s="4">
        <f>IF(DatiOriginali!K1344 &gt;= SogliaPicchi!$B$15,"",DatiOriginali!K1344)</f>
        <v>91200</v>
      </c>
    </row>
    <row r="1345" spans="1:11" x14ac:dyDescent="0.3">
      <c r="A1345" s="4" t="s">
        <v>1354</v>
      </c>
      <c r="B1345" s="4">
        <v>244650</v>
      </c>
      <c r="C1345" s="4">
        <f>IF(DatiOriginali!C1345 &gt;= SogliaPicchi!$B$15,"",DatiOriginali!C1345)</f>
        <v>1924100</v>
      </c>
      <c r="D1345" s="4">
        <v>121809</v>
      </c>
      <c r="E1345" s="4">
        <f>IF(DatiOriginali!E1345 &gt;= SogliaPicchi!$B$15,"",DatiOriginali!E1345)</f>
        <v>424100</v>
      </c>
      <c r="F1345" s="4">
        <v>3637495</v>
      </c>
      <c r="G1345" s="4">
        <f>IF(DatiOriginali!G1345 &gt;= SogliaPicchi!$B$15,"",DatiOriginali!G1345)</f>
        <v>248900</v>
      </c>
      <c r="H1345" s="4">
        <v>4526694</v>
      </c>
      <c r="I1345" s="4">
        <f>IF(DatiOriginali!I1345 &gt;= SogliaPicchi!$B$15,"",DatiOriginali!I1345)</f>
        <v>83100</v>
      </c>
      <c r="J1345" s="4">
        <v>4519150</v>
      </c>
      <c r="K1345" s="4">
        <f>IF(DatiOriginali!K1345 &gt;= SogliaPicchi!$B$15,"",DatiOriginali!K1345)</f>
        <v>91200</v>
      </c>
    </row>
    <row r="1346" spans="1:11" x14ac:dyDescent="0.3">
      <c r="A1346" s="4" t="s">
        <v>1355</v>
      </c>
      <c r="B1346" s="4">
        <v>244650</v>
      </c>
      <c r="C1346" s="4">
        <f>IF(DatiOriginali!C1346 &gt;= SogliaPicchi!$B$15,"",DatiOriginali!C1346)</f>
        <v>2368500</v>
      </c>
      <c r="D1346" s="4">
        <v>121171</v>
      </c>
      <c r="E1346" s="4">
        <f>IF(DatiOriginali!E1346 &gt;= SogliaPicchi!$B$15,"",DatiOriginali!E1346)</f>
        <v>431400</v>
      </c>
      <c r="F1346" s="4">
        <v>3643245</v>
      </c>
      <c r="G1346" s="4">
        <f>IF(DatiOriginali!G1346 &gt;= SogliaPicchi!$B$15,"",DatiOriginali!G1346)</f>
        <v>247700</v>
      </c>
      <c r="H1346" s="4">
        <v>4533713</v>
      </c>
      <c r="I1346" s="4">
        <f>IF(DatiOriginali!I1346 &gt;= SogliaPicchi!$B$15,"",DatiOriginali!I1346)</f>
        <v>86400</v>
      </c>
      <c r="J1346" s="4">
        <v>4526778</v>
      </c>
      <c r="K1346" s="4">
        <f>IF(DatiOriginali!K1346 &gt;= SogliaPicchi!$B$15,"",DatiOriginali!K1346)</f>
        <v>93800</v>
      </c>
    </row>
    <row r="1347" spans="1:11" x14ac:dyDescent="0.3">
      <c r="A1347" s="4" t="s">
        <v>1356</v>
      </c>
      <c r="B1347" s="4">
        <v>244650</v>
      </c>
      <c r="C1347" s="4">
        <f>IF(DatiOriginali!C1347 &gt;= SogliaPicchi!$B$15,"",DatiOriginali!C1347)</f>
        <v>1843300</v>
      </c>
      <c r="D1347" s="4">
        <v>119407</v>
      </c>
      <c r="E1347" s="4">
        <f>IF(DatiOriginali!E1347 &gt;= SogliaPicchi!$B$15,"",DatiOriginali!E1347)</f>
        <v>414300</v>
      </c>
      <c r="F1347" s="4">
        <v>3648994</v>
      </c>
      <c r="G1347" s="4">
        <f>IF(DatiOriginali!G1347 &gt;= SogliaPicchi!$B$15,"",DatiOriginali!G1347)</f>
        <v>249500</v>
      </c>
      <c r="H1347" s="4">
        <v>4542011</v>
      </c>
      <c r="I1347" s="4">
        <f>IF(DatiOriginali!I1347 &gt;= SogliaPicchi!$B$15,"",DatiOriginali!I1347)</f>
        <v>84100</v>
      </c>
      <c r="J1347" s="4">
        <v>4533184</v>
      </c>
      <c r="K1347" s="4">
        <f>IF(DatiOriginali!K1347 &gt;= SogliaPicchi!$B$15,"",DatiOriginali!K1347)</f>
        <v>92400</v>
      </c>
    </row>
    <row r="1348" spans="1:11" x14ac:dyDescent="0.3">
      <c r="A1348" s="4" t="s">
        <v>1357</v>
      </c>
      <c r="B1348" s="4">
        <v>244650</v>
      </c>
      <c r="C1348" s="4">
        <f>IF(DatiOriginali!C1348 &gt;= SogliaPicchi!$B$15,"",DatiOriginali!C1348)</f>
        <v>1866800</v>
      </c>
      <c r="D1348" s="4">
        <v>124365</v>
      </c>
      <c r="E1348" s="4">
        <f>IF(DatiOriginali!E1348 &gt;= SogliaPicchi!$B$15,"",DatiOriginali!E1348)</f>
        <v>432300</v>
      </c>
      <c r="F1348" s="4">
        <v>3654736</v>
      </c>
      <c r="G1348" s="4">
        <f>IF(DatiOriginali!G1348 &gt;= SogliaPicchi!$B$15,"",DatiOriginali!G1348)</f>
        <v>333200</v>
      </c>
      <c r="H1348" s="4">
        <v>4549778</v>
      </c>
      <c r="I1348" s="4">
        <f>IF(DatiOriginali!I1348 &gt;= SogliaPicchi!$B$15,"",DatiOriginali!I1348)</f>
        <v>119000</v>
      </c>
      <c r="J1348" s="4">
        <v>4540454</v>
      </c>
      <c r="K1348" s="4">
        <f>IF(DatiOriginali!K1348 &gt;= SogliaPicchi!$B$15,"",DatiOriginali!K1348)</f>
        <v>101700</v>
      </c>
    </row>
    <row r="1349" spans="1:11" x14ac:dyDescent="0.3">
      <c r="A1349" s="4" t="s">
        <v>1358</v>
      </c>
      <c r="B1349" s="4">
        <v>244650</v>
      </c>
      <c r="C1349" s="4">
        <f>IF(DatiOriginali!C1349 &gt;= SogliaPicchi!$B$15,"",DatiOriginali!C1349)</f>
        <v>1940100</v>
      </c>
      <c r="D1349" s="4">
        <v>118943</v>
      </c>
      <c r="E1349" s="4">
        <f>IF(DatiOriginali!E1349 &gt;= SogliaPicchi!$B$15,"",DatiOriginali!E1349)</f>
        <v>423200</v>
      </c>
      <c r="F1349" s="4">
        <v>3660515</v>
      </c>
      <c r="G1349" s="4">
        <f>IF(DatiOriginali!G1349 &gt;= SogliaPicchi!$B$15,"",DatiOriginali!G1349)</f>
        <v>245800</v>
      </c>
      <c r="H1349" s="4">
        <v>4557309</v>
      </c>
      <c r="I1349" s="4">
        <f>IF(DatiOriginali!I1349 &gt;= SogliaPicchi!$B$15,"",DatiOriginali!I1349)</f>
        <v>84200</v>
      </c>
      <c r="J1349" s="4">
        <v>4548090</v>
      </c>
      <c r="K1349" s="4">
        <f>IF(DatiOriginali!K1349 &gt;= SogliaPicchi!$B$15,"",DatiOriginali!K1349)</f>
        <v>93500</v>
      </c>
    </row>
    <row r="1350" spans="1:11" x14ac:dyDescent="0.3">
      <c r="A1350" s="4" t="s">
        <v>1359</v>
      </c>
      <c r="B1350" s="4">
        <v>244650</v>
      </c>
      <c r="C1350" s="4">
        <f>IF(DatiOriginali!C1350 &gt;= SogliaPicchi!$B$15,"",DatiOriginali!C1350)</f>
        <v>1875500</v>
      </c>
      <c r="D1350" s="4">
        <v>127040</v>
      </c>
      <c r="E1350" s="4">
        <f>IF(DatiOriginali!E1350 &gt;= SogliaPicchi!$B$15,"",DatiOriginali!E1350)</f>
        <v>445600</v>
      </c>
      <c r="F1350" s="4">
        <v>3666257</v>
      </c>
      <c r="G1350" s="4">
        <f>IF(DatiOriginali!G1350 &gt;= SogliaPicchi!$B$15,"",DatiOriginali!G1350)</f>
        <v>284400</v>
      </c>
      <c r="H1350" s="4">
        <v>4564183</v>
      </c>
      <c r="I1350" s="4">
        <f>IF(DatiOriginali!I1350 &gt;= SogliaPicchi!$B$15,"",DatiOriginali!I1350)</f>
        <v>81800</v>
      </c>
      <c r="J1350" s="4">
        <v>4554557</v>
      </c>
      <c r="K1350" s="4">
        <f>IF(DatiOriginali!K1350 &gt;= SogliaPicchi!$B$15,"",DatiOriginali!K1350)</f>
        <v>93300</v>
      </c>
    </row>
    <row r="1351" spans="1:11" x14ac:dyDescent="0.3">
      <c r="A1351" s="4" t="s">
        <v>1360</v>
      </c>
      <c r="B1351" s="4">
        <v>244650</v>
      </c>
      <c r="C1351" s="4">
        <f>IF(DatiOriginali!C1351 &gt;= SogliaPicchi!$B$15,"",DatiOriginali!C1351)</f>
        <v>1890500</v>
      </c>
      <c r="D1351" s="4">
        <v>125405</v>
      </c>
      <c r="E1351" s="4">
        <f>IF(DatiOriginali!E1351 &gt;= SogliaPicchi!$B$15,"",DatiOriginali!E1351)</f>
        <v>504400</v>
      </c>
      <c r="F1351" s="4">
        <v>3671995</v>
      </c>
      <c r="G1351" s="4">
        <f>IF(DatiOriginali!G1351 &gt;= SogliaPicchi!$B$15,"",DatiOriginali!G1351)</f>
        <v>249900</v>
      </c>
      <c r="H1351" s="4">
        <v>4571420</v>
      </c>
      <c r="I1351" s="4">
        <f>IF(DatiOriginali!I1351 &gt;= SogliaPicchi!$B$15,"",DatiOriginali!I1351)</f>
        <v>84700</v>
      </c>
      <c r="J1351" s="4">
        <v>4561730</v>
      </c>
      <c r="K1351" s="4">
        <f>IF(DatiOriginali!K1351 &gt;= SogliaPicchi!$B$15,"",DatiOriginali!K1351)</f>
        <v>97700</v>
      </c>
    </row>
    <row r="1352" spans="1:11" x14ac:dyDescent="0.3">
      <c r="A1352" s="4" t="s">
        <v>1361</v>
      </c>
      <c r="B1352" s="4">
        <v>244650</v>
      </c>
      <c r="C1352" s="4">
        <f>IF(DatiOriginali!C1352 &gt;= SogliaPicchi!$B$15,"",DatiOriginali!C1352)</f>
        <v>1810400</v>
      </c>
      <c r="D1352" s="4">
        <v>120583</v>
      </c>
      <c r="E1352" s="4">
        <f>IF(DatiOriginali!E1352 &gt;= SogliaPicchi!$B$15,"",DatiOriginali!E1352)</f>
        <v>418500</v>
      </c>
      <c r="F1352" s="4">
        <v>3677718</v>
      </c>
      <c r="G1352" s="4">
        <f>IF(DatiOriginali!G1352 &gt;= SogliaPicchi!$B$15,"",DatiOriginali!G1352)</f>
        <v>247100</v>
      </c>
      <c r="H1352" s="4">
        <v>4579797</v>
      </c>
      <c r="I1352" s="4">
        <f>IF(DatiOriginali!I1352 &gt;= SogliaPicchi!$B$15,"",DatiOriginali!I1352)</f>
        <v>86400</v>
      </c>
      <c r="J1352" s="4">
        <v>4568994</v>
      </c>
      <c r="K1352" s="4">
        <f>IF(DatiOriginali!K1352 &gt;= SogliaPicchi!$B$15,"",DatiOriginali!K1352)</f>
        <v>97700</v>
      </c>
    </row>
    <row r="1353" spans="1:11" x14ac:dyDescent="0.3">
      <c r="A1353" s="4" t="s">
        <v>1362</v>
      </c>
      <c r="B1353" s="4">
        <v>244650</v>
      </c>
      <c r="C1353" s="4">
        <f>IF(DatiOriginali!C1353 &gt;= SogliaPicchi!$B$15,"",DatiOriginali!C1353)</f>
        <v>2077000</v>
      </c>
      <c r="D1353" s="4">
        <v>125869</v>
      </c>
      <c r="E1353" s="4">
        <f>IF(DatiOriginali!E1353 &gt;= SogliaPicchi!$B$15,"",DatiOriginali!E1353)</f>
        <v>437800</v>
      </c>
      <c r="F1353" s="4">
        <v>3683503</v>
      </c>
      <c r="G1353" s="4">
        <f>IF(DatiOriginali!G1353 &gt;= SogliaPicchi!$B$15,"",DatiOriginali!G1353)</f>
        <v>247300</v>
      </c>
      <c r="H1353" s="4">
        <v>4587425</v>
      </c>
      <c r="I1353" s="4">
        <f>IF(DatiOriginali!I1353 &gt;= SogliaPicchi!$B$15,"",DatiOriginali!I1353)</f>
        <v>85700</v>
      </c>
      <c r="J1353" s="4">
        <v>4575773</v>
      </c>
      <c r="K1353" s="4">
        <f>IF(DatiOriginali!K1353 &gt;= SogliaPicchi!$B$15,"",DatiOriginali!K1353)</f>
        <v>93000</v>
      </c>
    </row>
    <row r="1354" spans="1:11" x14ac:dyDescent="0.3">
      <c r="A1354" s="4" t="s">
        <v>1363</v>
      </c>
      <c r="B1354" s="4">
        <v>244650</v>
      </c>
      <c r="C1354" s="4">
        <f>IF(DatiOriginali!C1354 &gt;= SogliaPicchi!$B$15,"",DatiOriginali!C1354)</f>
        <v>1899100</v>
      </c>
      <c r="D1354" s="4">
        <v>118081</v>
      </c>
      <c r="E1354" s="4">
        <f>IF(DatiOriginali!E1354 &gt;= SogliaPicchi!$B$15,"",DatiOriginali!E1354)</f>
        <v>409800</v>
      </c>
      <c r="F1354" s="4">
        <v>3689274</v>
      </c>
      <c r="G1354" s="4">
        <f>IF(DatiOriginali!G1354 &gt;= SogliaPicchi!$B$15,"",DatiOriginali!G1354)</f>
        <v>253700</v>
      </c>
      <c r="H1354" s="4">
        <v>4594673</v>
      </c>
      <c r="I1354" s="4">
        <f>IF(DatiOriginali!I1354 &gt;= SogliaPicchi!$B$15,"",DatiOriginali!I1354)</f>
        <v>88100</v>
      </c>
      <c r="J1354" s="4">
        <v>4582479</v>
      </c>
      <c r="K1354" s="4">
        <f>IF(DatiOriginali!K1354 &gt;= SogliaPicchi!$B$15,"",DatiOriginali!K1354)</f>
        <v>93300</v>
      </c>
    </row>
    <row r="1355" spans="1:11" x14ac:dyDescent="0.3">
      <c r="A1355" s="4" t="s">
        <v>1364</v>
      </c>
      <c r="B1355" s="4">
        <v>244650</v>
      </c>
      <c r="C1355" s="4">
        <f>IF(DatiOriginali!C1355 &gt;= SogliaPicchi!$B$15,"",DatiOriginali!C1355)</f>
        <v>1887600</v>
      </c>
      <c r="D1355" s="4">
        <v>120791</v>
      </c>
      <c r="E1355" s="4">
        <f>IF(DatiOriginali!E1355 &gt;= SogliaPicchi!$B$15,"",DatiOriginali!E1355)</f>
        <v>422100</v>
      </c>
      <c r="F1355" s="4">
        <v>3695027</v>
      </c>
      <c r="G1355" s="4">
        <f>IF(DatiOriginali!G1355 &gt;= SogliaPicchi!$B$15,"",DatiOriginali!G1355)</f>
        <v>274200</v>
      </c>
      <c r="H1355" s="4">
        <v>4601231</v>
      </c>
      <c r="I1355" s="4">
        <f>IF(DatiOriginali!I1355 &gt;= SogliaPicchi!$B$15,"",DatiOriginali!I1355)</f>
        <v>83600</v>
      </c>
      <c r="J1355" s="4">
        <v>4589951</v>
      </c>
      <c r="K1355" s="4">
        <f>IF(DatiOriginali!K1355 &gt;= SogliaPicchi!$B$15,"",DatiOriginali!K1355)</f>
        <v>95100</v>
      </c>
    </row>
    <row r="1356" spans="1:11" x14ac:dyDescent="0.3">
      <c r="A1356" s="4" t="s">
        <v>1365</v>
      </c>
      <c r="B1356" s="4">
        <v>244650</v>
      </c>
      <c r="C1356" s="4">
        <f>IF(DatiOriginali!C1356 &gt;= SogliaPicchi!$B$15,"",DatiOriginali!C1356)</f>
        <v>2257000</v>
      </c>
      <c r="D1356" s="4">
        <v>125932</v>
      </c>
      <c r="E1356" s="4">
        <f>IF(DatiOriginali!E1356 &gt;= SogliaPicchi!$B$15,"",DatiOriginali!E1356)</f>
        <v>441200</v>
      </c>
      <c r="F1356" s="4">
        <v>3700746</v>
      </c>
      <c r="G1356" s="4">
        <f>IF(DatiOriginali!G1356 &gt;= SogliaPicchi!$B$15,"",DatiOriginali!G1356)</f>
        <v>251900</v>
      </c>
      <c r="H1356" s="4">
        <v>4608515</v>
      </c>
      <c r="I1356" s="4">
        <f>IF(DatiOriginali!I1356 &gt;= SogliaPicchi!$B$15,"",DatiOriginali!I1356)</f>
        <v>92000</v>
      </c>
      <c r="J1356" s="4">
        <v>4597240</v>
      </c>
      <c r="K1356" s="4">
        <f>IF(DatiOriginali!K1356 &gt;= SogliaPicchi!$B$15,"",DatiOriginali!K1356)</f>
        <v>95300</v>
      </c>
    </row>
    <row r="1357" spans="1:11" x14ac:dyDescent="0.3">
      <c r="A1357" s="4" t="s">
        <v>1366</v>
      </c>
      <c r="B1357" s="4">
        <v>244650</v>
      </c>
      <c r="C1357" s="4">
        <f>IF(DatiOriginali!C1357 &gt;= SogliaPicchi!$B$15,"",DatiOriginali!C1357)</f>
        <v>2348600</v>
      </c>
      <c r="D1357" s="4">
        <v>122237</v>
      </c>
      <c r="E1357" s="4">
        <f>IF(DatiOriginali!E1357 &gt;= SogliaPicchi!$B$15,"",DatiOriginali!E1357)</f>
        <v>705800</v>
      </c>
      <c r="F1357" s="4">
        <v>3706499</v>
      </c>
      <c r="G1357" s="4">
        <f>IF(DatiOriginali!G1357 &gt;= SogliaPicchi!$B$15,"",DatiOriginali!G1357)</f>
        <v>331300</v>
      </c>
      <c r="H1357" s="4">
        <v>4615206</v>
      </c>
      <c r="I1357" s="4">
        <f>IF(DatiOriginali!I1357 &gt;= SogliaPicchi!$B$15,"",DatiOriginali!I1357)</f>
        <v>101800</v>
      </c>
      <c r="J1357" s="4">
        <v>4604247</v>
      </c>
      <c r="K1357" s="4">
        <f>IF(DatiOriginali!K1357 &gt;= SogliaPicchi!$B$15,"",DatiOriginali!K1357)</f>
        <v>128300</v>
      </c>
    </row>
    <row r="1358" spans="1:11" x14ac:dyDescent="0.3">
      <c r="A1358" s="4" t="s">
        <v>1367</v>
      </c>
      <c r="B1358" s="4">
        <v>244650</v>
      </c>
      <c r="C1358" s="4">
        <f>IF(DatiOriginali!C1358 &gt;= SogliaPicchi!$B$15,"",DatiOriginali!C1358)</f>
        <v>2259600</v>
      </c>
      <c r="D1358" s="4">
        <v>120722</v>
      </c>
      <c r="E1358" s="4">
        <f>IF(DatiOriginali!E1358 &gt;= SogliaPicchi!$B$15,"",DatiOriginali!E1358)</f>
        <v>417900</v>
      </c>
      <c r="F1358" s="4">
        <v>3712246</v>
      </c>
      <c r="G1358" s="4">
        <f>IF(DatiOriginali!G1358 &gt;= SogliaPicchi!$B$15,"",DatiOriginali!G1358)</f>
        <v>249200</v>
      </c>
      <c r="H1358" s="4">
        <v>4622250</v>
      </c>
      <c r="I1358" s="4">
        <f>IF(DatiOriginali!I1358 &gt;= SogliaPicchi!$B$15,"",DatiOriginali!I1358)</f>
        <v>85800</v>
      </c>
      <c r="J1358" s="4">
        <v>4610915</v>
      </c>
      <c r="K1358" s="4">
        <f>IF(DatiOriginali!K1358 &gt;= SogliaPicchi!$B$15,"",DatiOriginali!K1358)</f>
        <v>93600</v>
      </c>
    </row>
    <row r="1359" spans="1:11" x14ac:dyDescent="0.3">
      <c r="A1359" s="4" t="s">
        <v>1368</v>
      </c>
      <c r="B1359" s="4">
        <v>244650</v>
      </c>
      <c r="C1359" s="4">
        <f>IF(DatiOriginali!C1359 &gt;= SogliaPicchi!$B$15,"",DatiOriginali!C1359)</f>
        <v>1761000</v>
      </c>
      <c r="D1359" s="4">
        <v>117629</v>
      </c>
      <c r="E1359" s="4">
        <f>IF(DatiOriginali!E1359 &gt;= SogliaPicchi!$B$15,"",DatiOriginali!E1359)</f>
        <v>571800</v>
      </c>
      <c r="F1359" s="4">
        <v>3717993</v>
      </c>
      <c r="G1359" s="4">
        <f>IF(DatiOriginali!G1359 &gt;= SogliaPicchi!$B$15,"",DatiOriginali!G1359)</f>
        <v>251600</v>
      </c>
      <c r="H1359" s="4">
        <v>4629051</v>
      </c>
      <c r="I1359" s="4">
        <f>IF(DatiOriginali!I1359 &gt;= SogliaPicchi!$B$15,"",DatiOriginali!I1359)</f>
        <v>84700</v>
      </c>
      <c r="J1359" s="4">
        <v>4618148</v>
      </c>
      <c r="K1359" s="4">
        <f>IF(DatiOriginali!K1359 &gt;= SogliaPicchi!$B$15,"",DatiOriginali!K1359)</f>
        <v>95100</v>
      </c>
    </row>
    <row r="1360" spans="1:11" x14ac:dyDescent="0.3">
      <c r="A1360" s="4" t="s">
        <v>1369</v>
      </c>
      <c r="B1360" s="4">
        <v>244650</v>
      </c>
      <c r="C1360" s="4">
        <f>IF(DatiOriginali!C1360 &gt;= SogliaPicchi!$B$15,"",DatiOriginali!C1360)</f>
        <v>2085900</v>
      </c>
      <c r="D1360" s="4">
        <v>123618</v>
      </c>
      <c r="E1360" s="4">
        <f>IF(DatiOriginali!E1360 &gt;= SogliaPicchi!$B$15,"",DatiOriginali!E1360)</f>
        <v>516400</v>
      </c>
      <c r="F1360" s="4">
        <v>3723748</v>
      </c>
      <c r="G1360" s="4">
        <f>IF(DatiOriginali!G1360 &gt;= SogliaPicchi!$B$15,"",DatiOriginali!G1360)</f>
        <v>331600</v>
      </c>
      <c r="H1360" s="4">
        <v>4635911</v>
      </c>
      <c r="I1360" s="4">
        <f>IF(DatiOriginali!I1360 &gt;= SogliaPicchi!$B$15,"",DatiOriginali!I1360)</f>
        <v>99900</v>
      </c>
      <c r="J1360" s="4">
        <v>4625414</v>
      </c>
      <c r="K1360" s="4">
        <f>IF(DatiOriginali!K1360 &gt;= SogliaPicchi!$B$15,"",DatiOriginali!K1360)</f>
        <v>114600</v>
      </c>
    </row>
    <row r="1361" spans="1:11" x14ac:dyDescent="0.3">
      <c r="A1361" s="4" t="s">
        <v>1370</v>
      </c>
      <c r="B1361" s="4">
        <v>244650</v>
      </c>
      <c r="C1361" s="4">
        <f>IF(DatiOriginali!C1361 &gt;= SogliaPicchi!$B$15,"",DatiOriginali!C1361)</f>
        <v>1843500</v>
      </c>
      <c r="D1361" s="4">
        <v>119760</v>
      </c>
      <c r="E1361" s="4">
        <f>IF(DatiOriginali!E1361 &gt;= SogliaPicchi!$B$15,"",DatiOriginali!E1361)</f>
        <v>414600</v>
      </c>
      <c r="F1361" s="4">
        <v>3729504</v>
      </c>
      <c r="G1361" s="4">
        <f>IF(DatiOriginali!G1361 &gt;= SogliaPicchi!$B$15,"",DatiOriginali!G1361)</f>
        <v>249600</v>
      </c>
      <c r="H1361" s="4">
        <v>4643027</v>
      </c>
      <c r="I1361" s="4">
        <f>IF(DatiOriginali!I1361 &gt;= SogliaPicchi!$B$15,"",DatiOriginali!I1361)</f>
        <v>84600</v>
      </c>
      <c r="J1361" s="4">
        <v>4632307</v>
      </c>
      <c r="K1361" s="4">
        <f>IF(DatiOriginali!K1361 &gt;= SogliaPicchi!$B$15,"",DatiOriginali!K1361)</f>
        <v>92800</v>
      </c>
    </row>
    <row r="1362" spans="1:11" x14ac:dyDescent="0.3">
      <c r="A1362" s="4" t="s">
        <v>1371</v>
      </c>
      <c r="B1362" s="4">
        <v>244650</v>
      </c>
      <c r="C1362" s="4">
        <f>IF(DatiOriginali!C1362 &gt;= SogliaPicchi!$B$15,"",DatiOriginali!C1362)</f>
        <v>2003500</v>
      </c>
      <c r="D1362" s="4">
        <v>124186</v>
      </c>
      <c r="E1362" s="4">
        <f>IF(DatiOriginali!E1362 &gt;= SogliaPicchi!$B$15,"",DatiOriginali!E1362)</f>
        <v>466200</v>
      </c>
      <c r="F1362" s="4">
        <v>3735263</v>
      </c>
      <c r="G1362" s="4">
        <f>IF(DatiOriginali!G1362 &gt;= SogliaPicchi!$B$15,"",DatiOriginali!G1362)</f>
        <v>249500</v>
      </c>
      <c r="H1362" s="4">
        <v>4650139</v>
      </c>
      <c r="I1362" s="4">
        <f>IF(DatiOriginali!I1362 &gt;= SogliaPicchi!$B$15,"",DatiOriginali!I1362)</f>
        <v>81900</v>
      </c>
      <c r="J1362" s="4">
        <v>4639488</v>
      </c>
      <c r="K1362" s="4">
        <f>IF(DatiOriginali!K1362 &gt;= SogliaPicchi!$B$15,"",DatiOriginali!K1362)</f>
        <v>95000</v>
      </c>
    </row>
    <row r="1363" spans="1:11" x14ac:dyDescent="0.3">
      <c r="A1363" s="4" t="s">
        <v>1372</v>
      </c>
      <c r="B1363" s="4">
        <v>244650</v>
      </c>
      <c r="C1363" s="4">
        <f>IF(DatiOriginali!C1363 &gt;= SogliaPicchi!$B$15,"",DatiOriginali!C1363)</f>
        <v>1767500</v>
      </c>
      <c r="D1363" s="4">
        <v>120049</v>
      </c>
      <c r="E1363" s="4">
        <f>IF(DatiOriginali!E1363 &gt;= SogliaPicchi!$B$15,"",DatiOriginali!E1363)</f>
        <v>427100</v>
      </c>
      <c r="F1363" s="4">
        <v>3740992</v>
      </c>
      <c r="G1363" s="4">
        <f>IF(DatiOriginali!G1363 &gt;= SogliaPicchi!$B$15,"",DatiOriginali!G1363)</f>
        <v>250700</v>
      </c>
      <c r="H1363" s="4">
        <v>4657723</v>
      </c>
      <c r="I1363" s="4">
        <f>IF(DatiOriginali!I1363 &gt;= SogliaPicchi!$B$15,"",DatiOriginali!I1363)</f>
        <v>84800</v>
      </c>
      <c r="J1363" s="4">
        <v>4647297</v>
      </c>
      <c r="K1363" s="4">
        <f>IF(DatiOriginali!K1363 &gt;= SogliaPicchi!$B$15,"",DatiOriginali!K1363)</f>
        <v>92900</v>
      </c>
    </row>
    <row r="1364" spans="1:11" x14ac:dyDescent="0.3">
      <c r="A1364" s="4" t="s">
        <v>1373</v>
      </c>
      <c r="B1364" s="4">
        <v>244650</v>
      </c>
      <c r="C1364" s="4">
        <f>IF(DatiOriginali!C1364 &gt;= SogliaPicchi!$B$15,"",DatiOriginali!C1364)</f>
        <v>1908000</v>
      </c>
      <c r="D1364" s="4">
        <v>120505</v>
      </c>
      <c r="E1364" s="4">
        <f>IF(DatiOriginali!E1364 &gt;= SogliaPicchi!$B$15,"",DatiOriginali!E1364)</f>
        <v>550200</v>
      </c>
      <c r="F1364" s="4">
        <v>3746750</v>
      </c>
      <c r="G1364" s="4">
        <f>IF(DatiOriginali!G1364 &gt;= SogliaPicchi!$B$15,"",DatiOriginali!G1364)</f>
        <v>251900</v>
      </c>
      <c r="H1364" s="4">
        <v>4665515</v>
      </c>
      <c r="I1364" s="4">
        <f>IF(DatiOriginali!I1364 &gt;= SogliaPicchi!$B$15,"",DatiOriginali!I1364)</f>
        <v>85400</v>
      </c>
      <c r="J1364" s="4">
        <v>4654239</v>
      </c>
      <c r="K1364" s="4">
        <f>IF(DatiOriginali!K1364 &gt;= SogliaPicchi!$B$15,"",DatiOriginali!K1364)</f>
        <v>93200</v>
      </c>
    </row>
    <row r="1365" spans="1:11" x14ac:dyDescent="0.3">
      <c r="A1365" s="4" t="s">
        <v>1374</v>
      </c>
      <c r="B1365" s="4">
        <v>244650</v>
      </c>
      <c r="C1365" s="4">
        <f>IF(DatiOriginali!C1365 &gt;= SogliaPicchi!$B$15,"",DatiOriginali!C1365)</f>
        <v>1866300</v>
      </c>
      <c r="D1365" s="4">
        <v>124139</v>
      </c>
      <c r="E1365" s="4">
        <f>IF(DatiOriginali!E1365 &gt;= SogliaPicchi!$B$15,"",DatiOriginali!E1365)</f>
        <v>431500</v>
      </c>
      <c r="F1365" s="4">
        <v>3752484</v>
      </c>
      <c r="G1365" s="4">
        <f>IF(DatiOriginali!G1365 &gt;= SogliaPicchi!$B$15,"",DatiOriginali!G1365)</f>
        <v>248800</v>
      </c>
      <c r="H1365" s="4">
        <v>4672816</v>
      </c>
      <c r="I1365" s="4">
        <f>IF(DatiOriginali!I1365 &gt;= SogliaPicchi!$B$15,"",DatiOriginali!I1365)</f>
        <v>86400</v>
      </c>
      <c r="J1365" s="4">
        <v>4662288</v>
      </c>
      <c r="K1365" s="4">
        <f>IF(DatiOriginali!K1365 &gt;= SogliaPicchi!$B$15,"",DatiOriginali!K1365)</f>
        <v>93100</v>
      </c>
    </row>
    <row r="1366" spans="1:11" x14ac:dyDescent="0.3">
      <c r="A1366" s="4" t="s">
        <v>1375</v>
      </c>
      <c r="B1366" s="4">
        <v>244650</v>
      </c>
      <c r="C1366" s="4">
        <f>IF(DatiOriginali!C1366 &gt;= SogliaPicchi!$B$15,"",DatiOriginali!C1366)</f>
        <v>1758200</v>
      </c>
      <c r="D1366" s="4">
        <v>119358</v>
      </c>
      <c r="E1366" s="4">
        <f>IF(DatiOriginali!E1366 &gt;= SogliaPicchi!$B$15,"",DatiOriginali!E1366)</f>
        <v>415000</v>
      </c>
      <c r="F1366" s="4">
        <v>3758239</v>
      </c>
      <c r="G1366" s="4">
        <f>IF(DatiOriginali!G1366 &gt;= SogliaPicchi!$B$15,"",DatiOriginali!G1366)</f>
        <v>253100</v>
      </c>
      <c r="H1366" s="4">
        <v>4679972</v>
      </c>
      <c r="I1366" s="4">
        <f>IF(DatiOriginali!I1366 &gt;= SogliaPicchi!$B$15,"",DatiOriginali!I1366)</f>
        <v>83500</v>
      </c>
      <c r="J1366" s="4">
        <v>4669103</v>
      </c>
      <c r="K1366" s="4">
        <f>IF(DatiOriginali!K1366 &gt;= SogliaPicchi!$B$15,"",DatiOriginali!K1366)</f>
        <v>89700</v>
      </c>
    </row>
    <row r="1367" spans="1:11" x14ac:dyDescent="0.3">
      <c r="A1367" s="4" t="s">
        <v>1376</v>
      </c>
      <c r="B1367" s="4">
        <v>244650</v>
      </c>
      <c r="C1367" s="4">
        <f>IF(DatiOriginali!C1367 &gt;= SogliaPicchi!$B$15,"",DatiOriginali!C1367)</f>
        <v>1826400</v>
      </c>
      <c r="D1367" s="4">
        <v>118386</v>
      </c>
      <c r="E1367" s="4">
        <f>IF(DatiOriginali!E1367 &gt;= SogliaPicchi!$B$15,"",DatiOriginali!E1367)</f>
        <v>425300</v>
      </c>
      <c r="F1367" s="4">
        <v>3763989</v>
      </c>
      <c r="G1367" s="4">
        <f>IF(DatiOriginali!G1367 &gt;= SogliaPicchi!$B$15,"",DatiOriginali!G1367)</f>
        <v>254000</v>
      </c>
      <c r="H1367" s="4">
        <v>4687288</v>
      </c>
      <c r="I1367" s="4">
        <f>IF(DatiOriginali!I1367 &gt;= SogliaPicchi!$B$15,"",DatiOriginali!I1367)</f>
        <v>85100</v>
      </c>
      <c r="J1367" s="4">
        <v>4676800</v>
      </c>
      <c r="K1367" s="4">
        <f>IF(DatiOriginali!K1367 &gt;= SogliaPicchi!$B$15,"",DatiOriginali!K1367)</f>
        <v>95200</v>
      </c>
    </row>
    <row r="1368" spans="1:11" x14ac:dyDescent="0.3">
      <c r="A1368" s="4" t="s">
        <v>1377</v>
      </c>
      <c r="B1368" s="4">
        <v>244650</v>
      </c>
      <c r="C1368" s="4">
        <f>IF(DatiOriginali!C1368 &gt;= SogliaPicchi!$B$15,"",DatiOriginali!C1368)</f>
        <v>1835700</v>
      </c>
      <c r="D1368" s="4">
        <v>121865</v>
      </c>
      <c r="E1368" s="4">
        <f>IF(DatiOriginali!E1368 &gt;= SogliaPicchi!$B$15,"",DatiOriginali!E1368)</f>
        <v>423600</v>
      </c>
      <c r="F1368" s="4">
        <v>3769727</v>
      </c>
      <c r="G1368" s="4">
        <f>IF(DatiOriginali!G1368 &gt;= SogliaPicchi!$B$15,"",DatiOriginali!G1368)</f>
        <v>246200</v>
      </c>
      <c r="H1368" s="4">
        <v>4694795</v>
      </c>
      <c r="I1368" s="4">
        <f>IF(DatiOriginali!I1368 &gt;= SogliaPicchi!$B$15,"",DatiOriginali!I1368)</f>
        <v>85100</v>
      </c>
      <c r="J1368" s="4">
        <v>4684616</v>
      </c>
      <c r="K1368" s="4">
        <f>IF(DatiOriginali!K1368 &gt;= SogliaPicchi!$B$15,"",DatiOriginali!K1368)</f>
        <v>93000</v>
      </c>
    </row>
    <row r="1369" spans="1:11" x14ac:dyDescent="0.3">
      <c r="A1369" s="4" t="s">
        <v>1378</v>
      </c>
      <c r="B1369" s="4">
        <v>244650</v>
      </c>
      <c r="C1369" s="4">
        <f>IF(DatiOriginali!C1369 &gt;= SogliaPicchi!$B$15,"",DatiOriginali!C1369)</f>
        <v>1861800</v>
      </c>
      <c r="D1369" s="4">
        <v>122396</v>
      </c>
      <c r="E1369" s="4">
        <f>IF(DatiOriginali!E1369 &gt;= SogliaPicchi!$B$15,"",DatiOriginali!E1369)</f>
        <v>431100</v>
      </c>
      <c r="F1369" s="4">
        <v>3775468</v>
      </c>
      <c r="G1369" s="4">
        <f>IF(DatiOriginali!G1369 &gt;= SogliaPicchi!$B$15,"",DatiOriginali!G1369)</f>
        <v>249000</v>
      </c>
      <c r="H1369" s="4">
        <v>4701402</v>
      </c>
      <c r="I1369" s="4">
        <f>IF(DatiOriginali!I1369 &gt;= SogliaPicchi!$B$15,"",DatiOriginali!I1369)</f>
        <v>81300</v>
      </c>
      <c r="J1369" s="4">
        <v>4691873</v>
      </c>
      <c r="K1369" s="4">
        <f>IF(DatiOriginali!K1369 &gt;= SogliaPicchi!$B$15,"",DatiOriginali!K1369)</f>
        <v>94000</v>
      </c>
    </row>
    <row r="1370" spans="1:11" x14ac:dyDescent="0.3">
      <c r="A1370" s="4" t="s">
        <v>1379</v>
      </c>
      <c r="B1370" s="4">
        <v>244650</v>
      </c>
      <c r="C1370" s="4">
        <f>IF(DatiOriginali!C1370 &gt;= SogliaPicchi!$B$15,"",DatiOriginali!C1370)</f>
        <v>1778500</v>
      </c>
      <c r="D1370" s="4">
        <v>119422</v>
      </c>
      <c r="E1370" s="4">
        <f>IF(DatiOriginali!E1370 &gt;= SogliaPicchi!$B$15,"",DatiOriginali!E1370)</f>
        <v>414100</v>
      </c>
      <c r="F1370" s="4">
        <v>3781204</v>
      </c>
      <c r="G1370" s="4">
        <f>IF(DatiOriginali!G1370 &gt;= SogliaPicchi!$B$15,"",DatiOriginali!G1370)</f>
        <v>247200</v>
      </c>
      <c r="H1370" s="4">
        <v>4707970</v>
      </c>
      <c r="I1370" s="4">
        <f>IF(DatiOriginali!I1370 &gt;= SogliaPicchi!$B$15,"",DatiOriginali!I1370)</f>
        <v>81900</v>
      </c>
      <c r="J1370" s="4">
        <v>4699819</v>
      </c>
      <c r="K1370" s="4">
        <f>IF(DatiOriginali!K1370 &gt;= SogliaPicchi!$B$15,"",DatiOriginali!K1370)</f>
        <v>95400</v>
      </c>
    </row>
    <row r="1371" spans="1:11" x14ac:dyDescent="0.3">
      <c r="A1371" s="4" t="s">
        <v>1380</v>
      </c>
      <c r="B1371" s="4">
        <v>244650</v>
      </c>
      <c r="C1371" s="4">
        <f>IF(DatiOriginali!C1371 &gt;= SogliaPicchi!$B$15,"",DatiOriginali!C1371)</f>
        <v>1754800</v>
      </c>
      <c r="D1371" s="4">
        <v>128320</v>
      </c>
      <c r="E1371" s="4">
        <f>IF(DatiOriginali!E1371 &gt;= SogliaPicchi!$B$15,"",DatiOriginali!E1371)</f>
        <v>444700</v>
      </c>
      <c r="F1371" s="4">
        <v>3786976</v>
      </c>
      <c r="G1371" s="4">
        <f>IF(DatiOriginali!G1371 &gt;= SogliaPicchi!$B$15,"",DatiOriginali!G1371)</f>
        <v>252600</v>
      </c>
      <c r="H1371" s="4">
        <v>4715361</v>
      </c>
      <c r="I1371" s="4">
        <f>IF(DatiOriginali!I1371 &gt;= SogliaPicchi!$B$15,"",DatiOriginali!I1371)</f>
        <v>83800</v>
      </c>
      <c r="J1371" s="4">
        <v>4707019</v>
      </c>
      <c r="K1371" s="4">
        <f>IF(DatiOriginali!K1371 &gt;= SogliaPicchi!$B$15,"",DatiOriginali!K1371)</f>
        <v>97000</v>
      </c>
    </row>
    <row r="1372" spans="1:11" x14ac:dyDescent="0.3">
      <c r="A1372" s="4" t="s">
        <v>1381</v>
      </c>
      <c r="B1372" s="4">
        <v>244650</v>
      </c>
      <c r="C1372" s="4">
        <f>IF(DatiOriginali!C1372 &gt;= SogliaPicchi!$B$15,"",DatiOriginali!C1372)</f>
        <v>1802700</v>
      </c>
      <c r="D1372" s="4">
        <v>124050</v>
      </c>
      <c r="E1372" s="4">
        <f>IF(DatiOriginali!E1372 &gt;= SogliaPicchi!$B$15,"",DatiOriginali!E1372)</f>
        <v>429800</v>
      </c>
      <c r="F1372" s="4">
        <v>3792719</v>
      </c>
      <c r="G1372" s="4">
        <f>IF(DatiOriginali!G1372 &gt;= SogliaPicchi!$B$15,"",DatiOriginali!G1372)</f>
        <v>245300</v>
      </c>
      <c r="H1372" s="4">
        <v>4722966</v>
      </c>
      <c r="I1372" s="4">
        <f>IF(DatiOriginali!I1372 &gt;= SogliaPicchi!$B$15,"",DatiOriginali!I1372)</f>
        <v>84300</v>
      </c>
      <c r="J1372" s="4">
        <v>4713824</v>
      </c>
      <c r="K1372" s="4">
        <f>IF(DatiOriginali!K1372 &gt;= SogliaPicchi!$B$15,"",DatiOriginali!K1372)</f>
        <v>91900</v>
      </c>
    </row>
    <row r="1373" spans="1:11" x14ac:dyDescent="0.3">
      <c r="A1373" s="4" t="s">
        <v>1382</v>
      </c>
      <c r="B1373" s="4">
        <v>244650</v>
      </c>
      <c r="C1373" s="4">
        <f>IF(DatiOriginali!C1373 &gt;= SogliaPicchi!$B$15,"",DatiOriginali!C1373)</f>
        <v>1792200</v>
      </c>
      <c r="D1373" s="4">
        <v>120936</v>
      </c>
      <c r="E1373" s="4">
        <f>IF(DatiOriginali!E1373 &gt;= SogliaPicchi!$B$15,"",DatiOriginali!E1373)</f>
        <v>421000</v>
      </c>
      <c r="F1373" s="4">
        <v>3798455</v>
      </c>
      <c r="G1373" s="4">
        <f>IF(DatiOriginali!G1373 &gt;= SogliaPicchi!$B$15,"",DatiOriginali!G1373)</f>
        <v>248600</v>
      </c>
      <c r="H1373" s="4">
        <v>4730459</v>
      </c>
      <c r="I1373" s="4">
        <f>IF(DatiOriginali!I1373 &gt;= SogliaPicchi!$B$15,"",DatiOriginali!I1373)</f>
        <v>80700</v>
      </c>
      <c r="J1373" s="4">
        <v>4721385</v>
      </c>
      <c r="K1373" s="4">
        <f>IF(DatiOriginali!K1373 &gt;= SogliaPicchi!$B$15,"",DatiOriginali!K1373)</f>
        <v>91200</v>
      </c>
    </row>
    <row r="1374" spans="1:11" x14ac:dyDescent="0.3">
      <c r="A1374" s="4" t="s">
        <v>1383</v>
      </c>
      <c r="B1374" s="4">
        <v>244650</v>
      </c>
      <c r="C1374" s="4">
        <f>IF(DatiOriginali!C1374 &gt;= SogliaPicchi!$B$15,"",DatiOriginali!C1374)</f>
        <v>1914800</v>
      </c>
      <c r="D1374" s="4">
        <v>122147</v>
      </c>
      <c r="E1374" s="4">
        <f>IF(DatiOriginali!E1374 &gt;= SogliaPicchi!$B$15,"",DatiOriginali!E1374)</f>
        <v>437500</v>
      </c>
      <c r="F1374" s="4">
        <v>3804224</v>
      </c>
      <c r="G1374" s="4">
        <f>IF(DatiOriginali!G1374 &gt;= SogliaPicchi!$B$15,"",DatiOriginali!G1374)</f>
        <v>246400</v>
      </c>
      <c r="H1374" s="4">
        <v>4736846</v>
      </c>
      <c r="I1374" s="4">
        <f>IF(DatiOriginali!I1374 &gt;= SogliaPicchi!$B$15,"",DatiOriginali!I1374)</f>
        <v>83100</v>
      </c>
      <c r="J1374" s="4">
        <v>4727909</v>
      </c>
      <c r="K1374" s="4">
        <f>IF(DatiOriginali!K1374 &gt;= SogliaPicchi!$B$15,"",DatiOriginali!K1374)</f>
        <v>90800</v>
      </c>
    </row>
    <row r="1375" spans="1:11" x14ac:dyDescent="0.3">
      <c r="A1375" s="4" t="s">
        <v>1384</v>
      </c>
      <c r="B1375" s="4">
        <v>244650</v>
      </c>
      <c r="C1375" s="4">
        <f>IF(DatiOriginali!C1375 &gt;= SogliaPicchi!$B$15,"",DatiOriginali!C1375)</f>
        <v>1991700</v>
      </c>
      <c r="D1375" s="4">
        <v>118929</v>
      </c>
      <c r="E1375" s="4">
        <f>IF(DatiOriginali!E1375 &gt;= SogliaPicchi!$B$15,"",DatiOriginali!E1375)</f>
        <v>424500</v>
      </c>
      <c r="F1375" s="4">
        <v>3809976</v>
      </c>
      <c r="G1375" s="4">
        <f>IF(DatiOriginali!G1375 &gt;= SogliaPicchi!$B$15,"",DatiOriginali!G1375)</f>
        <v>252000</v>
      </c>
      <c r="H1375" s="4">
        <v>4743498</v>
      </c>
      <c r="I1375" s="4">
        <f>IF(DatiOriginali!I1375 &gt;= SogliaPicchi!$B$15,"",DatiOriginali!I1375)</f>
        <v>81900</v>
      </c>
      <c r="J1375" s="4">
        <v>4735513</v>
      </c>
      <c r="K1375" s="4">
        <f>IF(DatiOriginali!K1375 &gt;= SogliaPicchi!$B$15,"",DatiOriginali!K1375)</f>
        <v>93100</v>
      </c>
    </row>
    <row r="1376" spans="1:11" x14ac:dyDescent="0.3">
      <c r="A1376" s="4" t="s">
        <v>1385</v>
      </c>
      <c r="B1376" s="4">
        <v>244650</v>
      </c>
      <c r="C1376" s="4">
        <f>IF(DatiOriginali!C1376 &gt;= SogliaPicchi!$B$15,"",DatiOriginali!C1376)</f>
        <v>2340400</v>
      </c>
      <c r="D1376" s="4">
        <v>121400</v>
      </c>
      <c r="E1376" s="4">
        <f>IF(DatiOriginali!E1376 &gt;= SogliaPicchi!$B$15,"",DatiOriginali!E1376)</f>
        <v>510400</v>
      </c>
      <c r="F1376" s="4">
        <v>3815756</v>
      </c>
      <c r="G1376" s="4">
        <f>IF(DatiOriginali!G1376 &gt;= SogliaPicchi!$B$15,"",DatiOriginali!G1376)</f>
        <v>352300</v>
      </c>
      <c r="H1376" s="4">
        <v>4750749</v>
      </c>
      <c r="I1376" s="4">
        <f>IF(DatiOriginali!I1376 &gt;= SogliaPicchi!$B$15,"",DatiOriginali!I1376)</f>
        <v>87100</v>
      </c>
      <c r="J1376" s="4">
        <v>4742414</v>
      </c>
      <c r="K1376" s="4">
        <f>IF(DatiOriginali!K1376 &gt;= SogliaPicchi!$B$15,"",DatiOriginali!K1376)</f>
        <v>94600</v>
      </c>
    </row>
    <row r="1377" spans="1:11" x14ac:dyDescent="0.3">
      <c r="A1377" s="4" t="s">
        <v>1386</v>
      </c>
      <c r="B1377" s="4">
        <v>244650</v>
      </c>
      <c r="C1377" s="4">
        <f>IF(DatiOriginali!C1377 &gt;= SogliaPicchi!$B$15,"",DatiOriginali!C1377)</f>
        <v>1801400</v>
      </c>
      <c r="D1377" s="4">
        <v>125383</v>
      </c>
      <c r="E1377" s="4">
        <f>IF(DatiOriginali!E1377 &gt;= SogliaPicchi!$B$15,"",DatiOriginali!E1377)</f>
        <v>438000</v>
      </c>
      <c r="F1377" s="4">
        <v>3821515</v>
      </c>
      <c r="G1377" s="4">
        <f>IF(DatiOriginali!G1377 &gt;= SogliaPicchi!$B$15,"",DatiOriginali!G1377)</f>
        <v>244400</v>
      </c>
      <c r="H1377" s="4">
        <v>4758491</v>
      </c>
      <c r="I1377" s="4">
        <f>IF(DatiOriginali!I1377 &gt;= SogliaPicchi!$B$15,"",DatiOriginali!I1377)</f>
        <v>82100</v>
      </c>
      <c r="J1377" s="4">
        <v>4749957</v>
      </c>
      <c r="K1377" s="4">
        <f>IF(DatiOriginali!K1377 &gt;= SogliaPicchi!$B$15,"",DatiOriginali!K1377)</f>
        <v>95300</v>
      </c>
    </row>
    <row r="1378" spans="1:11" x14ac:dyDescent="0.3">
      <c r="A1378" s="4" t="s">
        <v>1387</v>
      </c>
      <c r="B1378" s="4">
        <v>244650</v>
      </c>
      <c r="C1378" s="4">
        <f>IF(DatiOriginali!C1378 &gt;= SogliaPicchi!$B$15,"",DatiOriginali!C1378)</f>
        <v>1958800</v>
      </c>
      <c r="D1378" s="4">
        <v>127546</v>
      </c>
      <c r="E1378" s="4">
        <f>IF(DatiOriginali!E1378 &gt;= SogliaPicchi!$B$15,"",DatiOriginali!E1378)</f>
        <v>480500</v>
      </c>
      <c r="F1378" s="4">
        <v>3827258</v>
      </c>
      <c r="G1378" s="4">
        <f>IF(DatiOriginali!G1378 &gt;= SogliaPicchi!$B$15,"",DatiOriginali!G1378)</f>
        <v>246600</v>
      </c>
      <c r="H1378" s="4">
        <v>4765857</v>
      </c>
      <c r="I1378" s="4">
        <f>IF(DatiOriginali!I1378 &gt;= SogliaPicchi!$B$15,"",DatiOriginali!I1378)</f>
        <v>84800</v>
      </c>
      <c r="J1378" s="4">
        <v>4756874</v>
      </c>
      <c r="K1378" s="4">
        <f>IF(DatiOriginali!K1378 &gt;= SogliaPicchi!$B$15,"",DatiOriginali!K1378)</f>
        <v>96000</v>
      </c>
    </row>
    <row r="1379" spans="1:11" x14ac:dyDescent="0.3">
      <c r="A1379" s="4" t="s">
        <v>1388</v>
      </c>
      <c r="B1379" s="4">
        <v>244650</v>
      </c>
      <c r="C1379" s="4">
        <f>IF(DatiOriginali!C1379 &gt;= SogliaPicchi!$B$15,"",DatiOriginali!C1379)</f>
        <v>2173700</v>
      </c>
      <c r="D1379" s="4">
        <v>120995</v>
      </c>
      <c r="E1379" s="4">
        <f>IF(DatiOriginali!E1379 &gt;= SogliaPicchi!$B$15,"",DatiOriginali!E1379)</f>
        <v>420200</v>
      </c>
      <c r="F1379" s="4">
        <v>3833010</v>
      </c>
      <c r="G1379" s="4">
        <f>IF(DatiOriginali!G1379 &gt;= SogliaPicchi!$B$15,"",DatiOriginali!G1379)</f>
        <v>247500</v>
      </c>
      <c r="H1379" s="4">
        <v>4772601</v>
      </c>
      <c r="I1379" s="4">
        <f>IF(DatiOriginali!I1379 &gt;= SogliaPicchi!$B$15,"",DatiOriginali!I1379)</f>
        <v>84800</v>
      </c>
      <c r="J1379" s="4">
        <v>4763775</v>
      </c>
      <c r="K1379" s="4">
        <f>IF(DatiOriginali!K1379 &gt;= SogliaPicchi!$B$15,"",DatiOriginali!K1379)</f>
        <v>93200</v>
      </c>
    </row>
    <row r="1380" spans="1:11" x14ac:dyDescent="0.3">
      <c r="A1380" s="4" t="s">
        <v>1389</v>
      </c>
      <c r="B1380" s="4">
        <v>244650</v>
      </c>
      <c r="C1380" s="4">
        <f>IF(DatiOriginali!C1380 &gt;= SogliaPicchi!$B$15,"",DatiOriginali!C1380)</f>
        <v>1881300</v>
      </c>
      <c r="D1380" s="4">
        <v>122804</v>
      </c>
      <c r="E1380" s="4">
        <f>IF(DatiOriginali!E1380 &gt;= SogliaPicchi!$B$15,"",DatiOriginali!E1380)</f>
        <v>425700</v>
      </c>
      <c r="F1380" s="4">
        <v>3838737</v>
      </c>
      <c r="G1380" s="4">
        <f>IF(DatiOriginali!G1380 &gt;= SogliaPicchi!$B$15,"",DatiOriginali!G1380)</f>
        <v>259900</v>
      </c>
      <c r="H1380" s="4">
        <v>4779493</v>
      </c>
      <c r="I1380" s="4">
        <f>IF(DatiOriginali!I1380 &gt;= SogliaPicchi!$B$15,"",DatiOriginali!I1380)</f>
        <v>81500</v>
      </c>
      <c r="J1380" s="4">
        <v>4770682</v>
      </c>
      <c r="K1380" s="4">
        <f>IF(DatiOriginali!K1380 &gt;= SogliaPicchi!$B$15,"",DatiOriginali!K1380)</f>
        <v>92600</v>
      </c>
    </row>
    <row r="1381" spans="1:11" x14ac:dyDescent="0.3">
      <c r="A1381" s="4" t="s">
        <v>1390</v>
      </c>
      <c r="B1381" s="4">
        <v>244650</v>
      </c>
      <c r="C1381" s="4">
        <f>IF(DatiOriginali!C1381 &gt;= SogliaPicchi!$B$15,"",DatiOriginali!C1381)</f>
        <v>2033500</v>
      </c>
      <c r="D1381" s="4">
        <v>124234</v>
      </c>
      <c r="E1381" s="4">
        <f>IF(DatiOriginali!E1381 &gt;= SogliaPicchi!$B$15,"",DatiOriginali!E1381)</f>
        <v>433500</v>
      </c>
      <c r="F1381" s="4">
        <v>3844498</v>
      </c>
      <c r="G1381" s="4">
        <f>IF(DatiOriginali!G1381 &gt;= SogliaPicchi!$B$15,"",DatiOriginali!G1381)</f>
        <v>248700</v>
      </c>
      <c r="H1381" s="4">
        <v>4786614</v>
      </c>
      <c r="I1381" s="4">
        <f>IF(DatiOriginali!I1381 &gt;= SogliaPicchi!$B$15,"",DatiOriginali!I1381)</f>
        <v>84800</v>
      </c>
      <c r="J1381" s="4">
        <v>4777964</v>
      </c>
      <c r="K1381" s="4">
        <f>IF(DatiOriginali!K1381 &gt;= SogliaPicchi!$B$15,"",DatiOriginali!K1381)</f>
        <v>150900</v>
      </c>
    </row>
    <row r="1382" spans="1:11" x14ac:dyDescent="0.3">
      <c r="A1382" s="4" t="s">
        <v>1391</v>
      </c>
      <c r="B1382" s="4">
        <v>244650</v>
      </c>
      <c r="C1382" s="4">
        <f>IF(DatiOriginali!C1382 &gt;= SogliaPicchi!$B$15,"",DatiOriginali!C1382)</f>
        <v>1838200</v>
      </c>
      <c r="D1382" s="4">
        <v>124234</v>
      </c>
      <c r="E1382" s="4">
        <f>IF(DatiOriginali!E1382 &gt;= SogliaPicchi!$B$15,"",DatiOriginali!E1382)</f>
        <v>430800</v>
      </c>
      <c r="F1382" s="4">
        <v>3850262</v>
      </c>
      <c r="G1382" s="4">
        <f>IF(DatiOriginali!G1382 &gt;= SogliaPicchi!$B$15,"",DatiOriginali!G1382)</f>
        <v>247400</v>
      </c>
      <c r="H1382" s="4">
        <v>4793323</v>
      </c>
      <c r="I1382" s="4">
        <f>IF(DatiOriginali!I1382 &gt;= SogliaPicchi!$B$15,"",DatiOriginali!I1382)</f>
        <v>86500</v>
      </c>
      <c r="J1382" s="4">
        <v>4785600</v>
      </c>
      <c r="K1382" s="4">
        <f>IF(DatiOriginali!K1382 &gt;= SogliaPicchi!$B$15,"",DatiOriginali!K1382)</f>
        <v>118500</v>
      </c>
    </row>
    <row r="1383" spans="1:11" x14ac:dyDescent="0.3">
      <c r="A1383" s="4" t="s">
        <v>1392</v>
      </c>
      <c r="B1383" s="4">
        <v>244650</v>
      </c>
      <c r="C1383" s="4">
        <f>IF(DatiOriginali!C1383 &gt;= SogliaPicchi!$B$15,"",DatiOriginali!C1383)</f>
        <v>1767000</v>
      </c>
      <c r="D1383" s="4">
        <v>121023</v>
      </c>
      <c r="E1383" s="4">
        <f>IF(DatiOriginali!E1383 &gt;= SogliaPicchi!$B$15,"",DatiOriginali!E1383)</f>
        <v>420300</v>
      </c>
      <c r="F1383" s="4">
        <v>3856004</v>
      </c>
      <c r="G1383" s="4">
        <f>IF(DatiOriginali!G1383 &gt;= SogliaPicchi!$B$15,"",DatiOriginali!G1383)</f>
        <v>250600</v>
      </c>
      <c r="H1383" s="4">
        <v>4800593</v>
      </c>
      <c r="I1383" s="4">
        <f>IF(DatiOriginali!I1383 &gt;= SogliaPicchi!$B$15,"",DatiOriginali!I1383)</f>
        <v>85300</v>
      </c>
      <c r="J1383" s="4">
        <v>4792887</v>
      </c>
      <c r="K1383" s="4">
        <f>IF(DatiOriginali!K1383 &gt;= SogliaPicchi!$B$15,"",DatiOriginali!K1383)</f>
        <v>107900</v>
      </c>
    </row>
    <row r="1384" spans="1:11" x14ac:dyDescent="0.3">
      <c r="A1384" s="4" t="s">
        <v>1393</v>
      </c>
      <c r="B1384" s="4">
        <v>244650</v>
      </c>
      <c r="C1384" s="4">
        <f>IF(DatiOriginali!C1384 &gt;= SogliaPicchi!$B$15,"",DatiOriginali!C1384)</f>
        <v>2268500</v>
      </c>
      <c r="D1384" s="4">
        <v>121288</v>
      </c>
      <c r="E1384" s="4">
        <f>IF(DatiOriginali!E1384 &gt;= SogliaPicchi!$B$15,"",DatiOriginali!E1384)</f>
        <v>493800</v>
      </c>
      <c r="F1384" s="4">
        <v>3861749</v>
      </c>
      <c r="G1384" s="4">
        <f>IF(DatiOriginali!G1384 &gt;= SogliaPicchi!$B$15,"",DatiOriginali!G1384)</f>
        <v>251700</v>
      </c>
      <c r="H1384" s="4">
        <v>4807699</v>
      </c>
      <c r="I1384" s="4">
        <f>IF(DatiOriginali!I1384 &gt;= SogliaPicchi!$B$15,"",DatiOriginali!I1384)</f>
        <v>84500</v>
      </c>
      <c r="J1384" s="4">
        <v>4799844</v>
      </c>
      <c r="K1384" s="4">
        <f>IF(DatiOriginali!K1384 &gt;= SogliaPicchi!$B$15,"",DatiOriginali!K1384)</f>
        <v>94400</v>
      </c>
    </row>
    <row r="1385" spans="1:11" x14ac:dyDescent="0.3">
      <c r="A1385" s="4" t="s">
        <v>1394</v>
      </c>
      <c r="B1385" s="4">
        <v>244650</v>
      </c>
      <c r="C1385" s="4">
        <f>IF(DatiOriginali!C1385 &gt;= SogliaPicchi!$B$15,"",DatiOriginali!C1385)</f>
        <v>1893100</v>
      </c>
      <c r="D1385" s="4">
        <v>129037</v>
      </c>
      <c r="E1385" s="4">
        <f>IF(DatiOriginali!E1385 &gt;= SogliaPicchi!$B$15,"",DatiOriginali!E1385)</f>
        <v>448000</v>
      </c>
      <c r="F1385" s="4">
        <v>3867501</v>
      </c>
      <c r="G1385" s="4">
        <f>IF(DatiOriginali!G1385 &gt;= SogliaPicchi!$B$15,"",DatiOriginali!G1385)</f>
        <v>248000</v>
      </c>
      <c r="H1385" s="4">
        <v>4814892</v>
      </c>
      <c r="I1385" s="4">
        <f>IF(DatiOriginali!I1385 &gt;= SogliaPicchi!$B$15,"",DatiOriginali!I1385)</f>
        <v>84800</v>
      </c>
      <c r="J1385" s="4">
        <v>4806711</v>
      </c>
      <c r="K1385" s="4">
        <f>IF(DatiOriginali!K1385 &gt;= SogliaPicchi!$B$15,"",DatiOriginali!K1385)</f>
        <v>94400</v>
      </c>
    </row>
    <row r="1386" spans="1:11" x14ac:dyDescent="0.3">
      <c r="A1386" s="4" t="s">
        <v>1395</v>
      </c>
      <c r="B1386" s="4">
        <v>244650</v>
      </c>
      <c r="C1386" s="4">
        <f>IF(DatiOriginali!C1386 &gt;= SogliaPicchi!$B$15,"",DatiOriginali!C1386)</f>
        <v>2208100</v>
      </c>
      <c r="D1386" s="4">
        <v>115188</v>
      </c>
      <c r="E1386" s="4">
        <f>IF(DatiOriginali!E1386 &gt;= SogliaPicchi!$B$15,"",DatiOriginali!E1386)</f>
        <v>401200</v>
      </c>
      <c r="F1386" s="4">
        <v>3873256</v>
      </c>
      <c r="G1386" s="4">
        <f>IF(DatiOriginali!G1386 &gt;= SogliaPicchi!$B$15,"",DatiOriginali!G1386)</f>
        <v>251300</v>
      </c>
      <c r="H1386" s="4">
        <v>4821813</v>
      </c>
      <c r="I1386" s="4">
        <f>IF(DatiOriginali!I1386 &gt;= SogliaPicchi!$B$15,"",DatiOriginali!I1386)</f>
        <v>82500</v>
      </c>
      <c r="J1386" s="4">
        <v>4814453</v>
      </c>
      <c r="K1386" s="4">
        <f>IF(DatiOriginali!K1386 &gt;= SogliaPicchi!$B$15,"",DatiOriginali!K1386)</f>
        <v>93600</v>
      </c>
    </row>
    <row r="1387" spans="1:11" x14ac:dyDescent="0.3">
      <c r="A1387" s="4" t="s">
        <v>1396</v>
      </c>
      <c r="B1387" s="4">
        <v>244650</v>
      </c>
      <c r="C1387" s="4">
        <f>IF(DatiOriginali!C1387 &gt;= SogliaPicchi!$B$15,"",DatiOriginali!C1387)</f>
        <v>2356700</v>
      </c>
      <c r="D1387" s="4">
        <v>125878</v>
      </c>
      <c r="E1387" s="4">
        <f>IF(DatiOriginali!E1387 &gt;= SogliaPicchi!$B$15,"",DatiOriginali!E1387)</f>
        <v>487300</v>
      </c>
      <c r="F1387" s="4">
        <v>3878969</v>
      </c>
      <c r="G1387" s="4">
        <f>IF(DatiOriginali!G1387 &gt;= SogliaPicchi!$B$15,"",DatiOriginali!G1387)</f>
        <v>263900</v>
      </c>
      <c r="H1387" s="4">
        <v>4828627</v>
      </c>
      <c r="I1387" s="4">
        <f>IF(DatiOriginali!I1387 &gt;= SogliaPicchi!$B$15,"",DatiOriginali!I1387)</f>
        <v>85200</v>
      </c>
      <c r="J1387" s="4">
        <v>4822654</v>
      </c>
      <c r="K1387" s="4">
        <f>IF(DatiOriginali!K1387 &gt;= SogliaPicchi!$B$15,"",DatiOriginali!K1387)</f>
        <v>98500</v>
      </c>
    </row>
    <row r="1388" spans="1:11" x14ac:dyDescent="0.3">
      <c r="A1388" s="4" t="s">
        <v>1397</v>
      </c>
      <c r="B1388" s="4">
        <v>244650</v>
      </c>
      <c r="C1388" s="4">
        <f>IF(DatiOriginali!C1388 &gt;= SogliaPicchi!$B$15,"",DatiOriginali!C1388)</f>
        <v>2369900</v>
      </c>
      <c r="D1388" s="4">
        <v>125325</v>
      </c>
      <c r="E1388" s="4">
        <f>IF(DatiOriginali!E1388 &gt;= SogliaPicchi!$B$15,"",DatiOriginali!E1388)</f>
        <v>475800</v>
      </c>
      <c r="F1388" s="4">
        <v>3884722</v>
      </c>
      <c r="G1388" s="4">
        <f>IF(DatiOriginali!G1388 &gt;= SogliaPicchi!$B$15,"",DatiOriginali!G1388)</f>
        <v>249500</v>
      </c>
      <c r="H1388" s="4">
        <v>4836369</v>
      </c>
      <c r="I1388" s="4">
        <f>IF(DatiOriginali!I1388 &gt;= SogliaPicchi!$B$15,"",DatiOriginali!I1388)</f>
        <v>84700</v>
      </c>
      <c r="J1388" s="4">
        <v>4830172</v>
      </c>
      <c r="K1388" s="4">
        <f>IF(DatiOriginali!K1388 &gt;= SogliaPicchi!$B$15,"",DatiOriginali!K1388)</f>
        <v>94600</v>
      </c>
    </row>
    <row r="1389" spans="1:11" x14ac:dyDescent="0.3">
      <c r="A1389" s="4" t="s">
        <v>1398</v>
      </c>
      <c r="B1389" s="4">
        <v>244650</v>
      </c>
      <c r="C1389" s="4">
        <f>IF(DatiOriginali!C1389 &gt;= SogliaPicchi!$B$15,"",DatiOriginali!C1389)</f>
        <v>1975700</v>
      </c>
      <c r="D1389" s="4">
        <v>124257</v>
      </c>
      <c r="E1389" s="4">
        <f>IF(DatiOriginali!E1389 &gt;= SogliaPicchi!$B$15,"",DatiOriginali!E1389)</f>
        <v>429800</v>
      </c>
      <c r="F1389" s="4">
        <v>3890475</v>
      </c>
      <c r="G1389" s="4">
        <f>IF(DatiOriginali!G1389 &gt;= SogliaPicchi!$B$15,"",DatiOriginali!G1389)</f>
        <v>249200</v>
      </c>
      <c r="H1389" s="4">
        <v>4842933</v>
      </c>
      <c r="I1389" s="4">
        <f>IF(DatiOriginali!I1389 &gt;= SogliaPicchi!$B$15,"",DatiOriginali!I1389)</f>
        <v>85700</v>
      </c>
      <c r="J1389" s="4">
        <v>4837153</v>
      </c>
      <c r="K1389" s="4">
        <f>IF(DatiOriginali!K1389 &gt;= SogliaPicchi!$B$15,"",DatiOriginali!K1389)</f>
        <v>95300</v>
      </c>
    </row>
    <row r="1390" spans="1:11" x14ac:dyDescent="0.3">
      <c r="A1390" s="4" t="s">
        <v>1399</v>
      </c>
      <c r="B1390" s="4">
        <v>244650</v>
      </c>
      <c r="C1390" s="4">
        <f>IF(DatiOriginali!C1390 &gt;= SogliaPicchi!$B$15,"",DatiOriginali!C1390)</f>
        <v>1842100</v>
      </c>
      <c r="D1390" s="4">
        <v>126556</v>
      </c>
      <c r="E1390" s="4">
        <f>IF(DatiOriginali!E1390 &gt;= SogliaPicchi!$B$15,"",DatiOriginali!E1390)</f>
        <v>452200</v>
      </c>
      <c r="F1390" s="4">
        <v>3896214</v>
      </c>
      <c r="G1390" s="4">
        <f>IF(DatiOriginali!G1390 &gt;= SogliaPicchi!$B$15,"",DatiOriginali!G1390)</f>
        <v>246200</v>
      </c>
      <c r="H1390" s="4">
        <v>4849864</v>
      </c>
      <c r="I1390" s="4">
        <f>IF(DatiOriginali!I1390 &gt;= SogliaPicchi!$B$15,"",DatiOriginali!I1390)</f>
        <v>83400</v>
      </c>
      <c r="J1390" s="4">
        <v>4844460</v>
      </c>
      <c r="K1390" s="4">
        <f>IF(DatiOriginali!K1390 &gt;= SogliaPicchi!$B$15,"",DatiOriginali!K1390)</f>
        <v>93200</v>
      </c>
    </row>
    <row r="1391" spans="1:11" x14ac:dyDescent="0.3">
      <c r="A1391" s="4" t="s">
        <v>1400</v>
      </c>
      <c r="B1391" s="4">
        <v>244650</v>
      </c>
      <c r="C1391" s="4">
        <f>IF(DatiOriginali!C1391 &gt;= SogliaPicchi!$B$15,"",DatiOriginali!C1391)</f>
        <v>2103200</v>
      </c>
      <c r="D1391" s="4">
        <v>126924</v>
      </c>
      <c r="E1391" s="4">
        <f>IF(DatiOriginali!E1391 &gt;= SogliaPicchi!$B$15,"",DatiOriginali!E1391)</f>
        <v>439800</v>
      </c>
      <c r="F1391" s="4">
        <v>3901961</v>
      </c>
      <c r="G1391" s="4">
        <f>IF(DatiOriginali!G1391 &gt;= SogliaPicchi!$B$15,"",DatiOriginali!G1391)</f>
        <v>249600</v>
      </c>
      <c r="H1391" s="4">
        <v>4857194</v>
      </c>
      <c r="I1391" s="4">
        <f>IF(DatiOriginali!I1391 &gt;= SogliaPicchi!$B$15,"",DatiOriginali!I1391)</f>
        <v>85000</v>
      </c>
      <c r="J1391" s="4">
        <v>4851548</v>
      </c>
      <c r="K1391" s="4">
        <f>IF(DatiOriginali!K1391 &gt;= SogliaPicchi!$B$15,"",DatiOriginali!K1391)</f>
        <v>97300</v>
      </c>
    </row>
    <row r="1392" spans="1:11" x14ac:dyDescent="0.3">
      <c r="A1392" s="4" t="s">
        <v>1401</v>
      </c>
      <c r="B1392" s="4">
        <v>244650</v>
      </c>
      <c r="C1392" s="4">
        <f>IF(DatiOriginali!C1392 &gt;= SogliaPicchi!$B$15,"",DatiOriginali!C1392)</f>
        <v>2121200</v>
      </c>
      <c r="D1392" s="4">
        <v>121056</v>
      </c>
      <c r="E1392" s="4">
        <f>IF(DatiOriginali!E1392 &gt;= SogliaPicchi!$B$15,"",DatiOriginali!E1392)</f>
        <v>505500</v>
      </c>
      <c r="F1392" s="4">
        <v>3907700</v>
      </c>
      <c r="G1392" s="4">
        <f>IF(DatiOriginali!G1392 &gt;= SogliaPicchi!$B$15,"",DatiOriginali!G1392)</f>
        <v>250700</v>
      </c>
      <c r="H1392" s="4">
        <v>4864588</v>
      </c>
      <c r="I1392" s="4">
        <f>IF(DatiOriginali!I1392 &gt;= SogliaPicchi!$B$15,"",DatiOriginali!I1392)</f>
        <v>87100</v>
      </c>
      <c r="J1392" s="4">
        <v>4858277</v>
      </c>
      <c r="K1392" s="4">
        <f>IF(DatiOriginali!K1392 &gt;= SogliaPicchi!$B$15,"",DatiOriginali!K1392)</f>
        <v>93900</v>
      </c>
    </row>
    <row r="1393" spans="1:11" x14ac:dyDescent="0.3">
      <c r="A1393" s="4" t="s">
        <v>1402</v>
      </c>
      <c r="B1393" s="4">
        <v>244650</v>
      </c>
      <c r="C1393" s="4">
        <f>IF(DatiOriginali!C1393 &gt;= SogliaPicchi!$B$15,"",DatiOriginali!C1393)</f>
        <v>1852800</v>
      </c>
      <c r="D1393" s="4">
        <v>122440</v>
      </c>
      <c r="E1393" s="4">
        <f>IF(DatiOriginali!E1393 &gt;= SogliaPicchi!$B$15,"",DatiOriginali!E1393)</f>
        <v>633700</v>
      </c>
      <c r="F1393" s="4">
        <v>3913448</v>
      </c>
      <c r="G1393" s="4">
        <f>IF(DatiOriginali!G1393 &gt;= SogliaPicchi!$B$15,"",DatiOriginali!G1393)</f>
        <v>256300</v>
      </c>
      <c r="H1393" s="4">
        <v>4871640</v>
      </c>
      <c r="I1393" s="4">
        <f>IF(DatiOriginali!I1393 &gt;= SogliaPicchi!$B$15,"",DatiOriginali!I1393)</f>
        <v>85400</v>
      </c>
      <c r="J1393" s="4">
        <v>4865891</v>
      </c>
      <c r="K1393" s="4">
        <f>IF(DatiOriginali!K1393 &gt;= SogliaPicchi!$B$15,"",DatiOriginali!K1393)</f>
        <v>92500</v>
      </c>
    </row>
    <row r="1394" spans="1:11" x14ac:dyDescent="0.3">
      <c r="A1394" s="4" t="s">
        <v>1403</v>
      </c>
      <c r="B1394" s="4">
        <v>244650</v>
      </c>
      <c r="C1394" s="4">
        <f>IF(DatiOriginali!C1394 &gt;= SogliaPicchi!$B$15,"",DatiOriginali!C1394)</f>
        <v>1851600</v>
      </c>
      <c r="D1394" s="4">
        <v>125480</v>
      </c>
      <c r="E1394" s="4">
        <f>IF(DatiOriginali!E1394 &gt;= SogliaPicchi!$B$15,"",DatiOriginali!E1394)</f>
        <v>435100</v>
      </c>
      <c r="F1394" s="4">
        <v>3919201</v>
      </c>
      <c r="G1394" s="4">
        <f>IF(DatiOriginali!G1394 &gt;= SogliaPicchi!$B$15,"",DatiOriginali!G1394)</f>
        <v>245100</v>
      </c>
      <c r="H1394" s="4">
        <v>4878570</v>
      </c>
      <c r="I1394" s="4">
        <f>IF(DatiOriginali!I1394 &gt;= SogliaPicchi!$B$15,"",DatiOriginali!I1394)</f>
        <v>83600</v>
      </c>
      <c r="J1394" s="4">
        <v>4872613</v>
      </c>
      <c r="K1394" s="4">
        <f>IF(DatiOriginali!K1394 &gt;= SogliaPicchi!$B$15,"",DatiOriginali!K1394)</f>
        <v>94400</v>
      </c>
    </row>
    <row r="1395" spans="1:11" x14ac:dyDescent="0.3">
      <c r="A1395" s="4" t="s">
        <v>1404</v>
      </c>
      <c r="B1395" s="4">
        <v>244650</v>
      </c>
      <c r="C1395" s="4">
        <f>IF(DatiOriginali!C1395 &gt;= SogliaPicchi!$B$15,"",DatiOriginali!C1395)</f>
        <v>1913300</v>
      </c>
      <c r="D1395" s="4">
        <v>128208</v>
      </c>
      <c r="E1395" s="4">
        <f>IF(DatiOriginali!E1395 &gt;= SogliaPicchi!$B$15,"",DatiOriginali!E1395)</f>
        <v>561300</v>
      </c>
      <c r="F1395" s="4">
        <v>3924952</v>
      </c>
      <c r="G1395" s="4">
        <f>IF(DatiOriginali!G1395 &gt;= SogliaPicchi!$B$15,"",DatiOriginali!G1395)</f>
        <v>248900</v>
      </c>
      <c r="H1395" s="4">
        <v>4885584</v>
      </c>
      <c r="I1395" s="4">
        <f>IF(DatiOriginali!I1395 &gt;= SogliaPicchi!$B$15,"",DatiOriginali!I1395)</f>
        <v>84100</v>
      </c>
      <c r="J1395" s="4">
        <v>4879085</v>
      </c>
      <c r="K1395" s="4">
        <f>IF(DatiOriginali!K1395 &gt;= SogliaPicchi!$B$15,"",DatiOriginali!K1395)</f>
        <v>98400</v>
      </c>
    </row>
    <row r="1396" spans="1:11" x14ac:dyDescent="0.3">
      <c r="A1396" s="4" t="s">
        <v>1405</v>
      </c>
      <c r="B1396" s="4">
        <v>244650</v>
      </c>
      <c r="C1396" s="4">
        <f>IF(DatiOriginali!C1396 &gt;= SogliaPicchi!$B$15,"",DatiOriginali!C1396)</f>
        <v>1836000</v>
      </c>
      <c r="D1396" s="4">
        <v>123873</v>
      </c>
      <c r="E1396" s="4">
        <f>IF(DatiOriginali!E1396 &gt;= SogliaPicchi!$B$15,"",DatiOriginali!E1396)</f>
        <v>443300</v>
      </c>
      <c r="F1396" s="4">
        <v>3930723</v>
      </c>
      <c r="G1396" s="4">
        <f>IF(DatiOriginali!G1396 &gt;= SogliaPicchi!$B$15,"",DatiOriginali!G1396)</f>
        <v>247300</v>
      </c>
      <c r="H1396" s="4">
        <v>4893138</v>
      </c>
      <c r="I1396" s="4">
        <f>IF(DatiOriginali!I1396 &gt;= SogliaPicchi!$B$15,"",DatiOriginali!I1396)</f>
        <v>83300</v>
      </c>
      <c r="J1396" s="4">
        <v>4886599</v>
      </c>
      <c r="K1396" s="4">
        <f>IF(DatiOriginali!K1396 &gt;= SogliaPicchi!$B$15,"",DatiOriginali!K1396)</f>
        <v>96100</v>
      </c>
    </row>
    <row r="1397" spans="1:11" x14ac:dyDescent="0.3">
      <c r="A1397" s="4" t="s">
        <v>1406</v>
      </c>
      <c r="B1397" s="4">
        <v>244650</v>
      </c>
      <c r="C1397" s="4">
        <f>IF(DatiOriginali!C1397 &gt;= SogliaPicchi!$B$15,"",DatiOriginali!C1397)</f>
        <v>1847500</v>
      </c>
      <c r="D1397" s="4">
        <v>120379</v>
      </c>
      <c r="E1397" s="4">
        <f>IF(DatiOriginali!E1397 &gt;= SogliaPicchi!$B$15,"",DatiOriginali!E1397)</f>
        <v>489500</v>
      </c>
      <c r="F1397" s="4">
        <v>3936455</v>
      </c>
      <c r="G1397" s="4">
        <f>IF(DatiOriginali!G1397 &gt;= SogliaPicchi!$B$15,"",DatiOriginali!G1397)</f>
        <v>282600</v>
      </c>
      <c r="H1397" s="4">
        <v>4900398</v>
      </c>
      <c r="I1397" s="4">
        <f>IF(DatiOriginali!I1397 &gt;= SogliaPicchi!$B$15,"",DatiOriginali!I1397)</f>
        <v>86300</v>
      </c>
      <c r="J1397" s="4">
        <v>4894618</v>
      </c>
      <c r="K1397" s="4">
        <f>IF(DatiOriginali!K1397 &gt;= SogliaPicchi!$B$15,"",DatiOriginali!K1397)</f>
        <v>97000</v>
      </c>
    </row>
    <row r="1398" spans="1:11" x14ac:dyDescent="0.3">
      <c r="A1398" s="4" t="s">
        <v>1407</v>
      </c>
      <c r="B1398" s="4">
        <v>244650</v>
      </c>
      <c r="C1398" s="4">
        <f>IF(DatiOriginali!C1398 &gt;= SogliaPicchi!$B$15,"",DatiOriginali!C1398)</f>
        <v>1884000</v>
      </c>
      <c r="D1398" s="4">
        <v>118911</v>
      </c>
      <c r="E1398" s="4">
        <f>IF(DatiOriginali!E1398 &gt;= SogliaPicchi!$B$15,"",DatiOriginali!E1398)</f>
        <v>415700</v>
      </c>
      <c r="F1398" s="4">
        <v>3942201</v>
      </c>
      <c r="G1398" s="4">
        <f>IF(DatiOriginali!G1398 &gt;= SogliaPicchi!$B$15,"",DatiOriginali!G1398)</f>
        <v>250000</v>
      </c>
      <c r="H1398" s="4">
        <v>4907646</v>
      </c>
      <c r="I1398" s="4">
        <f>IF(DatiOriginali!I1398 &gt;= SogliaPicchi!$B$15,"",DatiOriginali!I1398)</f>
        <v>81100</v>
      </c>
      <c r="J1398" s="4">
        <v>4902111</v>
      </c>
      <c r="K1398" s="4">
        <f>IF(DatiOriginali!K1398 &gt;= SogliaPicchi!$B$15,"",DatiOriginali!K1398)</f>
        <v>93000</v>
      </c>
    </row>
    <row r="1399" spans="1:11" x14ac:dyDescent="0.3">
      <c r="A1399" s="4" t="s">
        <v>1408</v>
      </c>
      <c r="B1399" s="4">
        <v>244650</v>
      </c>
      <c r="C1399" s="4">
        <f>IF(DatiOriginali!C1399 &gt;= SogliaPicchi!$B$15,"",DatiOriginali!C1399)</f>
        <v>1793500</v>
      </c>
      <c r="D1399" s="4">
        <v>121430</v>
      </c>
      <c r="E1399" s="4">
        <f>IF(DatiOriginali!E1399 &gt;= SogliaPicchi!$B$15,"",DatiOriginali!E1399)</f>
        <v>437000</v>
      </c>
      <c r="F1399" s="4">
        <v>3947984</v>
      </c>
      <c r="G1399" s="4">
        <f>IF(DatiOriginali!G1399 &gt;= SogliaPicchi!$B$15,"",DatiOriginali!G1399)</f>
        <v>249900</v>
      </c>
      <c r="H1399" s="4">
        <v>4915201</v>
      </c>
      <c r="I1399" s="4">
        <f>IF(DatiOriginali!I1399 &gt;= SogliaPicchi!$B$15,"",DatiOriginali!I1399)</f>
        <v>85200</v>
      </c>
      <c r="J1399" s="4">
        <v>4908493</v>
      </c>
      <c r="K1399" s="4">
        <f>IF(DatiOriginali!K1399 &gt;= SogliaPicchi!$B$15,"",DatiOriginali!K1399)</f>
        <v>91400</v>
      </c>
    </row>
    <row r="1400" spans="1:11" x14ac:dyDescent="0.3">
      <c r="A1400" s="4" t="s">
        <v>1409</v>
      </c>
      <c r="B1400" s="4">
        <v>244650</v>
      </c>
      <c r="C1400" s="4">
        <f>IF(DatiOriginali!C1400 &gt;= SogliaPicchi!$B$15,"",DatiOriginali!C1400)</f>
        <v>2335700</v>
      </c>
      <c r="D1400" s="4">
        <v>120089</v>
      </c>
      <c r="E1400" s="4">
        <f>IF(DatiOriginali!E1400 &gt;= SogliaPicchi!$B$15,"",DatiOriginali!E1400)</f>
        <v>511700</v>
      </c>
      <c r="F1400" s="4">
        <v>3953722</v>
      </c>
      <c r="G1400" s="4">
        <f>IF(DatiOriginali!G1400 &gt;= SogliaPicchi!$B$15,"",DatiOriginali!G1400)</f>
        <v>343000</v>
      </c>
      <c r="H1400" s="4">
        <v>4921933</v>
      </c>
      <c r="I1400" s="4">
        <f>IF(DatiOriginali!I1400 &gt;= SogliaPicchi!$B$15,"",DatiOriginali!I1400)</f>
        <v>81500</v>
      </c>
      <c r="J1400" s="4">
        <v>4914957</v>
      </c>
      <c r="K1400" s="4">
        <f>IF(DatiOriginali!K1400 &gt;= SogliaPicchi!$B$15,"",DatiOriginali!K1400)</f>
        <v>94700</v>
      </c>
    </row>
    <row r="1401" spans="1:11" x14ac:dyDescent="0.3">
      <c r="A1401" s="4" t="s">
        <v>1410</v>
      </c>
      <c r="B1401" s="4">
        <v>244650</v>
      </c>
      <c r="C1401" s="4">
        <f>IF(DatiOriginali!C1401 &gt;= SogliaPicchi!$B$15,"",DatiOriginali!C1401)</f>
        <v>2232900</v>
      </c>
      <c r="D1401" s="4">
        <v>116761</v>
      </c>
      <c r="E1401" s="4">
        <f>IF(DatiOriginali!E1401 &gt;= SogliaPicchi!$B$15,"",DatiOriginali!E1401)</f>
        <v>419600</v>
      </c>
      <c r="F1401" s="4">
        <v>3959457</v>
      </c>
      <c r="G1401" s="4">
        <f>IF(DatiOriginali!G1401 &gt;= SogliaPicchi!$B$16,"",DatiOriginali!G1401)</f>
        <v>253700</v>
      </c>
      <c r="H1401" s="4">
        <v>4928632</v>
      </c>
      <c r="I1401" s="4">
        <f>IF(DatiOriginali!I1401 &gt;= SogliaPicchi!$B$16,"",DatiOriginali!I1401)</f>
        <v>85300</v>
      </c>
      <c r="J1401" s="4">
        <v>4921753</v>
      </c>
      <c r="K1401" s="4">
        <f>IF(DatiOriginali!K1401 &gt;= SogliaPicchi!$B$16,"",DatiOriginali!K1401)</f>
        <v>93600</v>
      </c>
    </row>
    <row r="1402" spans="1:11" x14ac:dyDescent="0.3">
      <c r="A1402" s="4" t="s">
        <v>1411</v>
      </c>
      <c r="B1402" s="4">
        <v>280875</v>
      </c>
      <c r="C1402" s="4">
        <f>IF(DatiOriginali!C1402 &gt;= SogliaPicchi!$B$16,"",DatiOriginali!C1402)</f>
        <v>2632700</v>
      </c>
      <c r="D1402" s="4">
        <v>141889</v>
      </c>
      <c r="E1402" s="4">
        <f>IF(DatiOriginali!E1402 &gt;= SogliaPicchi!$B$16,"",DatiOriginali!E1402)</f>
        <v>788700</v>
      </c>
      <c r="F1402" s="4">
        <v>3965709</v>
      </c>
      <c r="G1402" s="4">
        <f>IF(DatiOriginali!G1402 &gt;= SogliaPicchi!$B$16,"",DatiOriginali!G1402)</f>
        <v>272800</v>
      </c>
      <c r="H1402" s="4">
        <v>4935740</v>
      </c>
      <c r="I1402" s="4">
        <f>IF(DatiOriginali!I1402 &gt;= SogliaPicchi!$B$16,"",DatiOriginali!I1402)</f>
        <v>95800</v>
      </c>
      <c r="J1402" s="4">
        <v>4930842</v>
      </c>
      <c r="K1402" s="4">
        <f>IF(DatiOriginali!K1402 &gt;= SogliaPicchi!$B$16,"",DatiOriginali!K1402)</f>
        <v>104900</v>
      </c>
    </row>
    <row r="1403" spans="1:11" x14ac:dyDescent="0.3">
      <c r="A1403" s="4" t="s">
        <v>1412</v>
      </c>
      <c r="B1403" s="4">
        <v>280875</v>
      </c>
      <c r="C1403" s="4">
        <f>IF(DatiOriginali!C1403 &gt;= SogliaPicchi!$B$16,"",DatiOriginali!C1403)</f>
        <v>2692800</v>
      </c>
      <c r="D1403" s="4">
        <v>142055</v>
      </c>
      <c r="E1403" s="4">
        <f>IF(DatiOriginali!E1403 &gt;= SogliaPicchi!$B$16,"",DatiOriginali!E1403)</f>
        <v>492400</v>
      </c>
      <c r="F1403" s="4">
        <v>3971949</v>
      </c>
      <c r="G1403" s="4">
        <f>IF(DatiOriginali!G1403 &gt;= SogliaPicchi!$B$16,"",DatiOriginali!G1403)</f>
        <v>271400</v>
      </c>
      <c r="H1403" s="4">
        <v>4945366</v>
      </c>
      <c r="I1403" s="4">
        <f>IF(DatiOriginali!I1403 &gt;= SogliaPicchi!$B$16,"",DatiOriginali!I1403)</f>
        <v>95600</v>
      </c>
      <c r="J1403" s="4">
        <v>4937943</v>
      </c>
      <c r="K1403" s="4">
        <f>IF(DatiOriginali!K1403 &gt;= SogliaPicchi!$B$16,"",DatiOriginali!K1403)</f>
        <v>104100</v>
      </c>
    </row>
    <row r="1404" spans="1:11" x14ac:dyDescent="0.3">
      <c r="A1404" s="4" t="s">
        <v>1413</v>
      </c>
      <c r="B1404" s="4">
        <v>280875</v>
      </c>
      <c r="C1404" s="4">
        <f>IF(DatiOriginali!C1404 &gt;= SogliaPicchi!$B$16,"",DatiOriginali!C1404)</f>
        <v>2097500</v>
      </c>
      <c r="D1404" s="4">
        <v>142865</v>
      </c>
      <c r="E1404" s="4">
        <f>IF(DatiOriginali!E1404 &gt;= SogliaPicchi!$B$16,"",DatiOriginali!E1404)</f>
        <v>514800</v>
      </c>
      <c r="F1404" s="4">
        <v>3978187</v>
      </c>
      <c r="G1404" s="4">
        <f>IF(DatiOriginali!G1404 &gt;= SogliaPicchi!$B$16,"",DatiOriginali!G1404)</f>
        <v>273400</v>
      </c>
      <c r="H1404" s="4">
        <v>4952450</v>
      </c>
      <c r="I1404" s="4">
        <f>IF(DatiOriginali!I1404 &gt;= SogliaPicchi!$B$16,"",DatiOriginali!I1404)</f>
        <v>89600</v>
      </c>
      <c r="J1404" s="4">
        <v>4945722</v>
      </c>
      <c r="K1404" s="4">
        <f>IF(DatiOriginali!K1404 &gt;= SogliaPicchi!$B$16,"",DatiOriginali!K1404)</f>
        <v>98400</v>
      </c>
    </row>
    <row r="1405" spans="1:11" x14ac:dyDescent="0.3">
      <c r="A1405" s="4" t="s">
        <v>1414</v>
      </c>
      <c r="B1405" s="4">
        <v>280875</v>
      </c>
      <c r="C1405" s="4">
        <f>IF(DatiOriginali!C1405 &gt;= SogliaPicchi!$B$16,"",DatiOriginali!C1405)</f>
        <v>2344900</v>
      </c>
      <c r="D1405" s="4">
        <v>136588</v>
      </c>
      <c r="E1405" s="4">
        <f>IF(DatiOriginali!E1405 &gt;= SogliaPicchi!$B$16,"",DatiOriginali!E1405)</f>
        <v>484900</v>
      </c>
      <c r="F1405" s="4">
        <v>3984455</v>
      </c>
      <c r="G1405" s="4">
        <f>IF(DatiOriginali!G1405 &gt;= SogliaPicchi!$B$16,"",DatiOriginali!G1405)</f>
        <v>287000</v>
      </c>
      <c r="H1405" s="4">
        <v>4959538</v>
      </c>
      <c r="I1405" s="4">
        <f>IF(DatiOriginali!I1405 &gt;= SogliaPicchi!$B$16,"",DatiOriginali!I1405)</f>
        <v>90400</v>
      </c>
      <c r="J1405" s="4">
        <v>4953045</v>
      </c>
      <c r="K1405" s="4">
        <f>IF(DatiOriginali!K1405 &gt;= SogliaPicchi!$B$16,"",DatiOriginali!K1405)</f>
        <v>100700</v>
      </c>
    </row>
    <row r="1406" spans="1:11" x14ac:dyDescent="0.3">
      <c r="A1406" s="4" t="s">
        <v>1415</v>
      </c>
      <c r="B1406" s="4">
        <v>280875</v>
      </c>
      <c r="C1406" s="4">
        <f>IF(DatiOriginali!C1406 &gt;= SogliaPicchi!$B$16,"",DatiOriginali!C1406)</f>
        <v>2132500</v>
      </c>
      <c r="D1406" s="4">
        <v>146111</v>
      </c>
      <c r="E1406" s="4">
        <f>IF(DatiOriginali!E1406 &gt;= SogliaPicchi!$B$16,"",DatiOriginali!E1406)</f>
        <v>505600</v>
      </c>
      <c r="F1406" s="4">
        <v>3990742</v>
      </c>
      <c r="G1406" s="4">
        <f>IF(DatiOriginali!G1406 &gt;= SogliaPicchi!$B$16,"",DatiOriginali!G1406)</f>
        <v>270200</v>
      </c>
      <c r="H1406" s="4">
        <v>4966725</v>
      </c>
      <c r="I1406" s="4">
        <f>IF(DatiOriginali!I1406 &gt;= SogliaPicchi!$B$16,"",DatiOriginali!I1406)</f>
        <v>90600</v>
      </c>
      <c r="J1406" s="4">
        <v>4960812</v>
      </c>
      <c r="K1406" s="4">
        <f>IF(DatiOriginali!K1406 &gt;= SogliaPicchi!$B$16,"",DatiOriginali!K1406)</f>
        <v>98300</v>
      </c>
    </row>
    <row r="1407" spans="1:11" x14ac:dyDescent="0.3">
      <c r="A1407" s="4" t="s">
        <v>1416</v>
      </c>
      <c r="B1407" s="4">
        <v>280875</v>
      </c>
      <c r="C1407" s="4">
        <f>IF(DatiOriginali!C1407 &gt;= SogliaPicchi!$B$16,"",DatiOriginali!C1407)</f>
        <v>2257300</v>
      </c>
      <c r="D1407" s="4">
        <v>142282</v>
      </c>
      <c r="E1407" s="4">
        <f>IF(DatiOriginali!E1407 &gt;= SogliaPicchi!$B$16,"",DatiOriginali!E1407)</f>
        <v>504700</v>
      </c>
      <c r="F1407" s="4">
        <v>3996983</v>
      </c>
      <c r="G1407" s="4">
        <f>IF(DatiOriginali!G1407 &gt;= SogliaPicchi!$B$16,"",DatiOriginali!G1407)</f>
        <v>268000</v>
      </c>
      <c r="H1407" s="4">
        <v>4974200</v>
      </c>
      <c r="I1407" s="4">
        <f>IF(DatiOriginali!I1407 &gt;= SogliaPicchi!$B$16,"",DatiOriginali!I1407)</f>
        <v>91700</v>
      </c>
      <c r="J1407" s="4">
        <v>4968253</v>
      </c>
      <c r="K1407" s="4">
        <f>IF(DatiOriginali!K1407 &gt;= SogliaPicchi!$B$16,"",DatiOriginali!K1407)</f>
        <v>101900</v>
      </c>
    </row>
    <row r="1408" spans="1:11" x14ac:dyDescent="0.3">
      <c r="A1408" s="4" t="s">
        <v>1417</v>
      </c>
      <c r="B1408" s="4">
        <v>280875</v>
      </c>
      <c r="C1408" s="4">
        <f>IF(DatiOriginali!C1408 &gt;= SogliaPicchi!$B$16,"",DatiOriginali!C1408)</f>
        <v>2254900</v>
      </c>
      <c r="D1408" s="4">
        <v>139047</v>
      </c>
      <c r="E1408" s="4">
        <f>IF(DatiOriginali!E1408 &gt;= SogliaPicchi!$B$16,"",DatiOriginali!E1408)</f>
        <v>481600</v>
      </c>
      <c r="F1408" s="4">
        <v>4003219</v>
      </c>
      <c r="G1408" s="4">
        <f>IF(DatiOriginali!G1408 &gt;= SogliaPicchi!$B$16,"",DatiOriginali!G1408)</f>
        <v>272000</v>
      </c>
      <c r="H1408" s="4">
        <v>4981139</v>
      </c>
      <c r="I1408" s="4">
        <f>IF(DatiOriginali!I1408 &gt;= SogliaPicchi!$B$16,"",DatiOriginali!I1408)</f>
        <v>95600</v>
      </c>
      <c r="J1408" s="4">
        <v>4975569</v>
      </c>
      <c r="K1408" s="4">
        <f>IF(DatiOriginali!K1408 &gt;= SogliaPicchi!$B$16,"",DatiOriginali!K1408)</f>
        <v>113500</v>
      </c>
    </row>
    <row r="1409" spans="1:11" x14ac:dyDescent="0.3">
      <c r="A1409" s="4" t="s">
        <v>1418</v>
      </c>
      <c r="B1409" s="4">
        <v>280875</v>
      </c>
      <c r="C1409" s="4">
        <f>IF(DatiOriginali!C1409 &gt;= SogliaPicchi!$B$16,"",DatiOriginali!C1409)</f>
        <v>2182400</v>
      </c>
      <c r="D1409" s="4">
        <v>142230</v>
      </c>
      <c r="E1409" s="4">
        <f>IF(DatiOriginali!E1409 &gt;= SogliaPicchi!$B$16,"",DatiOriginali!E1409)</f>
        <v>494300</v>
      </c>
      <c r="F1409" s="4">
        <v>4009455</v>
      </c>
      <c r="G1409" s="4">
        <f>IF(DatiOriginali!G1409 &gt;= SogliaPicchi!$B$16,"",DatiOriginali!G1409)</f>
        <v>266900</v>
      </c>
      <c r="H1409" s="4">
        <v>4988541</v>
      </c>
      <c r="I1409" s="4">
        <f>IF(DatiOriginali!I1409 &gt;= SogliaPicchi!$B$16,"",DatiOriginali!I1409)</f>
        <v>90300</v>
      </c>
      <c r="J1409" s="4">
        <v>4983333</v>
      </c>
      <c r="K1409" s="4">
        <f>IF(DatiOriginali!K1409 &gt;= SogliaPicchi!$B$16,"",DatiOriginali!K1409)</f>
        <v>110400</v>
      </c>
    </row>
    <row r="1410" spans="1:11" x14ac:dyDescent="0.3">
      <c r="A1410" s="4" t="s">
        <v>1419</v>
      </c>
      <c r="B1410" s="4">
        <v>280875</v>
      </c>
      <c r="C1410" s="4">
        <f>IF(DatiOriginali!C1410 &gt;= SogliaPicchi!$B$16,"",DatiOriginali!C1410)</f>
        <v>2199500</v>
      </c>
      <c r="D1410" s="4">
        <v>141508</v>
      </c>
      <c r="E1410" s="4">
        <f>IF(DatiOriginali!E1410 &gt;= SogliaPicchi!$B$16,"",DatiOriginali!E1410)</f>
        <v>509300</v>
      </c>
      <c r="F1410" s="4">
        <v>4015690</v>
      </c>
      <c r="G1410" s="4">
        <f>IF(DatiOriginali!G1410 &gt;= SogliaPicchi!$B$16,"",DatiOriginali!G1410)</f>
        <v>270200</v>
      </c>
      <c r="H1410" s="4">
        <v>4995612</v>
      </c>
      <c r="I1410" s="4">
        <f>IF(DatiOriginali!I1410 &gt;= SogliaPicchi!$B$16,"",DatiOriginali!I1410)</f>
        <v>88600</v>
      </c>
      <c r="J1410" s="4">
        <v>4990853</v>
      </c>
      <c r="K1410" s="4">
        <f>IF(DatiOriginali!K1410 &gt;= SogliaPicchi!$B$16,"",DatiOriginali!K1410)</f>
        <v>103600</v>
      </c>
    </row>
    <row r="1411" spans="1:11" x14ac:dyDescent="0.3">
      <c r="A1411" s="4" t="s">
        <v>1420</v>
      </c>
      <c r="B1411" s="4">
        <v>280875</v>
      </c>
      <c r="C1411" s="4">
        <f>IF(DatiOriginali!C1411 &gt;= SogliaPicchi!$B$16,"",DatiOriginali!C1411)</f>
        <v>2097300</v>
      </c>
      <c r="D1411" s="4">
        <v>140622</v>
      </c>
      <c r="E1411" s="4">
        <f>IF(DatiOriginali!E1411 &gt;= SogliaPicchi!$B$16,"",DatiOriginali!E1411)</f>
        <v>555900</v>
      </c>
      <c r="F1411" s="4">
        <v>4021951</v>
      </c>
      <c r="G1411" s="4">
        <f>IF(DatiOriginali!G1411 &gt;= SogliaPicchi!$B$16,"",DatiOriginali!G1411)</f>
        <v>273700</v>
      </c>
      <c r="H1411" s="4">
        <v>5003410</v>
      </c>
      <c r="I1411" s="4">
        <f>IF(DatiOriginali!I1411 &gt;= SogliaPicchi!$B$16,"",DatiOriginali!I1411)</f>
        <v>92800</v>
      </c>
      <c r="J1411" s="4">
        <v>4999412</v>
      </c>
      <c r="K1411" s="4">
        <f>IF(DatiOriginali!K1411 &gt;= SogliaPicchi!$B$16,"",DatiOriginali!K1411)</f>
        <v>104100</v>
      </c>
    </row>
    <row r="1412" spans="1:11" x14ac:dyDescent="0.3">
      <c r="A1412" s="4" t="s">
        <v>1421</v>
      </c>
      <c r="B1412" s="4">
        <v>280875</v>
      </c>
      <c r="C1412" s="4">
        <f>IF(DatiOriginali!C1412 &gt;= SogliaPicchi!$B$16,"",DatiOriginali!C1412)</f>
        <v>2227100</v>
      </c>
      <c r="D1412" s="4">
        <v>142629</v>
      </c>
      <c r="E1412" s="4">
        <f>IF(DatiOriginali!E1412 &gt;= SogliaPicchi!$B$16,"",DatiOriginali!E1412)</f>
        <v>494800</v>
      </c>
      <c r="F1412" s="4">
        <v>4028179</v>
      </c>
      <c r="G1412" s="4">
        <f>IF(DatiOriginali!G1412 &gt;= SogliaPicchi!$B$16,"",DatiOriginali!G1412)</f>
        <v>269800</v>
      </c>
      <c r="H1412" s="4">
        <v>5011104</v>
      </c>
      <c r="I1412" s="4">
        <f>IF(DatiOriginali!I1412 &gt;= SogliaPicchi!$B$16,"",DatiOriginali!I1412)</f>
        <v>89400</v>
      </c>
      <c r="J1412" s="4">
        <v>5006947</v>
      </c>
      <c r="K1412" s="4">
        <f>IF(DatiOriginali!K1412 &gt;= SogliaPicchi!$B$16,"",DatiOriginali!K1412)</f>
        <v>99400</v>
      </c>
    </row>
    <row r="1413" spans="1:11" x14ac:dyDescent="0.3">
      <c r="A1413" s="4" t="s">
        <v>1422</v>
      </c>
      <c r="B1413" s="4">
        <v>280875</v>
      </c>
      <c r="C1413" s="4">
        <f>IF(DatiOriginali!C1413 &gt;= SogliaPicchi!$B$16,"",DatiOriginali!C1413)</f>
        <v>2222000</v>
      </c>
      <c r="D1413" s="4">
        <v>136856</v>
      </c>
      <c r="E1413" s="4">
        <f>IF(DatiOriginali!E1413 &gt;= SogliaPicchi!$B$16,"",DatiOriginali!E1413)</f>
        <v>488000</v>
      </c>
      <c r="F1413" s="4">
        <v>4034429</v>
      </c>
      <c r="G1413" s="4">
        <f>IF(DatiOriginali!G1413 &gt;= SogliaPicchi!$B$16,"",DatiOriginali!G1413)</f>
        <v>283400</v>
      </c>
      <c r="H1413" s="4">
        <v>5018823</v>
      </c>
      <c r="I1413" s="4">
        <f>IF(DatiOriginali!I1413 &gt;= SogliaPicchi!$B$16,"",DatiOriginali!I1413)</f>
        <v>106500</v>
      </c>
      <c r="J1413" s="4">
        <v>5015013</v>
      </c>
      <c r="K1413" s="4">
        <f>IF(DatiOriginali!K1413 &gt;= SogliaPicchi!$B$16,"",DatiOriginali!K1413)</f>
        <v>105000</v>
      </c>
    </row>
    <row r="1414" spans="1:11" x14ac:dyDescent="0.3">
      <c r="A1414" s="4" t="s">
        <v>1423</v>
      </c>
      <c r="B1414" s="4">
        <v>280875</v>
      </c>
      <c r="C1414" s="4">
        <f>IF(DatiOriginali!C1414 &gt;= SogliaPicchi!$B$16,"",DatiOriginali!C1414)</f>
        <v>2147900</v>
      </c>
      <c r="D1414" s="4">
        <v>138277</v>
      </c>
      <c r="E1414" s="4">
        <f>IF(DatiOriginali!E1414 &gt;= SogliaPicchi!$B$16,"",DatiOriginali!E1414)</f>
        <v>480400</v>
      </c>
      <c r="F1414" s="4">
        <v>4040660</v>
      </c>
      <c r="G1414" s="4">
        <f>IF(DatiOriginali!G1414 &gt;= SogliaPicchi!$B$16,"",DatiOriginali!G1414)</f>
        <v>267500</v>
      </c>
      <c r="H1414" s="4">
        <v>5026418</v>
      </c>
      <c r="I1414" s="4">
        <f>IF(DatiOriginali!I1414 &gt;= SogliaPicchi!$B$16,"",DatiOriginali!I1414)</f>
        <v>89700</v>
      </c>
      <c r="J1414" s="4">
        <v>5023571</v>
      </c>
      <c r="K1414" s="4">
        <f>IF(DatiOriginali!K1414 &gt;= SogliaPicchi!$B$16,"",DatiOriginali!K1414)</f>
        <v>102400</v>
      </c>
    </row>
    <row r="1415" spans="1:11" x14ac:dyDescent="0.3">
      <c r="A1415" s="4" t="s">
        <v>1424</v>
      </c>
      <c r="B1415" s="4">
        <v>280875</v>
      </c>
      <c r="C1415" s="4">
        <f>IF(DatiOriginali!C1415 &gt;= SogliaPicchi!$B$16,"",DatiOriginali!C1415)</f>
        <v>2045900</v>
      </c>
      <c r="D1415" s="4">
        <v>138024</v>
      </c>
      <c r="E1415" s="4">
        <f>IF(DatiOriginali!E1415 &gt;= SogliaPicchi!$B$16,"",DatiOriginali!E1415)</f>
        <v>477300</v>
      </c>
      <c r="F1415" s="4">
        <v>4046901</v>
      </c>
      <c r="G1415" s="4">
        <f>IF(DatiOriginali!G1415 &gt;= SogliaPicchi!$B$16,"",DatiOriginali!G1415)</f>
        <v>267700</v>
      </c>
      <c r="H1415" s="4">
        <v>5034275</v>
      </c>
      <c r="I1415" s="4">
        <f>IF(DatiOriginali!I1415 &gt;= SogliaPicchi!$B$16,"",DatiOriginali!I1415)</f>
        <v>95400</v>
      </c>
      <c r="J1415" s="4">
        <v>5031302</v>
      </c>
      <c r="K1415" s="4">
        <f>IF(DatiOriginali!K1415 &gt;= SogliaPicchi!$B$16,"",DatiOriginali!K1415)</f>
        <v>98000</v>
      </c>
    </row>
    <row r="1416" spans="1:11" x14ac:dyDescent="0.3">
      <c r="A1416" s="4" t="s">
        <v>1425</v>
      </c>
      <c r="B1416" s="4">
        <v>280875</v>
      </c>
      <c r="C1416" s="4">
        <f>IF(DatiOriginali!C1416 &gt;= SogliaPicchi!$B$16,"",DatiOriginali!C1416)</f>
        <v>2275100</v>
      </c>
      <c r="D1416" s="4">
        <v>145507</v>
      </c>
      <c r="E1416" s="4">
        <f>IF(DatiOriginali!E1416 &gt;= SogliaPicchi!$B$16,"",DatiOriginali!E1416)</f>
        <v>503600</v>
      </c>
      <c r="F1416" s="4">
        <v>4053118</v>
      </c>
      <c r="G1416" s="4">
        <f>IF(DatiOriginali!G1416 &gt;= SogliaPicchi!$B$16,"",DatiOriginali!G1416)</f>
        <v>306600</v>
      </c>
      <c r="H1416" s="4">
        <v>5042069</v>
      </c>
      <c r="I1416" s="4">
        <f>IF(DatiOriginali!I1416 &gt;= SogliaPicchi!$B$16,"",DatiOriginali!I1416)</f>
        <v>122000</v>
      </c>
      <c r="J1416" s="4">
        <v>5039244</v>
      </c>
      <c r="K1416" s="4">
        <f>IF(DatiOriginali!K1416 &gt;= SogliaPicchi!$B$16,"",DatiOriginali!K1416)</f>
        <v>140700</v>
      </c>
    </row>
    <row r="1417" spans="1:11" x14ac:dyDescent="0.3">
      <c r="A1417" s="4" t="s">
        <v>1426</v>
      </c>
      <c r="B1417" s="4">
        <v>280875</v>
      </c>
      <c r="C1417" s="4">
        <f>IF(DatiOriginali!C1417 &gt;= SogliaPicchi!$B$16,"",DatiOriginali!C1417)</f>
        <v>2635700</v>
      </c>
      <c r="D1417" s="4">
        <v>140170</v>
      </c>
      <c r="E1417" s="4">
        <f>IF(DatiOriginali!E1417 &gt;= SogliaPicchi!$B$16,"",DatiOriginali!E1417)</f>
        <v>486700</v>
      </c>
      <c r="F1417" s="4">
        <v>4059344</v>
      </c>
      <c r="G1417" s="4">
        <f>IF(DatiOriginali!G1417 &gt;= SogliaPicchi!$B$16,"",DatiOriginali!G1417)</f>
        <v>269400</v>
      </c>
      <c r="H1417" s="4">
        <v>5049025</v>
      </c>
      <c r="I1417" s="4">
        <f>IF(DatiOriginali!I1417 &gt;= SogliaPicchi!$B$16,"",DatiOriginali!I1417)</f>
        <v>90100</v>
      </c>
      <c r="J1417" s="4">
        <v>5047045</v>
      </c>
      <c r="K1417" s="4">
        <f>IF(DatiOriginali!K1417 &gt;= SogliaPicchi!$B$16,"",DatiOriginali!K1417)</f>
        <v>100200</v>
      </c>
    </row>
    <row r="1418" spans="1:11" x14ac:dyDescent="0.3">
      <c r="A1418" s="4" t="s">
        <v>1427</v>
      </c>
      <c r="B1418" s="4">
        <v>280875</v>
      </c>
      <c r="C1418" s="4">
        <f>IF(DatiOriginali!C1418 &gt;= SogliaPicchi!$B$16,"",DatiOriginali!C1418)</f>
        <v>2241000</v>
      </c>
      <c r="D1418" s="4">
        <v>143115</v>
      </c>
      <c r="E1418" s="4">
        <f>IF(DatiOriginali!E1418 &gt;= SogliaPicchi!$B$16,"",DatiOriginali!E1418)</f>
        <v>517300</v>
      </c>
      <c r="F1418" s="4">
        <v>4065581</v>
      </c>
      <c r="G1418" s="4">
        <f>IF(DatiOriginali!G1418 &gt;= SogliaPicchi!$B$16,"",DatiOriginali!G1418)</f>
        <v>272100</v>
      </c>
      <c r="H1418" s="4">
        <v>5056763</v>
      </c>
      <c r="I1418" s="4">
        <f>IF(DatiOriginali!I1418 &gt;= SogliaPicchi!$B$16,"",DatiOriginali!I1418)</f>
        <v>91000</v>
      </c>
      <c r="J1418" s="4">
        <v>5054730</v>
      </c>
      <c r="K1418" s="4">
        <f>IF(DatiOriginali!K1418 &gt;= SogliaPicchi!$B$16,"",DatiOriginali!K1418)</f>
        <v>100900</v>
      </c>
    </row>
    <row r="1419" spans="1:11" x14ac:dyDescent="0.3">
      <c r="A1419" s="4" t="s">
        <v>1428</v>
      </c>
      <c r="B1419" s="4">
        <v>280875</v>
      </c>
      <c r="C1419" s="4">
        <f>IF(DatiOriginali!C1419 &gt;= SogliaPicchi!$B$16,"",DatiOriginali!C1419)</f>
        <v>2083200</v>
      </c>
      <c r="D1419" s="4">
        <v>145690</v>
      </c>
      <c r="E1419" s="4">
        <f>IF(DatiOriginali!E1419 &gt;= SogliaPicchi!$B$16,"",DatiOriginali!E1419)</f>
        <v>505700</v>
      </c>
      <c r="F1419" s="4">
        <v>4071795</v>
      </c>
      <c r="G1419" s="4">
        <f>IF(DatiOriginali!G1419 &gt;= SogliaPicchi!$B$16,"",DatiOriginali!G1419)</f>
        <v>266300</v>
      </c>
      <c r="H1419" s="4">
        <v>5064188</v>
      </c>
      <c r="I1419" s="4">
        <f>IF(DatiOriginali!I1419 &gt;= SogliaPicchi!$B$16,"",DatiOriginali!I1419)</f>
        <v>89400</v>
      </c>
      <c r="J1419" s="4">
        <v>5062450</v>
      </c>
      <c r="K1419" s="4">
        <f>IF(DatiOriginali!K1419 &gt;= SogliaPicchi!$B$16,"",DatiOriginali!K1419)</f>
        <v>101200</v>
      </c>
    </row>
    <row r="1420" spans="1:11" x14ac:dyDescent="0.3">
      <c r="A1420" s="4" t="s">
        <v>1429</v>
      </c>
      <c r="B1420" s="4">
        <v>280875</v>
      </c>
      <c r="C1420" s="4">
        <f>IF(DatiOriginali!C1420 &gt;= SogliaPicchi!$B$16,"",DatiOriginali!C1420)</f>
        <v>2170800</v>
      </c>
      <c r="D1420" s="4">
        <v>141027</v>
      </c>
      <c r="E1420" s="4">
        <f>IF(DatiOriginali!E1420 &gt;= SogliaPicchi!$B$16,"",DatiOriginali!E1420)</f>
        <v>489700</v>
      </c>
      <c r="F1420" s="4">
        <v>4078011</v>
      </c>
      <c r="G1420" s="4">
        <f>IF(DatiOriginali!G1420 &gt;= SogliaPicchi!$B$16,"",DatiOriginali!G1420)</f>
        <v>272500</v>
      </c>
      <c r="H1420" s="4">
        <v>5072088</v>
      </c>
      <c r="I1420" s="4">
        <f>IF(DatiOriginali!I1420 &gt;= SogliaPicchi!$B$16,"",DatiOriginali!I1420)</f>
        <v>91200</v>
      </c>
      <c r="J1420" s="4">
        <v>5069830</v>
      </c>
      <c r="K1420" s="4">
        <f>IF(DatiOriginali!K1420 &gt;= SogliaPicchi!$B$16,"",DatiOriginali!K1420)</f>
        <v>99200</v>
      </c>
    </row>
    <row r="1421" spans="1:11" x14ac:dyDescent="0.3">
      <c r="A1421" s="4" t="s">
        <v>1430</v>
      </c>
      <c r="B1421" s="4">
        <v>280875</v>
      </c>
      <c r="C1421" s="4">
        <f>IF(DatiOriginali!C1421 &gt;= SogliaPicchi!$B$16,"",DatiOriginali!C1421)</f>
        <v>2308100</v>
      </c>
      <c r="D1421" s="4">
        <v>143978</v>
      </c>
      <c r="E1421" s="4">
        <f>IF(DatiOriginali!E1421 &gt;= SogliaPicchi!$B$16,"",DatiOriginali!E1421)</f>
        <v>508600</v>
      </c>
      <c r="F1421" s="4">
        <v>4084236</v>
      </c>
      <c r="G1421" s="4">
        <f>IF(DatiOriginali!G1421 &gt;= SogliaPicchi!$B$16,"",DatiOriginali!G1421)</f>
        <v>277900</v>
      </c>
      <c r="H1421" s="4">
        <v>5079722</v>
      </c>
      <c r="I1421" s="4">
        <f>IF(DatiOriginali!I1421 &gt;= SogliaPicchi!$B$16,"",DatiOriginali!I1421)</f>
        <v>90400</v>
      </c>
      <c r="J1421" s="4">
        <v>5077685</v>
      </c>
      <c r="K1421" s="4">
        <f>IF(DatiOriginali!K1421 &gt;= SogliaPicchi!$B$16,"",DatiOriginali!K1421)</f>
        <v>101800</v>
      </c>
    </row>
    <row r="1422" spans="1:11" x14ac:dyDescent="0.3">
      <c r="A1422" s="4" t="s">
        <v>1431</v>
      </c>
      <c r="B1422" s="4">
        <v>280875</v>
      </c>
      <c r="C1422" s="4">
        <f>IF(DatiOriginali!C1422 &gt;= SogliaPicchi!$B$16,"",DatiOriginali!C1422)</f>
        <v>2354000</v>
      </c>
      <c r="D1422" s="4">
        <v>142502</v>
      </c>
      <c r="E1422" s="4">
        <f>IF(DatiOriginali!E1422 &gt;= SogliaPicchi!$B$16,"",DatiOriginali!E1422)</f>
        <v>501700</v>
      </c>
      <c r="F1422" s="4">
        <v>4090466</v>
      </c>
      <c r="G1422" s="4">
        <f>IF(DatiOriginali!G1422 &gt;= SogliaPicchi!$B$16,"",DatiOriginali!G1422)</f>
        <v>269300</v>
      </c>
      <c r="H1422" s="4">
        <v>5086641</v>
      </c>
      <c r="I1422" s="4">
        <f>IF(DatiOriginali!I1422 &gt;= SogliaPicchi!$B$16,"",DatiOriginali!I1422)</f>
        <v>91800</v>
      </c>
      <c r="J1422" s="4">
        <v>5085395</v>
      </c>
      <c r="K1422" s="4">
        <f>IF(DatiOriginali!K1422 &gt;= SogliaPicchi!$B$16,"",DatiOriginali!K1422)</f>
        <v>102100</v>
      </c>
    </row>
    <row r="1423" spans="1:11" x14ac:dyDescent="0.3">
      <c r="A1423" s="4" t="s">
        <v>1432</v>
      </c>
      <c r="B1423" s="4">
        <v>280875</v>
      </c>
      <c r="C1423" s="4">
        <f>IF(DatiOriginali!C1423 &gt;= SogliaPicchi!$B$16,"",DatiOriginali!C1423)</f>
        <v>2216700</v>
      </c>
      <c r="D1423" s="4">
        <v>137198</v>
      </c>
      <c r="E1423" s="4">
        <f>IF(DatiOriginali!E1423 &gt;= SogliaPicchi!$B$16,"",DatiOriginali!E1423)</f>
        <v>475600</v>
      </c>
      <c r="F1423" s="4">
        <v>4096704</v>
      </c>
      <c r="G1423" s="4">
        <f>IF(DatiOriginali!G1423 &gt;= SogliaPicchi!$B$16,"",DatiOriginali!G1423)</f>
        <v>271800</v>
      </c>
      <c r="H1423" s="4">
        <v>5094660</v>
      </c>
      <c r="I1423" s="4">
        <f>IF(DatiOriginali!I1423 &gt;= SogliaPicchi!$B$16,"",DatiOriginali!I1423)</f>
        <v>93500</v>
      </c>
      <c r="J1423" s="4">
        <v>5093930</v>
      </c>
      <c r="K1423" s="4">
        <f>IF(DatiOriginali!K1423 &gt;= SogliaPicchi!$B$16,"",DatiOriginali!K1423)</f>
        <v>101600</v>
      </c>
    </row>
    <row r="1424" spans="1:11" x14ac:dyDescent="0.3">
      <c r="A1424" s="4" t="s">
        <v>1433</v>
      </c>
      <c r="B1424" s="4">
        <v>280875</v>
      </c>
      <c r="C1424" s="4">
        <f>IF(DatiOriginali!C1424 &gt;= SogliaPicchi!$B$16,"",DatiOriginali!C1424)</f>
        <v>2146600</v>
      </c>
      <c r="D1424" s="4">
        <v>138613</v>
      </c>
      <c r="E1424" s="4">
        <f>IF(DatiOriginali!E1424 &gt;= SogliaPicchi!$B$16,"",DatiOriginali!E1424)</f>
        <v>485100</v>
      </c>
      <c r="F1424" s="4">
        <v>4102943</v>
      </c>
      <c r="G1424" s="4">
        <f>IF(DatiOriginali!G1424 &gt;= SogliaPicchi!$B$16,"",DatiOriginali!G1424)</f>
        <v>270000</v>
      </c>
      <c r="H1424" s="4">
        <v>5102521</v>
      </c>
      <c r="I1424" s="4">
        <f>IF(DatiOriginali!I1424 &gt;= SogliaPicchi!$B$16,"",DatiOriginali!I1424)</f>
        <v>94900</v>
      </c>
      <c r="J1424" s="4">
        <v>5101730</v>
      </c>
      <c r="K1424" s="4">
        <f>IF(DatiOriginali!K1424 &gt;= SogliaPicchi!$B$16,"",DatiOriginali!K1424)</f>
        <v>102000</v>
      </c>
    </row>
    <row r="1425" spans="1:11" x14ac:dyDescent="0.3">
      <c r="A1425" s="4" t="s">
        <v>1434</v>
      </c>
      <c r="B1425" s="4">
        <v>280875</v>
      </c>
      <c r="C1425" s="4">
        <f>IF(DatiOriginali!C1425 &gt;= SogliaPicchi!$B$16,"",DatiOriginali!C1425)</f>
        <v>2203600</v>
      </c>
      <c r="D1425" s="4">
        <v>139772</v>
      </c>
      <c r="E1425" s="4">
        <f>IF(DatiOriginali!E1425 &gt;= SogliaPicchi!$B$16,"",DatiOriginali!E1425)</f>
        <v>484700</v>
      </c>
      <c r="F1425" s="4">
        <v>4109190</v>
      </c>
      <c r="G1425" s="4">
        <f>IF(DatiOriginali!G1425 &gt;= SogliaPicchi!$B$16,"",DatiOriginali!G1425)</f>
        <v>275300</v>
      </c>
      <c r="H1425" s="4">
        <v>5109936</v>
      </c>
      <c r="I1425" s="4">
        <f>IF(DatiOriginali!I1425 &gt;= SogliaPicchi!$B$16,"",DatiOriginali!I1425)</f>
        <v>93500</v>
      </c>
      <c r="J1425" s="4">
        <v>5109780</v>
      </c>
      <c r="K1425" s="4">
        <f>IF(DatiOriginali!K1425 &gt;= SogliaPicchi!$B$16,"",DatiOriginali!K1425)</f>
        <v>103200</v>
      </c>
    </row>
    <row r="1426" spans="1:11" x14ac:dyDescent="0.3">
      <c r="A1426" s="4" t="s">
        <v>1435</v>
      </c>
      <c r="B1426" s="4">
        <v>280875</v>
      </c>
      <c r="C1426" s="4">
        <f>IF(DatiOriginali!C1426 &gt;= SogliaPicchi!$B$16,"",DatiOriginali!C1426)</f>
        <v>2702700</v>
      </c>
      <c r="D1426" s="4">
        <v>141968</v>
      </c>
      <c r="E1426" s="4">
        <f>IF(DatiOriginali!E1426 &gt;= SogliaPicchi!$B$16,"",DatiOriginali!E1426)</f>
        <v>510400</v>
      </c>
      <c r="F1426" s="4">
        <v>4115390</v>
      </c>
      <c r="G1426" s="4">
        <f>IF(DatiOriginali!G1426 &gt;= SogliaPicchi!$B$16,"",DatiOriginali!G1426)</f>
        <v>271400</v>
      </c>
      <c r="H1426" s="4">
        <v>5118832</v>
      </c>
      <c r="I1426" s="4">
        <f>IF(DatiOriginali!I1426 &gt;= SogliaPicchi!$B$16,"",DatiOriginali!I1426)</f>
        <v>94200</v>
      </c>
      <c r="J1426" s="4">
        <v>5117403</v>
      </c>
      <c r="K1426" s="4">
        <f>IF(DatiOriginali!K1426 &gt;= SogliaPicchi!$B$16,"",DatiOriginali!K1426)</f>
        <v>102400</v>
      </c>
    </row>
    <row r="1427" spans="1:11" x14ac:dyDescent="0.3">
      <c r="A1427" s="4" t="s">
        <v>1436</v>
      </c>
      <c r="B1427" s="4">
        <v>280875</v>
      </c>
      <c r="C1427" s="4">
        <f>IF(DatiOriginali!C1427 &gt;= SogliaPicchi!$B$16,"",DatiOriginali!C1427)</f>
        <v>2606200</v>
      </c>
      <c r="D1427" s="4">
        <v>140481</v>
      </c>
      <c r="E1427" s="4">
        <f>IF(DatiOriginali!E1427 &gt;= SogliaPicchi!$B$16,"",DatiOriginali!E1427)</f>
        <v>510100</v>
      </c>
      <c r="F1427" s="4">
        <v>4121632</v>
      </c>
      <c r="G1427" s="4">
        <f>IF(DatiOriginali!G1427 &gt;= SogliaPicchi!$B$16,"",DatiOriginali!G1427)</f>
        <v>274900</v>
      </c>
      <c r="H1427" s="4">
        <v>5126078</v>
      </c>
      <c r="I1427" s="4">
        <f>IF(DatiOriginali!I1427 &gt;= SogliaPicchi!$B$16,"",DatiOriginali!I1427)</f>
        <v>89600</v>
      </c>
      <c r="J1427" s="4">
        <v>5124845</v>
      </c>
      <c r="K1427" s="4">
        <f>IF(DatiOriginali!K1427 &gt;= SogliaPicchi!$B$16,"",DatiOriginali!K1427)</f>
        <v>100200</v>
      </c>
    </row>
    <row r="1428" spans="1:11" x14ac:dyDescent="0.3">
      <c r="A1428" s="4" t="s">
        <v>1437</v>
      </c>
      <c r="B1428" s="4">
        <v>280875</v>
      </c>
      <c r="C1428" s="4">
        <f>IF(DatiOriginali!C1428 &gt;= SogliaPicchi!$B$16,"",DatiOriginali!C1428)</f>
        <v>2214000</v>
      </c>
      <c r="D1428" s="4">
        <v>145784</v>
      </c>
      <c r="E1428" s="4">
        <f>IF(DatiOriginali!E1428 &gt;= SogliaPicchi!$B$16,"",DatiOriginali!E1428)</f>
        <v>504200</v>
      </c>
      <c r="F1428" s="4">
        <v>4127846</v>
      </c>
      <c r="G1428" s="4">
        <f>IF(DatiOriginali!G1428 &gt;= SogliaPicchi!$B$16,"",DatiOriginali!G1428)</f>
        <v>267400</v>
      </c>
      <c r="H1428" s="4">
        <v>5133930</v>
      </c>
      <c r="I1428" s="4">
        <f>IF(DatiOriginali!I1428 &gt;= SogliaPicchi!$B$16,"",DatiOriginali!I1428)</f>
        <v>96400</v>
      </c>
      <c r="J1428" s="4">
        <v>5133417</v>
      </c>
      <c r="K1428" s="4">
        <f>IF(DatiOriginali!K1428 &gt;= SogliaPicchi!$B$16,"",DatiOriginali!K1428)</f>
        <v>101800</v>
      </c>
    </row>
    <row r="1429" spans="1:11" x14ac:dyDescent="0.3">
      <c r="A1429" s="4" t="s">
        <v>1438</v>
      </c>
      <c r="B1429" s="4">
        <v>280875</v>
      </c>
      <c r="C1429" s="4">
        <f>IF(DatiOriginali!C1429 &gt;= SogliaPicchi!$B$16,"",DatiOriginali!C1429)</f>
        <v>2675000</v>
      </c>
      <c r="D1429" s="4">
        <v>139040</v>
      </c>
      <c r="E1429" s="4">
        <f>IF(DatiOriginali!E1429 &gt;= SogliaPicchi!$B$16,"",DatiOriginali!E1429)</f>
        <v>502100</v>
      </c>
      <c r="F1429" s="4">
        <v>4134109</v>
      </c>
      <c r="G1429" s="4">
        <f>IF(DatiOriginali!G1429 &gt;= SogliaPicchi!$B$16,"",DatiOriginali!G1429)</f>
        <v>301400</v>
      </c>
      <c r="H1429" s="4">
        <v>5142175</v>
      </c>
      <c r="I1429" s="4">
        <f>IF(DatiOriginali!I1429 &gt;= SogliaPicchi!$B$16,"",DatiOriginali!I1429)</f>
        <v>92200</v>
      </c>
      <c r="J1429" s="4">
        <v>5141556</v>
      </c>
      <c r="K1429" s="4">
        <f>IF(DatiOriginali!K1429 &gt;= SogliaPicchi!$B$16,"",DatiOriginali!K1429)</f>
        <v>104500</v>
      </c>
    </row>
    <row r="1430" spans="1:11" x14ac:dyDescent="0.3">
      <c r="A1430" s="4" t="s">
        <v>1439</v>
      </c>
      <c r="B1430" s="4">
        <v>280875</v>
      </c>
      <c r="C1430" s="4">
        <f>IF(DatiOriginali!C1430 &gt;= SogliaPicchi!$B$16,"",DatiOriginali!C1430)</f>
        <v>2506300</v>
      </c>
      <c r="D1430" s="4">
        <v>138802</v>
      </c>
      <c r="E1430" s="4">
        <f>IF(DatiOriginali!E1430 &gt;= SogliaPicchi!$B$16,"",DatiOriginali!E1430)</f>
        <v>486300</v>
      </c>
      <c r="F1430" s="4">
        <v>4140351</v>
      </c>
      <c r="G1430" s="4">
        <f>IF(DatiOriginali!G1430 &gt;= SogliaPicchi!$B$16,"",DatiOriginali!G1430)</f>
        <v>269000</v>
      </c>
      <c r="H1430" s="4">
        <v>5150393</v>
      </c>
      <c r="I1430" s="4">
        <f>IF(DatiOriginali!I1430 &gt;= SogliaPicchi!$B$16,"",DatiOriginali!I1430)</f>
        <v>87900</v>
      </c>
      <c r="J1430" s="4">
        <v>5149741</v>
      </c>
      <c r="K1430" s="4">
        <f>IF(DatiOriginali!K1430 &gt;= SogliaPicchi!$B$16,"",DatiOriginali!K1430)</f>
        <v>104100</v>
      </c>
    </row>
    <row r="1431" spans="1:11" x14ac:dyDescent="0.3">
      <c r="A1431" s="4" t="s">
        <v>1440</v>
      </c>
      <c r="B1431" s="4">
        <v>280875</v>
      </c>
      <c r="C1431" s="4">
        <f>IF(DatiOriginali!C1431 &gt;= SogliaPicchi!$B$16,"",DatiOriginali!C1431)</f>
        <v>2300600</v>
      </c>
      <c r="D1431" s="4">
        <v>138900</v>
      </c>
      <c r="E1431" s="4">
        <f>IF(DatiOriginali!E1431 &gt;= SogliaPicchi!$B$16,"",DatiOriginali!E1431)</f>
        <v>487100</v>
      </c>
      <c r="F1431" s="4">
        <v>4146594</v>
      </c>
      <c r="G1431" s="4">
        <f>IF(DatiOriginali!G1431 &gt;= SogliaPicchi!$B$16,"",DatiOriginali!G1431)</f>
        <v>269400</v>
      </c>
      <c r="H1431" s="4">
        <v>5157690</v>
      </c>
      <c r="I1431" s="4">
        <f>IF(DatiOriginali!I1431 &gt;= SogliaPicchi!$B$16,"",DatiOriginali!I1431)</f>
        <v>89000</v>
      </c>
      <c r="J1431" s="4">
        <v>5156883</v>
      </c>
      <c r="K1431" s="4">
        <f>IF(DatiOriginali!K1431 &gt;= SogliaPicchi!$B$16,"",DatiOriginali!K1431)</f>
        <v>101500</v>
      </c>
    </row>
    <row r="1432" spans="1:11" x14ac:dyDescent="0.3">
      <c r="A1432" s="4" t="s">
        <v>1441</v>
      </c>
      <c r="B1432" s="4">
        <v>280875</v>
      </c>
      <c r="C1432" s="4">
        <f>IF(DatiOriginali!C1432 &gt;= SogliaPicchi!$B$16,"",DatiOriginali!C1432)</f>
        <v>2650300</v>
      </c>
      <c r="D1432" s="4">
        <v>145164</v>
      </c>
      <c r="E1432" s="4">
        <f>IF(DatiOriginali!E1432 &gt;= SogliaPicchi!$B$16,"",DatiOriginali!E1432)</f>
        <v>540000</v>
      </c>
      <c r="F1432" s="4">
        <v>4152846</v>
      </c>
      <c r="G1432" s="4">
        <f>IF(DatiOriginali!G1432 &gt;= SogliaPicchi!$B$16,"",DatiOriginali!G1432)</f>
        <v>291900</v>
      </c>
      <c r="H1432" s="4">
        <v>5164902</v>
      </c>
      <c r="I1432" s="4">
        <f>IF(DatiOriginali!I1432 &gt;= SogliaPicchi!$B$16,"",DatiOriginali!I1432)</f>
        <v>94700</v>
      </c>
      <c r="J1432" s="4">
        <v>5164777</v>
      </c>
      <c r="K1432" s="4">
        <f>IF(DatiOriginali!K1432 &gt;= SogliaPicchi!$B$16,"",DatiOriginali!K1432)</f>
        <v>104300</v>
      </c>
    </row>
    <row r="1433" spans="1:11" x14ac:dyDescent="0.3">
      <c r="A1433" s="4" t="s">
        <v>1442</v>
      </c>
      <c r="B1433" s="4">
        <v>280875</v>
      </c>
      <c r="C1433" s="4">
        <f>IF(DatiOriginali!C1433 &gt;= SogliaPicchi!$B$16,"",DatiOriginali!C1433)</f>
        <v>2194300</v>
      </c>
      <c r="D1433" s="4">
        <v>142795</v>
      </c>
      <c r="E1433" s="4">
        <f>IF(DatiOriginali!E1433 &gt;= SogliaPicchi!$B$16,"",DatiOriginali!E1433)</f>
        <v>497500</v>
      </c>
      <c r="F1433" s="4">
        <v>4159069</v>
      </c>
      <c r="G1433" s="4">
        <f>IF(DatiOriginali!G1433 &gt;= SogliaPicchi!$B$16,"",DatiOriginali!G1433)</f>
        <v>268200</v>
      </c>
      <c r="H1433" s="4">
        <v>5172735</v>
      </c>
      <c r="I1433" s="4">
        <f>IF(DatiOriginali!I1433 &gt;= SogliaPicchi!$B$16,"",DatiOriginali!I1433)</f>
        <v>91500</v>
      </c>
      <c r="J1433" s="4">
        <v>5172332</v>
      </c>
      <c r="K1433" s="4">
        <f>IF(DatiOriginali!K1433 &gt;= SogliaPicchi!$B$16,"",DatiOriginali!K1433)</f>
        <v>99600</v>
      </c>
    </row>
    <row r="1434" spans="1:11" x14ac:dyDescent="0.3">
      <c r="A1434" s="4" t="s">
        <v>1443</v>
      </c>
      <c r="B1434" s="4">
        <v>280875</v>
      </c>
      <c r="C1434" s="4">
        <f>IF(DatiOriginali!C1434 &gt;= SogliaPicchi!$B$16,"",DatiOriginali!C1434)</f>
        <v>2206400</v>
      </c>
      <c r="D1434" s="4">
        <v>132563</v>
      </c>
      <c r="E1434" s="4">
        <f>IF(DatiOriginali!E1434 &gt;= SogliaPicchi!$B$16,"",DatiOriginali!E1434)</f>
        <v>460900</v>
      </c>
      <c r="F1434" s="4">
        <v>4165280</v>
      </c>
      <c r="G1434" s="4">
        <f>IF(DatiOriginali!G1434 &gt;= SogliaPicchi!$B$16,"",DatiOriginali!G1434)</f>
        <v>274000</v>
      </c>
      <c r="H1434" s="4">
        <v>5180681</v>
      </c>
      <c r="I1434" s="4">
        <f>IF(DatiOriginali!I1434 &gt;= SogliaPicchi!$B$16,"",DatiOriginali!I1434)</f>
        <v>93900</v>
      </c>
      <c r="J1434" s="4">
        <v>5179840</v>
      </c>
      <c r="K1434" s="4">
        <f>IF(DatiOriginali!K1434 &gt;= SogliaPicchi!$B$16,"",DatiOriginali!K1434)</f>
        <v>104100</v>
      </c>
    </row>
    <row r="1435" spans="1:11" x14ac:dyDescent="0.3">
      <c r="A1435" s="4" t="s">
        <v>1444</v>
      </c>
      <c r="B1435" s="4">
        <v>280875</v>
      </c>
      <c r="C1435" s="4">
        <f>IF(DatiOriginali!C1435 &gt;= SogliaPicchi!$B$16,"",DatiOriginali!C1435)</f>
        <v>2613900</v>
      </c>
      <c r="D1435" s="4">
        <v>142163</v>
      </c>
      <c r="E1435" s="4">
        <f>IF(DatiOriginali!E1435 &gt;= SogliaPicchi!$B$16,"",DatiOriginali!E1435)</f>
        <v>492500</v>
      </c>
      <c r="F1435" s="4">
        <v>4171538</v>
      </c>
      <c r="G1435" s="4">
        <f>IF(DatiOriginali!G1435 &gt;= SogliaPicchi!$B$16,"",DatiOriginali!G1435)</f>
        <v>269900</v>
      </c>
      <c r="H1435" s="4">
        <v>5188028</v>
      </c>
      <c r="I1435" s="4">
        <f>IF(DatiOriginali!I1435 &gt;= SogliaPicchi!$B$16,"",DatiOriginali!I1435)</f>
        <v>94700</v>
      </c>
      <c r="J1435" s="4">
        <v>5187487</v>
      </c>
      <c r="K1435" s="4">
        <f>IF(DatiOriginali!K1435 &gt;= SogliaPicchi!$B$16,"",DatiOriginali!K1435)</f>
        <v>104500</v>
      </c>
    </row>
    <row r="1436" spans="1:11" x14ac:dyDescent="0.3">
      <c r="A1436" s="4" t="s">
        <v>1445</v>
      </c>
      <c r="B1436" s="4">
        <v>280875</v>
      </c>
      <c r="C1436" s="4">
        <f>IF(DatiOriginali!C1436 &gt;= SogliaPicchi!$B$16,"",DatiOriginali!C1436)</f>
        <v>2233700</v>
      </c>
      <c r="D1436" s="4">
        <v>141332</v>
      </c>
      <c r="E1436" s="4">
        <f>IF(DatiOriginali!E1436 &gt;= SogliaPicchi!$B$16,"",DatiOriginali!E1436)</f>
        <v>489900</v>
      </c>
      <c r="F1436" s="4">
        <v>4177791</v>
      </c>
      <c r="G1436" s="4">
        <f>IF(DatiOriginali!G1436 &gt;= SogliaPicchi!$B$16,"",DatiOriginali!G1436)</f>
        <v>272900</v>
      </c>
      <c r="H1436" s="4">
        <v>5195697</v>
      </c>
      <c r="I1436" s="4">
        <f>IF(DatiOriginali!I1436 &gt;= SogliaPicchi!$B$16,"",DatiOriginali!I1436)</f>
        <v>97900</v>
      </c>
      <c r="J1436" s="4">
        <v>5196561</v>
      </c>
      <c r="K1436" s="4">
        <f>IF(DatiOriginali!K1436 &gt;= SogliaPicchi!$B$16,"",DatiOriginali!K1436)</f>
        <v>105900</v>
      </c>
    </row>
    <row r="1437" spans="1:11" x14ac:dyDescent="0.3">
      <c r="A1437" s="4" t="s">
        <v>1446</v>
      </c>
      <c r="B1437" s="4">
        <v>280875</v>
      </c>
      <c r="C1437" s="4">
        <f>IF(DatiOriginali!C1437 &gt;= SogliaPicchi!$B$16,"",DatiOriginali!C1437)</f>
        <v>2426200</v>
      </c>
      <c r="D1437" s="4">
        <v>138706</v>
      </c>
      <c r="E1437" s="4">
        <f>IF(DatiOriginali!E1437 &gt;= SogliaPicchi!$B$16,"",DatiOriginali!E1437)</f>
        <v>504300</v>
      </c>
      <c r="F1437" s="4">
        <v>4183999</v>
      </c>
      <c r="G1437" s="4">
        <f>IF(DatiOriginali!G1437 &gt;= SogliaPicchi!$B$16,"",DatiOriginali!G1437)</f>
        <v>270900</v>
      </c>
      <c r="H1437" s="4">
        <v>5203496</v>
      </c>
      <c r="I1437" s="4">
        <f>IF(DatiOriginali!I1437 &gt;= SogliaPicchi!$B$16,"",DatiOriginali!I1437)</f>
        <v>89800</v>
      </c>
      <c r="J1437" s="4">
        <v>5204858</v>
      </c>
      <c r="K1437" s="4">
        <f>IF(DatiOriginali!K1437 &gt;= SogliaPicchi!$B$16,"",DatiOriginali!K1437)</f>
        <v>102800</v>
      </c>
    </row>
    <row r="1438" spans="1:11" x14ac:dyDescent="0.3">
      <c r="A1438" s="4" t="s">
        <v>1447</v>
      </c>
      <c r="B1438" s="4">
        <v>280875</v>
      </c>
      <c r="C1438" s="4">
        <f>IF(DatiOriginali!C1438 &gt;= SogliaPicchi!$B$16,"",DatiOriginali!C1438)</f>
        <v>2119600</v>
      </c>
      <c r="D1438" s="4">
        <v>135882</v>
      </c>
      <c r="E1438" s="4">
        <f>IF(DatiOriginali!E1438 &gt;= SogliaPicchi!$B$16,"",DatiOriginali!E1438)</f>
        <v>470300</v>
      </c>
      <c r="F1438" s="4">
        <v>4190218</v>
      </c>
      <c r="G1438" s="4">
        <f>IF(DatiOriginali!G1438 &gt;= SogliaPicchi!$B$16,"",DatiOriginali!G1438)</f>
        <v>270000</v>
      </c>
      <c r="H1438" s="4">
        <v>5211225</v>
      </c>
      <c r="I1438" s="4">
        <f>IF(DatiOriginali!I1438 &gt;= SogliaPicchi!$B$16,"",DatiOriginali!I1438)</f>
        <v>92400</v>
      </c>
      <c r="J1438" s="4">
        <v>5212706</v>
      </c>
      <c r="K1438" s="4">
        <f>IF(DatiOriginali!K1438 &gt;= SogliaPicchi!$B$16,"",DatiOriginali!K1438)</f>
        <v>100800</v>
      </c>
    </row>
    <row r="1439" spans="1:11" x14ac:dyDescent="0.3">
      <c r="A1439" s="4" t="s">
        <v>1448</v>
      </c>
      <c r="B1439" s="4">
        <v>280875</v>
      </c>
      <c r="C1439" s="4">
        <f>IF(DatiOriginali!C1439 &gt;= SogliaPicchi!$B$16,"",DatiOriginali!C1439)</f>
        <v>2316600</v>
      </c>
      <c r="D1439" s="4">
        <v>138212</v>
      </c>
      <c r="E1439" s="4">
        <f>IF(DatiOriginali!E1439 &gt;= SogliaPicchi!$B$16,"",DatiOriginali!E1439)</f>
        <v>482900</v>
      </c>
      <c r="F1439" s="4">
        <v>4196469</v>
      </c>
      <c r="G1439" s="4">
        <f>IF(DatiOriginali!G1439 &gt;= SogliaPicchi!$B$16,"",DatiOriginali!G1439)</f>
        <v>270600</v>
      </c>
      <c r="H1439" s="4">
        <v>5219264</v>
      </c>
      <c r="I1439" s="4">
        <f>IF(DatiOriginali!I1439 &gt;= SogliaPicchi!$B$16,"",DatiOriginali!I1439)</f>
        <v>90000</v>
      </c>
      <c r="J1439" s="4">
        <v>5220621</v>
      </c>
      <c r="K1439" s="4">
        <f>IF(DatiOriginali!K1439 &gt;= SogliaPicchi!$B$16,"",DatiOriginali!K1439)</f>
        <v>100300</v>
      </c>
    </row>
    <row r="1440" spans="1:11" x14ac:dyDescent="0.3">
      <c r="A1440" s="4" t="s">
        <v>1449</v>
      </c>
      <c r="B1440" s="4">
        <v>280875</v>
      </c>
      <c r="C1440" s="4">
        <f>IF(DatiOriginali!C1440 &gt;= SogliaPicchi!$B$16,"",DatiOriginali!C1440)</f>
        <v>2530600</v>
      </c>
      <c r="D1440" s="4">
        <v>139832</v>
      </c>
      <c r="E1440" s="4">
        <f>IF(DatiOriginali!E1440 &gt;= SogliaPicchi!$B$16,"",DatiOriginali!E1440)</f>
        <v>488700</v>
      </c>
      <c r="F1440" s="4">
        <v>4202674</v>
      </c>
      <c r="G1440" s="4">
        <f>IF(DatiOriginali!G1440 &gt;= SogliaPicchi!$B$16,"",DatiOriginali!G1440)</f>
        <v>269300</v>
      </c>
      <c r="H1440" s="4">
        <v>5228263</v>
      </c>
      <c r="I1440" s="4">
        <f>IF(DatiOriginali!I1440 &gt;= SogliaPicchi!$B$16,"",DatiOriginali!I1440)</f>
        <v>95700</v>
      </c>
      <c r="J1440" s="4">
        <v>5228911</v>
      </c>
      <c r="K1440" s="4">
        <f>IF(DatiOriginali!K1440 &gt;= SogliaPicchi!$B$16,"",DatiOriginali!K1440)</f>
        <v>102500</v>
      </c>
    </row>
    <row r="1441" spans="1:11" x14ac:dyDescent="0.3">
      <c r="A1441" s="4" t="s">
        <v>1450</v>
      </c>
      <c r="B1441" s="4">
        <v>280875</v>
      </c>
      <c r="C1441" s="4">
        <f>IF(DatiOriginali!C1441 &gt;= SogliaPicchi!$B$16,"",DatiOriginali!C1441)</f>
        <v>2177800</v>
      </c>
      <c r="D1441" s="4">
        <v>136650</v>
      </c>
      <c r="E1441" s="4">
        <f>IF(DatiOriginali!E1441 &gt;= SogliaPicchi!$B$16,"",DatiOriginali!E1441)</f>
        <v>473400</v>
      </c>
      <c r="F1441" s="4">
        <v>4208907</v>
      </c>
      <c r="G1441" s="4">
        <f>IF(DatiOriginali!G1441 &gt;= SogliaPicchi!$B$16,"",DatiOriginali!G1441)</f>
        <v>273400</v>
      </c>
      <c r="H1441" s="4">
        <v>5235798</v>
      </c>
      <c r="I1441" s="4">
        <f>IF(DatiOriginali!I1441 &gt;= SogliaPicchi!$B$16,"",DatiOriginali!I1441)</f>
        <v>90900</v>
      </c>
      <c r="J1441" s="4">
        <v>5236383</v>
      </c>
      <c r="K1441" s="4">
        <f>IF(DatiOriginali!K1441 &gt;= SogliaPicchi!$B$16,"",DatiOriginali!K1441)</f>
        <v>101200</v>
      </c>
    </row>
    <row r="1442" spans="1:11" x14ac:dyDescent="0.3">
      <c r="A1442" s="4" t="s">
        <v>1451</v>
      </c>
      <c r="B1442" s="4">
        <v>280875</v>
      </c>
      <c r="C1442" s="4">
        <f>IF(DatiOriginali!C1442 &gt;= SogliaPicchi!$B$16,"",DatiOriginali!C1442)</f>
        <v>2137300</v>
      </c>
      <c r="D1442" s="4">
        <v>140678</v>
      </c>
      <c r="E1442" s="4">
        <f>IF(DatiOriginali!E1442 &gt;= SogliaPicchi!$B$16,"",DatiOriginali!E1442)</f>
        <v>489400</v>
      </c>
      <c r="F1442" s="4">
        <v>4215163</v>
      </c>
      <c r="G1442" s="4">
        <f>IF(DatiOriginali!G1442 &gt;= SogliaPicchi!$B$16,"",DatiOriginali!G1442)</f>
        <v>273000</v>
      </c>
      <c r="H1442" s="4">
        <v>5244000</v>
      </c>
      <c r="I1442" s="4">
        <f>IF(DatiOriginali!I1442 &gt;= SogliaPicchi!$B$16,"",DatiOriginali!I1442)</f>
        <v>89700</v>
      </c>
      <c r="J1442" s="4">
        <v>5244177</v>
      </c>
      <c r="K1442" s="4">
        <f>IF(DatiOriginali!K1442 &gt;= SogliaPicchi!$B$16,"",DatiOriginali!K1442)</f>
        <v>100500</v>
      </c>
    </row>
    <row r="1443" spans="1:11" x14ac:dyDescent="0.3">
      <c r="A1443" s="4" t="s">
        <v>1452</v>
      </c>
      <c r="B1443" s="4">
        <v>280875</v>
      </c>
      <c r="C1443" s="4">
        <f>IF(DatiOriginali!C1443 &gt;= SogliaPicchi!$B$16,"",DatiOriginali!C1443)</f>
        <v>2453400</v>
      </c>
      <c r="D1443" s="4">
        <v>140950</v>
      </c>
      <c r="E1443" s="4">
        <f>IF(DatiOriginali!E1443 &gt;= SogliaPicchi!$B$16,"",DatiOriginali!E1443)</f>
        <v>489500</v>
      </c>
      <c r="F1443" s="4">
        <v>4221391</v>
      </c>
      <c r="G1443" s="4">
        <f>IF(DatiOriginali!G1443 &gt;= SogliaPicchi!$B$16,"",DatiOriginali!G1443)</f>
        <v>270500</v>
      </c>
      <c r="H1443" s="4">
        <v>5252855</v>
      </c>
      <c r="I1443" s="4">
        <f>IF(DatiOriginali!I1443 &gt;= SogliaPicchi!$B$16,"",DatiOriginali!I1443)</f>
        <v>95800</v>
      </c>
      <c r="J1443" s="4">
        <v>5251202</v>
      </c>
      <c r="K1443" s="4">
        <f>IF(DatiOriginali!K1443 &gt;= SogliaPicchi!$B$16,"",DatiOriginali!K1443)</f>
        <v>98800</v>
      </c>
    </row>
    <row r="1444" spans="1:11" x14ac:dyDescent="0.3">
      <c r="A1444" s="4" t="s">
        <v>1453</v>
      </c>
      <c r="B1444" s="4">
        <v>280875</v>
      </c>
      <c r="C1444" s="4">
        <f>IF(DatiOriginali!C1444 &gt;= SogliaPicchi!$B$16,"",DatiOriginali!C1444)</f>
        <v>2277500</v>
      </c>
      <c r="D1444" s="4">
        <v>134755</v>
      </c>
      <c r="E1444" s="4">
        <f>IF(DatiOriginali!E1444 &gt;= SogliaPicchi!$B$16,"",DatiOriginali!E1444)</f>
        <v>468200</v>
      </c>
      <c r="F1444" s="4">
        <v>4227616</v>
      </c>
      <c r="G1444" s="4">
        <f>IF(DatiOriginali!G1444 &gt;= SogliaPicchi!$B$16,"",DatiOriginali!G1444)</f>
        <v>274600</v>
      </c>
      <c r="H1444" s="4">
        <v>5260727</v>
      </c>
      <c r="I1444" s="4">
        <f>IF(DatiOriginali!I1444 &gt;= SogliaPicchi!$B$16,"",DatiOriginali!I1444)</f>
        <v>93200</v>
      </c>
      <c r="J1444" s="4">
        <v>5260336</v>
      </c>
      <c r="K1444" s="4">
        <f>IF(DatiOriginali!K1444 &gt;= SogliaPicchi!$B$16,"",DatiOriginali!K1444)</f>
        <v>103000</v>
      </c>
    </row>
    <row r="1445" spans="1:11" x14ac:dyDescent="0.3">
      <c r="A1445" s="4" t="s">
        <v>1454</v>
      </c>
      <c r="B1445" s="4">
        <v>280875</v>
      </c>
      <c r="C1445" s="4">
        <f>IF(DatiOriginali!C1445 &gt;= SogliaPicchi!$B$16,"",DatiOriginali!C1445)</f>
        <v>2463300</v>
      </c>
      <c r="D1445" s="4">
        <v>133991</v>
      </c>
      <c r="E1445" s="4">
        <f>IF(DatiOriginali!E1445 &gt;= SogliaPicchi!$B$16,"",DatiOriginali!E1445)</f>
        <v>472200</v>
      </c>
      <c r="F1445" s="4">
        <v>4233859</v>
      </c>
      <c r="G1445" s="4">
        <f>IF(DatiOriginali!G1445 &gt;= SogliaPicchi!$B$16,"",DatiOriginali!G1445)</f>
        <v>271700</v>
      </c>
      <c r="H1445" s="4">
        <v>5268680</v>
      </c>
      <c r="I1445" s="4">
        <f>IF(DatiOriginali!I1445 &gt;= SogliaPicchi!$B$16,"",DatiOriginali!I1445)</f>
        <v>91200</v>
      </c>
      <c r="J1445" s="4">
        <v>5267820</v>
      </c>
      <c r="K1445" s="4">
        <f>IF(DatiOriginali!K1445 &gt;= SogliaPicchi!$B$16,"",DatiOriginali!K1445)</f>
        <v>100200</v>
      </c>
    </row>
    <row r="1446" spans="1:11" x14ac:dyDescent="0.3">
      <c r="A1446" s="4" t="s">
        <v>1455</v>
      </c>
      <c r="B1446" s="4">
        <v>280875</v>
      </c>
      <c r="C1446" s="4">
        <f>IF(DatiOriginali!C1446 &gt;= SogliaPicchi!$B$16,"",DatiOriginali!C1446)</f>
        <v>2167900</v>
      </c>
      <c r="D1446" s="4">
        <v>143604</v>
      </c>
      <c r="E1446" s="4">
        <f>IF(DatiOriginali!E1446 &gt;= SogliaPicchi!$B$16,"",DatiOriginali!E1446)</f>
        <v>500200</v>
      </c>
      <c r="F1446" s="4">
        <v>4240069</v>
      </c>
      <c r="G1446" s="4">
        <f>IF(DatiOriginali!G1446 &gt;= SogliaPicchi!$B$16,"",DatiOriginali!G1446)</f>
        <v>272200</v>
      </c>
      <c r="H1446" s="4">
        <v>5276567</v>
      </c>
      <c r="I1446" s="4">
        <f>IF(DatiOriginali!I1446 &gt;= SogliaPicchi!$B$16,"",DatiOriginali!I1446)</f>
        <v>93500</v>
      </c>
      <c r="J1446" s="4">
        <v>5275521</v>
      </c>
      <c r="K1446" s="4">
        <f>IF(DatiOriginali!K1446 &gt;= SogliaPicchi!$B$16,"",DatiOriginali!K1446)</f>
        <v>99400</v>
      </c>
    </row>
    <row r="1447" spans="1:11" x14ac:dyDescent="0.3">
      <c r="A1447" s="4" t="s">
        <v>1456</v>
      </c>
      <c r="B1447" s="4">
        <v>280875</v>
      </c>
      <c r="C1447" s="4">
        <f>IF(DatiOriginali!C1447 &gt;= SogliaPicchi!$B$16,"",DatiOriginali!C1447)</f>
        <v>2141600</v>
      </c>
      <c r="D1447" s="4">
        <v>139923</v>
      </c>
      <c r="E1447" s="4">
        <f>IF(DatiOriginali!E1447 &gt;= SogliaPicchi!$B$16,"",DatiOriginali!E1447)</f>
        <v>495200</v>
      </c>
      <c r="F1447" s="4">
        <v>4246308</v>
      </c>
      <c r="G1447" s="4">
        <f>IF(DatiOriginali!G1447 &gt;= SogliaPicchi!$B$16,"",DatiOriginali!G1447)</f>
        <v>273200</v>
      </c>
      <c r="H1447" s="4">
        <v>5284758</v>
      </c>
      <c r="I1447" s="4">
        <f>IF(DatiOriginali!I1447 &gt;= SogliaPicchi!$B$16,"",DatiOriginali!I1447)</f>
        <v>94100</v>
      </c>
      <c r="J1447" s="4">
        <v>5284035</v>
      </c>
      <c r="K1447" s="4">
        <f>IF(DatiOriginali!K1447 &gt;= SogliaPicchi!$B$16,"",DatiOriginali!K1447)</f>
        <v>103300</v>
      </c>
    </row>
    <row r="1448" spans="1:11" x14ac:dyDescent="0.3">
      <c r="A1448" s="4" t="s">
        <v>1457</v>
      </c>
      <c r="B1448" s="4">
        <v>280875</v>
      </c>
      <c r="C1448" s="4">
        <f>IF(DatiOriginali!C1448 &gt;= SogliaPicchi!$B$16,"",DatiOriginali!C1448)</f>
        <v>2242700</v>
      </c>
      <c r="D1448" s="4">
        <v>140999</v>
      </c>
      <c r="E1448" s="4">
        <f>IF(DatiOriginali!E1448 &gt;= SogliaPicchi!$B$16,"",DatiOriginali!E1448)</f>
        <v>553300</v>
      </c>
      <c r="F1448" s="4">
        <v>4252527</v>
      </c>
      <c r="G1448" s="4">
        <f>IF(DatiOriginali!G1448 &gt;= SogliaPicchi!$B$16,"",DatiOriginali!G1448)</f>
        <v>288500</v>
      </c>
      <c r="H1448" s="4">
        <v>5291995</v>
      </c>
      <c r="I1448" s="4">
        <f>IF(DatiOriginali!I1448 &gt;= SogliaPicchi!$B$16,"",DatiOriginali!I1448)</f>
        <v>90700</v>
      </c>
      <c r="J1448" s="4">
        <v>5292292</v>
      </c>
      <c r="K1448" s="4">
        <f>IF(DatiOriginali!K1448 &gt;= SogliaPicchi!$B$16,"",DatiOriginali!K1448)</f>
        <v>101400</v>
      </c>
    </row>
    <row r="1449" spans="1:11" x14ac:dyDescent="0.3">
      <c r="A1449" s="4" t="s">
        <v>1458</v>
      </c>
      <c r="B1449" s="4">
        <v>280875</v>
      </c>
      <c r="C1449" s="4">
        <f>IF(DatiOriginali!C1449 &gt;= SogliaPicchi!$B$16,"",DatiOriginali!C1449)</f>
        <v>2131900</v>
      </c>
      <c r="D1449" s="4">
        <v>138521</v>
      </c>
      <c r="E1449" s="4">
        <f>IF(DatiOriginali!E1449 &gt;= SogliaPicchi!$B$16,"",DatiOriginali!E1449)</f>
        <v>500000</v>
      </c>
      <c r="F1449" s="4">
        <v>4258781</v>
      </c>
      <c r="G1449" s="4">
        <f>IF(DatiOriginali!G1449 &gt;= SogliaPicchi!$B$16,"",DatiOriginali!G1449)</f>
        <v>267200</v>
      </c>
      <c r="H1449" s="4">
        <v>5300156</v>
      </c>
      <c r="I1449" s="4">
        <f>IF(DatiOriginali!I1449 &gt;= SogliaPicchi!$B$16,"",DatiOriginali!I1449)</f>
        <v>91100</v>
      </c>
      <c r="J1449" s="4">
        <v>5299389</v>
      </c>
      <c r="K1449" s="4">
        <f>IF(DatiOriginali!K1449 &gt;= SogliaPicchi!$B$16,"",DatiOriginali!K1449)</f>
        <v>99100</v>
      </c>
    </row>
    <row r="1450" spans="1:11" x14ac:dyDescent="0.3">
      <c r="A1450" s="4" t="s">
        <v>1459</v>
      </c>
      <c r="B1450" s="4">
        <v>280875</v>
      </c>
      <c r="C1450" s="4">
        <f>IF(DatiOriginali!C1450 &gt;= SogliaPicchi!$B$16,"",DatiOriginali!C1450)</f>
        <v>2136100</v>
      </c>
      <c r="D1450" s="4">
        <v>143922</v>
      </c>
      <c r="E1450" s="4">
        <f>IF(DatiOriginali!E1450 &gt;= SogliaPicchi!$B$16,"",DatiOriginali!E1450)</f>
        <v>502600</v>
      </c>
      <c r="F1450" s="4">
        <v>4265016</v>
      </c>
      <c r="G1450" s="4">
        <f>IF(DatiOriginali!G1450 &gt;= SogliaPicchi!$B$16,"",DatiOriginali!G1450)</f>
        <v>268100</v>
      </c>
      <c r="H1450" s="4">
        <v>5308068</v>
      </c>
      <c r="I1450" s="4">
        <f>IF(DatiOriginali!I1450 &gt;= SogliaPicchi!$B$16,"",DatiOriginali!I1450)</f>
        <v>91500</v>
      </c>
      <c r="J1450" s="4">
        <v>5307124</v>
      </c>
      <c r="K1450" s="4">
        <f>IF(DatiOriginali!K1450 &gt;= SogliaPicchi!$B$16,"",DatiOriginali!K1450)</f>
        <v>101100</v>
      </c>
    </row>
    <row r="1451" spans="1:11" x14ac:dyDescent="0.3">
      <c r="A1451" s="4" t="s">
        <v>1460</v>
      </c>
      <c r="B1451" s="4">
        <v>280875</v>
      </c>
      <c r="C1451" s="4">
        <f>IF(DatiOriginali!C1451 &gt;= SogliaPicchi!$B$16,"",DatiOriginali!C1451)</f>
        <v>2168600</v>
      </c>
      <c r="D1451" s="4">
        <v>143547</v>
      </c>
      <c r="E1451" s="4">
        <f>IF(DatiOriginali!E1451 &gt;= SogliaPicchi!$B$16,"",DatiOriginali!E1451)</f>
        <v>506700</v>
      </c>
      <c r="F1451" s="4">
        <v>4271238</v>
      </c>
      <c r="G1451" s="4">
        <f>IF(DatiOriginali!G1451 &gt;= SogliaPicchi!$B$16,"",DatiOriginali!G1451)</f>
        <v>269000</v>
      </c>
      <c r="H1451" s="4">
        <v>5316083</v>
      </c>
      <c r="I1451" s="4">
        <f>IF(DatiOriginali!I1451 &gt;= SogliaPicchi!$B$16,"",DatiOriginali!I1451)</f>
        <v>92000</v>
      </c>
      <c r="J1451" s="4">
        <v>5315182</v>
      </c>
      <c r="K1451" s="4">
        <f>IF(DatiOriginali!K1451 &gt;= SogliaPicchi!$B$16,"",DatiOriginali!K1451)</f>
        <v>101300</v>
      </c>
    </row>
    <row r="1452" spans="1:11" x14ac:dyDescent="0.3">
      <c r="A1452" s="4" t="s">
        <v>1461</v>
      </c>
      <c r="B1452" s="4">
        <v>280875</v>
      </c>
      <c r="C1452" s="4">
        <f>IF(DatiOriginali!C1452 &gt;= SogliaPicchi!$B$16,"",DatiOriginali!C1452)</f>
        <v>2444800</v>
      </c>
      <c r="D1452" s="4">
        <v>138893</v>
      </c>
      <c r="E1452" s="4">
        <f>IF(DatiOriginali!E1452 &gt;= SogliaPicchi!$B$16,"",DatiOriginali!E1452)</f>
        <v>483000</v>
      </c>
      <c r="F1452" s="4">
        <v>4277498</v>
      </c>
      <c r="G1452" s="4">
        <f>IF(DatiOriginali!G1452 &gt;= SogliaPicchi!$B$16,"",DatiOriginali!G1452)</f>
        <v>273900</v>
      </c>
      <c r="H1452" s="4">
        <v>5323824</v>
      </c>
      <c r="I1452" s="4">
        <f>IF(DatiOriginali!I1452 &gt;= SogliaPicchi!$B$16,"",DatiOriginali!I1452)</f>
        <v>94300</v>
      </c>
      <c r="J1452" s="4">
        <v>5323514</v>
      </c>
      <c r="K1452" s="4">
        <f>IF(DatiOriginali!K1452 &gt;= SogliaPicchi!$B$16,"",DatiOriginali!K1452)</f>
        <v>101900</v>
      </c>
    </row>
    <row r="1453" spans="1:11" x14ac:dyDescent="0.3">
      <c r="A1453" s="4" t="s">
        <v>1462</v>
      </c>
      <c r="B1453" s="4">
        <v>280875</v>
      </c>
      <c r="C1453" s="4">
        <f>IF(DatiOriginali!C1453 &gt;= SogliaPicchi!$B$16,"",DatiOriginali!C1453)</f>
        <v>2607100</v>
      </c>
      <c r="D1453" s="4">
        <v>134969</v>
      </c>
      <c r="E1453" s="4">
        <f>IF(DatiOriginali!E1453 &gt;= SogliaPicchi!$B$16,"",DatiOriginali!E1453)</f>
        <v>494300</v>
      </c>
      <c r="F1453" s="4">
        <v>4283708</v>
      </c>
      <c r="G1453" s="4">
        <f>IF(DatiOriginali!G1453 &gt;= SogliaPicchi!$B$16,"",DatiOriginali!G1453)</f>
        <v>271200</v>
      </c>
      <c r="H1453" s="4">
        <v>5331393</v>
      </c>
      <c r="I1453" s="4">
        <f>IF(DatiOriginali!I1453 &gt;= SogliaPicchi!$B$16,"",DatiOriginali!I1453)</f>
        <v>89600</v>
      </c>
      <c r="J1453" s="4">
        <v>5332043</v>
      </c>
      <c r="K1453" s="4">
        <f>IF(DatiOriginali!K1453 &gt;= SogliaPicchi!$B$16,"",DatiOriginali!K1453)</f>
        <v>100900</v>
      </c>
    </row>
    <row r="1454" spans="1:11" x14ac:dyDescent="0.3">
      <c r="A1454" s="4" t="s">
        <v>1463</v>
      </c>
      <c r="B1454" s="4">
        <v>280875</v>
      </c>
      <c r="C1454" s="4">
        <f>IF(DatiOriginali!C1454 &gt;= SogliaPicchi!$B$16,"",DatiOriginali!C1454)</f>
        <v>2559900</v>
      </c>
      <c r="D1454" s="4">
        <v>139611</v>
      </c>
      <c r="E1454" s="4">
        <f>IF(DatiOriginali!E1454 &gt;= SogliaPicchi!$B$16,"",DatiOriginali!E1454)</f>
        <v>492000</v>
      </c>
      <c r="F1454" s="4">
        <v>4289931</v>
      </c>
      <c r="G1454" s="4">
        <f>IF(DatiOriginali!G1454 &gt;= SogliaPicchi!$B$16,"",DatiOriginali!G1454)</f>
        <v>270400</v>
      </c>
      <c r="H1454" s="4">
        <v>5339567</v>
      </c>
      <c r="I1454" s="4">
        <f>IF(DatiOriginali!I1454 &gt;= SogliaPicchi!$B$16,"",DatiOriginali!I1454)</f>
        <v>98500</v>
      </c>
      <c r="J1454" s="4">
        <v>5339605</v>
      </c>
      <c r="K1454" s="4">
        <f>IF(DatiOriginali!K1454 &gt;= SogliaPicchi!$B$16,"",DatiOriginali!K1454)</f>
        <v>101900</v>
      </c>
    </row>
    <row r="1455" spans="1:11" x14ac:dyDescent="0.3">
      <c r="A1455" s="4" t="s">
        <v>1464</v>
      </c>
      <c r="B1455" s="4">
        <v>280875</v>
      </c>
      <c r="C1455" s="4">
        <f>IF(DatiOriginali!C1455 &gt;= SogliaPicchi!$B$16,"",DatiOriginali!C1455)</f>
        <v>2365000</v>
      </c>
      <c r="D1455" s="4">
        <v>141564</v>
      </c>
      <c r="E1455" s="4">
        <f>IF(DatiOriginali!E1455 &gt;= SogliaPicchi!$B$16,"",DatiOriginali!E1455)</f>
        <v>491000</v>
      </c>
      <c r="F1455" s="4">
        <v>4296139</v>
      </c>
      <c r="G1455" s="4">
        <f>IF(DatiOriginali!G1455 &gt;= SogliaPicchi!$B$16,"",DatiOriginali!G1455)</f>
        <v>274000</v>
      </c>
      <c r="H1455" s="4">
        <v>5347280</v>
      </c>
      <c r="I1455" s="4">
        <f>IF(DatiOriginali!I1455 &gt;= SogliaPicchi!$B$16,"",DatiOriginali!I1455)</f>
        <v>90500</v>
      </c>
      <c r="J1455" s="4">
        <v>5347762</v>
      </c>
      <c r="K1455" s="4">
        <f>IF(DatiOriginali!K1455 &gt;= SogliaPicchi!$B$16,"",DatiOriginali!K1455)</f>
        <v>101400</v>
      </c>
    </row>
    <row r="1456" spans="1:11" x14ac:dyDescent="0.3">
      <c r="A1456" s="4" t="s">
        <v>1465</v>
      </c>
      <c r="B1456" s="4">
        <v>280875</v>
      </c>
      <c r="C1456" s="4">
        <f>IF(DatiOriginali!C1456 &gt;= SogliaPicchi!$B$16,"",DatiOriginali!C1456)</f>
        <v>2659700</v>
      </c>
      <c r="D1456" s="4">
        <v>143728</v>
      </c>
      <c r="E1456" s="4">
        <f>IF(DatiOriginali!E1456 &gt;= SogliaPicchi!$B$16,"",DatiOriginali!E1456)</f>
        <v>615300</v>
      </c>
      <c r="F1456" s="4">
        <v>4302373</v>
      </c>
      <c r="G1456" s="4">
        <f>IF(DatiOriginali!G1456 &gt;= SogliaPicchi!$B$16,"",DatiOriginali!G1456)</f>
        <v>325200</v>
      </c>
      <c r="H1456" s="4">
        <v>5356128</v>
      </c>
      <c r="I1456" s="4">
        <f>IF(DatiOriginali!I1456 &gt;= SogliaPicchi!$B$16,"",DatiOriginali!I1456)</f>
        <v>110600</v>
      </c>
      <c r="J1456" s="4">
        <v>5355245</v>
      </c>
      <c r="K1456" s="4">
        <f>IF(DatiOriginali!K1456 &gt;= SogliaPicchi!$B$16,"",DatiOriginali!K1456)</f>
        <v>123700</v>
      </c>
    </row>
    <row r="1457" spans="1:11" x14ac:dyDescent="0.3">
      <c r="A1457" s="4" t="s">
        <v>1466</v>
      </c>
      <c r="B1457" s="4">
        <v>280875</v>
      </c>
      <c r="C1457" s="4">
        <f>IF(DatiOriginali!C1457 &gt;= SogliaPicchi!$B$16,"",DatiOriginali!C1457)</f>
        <v>2358300</v>
      </c>
      <c r="D1457" s="4">
        <v>139645</v>
      </c>
      <c r="E1457" s="4">
        <f>IF(DatiOriginali!E1457 &gt;= SogliaPicchi!$B$16,"",DatiOriginali!E1457)</f>
        <v>486500</v>
      </c>
      <c r="F1457" s="4">
        <v>4308623</v>
      </c>
      <c r="G1457" s="4">
        <f>IF(DatiOriginali!G1457 &gt;= SogliaPicchi!$B$16,"",DatiOriginali!G1457)</f>
        <v>273700</v>
      </c>
      <c r="H1457" s="4">
        <v>5364177</v>
      </c>
      <c r="I1457" s="4">
        <f>IF(DatiOriginali!I1457 &gt;= SogliaPicchi!$B$16,"",DatiOriginali!I1457)</f>
        <v>93300</v>
      </c>
      <c r="J1457" s="4">
        <v>5363864</v>
      </c>
      <c r="K1457" s="4">
        <f>IF(DatiOriginali!K1457 &gt;= SogliaPicchi!$B$16,"",DatiOriginali!K1457)</f>
        <v>99700</v>
      </c>
    </row>
    <row r="1458" spans="1:11" x14ac:dyDescent="0.3">
      <c r="A1458" s="4" t="s">
        <v>1467</v>
      </c>
      <c r="B1458" s="4">
        <v>280875</v>
      </c>
      <c r="C1458" s="4">
        <f>IF(DatiOriginali!C1458 &gt;= SogliaPicchi!$B$16,"",DatiOriginali!C1458)</f>
        <v>2181500</v>
      </c>
      <c r="D1458" s="4">
        <v>137874</v>
      </c>
      <c r="E1458" s="4">
        <f>IF(DatiOriginali!E1458 &gt;= SogliaPicchi!$B$16,"",DatiOriginali!E1458)</f>
        <v>478400</v>
      </c>
      <c r="F1458" s="4">
        <v>4314834</v>
      </c>
      <c r="G1458" s="4">
        <f>IF(DatiOriginali!G1458 &gt;= SogliaPicchi!$B$16,"",DatiOriginali!G1458)</f>
        <v>275000</v>
      </c>
      <c r="H1458" s="4">
        <v>5372128</v>
      </c>
      <c r="I1458" s="4">
        <f>IF(DatiOriginali!I1458 &gt;= SogliaPicchi!$B$16,"",DatiOriginali!I1458)</f>
        <v>93800</v>
      </c>
      <c r="J1458" s="4">
        <v>5371493</v>
      </c>
      <c r="K1458" s="4">
        <f>IF(DatiOriginali!K1458 &gt;= SogliaPicchi!$B$16,"",DatiOriginali!K1458)</f>
        <v>100400</v>
      </c>
    </row>
    <row r="1459" spans="1:11" x14ac:dyDescent="0.3">
      <c r="A1459" s="4" t="s">
        <v>1468</v>
      </c>
      <c r="B1459" s="4">
        <v>280875</v>
      </c>
      <c r="C1459" s="4">
        <f>IF(DatiOriginali!C1459 &gt;= SogliaPicchi!$B$16,"",DatiOriginali!C1459)</f>
        <v>2456700</v>
      </c>
      <c r="D1459" s="4">
        <v>141019</v>
      </c>
      <c r="E1459" s="4">
        <f>IF(DatiOriginali!E1459 &gt;= SogliaPicchi!$B$16,"",DatiOriginali!E1459)</f>
        <v>511700</v>
      </c>
      <c r="F1459" s="4">
        <v>4321066</v>
      </c>
      <c r="G1459" s="4">
        <f>IF(DatiOriginali!G1459 &gt;= SogliaPicchi!$B$16,"",DatiOriginali!G1459)</f>
        <v>285500</v>
      </c>
      <c r="H1459" s="4">
        <v>5379094</v>
      </c>
      <c r="I1459" s="4">
        <f>IF(DatiOriginali!I1459 &gt;= SogliaPicchi!$B$16,"",DatiOriginali!I1459)</f>
        <v>91600</v>
      </c>
      <c r="J1459" s="4">
        <v>5378899</v>
      </c>
      <c r="K1459" s="4">
        <f>IF(DatiOriginali!K1459 &gt;= SogliaPicchi!$B$16,"",DatiOriginali!K1459)</f>
        <v>98300</v>
      </c>
    </row>
    <row r="1460" spans="1:11" x14ac:dyDescent="0.3">
      <c r="A1460" s="4" t="s">
        <v>1469</v>
      </c>
      <c r="B1460" s="4">
        <v>280875</v>
      </c>
      <c r="C1460" s="4">
        <f>IF(DatiOriginali!C1460 &gt;= SogliaPicchi!$B$16,"",DatiOriginali!C1460)</f>
        <v>2182300</v>
      </c>
      <c r="D1460" s="4">
        <v>147048</v>
      </c>
      <c r="E1460" s="4">
        <f>IF(DatiOriginali!E1460 &gt;= SogliaPicchi!$B$16,"",DatiOriginali!E1460)</f>
        <v>510200</v>
      </c>
      <c r="F1460" s="4">
        <v>4327294</v>
      </c>
      <c r="G1460" s="4">
        <f>IF(DatiOriginali!G1460 &gt;= SogliaPicchi!$B$16,"",DatiOriginali!G1460)</f>
        <v>269600</v>
      </c>
      <c r="H1460" s="4">
        <v>5386644</v>
      </c>
      <c r="I1460" s="4">
        <f>IF(DatiOriginali!I1460 &gt;= SogliaPicchi!$B$16,"",DatiOriginali!I1460)</f>
        <v>92300</v>
      </c>
      <c r="J1460" s="4">
        <v>5386936</v>
      </c>
      <c r="K1460" s="4">
        <f>IF(DatiOriginali!K1460 &gt;= SogliaPicchi!$B$16,"",DatiOriginali!K1460)</f>
        <v>104900</v>
      </c>
    </row>
    <row r="1461" spans="1:11" x14ac:dyDescent="0.3">
      <c r="A1461" s="4" t="s">
        <v>1470</v>
      </c>
      <c r="B1461" s="4">
        <v>280875</v>
      </c>
      <c r="C1461" s="4">
        <f>IF(DatiOriginali!C1461 &gt;= SogliaPicchi!$B$16,"",DatiOriginali!C1461)</f>
        <v>2101900</v>
      </c>
      <c r="D1461" s="4">
        <v>136311</v>
      </c>
      <c r="E1461" s="4">
        <f>IF(DatiOriginali!E1461 &gt;= SogliaPicchi!$B$16,"",DatiOriginali!E1461)</f>
        <v>472000</v>
      </c>
      <c r="F1461" s="4">
        <v>4333524</v>
      </c>
      <c r="G1461" s="4">
        <f>IF(DatiOriginali!G1461 &gt;= SogliaPicchi!$B$16,"",DatiOriginali!G1461)</f>
        <v>268200</v>
      </c>
      <c r="H1461" s="4">
        <v>5395242</v>
      </c>
      <c r="I1461" s="4">
        <f>IF(DatiOriginali!I1461 &gt;= SogliaPicchi!$B$16,"",DatiOriginali!I1461)</f>
        <v>97300</v>
      </c>
      <c r="J1461" s="4">
        <v>5395374</v>
      </c>
      <c r="K1461" s="4">
        <f>IF(DatiOriginali!K1461 &gt;= SogliaPicchi!$B$16,"",DatiOriginali!K1461)</f>
        <v>106500</v>
      </c>
    </row>
    <row r="1462" spans="1:11" x14ac:dyDescent="0.3">
      <c r="A1462" s="4" t="s">
        <v>1471</v>
      </c>
      <c r="B1462" s="4">
        <v>280875</v>
      </c>
      <c r="C1462" s="4">
        <f>IF(DatiOriginali!C1462 &gt;= SogliaPicchi!$B$16,"",DatiOriginali!C1462)</f>
        <v>2261700</v>
      </c>
      <c r="D1462" s="4">
        <v>138701</v>
      </c>
      <c r="E1462" s="4">
        <f>IF(DatiOriginali!E1462 &gt;= SogliaPicchi!$B$16,"",DatiOriginali!E1462)</f>
        <v>483900</v>
      </c>
      <c r="F1462" s="4">
        <v>4339733</v>
      </c>
      <c r="G1462" s="4">
        <f>IF(DatiOriginali!G1462 &gt;= SogliaPicchi!$B$16,"",DatiOriginali!G1462)</f>
        <v>273600</v>
      </c>
      <c r="H1462" s="4">
        <v>5402432</v>
      </c>
      <c r="I1462" s="4">
        <f>IF(DatiOriginali!I1462 &gt;= SogliaPicchi!$B$16,"",DatiOriginali!I1462)</f>
        <v>89600</v>
      </c>
      <c r="J1462" s="4">
        <v>5403479</v>
      </c>
      <c r="K1462" s="4">
        <f>IF(DatiOriginali!K1462 &gt;= SogliaPicchi!$B$16,"",DatiOriginali!K1462)</f>
        <v>102400</v>
      </c>
    </row>
    <row r="1463" spans="1:11" x14ac:dyDescent="0.3">
      <c r="A1463" s="4" t="s">
        <v>1472</v>
      </c>
      <c r="B1463" s="4">
        <v>280875</v>
      </c>
      <c r="C1463" s="4">
        <f>IF(DatiOriginali!C1463 &gt;= SogliaPicchi!$B$16,"",DatiOriginali!C1463)</f>
        <v>2157600</v>
      </c>
      <c r="D1463" s="4">
        <v>141662</v>
      </c>
      <c r="E1463" s="4">
        <f>IF(DatiOriginali!E1463 &gt;= SogliaPicchi!$B$16,"",DatiOriginali!E1463)</f>
        <v>492900</v>
      </c>
      <c r="F1463" s="4">
        <v>4345984</v>
      </c>
      <c r="G1463" s="4">
        <f>IF(DatiOriginali!G1463 &gt;= SogliaPicchi!$B$16,"",DatiOriginali!G1463)</f>
        <v>275000</v>
      </c>
      <c r="H1463" s="4">
        <v>5410746</v>
      </c>
      <c r="I1463" s="4">
        <f>IF(DatiOriginali!I1463 &gt;= SogliaPicchi!$B$16,"",DatiOriginali!I1463)</f>
        <v>94600</v>
      </c>
      <c r="J1463" s="4">
        <v>5410942</v>
      </c>
      <c r="K1463" s="4">
        <f>IF(DatiOriginali!K1463 &gt;= SogliaPicchi!$B$16,"",DatiOriginali!K1463)</f>
        <v>99400</v>
      </c>
    </row>
    <row r="1464" spans="1:11" x14ac:dyDescent="0.3">
      <c r="A1464" s="4" t="s">
        <v>1473</v>
      </c>
      <c r="B1464" s="4">
        <v>280875</v>
      </c>
      <c r="C1464" s="4">
        <f>IF(DatiOriginali!C1464 &gt;= SogliaPicchi!$B$16,"",DatiOriginali!C1464)</f>
        <v>2679900</v>
      </c>
      <c r="D1464" s="4">
        <v>142303</v>
      </c>
      <c r="E1464" s="4">
        <f>IF(DatiOriginali!E1464 &gt;= SogliaPicchi!$B$16,"",DatiOriginali!E1464)</f>
        <v>502100</v>
      </c>
      <c r="F1464" s="4">
        <v>4352234</v>
      </c>
      <c r="G1464" s="4">
        <f>IF(DatiOriginali!G1464 &gt;= SogliaPicchi!$B$16,"",DatiOriginali!G1464)</f>
        <v>278100</v>
      </c>
      <c r="H1464" s="4">
        <v>5418322</v>
      </c>
      <c r="I1464" s="4">
        <f>IF(DatiOriginali!I1464 &gt;= SogliaPicchi!$B$16,"",DatiOriginali!I1464)</f>
        <v>87900</v>
      </c>
      <c r="J1464" s="4">
        <v>5418451</v>
      </c>
      <c r="K1464" s="4">
        <f>IF(DatiOriginali!K1464 &gt;= SogliaPicchi!$B$16,"",DatiOriginali!K1464)</f>
        <v>103100</v>
      </c>
    </row>
    <row r="1465" spans="1:11" x14ac:dyDescent="0.3">
      <c r="A1465" s="4" t="s">
        <v>1474</v>
      </c>
      <c r="B1465" s="4">
        <v>280875</v>
      </c>
      <c r="C1465" s="4">
        <f>IF(DatiOriginali!C1465 &gt;= SogliaPicchi!$B$16,"",DatiOriginali!C1465)</f>
        <v>2096600</v>
      </c>
      <c r="D1465" s="4">
        <v>138395</v>
      </c>
      <c r="E1465" s="4">
        <f>IF(DatiOriginali!E1465 &gt;= SogliaPicchi!$B$16,"",DatiOriginali!E1465)</f>
        <v>480200</v>
      </c>
      <c r="F1465" s="4">
        <v>4358454</v>
      </c>
      <c r="G1465" s="4">
        <f>IF(DatiOriginali!G1465 &gt;= SogliaPicchi!$B$16,"",DatiOriginali!G1465)</f>
        <v>267100</v>
      </c>
      <c r="H1465" s="4">
        <v>5426139</v>
      </c>
      <c r="I1465" s="4">
        <f>IF(DatiOriginali!I1465 &gt;= SogliaPicchi!$B$16,"",DatiOriginali!I1465)</f>
        <v>95300</v>
      </c>
      <c r="J1465" s="4">
        <v>5427016</v>
      </c>
      <c r="K1465" s="4">
        <f>IF(DatiOriginali!K1465 &gt;= SogliaPicchi!$B$16,"",DatiOriginali!K1465)</f>
        <v>102700</v>
      </c>
    </row>
    <row r="1466" spans="1:11" x14ac:dyDescent="0.3">
      <c r="A1466" s="4" t="s">
        <v>1475</v>
      </c>
      <c r="B1466" s="4">
        <v>280875</v>
      </c>
      <c r="C1466" s="4">
        <f>IF(DatiOriginali!C1466 &gt;= SogliaPicchi!$B$16,"",DatiOriginali!C1466)</f>
        <v>2147400</v>
      </c>
      <c r="D1466" s="4">
        <v>132962</v>
      </c>
      <c r="E1466" s="4">
        <f>IF(DatiOriginali!E1466 &gt;= SogliaPicchi!$B$16,"",DatiOriginali!E1466)</f>
        <v>461800</v>
      </c>
      <c r="F1466" s="4">
        <v>4364720</v>
      </c>
      <c r="G1466" s="4">
        <f>IF(DatiOriginali!G1466 &gt;= SogliaPicchi!$B$16,"",DatiOriginali!G1466)</f>
        <v>270900</v>
      </c>
      <c r="H1466" s="4">
        <v>5433579</v>
      </c>
      <c r="I1466" s="4">
        <f>IF(DatiOriginali!I1466 &gt;= SogliaPicchi!$B$16,"",DatiOriginali!I1466)</f>
        <v>95500</v>
      </c>
      <c r="J1466" s="4">
        <v>5434919</v>
      </c>
      <c r="K1466" s="4">
        <f>IF(DatiOriginali!K1466 &gt;= SogliaPicchi!$B$16,"",DatiOriginali!K1466)</f>
        <v>101900</v>
      </c>
    </row>
    <row r="1467" spans="1:11" x14ac:dyDescent="0.3">
      <c r="A1467" s="4" t="s">
        <v>1476</v>
      </c>
      <c r="B1467" s="4">
        <v>280875</v>
      </c>
      <c r="C1467" s="4">
        <f>IF(DatiOriginali!C1467 &gt;= SogliaPicchi!$B$16,"",DatiOriginali!C1467)</f>
        <v>2137700</v>
      </c>
      <c r="D1467" s="4">
        <v>138282</v>
      </c>
      <c r="E1467" s="4">
        <f>IF(DatiOriginali!E1467 &gt;= SogliaPicchi!$B$16,"",DatiOriginali!E1467)</f>
        <v>481200</v>
      </c>
      <c r="F1467" s="4">
        <v>4370942</v>
      </c>
      <c r="G1467" s="4">
        <f>IF(DatiOriginali!G1467 &gt;= SogliaPicchi!$B$16,"",DatiOriginali!G1467)</f>
        <v>267300</v>
      </c>
      <c r="H1467" s="4">
        <v>5441516</v>
      </c>
      <c r="I1467" s="4">
        <f>IF(DatiOriginali!I1467 &gt;= SogliaPicchi!$B$16,"",DatiOriginali!I1467)</f>
        <v>89500</v>
      </c>
      <c r="J1467" s="4">
        <v>5442769</v>
      </c>
      <c r="K1467" s="4">
        <f>IF(DatiOriginali!K1467 &gt;= SogliaPicchi!$B$16,"",DatiOriginali!K1467)</f>
        <v>96700</v>
      </c>
    </row>
    <row r="1468" spans="1:11" x14ac:dyDescent="0.3">
      <c r="A1468" s="4" t="s">
        <v>1477</v>
      </c>
      <c r="B1468" s="4">
        <v>280875</v>
      </c>
      <c r="C1468" s="4">
        <f>IF(DatiOriginali!C1468 &gt;= SogliaPicchi!$B$16,"",DatiOriginali!C1468)</f>
        <v>2297300</v>
      </c>
      <c r="D1468" s="4">
        <v>140109</v>
      </c>
      <c r="E1468" s="4">
        <f>IF(DatiOriginali!E1468 &gt;= SogliaPicchi!$B$16,"",DatiOriginali!E1468)</f>
        <v>484300</v>
      </c>
      <c r="F1468" s="4">
        <v>4377201</v>
      </c>
      <c r="G1468" s="4">
        <f>IF(DatiOriginali!G1468 &gt;= SogliaPicchi!$B$16,"",DatiOriginali!G1468)</f>
        <v>274000</v>
      </c>
      <c r="H1468" s="4">
        <v>5449091</v>
      </c>
      <c r="I1468" s="4">
        <f>IF(DatiOriginali!I1468 &gt;= SogliaPicchi!$B$16,"",DatiOriginali!I1468)</f>
        <v>91200</v>
      </c>
      <c r="J1468" s="4">
        <v>5450112</v>
      </c>
      <c r="K1468" s="4">
        <f>IF(DatiOriginali!K1468 &gt;= SogliaPicchi!$B$16,"",DatiOriginali!K1468)</f>
        <v>100700</v>
      </c>
    </row>
    <row r="1469" spans="1:11" x14ac:dyDescent="0.3">
      <c r="A1469" s="4" t="s">
        <v>1478</v>
      </c>
      <c r="B1469" s="4">
        <v>280875</v>
      </c>
      <c r="C1469" s="4">
        <f>IF(DatiOriginali!C1469 &gt;= SogliaPicchi!$B$16,"",DatiOriginali!C1469)</f>
        <v>2149600</v>
      </c>
      <c r="D1469" s="4">
        <v>149493</v>
      </c>
      <c r="E1469" s="4">
        <f>IF(DatiOriginali!E1469 &gt;= SogliaPicchi!$B$16,"",DatiOriginali!E1469)</f>
        <v>547900</v>
      </c>
      <c r="F1469" s="4">
        <v>4383423</v>
      </c>
      <c r="G1469" s="4">
        <f>IF(DatiOriginali!G1469 &gt;= SogliaPicchi!$B$16,"",DatiOriginali!G1469)</f>
        <v>275100</v>
      </c>
      <c r="H1469" s="4">
        <v>5456493</v>
      </c>
      <c r="I1469" s="4">
        <f>IF(DatiOriginali!I1469 &gt;= SogliaPicchi!$B$16,"",DatiOriginali!I1469)</f>
        <v>92300</v>
      </c>
      <c r="J1469" s="4">
        <v>5457639</v>
      </c>
      <c r="K1469" s="4">
        <f>IF(DatiOriginali!K1469 &gt;= SogliaPicchi!$B$16,"",DatiOriginali!K1469)</f>
        <v>98700</v>
      </c>
    </row>
    <row r="1470" spans="1:11" x14ac:dyDescent="0.3">
      <c r="A1470" s="4" t="s">
        <v>1479</v>
      </c>
      <c r="B1470" s="4">
        <v>280875</v>
      </c>
      <c r="C1470" s="4">
        <f>IF(DatiOriginali!C1470 &gt;= SogliaPicchi!$B$16,"",DatiOriginali!C1470)</f>
        <v>2162500</v>
      </c>
      <c r="D1470" s="4">
        <v>144862</v>
      </c>
      <c r="E1470" s="4">
        <f>IF(DatiOriginali!E1470 &gt;= SogliaPicchi!$B$16,"",DatiOriginali!E1470)</f>
        <v>502000</v>
      </c>
      <c r="F1470" s="4">
        <v>4389626</v>
      </c>
      <c r="G1470" s="4">
        <f>IF(DatiOriginali!G1470 &gt;= SogliaPicchi!$B$16,"",DatiOriginali!G1470)</f>
        <v>272500</v>
      </c>
      <c r="H1470" s="4">
        <v>5464071</v>
      </c>
      <c r="I1470" s="4">
        <f>IF(DatiOriginali!I1470 &gt;= SogliaPicchi!$B$16,"",DatiOriginali!I1470)</f>
        <v>87700</v>
      </c>
      <c r="J1470" s="4">
        <v>5465022</v>
      </c>
      <c r="K1470" s="4">
        <f>IF(DatiOriginali!K1470 &gt;= SogliaPicchi!$B$16,"",DatiOriginali!K1470)</f>
        <v>101900</v>
      </c>
    </row>
    <row r="1471" spans="1:11" x14ac:dyDescent="0.3">
      <c r="A1471" s="4" t="s">
        <v>1480</v>
      </c>
      <c r="B1471" s="4">
        <v>280875</v>
      </c>
      <c r="C1471" s="4">
        <f>IF(DatiOriginali!C1471 &gt;= SogliaPicchi!$B$16,"",DatiOriginali!C1471)</f>
        <v>2407200</v>
      </c>
      <c r="D1471" s="4">
        <v>136771</v>
      </c>
      <c r="E1471" s="4">
        <f>IF(DatiOriginali!E1471 &gt;= SogliaPicchi!$B$16,"",DatiOriginali!E1471)</f>
        <v>479900</v>
      </c>
      <c r="F1471" s="4">
        <v>4395863</v>
      </c>
      <c r="G1471" s="4">
        <f>IF(DatiOriginali!G1471 &gt;= SogliaPicchi!$B$16,"",DatiOriginali!G1471)</f>
        <v>270600</v>
      </c>
      <c r="H1471" s="4">
        <v>5471953</v>
      </c>
      <c r="I1471" s="4">
        <f>IF(DatiOriginali!I1471 &gt;= SogliaPicchi!$B$16,"",DatiOriginali!I1471)</f>
        <v>92700</v>
      </c>
      <c r="J1471" s="4">
        <v>5472923</v>
      </c>
      <c r="K1471" s="4">
        <f>IF(DatiOriginali!K1471 &gt;= SogliaPicchi!$B$16,"",DatiOriginali!K1471)</f>
        <v>101400</v>
      </c>
    </row>
    <row r="1472" spans="1:11" x14ac:dyDescent="0.3">
      <c r="A1472" s="4" t="s">
        <v>1481</v>
      </c>
      <c r="B1472" s="4">
        <v>280875</v>
      </c>
      <c r="C1472" s="4">
        <f>IF(DatiOriginali!C1472 &gt;= SogliaPicchi!$B$16,"",DatiOriginali!C1472)</f>
        <v>2533600</v>
      </c>
      <c r="D1472" s="4">
        <v>142388</v>
      </c>
      <c r="E1472" s="4">
        <f>IF(DatiOriginali!E1472 &gt;= SogliaPicchi!$B$16,"",DatiOriginali!E1472)</f>
        <v>646100</v>
      </c>
      <c r="F1472" s="4">
        <v>4402102</v>
      </c>
      <c r="G1472" s="4">
        <f>IF(DatiOriginali!G1472 &gt;= SogliaPicchi!$B$16,"",DatiOriginali!G1472)</f>
        <v>280000</v>
      </c>
      <c r="H1472" s="4">
        <v>5480296</v>
      </c>
      <c r="I1472" s="4">
        <f>IF(DatiOriginali!I1472 &gt;= SogliaPicchi!$B$16,"",DatiOriginali!I1472)</f>
        <v>96400</v>
      </c>
      <c r="J1472" s="4">
        <v>5481050</v>
      </c>
      <c r="K1472" s="4">
        <f>IF(DatiOriginali!K1472 &gt;= SogliaPicchi!$B$16,"",DatiOriginali!K1472)</f>
        <v>99800</v>
      </c>
    </row>
    <row r="1473" spans="1:11" x14ac:dyDescent="0.3">
      <c r="A1473" s="4" t="s">
        <v>1482</v>
      </c>
      <c r="B1473" s="4">
        <v>280875</v>
      </c>
      <c r="C1473" s="4">
        <f>IF(DatiOriginali!C1473 &gt;= SogliaPicchi!$B$16,"",DatiOriginali!C1473)</f>
        <v>2234900</v>
      </c>
      <c r="D1473" s="4">
        <v>133572</v>
      </c>
      <c r="E1473" s="4">
        <f>IF(DatiOriginali!E1473 &gt;= SogliaPicchi!$B$16,"",DatiOriginali!E1473)</f>
        <v>463900</v>
      </c>
      <c r="F1473" s="4">
        <v>4408358</v>
      </c>
      <c r="G1473" s="4">
        <f>IF(DatiOriginali!G1473 &gt;= SogliaPicchi!$B$16,"",DatiOriginali!G1473)</f>
        <v>271500</v>
      </c>
      <c r="H1473" s="4">
        <v>5488732</v>
      </c>
      <c r="I1473" s="4">
        <f>IF(DatiOriginali!I1473 &gt;= SogliaPicchi!$B$16,"",DatiOriginali!I1473)</f>
        <v>93700</v>
      </c>
      <c r="J1473" s="4">
        <v>5489587</v>
      </c>
      <c r="K1473" s="4">
        <f>IF(DatiOriginali!K1473 &gt;= SogliaPicchi!$B$16,"",DatiOriginali!K1473)</f>
        <v>97600</v>
      </c>
    </row>
    <row r="1474" spans="1:11" x14ac:dyDescent="0.3">
      <c r="A1474" s="4" t="s">
        <v>1483</v>
      </c>
      <c r="B1474" s="4">
        <v>280875</v>
      </c>
      <c r="C1474" s="4">
        <f>IF(DatiOriginali!C1474 &gt;= SogliaPicchi!$B$16,"",DatiOriginali!C1474)</f>
        <v>2296000</v>
      </c>
      <c r="D1474" s="4">
        <v>137714</v>
      </c>
      <c r="E1474" s="4">
        <f>IF(DatiOriginali!E1474 &gt;= SogliaPicchi!$B$16,"",DatiOriginali!E1474)</f>
        <v>483900</v>
      </c>
      <c r="F1474" s="4">
        <v>4414579</v>
      </c>
      <c r="G1474" s="4">
        <f>IF(DatiOriginali!G1474 &gt;= SogliaPicchi!$B$16,"",DatiOriginali!G1474)</f>
        <v>267800</v>
      </c>
      <c r="H1474" s="4">
        <v>5496433</v>
      </c>
      <c r="I1474" s="4">
        <f>IF(DatiOriginali!I1474 &gt;= SogliaPicchi!$B$16,"",DatiOriginali!I1474)</f>
        <v>92600</v>
      </c>
      <c r="J1474" s="4">
        <v>5497631</v>
      </c>
      <c r="K1474" s="4">
        <f>IF(DatiOriginali!K1474 &gt;= SogliaPicchi!$B$16,"",DatiOriginali!K1474)</f>
        <v>100600</v>
      </c>
    </row>
    <row r="1475" spans="1:11" x14ac:dyDescent="0.3">
      <c r="A1475" s="4" t="s">
        <v>1484</v>
      </c>
      <c r="B1475" s="4">
        <v>280875</v>
      </c>
      <c r="C1475" s="4">
        <f>IF(DatiOriginali!C1475 &gt;= SogliaPicchi!$B$16,"",DatiOriginali!C1475)</f>
        <v>2106800</v>
      </c>
      <c r="D1475" s="4">
        <v>149803</v>
      </c>
      <c r="E1475" s="4">
        <f>IF(DatiOriginali!E1475 &gt;= SogliaPicchi!$B$16,"",DatiOriginali!E1475)</f>
        <v>518700</v>
      </c>
      <c r="F1475" s="4">
        <v>4420807</v>
      </c>
      <c r="G1475" s="4">
        <f>IF(DatiOriginali!G1475 &gt;= SogliaPicchi!$B$16,"",DatiOriginali!G1475)</f>
        <v>268000</v>
      </c>
      <c r="H1475" s="4">
        <v>5504761</v>
      </c>
      <c r="I1475" s="4">
        <f>IF(DatiOriginali!I1475 &gt;= SogliaPicchi!$B$16,"",DatiOriginali!I1475)</f>
        <v>91500</v>
      </c>
      <c r="J1475" s="4">
        <v>5505061</v>
      </c>
      <c r="K1475" s="4">
        <f>IF(DatiOriginali!K1475 &gt;= SogliaPicchi!$B$16,"",DatiOriginali!K1475)</f>
        <v>99400</v>
      </c>
    </row>
    <row r="1476" spans="1:11" x14ac:dyDescent="0.3">
      <c r="A1476" s="4" t="s">
        <v>1485</v>
      </c>
      <c r="B1476" s="4">
        <v>280875</v>
      </c>
      <c r="C1476" s="4">
        <f>IF(DatiOriginali!C1476 &gt;= SogliaPicchi!$B$16,"",DatiOriginali!C1476)</f>
        <v>2130500</v>
      </c>
      <c r="D1476" s="4">
        <v>142285</v>
      </c>
      <c r="E1476" s="4">
        <f>IF(DatiOriginali!E1476 &gt;= SogliaPicchi!$B$16,"",DatiOriginali!E1476)</f>
        <v>491800</v>
      </c>
      <c r="F1476" s="4">
        <v>4427034</v>
      </c>
      <c r="G1476" s="4">
        <f>IF(DatiOriginali!G1476 &gt;= SogliaPicchi!$B$16,"",DatiOriginali!G1476)</f>
        <v>271200</v>
      </c>
      <c r="H1476" s="4">
        <v>5512557</v>
      </c>
      <c r="I1476" s="4">
        <f>IF(DatiOriginali!I1476 &gt;= SogliaPicchi!$B$16,"",DatiOriginali!I1476)</f>
        <v>87900</v>
      </c>
      <c r="J1476" s="4">
        <v>5512307</v>
      </c>
      <c r="K1476" s="4">
        <f>IF(DatiOriginali!K1476 &gt;= SogliaPicchi!$B$16,"",DatiOriginali!K1476)</f>
        <v>99700</v>
      </c>
    </row>
    <row r="1477" spans="1:11" x14ac:dyDescent="0.3">
      <c r="A1477" s="4" t="s">
        <v>1486</v>
      </c>
      <c r="B1477" s="4">
        <v>280875</v>
      </c>
      <c r="C1477" s="4">
        <f>IF(DatiOriginali!C1477 &gt;= SogliaPicchi!$B$16,"",DatiOriginali!C1477)</f>
        <v>2531700</v>
      </c>
      <c r="D1477" s="4">
        <v>138081</v>
      </c>
      <c r="E1477" s="4">
        <f>IF(DatiOriginali!E1477 &gt;= SogliaPicchi!$B$16,"",DatiOriginali!E1477)</f>
        <v>566600</v>
      </c>
      <c r="F1477" s="4">
        <v>4433265</v>
      </c>
      <c r="G1477" s="4">
        <f>IF(DatiOriginali!G1477 &gt;= SogliaPicchi!$B$16,"",DatiOriginali!G1477)</f>
        <v>275600</v>
      </c>
      <c r="H1477" s="4">
        <v>5520238</v>
      </c>
      <c r="I1477" s="4">
        <f>IF(DatiOriginali!I1477 &gt;= SogliaPicchi!$B$16,"",DatiOriginali!I1477)</f>
        <v>97400</v>
      </c>
      <c r="J1477" s="4">
        <v>5519643</v>
      </c>
      <c r="K1477" s="4">
        <f>IF(DatiOriginali!K1477 &gt;= SogliaPicchi!$B$16,"",DatiOriginali!K1477)</f>
        <v>116400</v>
      </c>
    </row>
    <row r="1478" spans="1:11" x14ac:dyDescent="0.3">
      <c r="A1478" s="4" t="s">
        <v>1487</v>
      </c>
      <c r="B1478" s="4">
        <v>280875</v>
      </c>
      <c r="C1478" s="4">
        <f>IF(DatiOriginali!C1478 &gt;= SogliaPicchi!$B$16,"",DatiOriginali!C1478)</f>
        <v>2111300</v>
      </c>
      <c r="D1478" s="4">
        <v>141109</v>
      </c>
      <c r="E1478" s="4">
        <f>IF(DatiOriginali!E1478 &gt;= SogliaPicchi!$B$16,"",DatiOriginali!E1478)</f>
        <v>504000</v>
      </c>
      <c r="F1478" s="4">
        <v>4439487</v>
      </c>
      <c r="G1478" s="4">
        <f>IF(DatiOriginali!G1478 &gt;= SogliaPicchi!$B$16,"",DatiOriginali!G1478)</f>
        <v>268300</v>
      </c>
      <c r="H1478" s="4">
        <v>5529066</v>
      </c>
      <c r="I1478" s="4">
        <f>IF(DatiOriginali!I1478 &gt;= SogliaPicchi!$B$16,"",DatiOriginali!I1478)</f>
        <v>91300</v>
      </c>
      <c r="J1478" s="4">
        <v>5528247</v>
      </c>
      <c r="K1478" s="4">
        <f>IF(DatiOriginali!K1478 &gt;= SogliaPicchi!$B$16,"",DatiOriginali!K1478)</f>
        <v>105000</v>
      </c>
    </row>
    <row r="1479" spans="1:11" x14ac:dyDescent="0.3">
      <c r="A1479" s="4" t="s">
        <v>1488</v>
      </c>
      <c r="B1479" s="4">
        <v>280875</v>
      </c>
      <c r="C1479" s="4">
        <f>IF(DatiOriginali!C1479 &gt;= SogliaPicchi!$B$16,"",DatiOriginali!C1479)</f>
        <v>2126700</v>
      </c>
      <c r="D1479" s="4">
        <v>141873</v>
      </c>
      <c r="E1479" s="4">
        <f>IF(DatiOriginali!E1479 &gt;= SogliaPicchi!$B$16,"",DatiOriginali!E1479)</f>
        <v>491800</v>
      </c>
      <c r="F1479" s="4">
        <v>4445715</v>
      </c>
      <c r="G1479" s="4">
        <f>IF(DatiOriginali!G1479 &gt;= SogliaPicchi!$B$16,"",DatiOriginali!G1479)</f>
        <v>267900</v>
      </c>
      <c r="H1479" s="4">
        <v>5537560</v>
      </c>
      <c r="I1479" s="4">
        <f>IF(DatiOriginali!I1479 &gt;= SogliaPicchi!$B$16,"",DatiOriginali!I1479)</f>
        <v>94100</v>
      </c>
      <c r="J1479" s="4">
        <v>5535617</v>
      </c>
      <c r="K1479" s="4">
        <f>IF(DatiOriginali!K1479 &gt;= SogliaPicchi!$B$16,"",DatiOriginali!K1479)</f>
        <v>101400</v>
      </c>
    </row>
    <row r="1480" spans="1:11" x14ac:dyDescent="0.3">
      <c r="A1480" s="4" t="s">
        <v>1489</v>
      </c>
      <c r="B1480" s="4">
        <v>280875</v>
      </c>
      <c r="C1480" s="4">
        <f>IF(DatiOriginali!C1480 &gt;= SogliaPicchi!$B$16,"",DatiOriginali!C1480)</f>
        <v>2081800</v>
      </c>
      <c r="D1480" s="4">
        <v>147560</v>
      </c>
      <c r="E1480" s="4">
        <f>IF(DatiOriginali!E1480 &gt;= SogliaPicchi!$B$16,"",DatiOriginali!E1480)</f>
        <v>510800</v>
      </c>
      <c r="F1480" s="4">
        <v>4451927</v>
      </c>
      <c r="G1480" s="4">
        <f>IF(DatiOriginali!G1480 &gt;= SogliaPicchi!$B$16,"",DatiOriginali!G1480)</f>
        <v>269200</v>
      </c>
      <c r="H1480" s="4">
        <v>5546422</v>
      </c>
      <c r="I1480" s="4">
        <f>IF(DatiOriginali!I1480 &gt;= SogliaPicchi!$B$16,"",DatiOriginali!I1480)</f>
        <v>91600</v>
      </c>
      <c r="J1480" s="4">
        <v>5543312</v>
      </c>
      <c r="K1480" s="4">
        <f>IF(DatiOriginali!K1480 &gt;= SogliaPicchi!$B$16,"",DatiOriginali!K1480)</f>
        <v>154700</v>
      </c>
    </row>
    <row r="1481" spans="1:11" x14ac:dyDescent="0.3">
      <c r="A1481" s="4" t="s">
        <v>1490</v>
      </c>
      <c r="B1481" s="4">
        <v>280875</v>
      </c>
      <c r="C1481" s="4">
        <f>IF(DatiOriginali!C1481 &gt;= SogliaPicchi!$B$16,"",DatiOriginali!C1481)</f>
        <v>2517800</v>
      </c>
      <c r="D1481" s="4">
        <v>140468</v>
      </c>
      <c r="E1481" s="4">
        <f>IF(DatiOriginali!E1481 &gt;= SogliaPicchi!$B$16,"",DatiOriginali!E1481)</f>
        <v>488100</v>
      </c>
      <c r="F1481" s="4">
        <v>4458145</v>
      </c>
      <c r="G1481" s="4">
        <f>IF(DatiOriginali!G1481 &gt;= SogliaPicchi!$B$16,"",DatiOriginali!G1481)</f>
        <v>280700</v>
      </c>
      <c r="H1481" s="4">
        <v>5554830</v>
      </c>
      <c r="I1481" s="4">
        <f>IF(DatiOriginali!I1481 &gt;= SogliaPicchi!$B$16,"",DatiOriginali!I1481)</f>
        <v>97200</v>
      </c>
      <c r="J1481" s="4">
        <v>5551256</v>
      </c>
      <c r="K1481" s="4">
        <f>IF(DatiOriginali!K1481 &gt;= SogliaPicchi!$B$16,"",DatiOriginali!K1481)</f>
        <v>102400</v>
      </c>
    </row>
    <row r="1482" spans="1:11" x14ac:dyDescent="0.3">
      <c r="A1482" s="4" t="s">
        <v>1491</v>
      </c>
      <c r="B1482" s="4">
        <v>280875</v>
      </c>
      <c r="C1482" s="4">
        <f>IF(DatiOriginali!C1482 &gt;= SogliaPicchi!$B$16,"",DatiOriginali!C1482)</f>
        <v>2403900</v>
      </c>
      <c r="D1482" s="4">
        <v>146080</v>
      </c>
      <c r="E1482" s="4">
        <f>IF(DatiOriginali!E1482 &gt;= SogliaPicchi!$B$16,"",DatiOriginali!E1482)</f>
        <v>514300</v>
      </c>
      <c r="F1482" s="4">
        <v>4464387</v>
      </c>
      <c r="G1482" s="4">
        <f>IF(DatiOriginali!G1482 &gt;= SogliaPicchi!$B$16,"",DatiOriginali!G1482)</f>
        <v>272400</v>
      </c>
      <c r="H1482" s="4">
        <v>5562288</v>
      </c>
      <c r="I1482" s="4">
        <f>IF(DatiOriginali!I1482 &gt;= SogliaPicchi!$B$16,"",DatiOriginali!I1482)</f>
        <v>91700</v>
      </c>
      <c r="J1482" s="4">
        <v>5559352</v>
      </c>
      <c r="K1482" s="4">
        <f>IF(DatiOriginali!K1482 &gt;= SogliaPicchi!$B$16,"",DatiOriginali!K1482)</f>
        <v>104900</v>
      </c>
    </row>
    <row r="1483" spans="1:11" x14ac:dyDescent="0.3">
      <c r="A1483" s="4" t="s">
        <v>1492</v>
      </c>
      <c r="B1483" s="4">
        <v>280875</v>
      </c>
      <c r="C1483" s="4">
        <f>IF(DatiOriginali!C1483 &gt;= SogliaPicchi!$B$16,"",DatiOriginali!C1483)</f>
        <v>2107700</v>
      </c>
      <c r="D1483" s="4">
        <v>144895</v>
      </c>
      <c r="E1483" s="4">
        <f>IF(DatiOriginali!E1483 &gt;= SogliaPicchi!$B$16,"",DatiOriginali!E1483)</f>
        <v>501000</v>
      </c>
      <c r="F1483" s="4">
        <v>4470646</v>
      </c>
      <c r="G1483" s="4">
        <f>IF(DatiOriginali!G1483 &gt;= SogliaPicchi!$B$16,"",DatiOriginali!G1483)</f>
        <v>270300</v>
      </c>
      <c r="H1483" s="4">
        <v>5572340</v>
      </c>
      <c r="I1483" s="4">
        <f>IF(DatiOriginali!I1483 &gt;= SogliaPicchi!$B$16,"",DatiOriginali!I1483)</f>
        <v>97200</v>
      </c>
      <c r="J1483" s="4">
        <v>5566564</v>
      </c>
      <c r="K1483" s="4">
        <f>IF(DatiOriginali!K1483 &gt;= SogliaPicchi!$B$16,"",DatiOriginali!K1483)</f>
        <v>141200</v>
      </c>
    </row>
    <row r="1484" spans="1:11" x14ac:dyDescent="0.3">
      <c r="A1484" s="4" t="s">
        <v>1493</v>
      </c>
      <c r="B1484" s="4">
        <v>280875</v>
      </c>
      <c r="C1484" s="4">
        <f>IF(DatiOriginali!C1484 &gt;= SogliaPicchi!$B$16,"",DatiOriginali!C1484)</f>
        <v>2357000</v>
      </c>
      <c r="D1484" s="4">
        <v>146821</v>
      </c>
      <c r="E1484" s="4">
        <f>IF(DatiOriginali!E1484 &gt;= SogliaPicchi!$B$16,"",DatiOriginali!E1484)</f>
        <v>509100</v>
      </c>
      <c r="F1484" s="4">
        <v>4476872</v>
      </c>
      <c r="G1484" s="4">
        <f>IF(DatiOriginali!G1484 &gt;= SogliaPicchi!$B$16,"",DatiOriginali!G1484)</f>
        <v>275700</v>
      </c>
      <c r="H1484" s="4">
        <v>5580454</v>
      </c>
      <c r="I1484" s="4">
        <f>IF(DatiOriginali!I1484 &gt;= SogliaPicchi!$B$16,"",DatiOriginali!I1484)</f>
        <v>93900</v>
      </c>
      <c r="J1484" s="4">
        <v>5574148</v>
      </c>
      <c r="K1484" s="4">
        <f>IF(DatiOriginali!K1484 &gt;= SogliaPicchi!$B$16,"",DatiOriginali!K1484)</f>
        <v>102900</v>
      </c>
    </row>
    <row r="1485" spans="1:11" x14ac:dyDescent="0.3">
      <c r="A1485" s="4" t="s">
        <v>1494</v>
      </c>
      <c r="B1485" s="4">
        <v>280875</v>
      </c>
      <c r="C1485" s="4">
        <f>IF(DatiOriginali!C1485 &gt;= SogliaPicchi!$B$16,"",DatiOriginali!C1485)</f>
        <v>2237100</v>
      </c>
      <c r="D1485" s="4">
        <v>144603</v>
      </c>
      <c r="E1485" s="4">
        <f>IF(DatiOriginali!E1485 &gt;= SogliaPicchi!$B$16,"",DatiOriginali!E1485)</f>
        <v>502300</v>
      </c>
      <c r="F1485" s="4">
        <v>4483135</v>
      </c>
      <c r="G1485" s="4">
        <f>IF(DatiOriginali!G1485 &gt;= SogliaPicchi!$B$16,"",DatiOriginali!G1485)</f>
        <v>301900</v>
      </c>
      <c r="H1485" s="4">
        <v>5587840</v>
      </c>
      <c r="I1485" s="4">
        <f>IF(DatiOriginali!I1485 &gt;= SogliaPicchi!$B$16,"",DatiOriginali!I1485)</f>
        <v>90700</v>
      </c>
      <c r="J1485" s="4">
        <v>5582257</v>
      </c>
      <c r="K1485" s="4">
        <f>IF(DatiOriginali!K1485 &gt;= SogliaPicchi!$B$16,"",DatiOriginali!K1485)</f>
        <v>101900</v>
      </c>
    </row>
    <row r="1486" spans="1:11" x14ac:dyDescent="0.3">
      <c r="A1486" s="4" t="s">
        <v>1495</v>
      </c>
      <c r="B1486" s="4">
        <v>280875</v>
      </c>
      <c r="C1486" s="4">
        <f>IF(DatiOriginali!C1486 &gt;= SogliaPicchi!$B$16,"",DatiOriginali!C1486)</f>
        <v>2095700</v>
      </c>
      <c r="D1486" s="4">
        <v>142295</v>
      </c>
      <c r="E1486" s="4">
        <f>IF(DatiOriginali!E1486 &gt;= SogliaPicchi!$B$16,"",DatiOriginali!E1486)</f>
        <v>492500</v>
      </c>
      <c r="F1486" s="4">
        <v>4489374</v>
      </c>
      <c r="G1486" s="4">
        <f>IF(DatiOriginali!G1486 &gt;= SogliaPicchi!$B$16,"",DatiOriginali!G1486)</f>
        <v>268000</v>
      </c>
      <c r="H1486" s="4">
        <v>5595688</v>
      </c>
      <c r="I1486" s="4">
        <f>IF(DatiOriginali!I1486 &gt;= SogliaPicchi!$B$16,"",DatiOriginali!I1486)</f>
        <v>88800</v>
      </c>
      <c r="J1486" s="4">
        <v>5590604</v>
      </c>
      <c r="K1486" s="4">
        <f>IF(DatiOriginali!K1486 &gt;= SogliaPicchi!$B$16,"",DatiOriginali!K1486)</f>
        <v>134500</v>
      </c>
    </row>
    <row r="1487" spans="1:11" x14ac:dyDescent="0.3">
      <c r="A1487" s="4" t="s">
        <v>1496</v>
      </c>
      <c r="B1487" s="4">
        <v>280875</v>
      </c>
      <c r="C1487" s="4">
        <f>IF(DatiOriginali!C1487 &gt;= SogliaPicchi!$B$16,"",DatiOriginali!C1487)</f>
        <v>2308200</v>
      </c>
      <c r="D1487" s="4">
        <v>144172</v>
      </c>
      <c r="E1487" s="4">
        <f>IF(DatiOriginali!E1487 &gt;= SogliaPicchi!$B$16,"",DatiOriginali!E1487)</f>
        <v>499300</v>
      </c>
      <c r="F1487" s="4">
        <v>4495607</v>
      </c>
      <c r="G1487" s="4">
        <f>IF(DatiOriginali!G1487 &gt;= SogliaPicchi!$B$16,"",DatiOriginali!G1487)</f>
        <v>271700</v>
      </c>
      <c r="H1487" s="4">
        <v>5604246</v>
      </c>
      <c r="I1487" s="4">
        <f>IF(DatiOriginali!I1487 &gt;= SogliaPicchi!$B$16,"",DatiOriginali!I1487)</f>
        <v>94600</v>
      </c>
      <c r="J1487" s="4">
        <v>5597972</v>
      </c>
      <c r="K1487" s="4">
        <f>IF(DatiOriginali!K1487 &gt;= SogliaPicchi!$B$16,"",DatiOriginali!K1487)</f>
        <v>99300</v>
      </c>
    </row>
    <row r="1488" spans="1:11" x14ac:dyDescent="0.3">
      <c r="A1488" s="4" t="s">
        <v>1497</v>
      </c>
      <c r="B1488" s="4">
        <v>280875</v>
      </c>
      <c r="C1488" s="4">
        <f>IF(DatiOriginali!C1488 &gt;= SogliaPicchi!$B$16,"",DatiOriginali!C1488)</f>
        <v>2394600</v>
      </c>
      <c r="D1488" s="4">
        <v>129878</v>
      </c>
      <c r="E1488" s="4">
        <f>IF(DatiOriginali!E1488 &gt;= SogliaPicchi!$B$16,"",DatiOriginali!E1488)</f>
        <v>455100</v>
      </c>
      <c r="F1488" s="4">
        <v>4501829</v>
      </c>
      <c r="G1488" s="4">
        <f>IF(DatiOriginali!G1488 &gt;= SogliaPicchi!$B$16,"",DatiOriginali!G1488)</f>
        <v>296100</v>
      </c>
      <c r="H1488" s="4">
        <v>5612598</v>
      </c>
      <c r="I1488" s="4">
        <f>IF(DatiOriginali!I1488 &gt;= SogliaPicchi!$B$16,"",DatiOriginali!I1488)</f>
        <v>129300</v>
      </c>
      <c r="J1488" s="4">
        <v>5605242</v>
      </c>
      <c r="K1488" s="4">
        <f>IF(DatiOriginali!K1488 &gt;= SogliaPicchi!$B$16,"",DatiOriginali!K1488)</f>
        <v>137300</v>
      </c>
    </row>
    <row r="1489" spans="1:11" x14ac:dyDescent="0.3">
      <c r="A1489" s="4" t="s">
        <v>1498</v>
      </c>
      <c r="B1489" s="4">
        <v>280875</v>
      </c>
      <c r="C1489" s="4">
        <f>IF(DatiOriginali!C1489 &gt;= SogliaPicchi!$B$16,"",DatiOriginali!C1489)</f>
        <v>2107300</v>
      </c>
      <c r="D1489" s="4">
        <v>138795</v>
      </c>
      <c r="E1489" s="4">
        <f>IF(DatiOriginali!E1489 &gt;= SogliaPicchi!$B$16,"",DatiOriginali!E1489)</f>
        <v>620100</v>
      </c>
      <c r="F1489" s="4">
        <v>4508080</v>
      </c>
      <c r="G1489" s="4">
        <f>IF(DatiOriginali!G1489 &gt;= SogliaPicchi!$B$16,"",DatiOriginali!G1489)</f>
        <v>332100</v>
      </c>
      <c r="H1489" s="4">
        <v>5620787</v>
      </c>
      <c r="I1489" s="4">
        <f>IF(DatiOriginali!I1489 &gt;= SogliaPicchi!$B$16,"",DatiOriginali!I1489)</f>
        <v>112500</v>
      </c>
      <c r="J1489" s="4">
        <v>5613025</v>
      </c>
      <c r="K1489" s="4">
        <f>IF(DatiOriginali!K1489 &gt;= SogliaPicchi!$B$16,"",DatiOriginali!K1489)</f>
        <v>121400</v>
      </c>
    </row>
    <row r="1490" spans="1:11" x14ac:dyDescent="0.3">
      <c r="A1490" s="4" t="s">
        <v>1499</v>
      </c>
      <c r="B1490" s="4">
        <v>280875</v>
      </c>
      <c r="C1490" s="4">
        <f>IF(DatiOriginali!C1490 &gt;= SogliaPicchi!$B$16,"",DatiOriginali!C1490)</f>
        <v>2288100</v>
      </c>
      <c r="D1490" s="4">
        <v>147494</v>
      </c>
      <c r="E1490" s="4">
        <f>IF(DatiOriginali!E1490 &gt;= SogliaPicchi!$B$16,"",DatiOriginali!E1490)</f>
        <v>510900</v>
      </c>
      <c r="F1490" s="4">
        <v>4514318</v>
      </c>
      <c r="G1490" s="4">
        <f>IF(DatiOriginali!G1490 &gt;= SogliaPicchi!$B$16,"",DatiOriginali!G1490)</f>
        <v>273500</v>
      </c>
      <c r="H1490" s="4">
        <v>5628986</v>
      </c>
      <c r="I1490" s="4">
        <f>IF(DatiOriginali!I1490 &gt;= SogliaPicchi!$B$16,"",DatiOriginali!I1490)</f>
        <v>91900</v>
      </c>
      <c r="J1490" s="4">
        <v>5620227</v>
      </c>
      <c r="K1490" s="4">
        <f>IF(DatiOriginali!K1490 &gt;= SogliaPicchi!$B$16,"",DatiOriginali!K1490)</f>
        <v>98400</v>
      </c>
    </row>
    <row r="1491" spans="1:11" x14ac:dyDescent="0.3">
      <c r="A1491" s="4" t="s">
        <v>1500</v>
      </c>
      <c r="B1491" s="4">
        <v>280875</v>
      </c>
      <c r="C1491" s="4">
        <f>IF(DatiOriginali!C1491 &gt;= SogliaPicchi!$B$16,"",DatiOriginali!C1491)</f>
        <v>2278700</v>
      </c>
      <c r="D1491" s="4">
        <v>145210</v>
      </c>
      <c r="E1491" s="4">
        <f>IF(DatiOriginali!E1491 &gt;= SogliaPicchi!$B$16,"",DatiOriginali!E1491)</f>
        <v>520300</v>
      </c>
      <c r="F1491" s="4">
        <v>4520537</v>
      </c>
      <c r="G1491" s="4">
        <f>IF(DatiOriginali!G1491 &gt;= SogliaPicchi!$B$16,"",DatiOriginali!G1491)</f>
        <v>272000</v>
      </c>
      <c r="H1491" s="4">
        <v>5636616</v>
      </c>
      <c r="I1491" s="4">
        <f>IF(DatiOriginali!I1491 &gt;= SogliaPicchi!$B$16,"",DatiOriginali!I1491)</f>
        <v>90800</v>
      </c>
      <c r="J1491" s="4">
        <v>5628656</v>
      </c>
      <c r="K1491" s="4">
        <f>IF(DatiOriginali!K1491 &gt;= SogliaPicchi!$B$16,"",DatiOriginali!K1491)</f>
        <v>101300</v>
      </c>
    </row>
    <row r="1492" spans="1:11" x14ac:dyDescent="0.3">
      <c r="A1492" s="4" t="s">
        <v>1501</v>
      </c>
      <c r="B1492" s="4">
        <v>280875</v>
      </c>
      <c r="C1492" s="4">
        <f>IF(DatiOriginali!C1492 &gt;= SogliaPicchi!$B$16,"",DatiOriginali!C1492)</f>
        <v>2770700</v>
      </c>
      <c r="D1492" s="4">
        <v>137242</v>
      </c>
      <c r="E1492" s="4">
        <f>IF(DatiOriginali!E1492 &gt;= SogliaPicchi!$B$16,"",DatiOriginali!E1492)</f>
        <v>536800</v>
      </c>
      <c r="F1492" s="4">
        <v>4526747</v>
      </c>
      <c r="G1492" s="4">
        <f>IF(DatiOriginali!G1492 &gt;= SogliaPicchi!$B$16,"",DatiOriginali!G1492)</f>
        <v>271800</v>
      </c>
      <c r="H1492" s="4">
        <v>5644463</v>
      </c>
      <c r="I1492" s="4">
        <f>IF(DatiOriginali!I1492 &gt;= SogliaPicchi!$B$16,"",DatiOriginali!I1492)</f>
        <v>92300</v>
      </c>
      <c r="J1492" s="4">
        <v>5635866</v>
      </c>
      <c r="K1492" s="4">
        <f>IF(DatiOriginali!K1492 &gt;= SogliaPicchi!$B$16,"",DatiOriginali!K1492)</f>
        <v>105100</v>
      </c>
    </row>
    <row r="1493" spans="1:11" x14ac:dyDescent="0.3">
      <c r="A1493" s="4" t="s">
        <v>1502</v>
      </c>
      <c r="B1493" s="4">
        <v>280875</v>
      </c>
      <c r="C1493" s="4">
        <f>IF(DatiOriginali!C1493 &gt;= SogliaPicchi!$B$16,"",DatiOriginali!C1493)</f>
        <v>2288600</v>
      </c>
      <c r="D1493" s="4">
        <v>146392</v>
      </c>
      <c r="E1493" s="4">
        <f>IF(DatiOriginali!E1493 &gt;= SogliaPicchi!$B$16,"",DatiOriginali!E1493)</f>
        <v>544300</v>
      </c>
      <c r="F1493" s="4">
        <v>4532993</v>
      </c>
      <c r="G1493" s="4">
        <f>IF(DatiOriginali!G1493 &gt;= SogliaPicchi!$B$16,"",DatiOriginali!G1493)</f>
        <v>274400</v>
      </c>
      <c r="H1493" s="4">
        <v>5652779</v>
      </c>
      <c r="I1493" s="4">
        <f>IF(DatiOriginali!I1493 &gt;= SogliaPicchi!$B$16,"",DatiOriginali!I1493)</f>
        <v>87300</v>
      </c>
      <c r="J1493" s="4">
        <v>5645286</v>
      </c>
      <c r="K1493" s="4">
        <f>IF(DatiOriginali!K1493 &gt;= SogliaPicchi!$B$16,"",DatiOriginali!K1493)</f>
        <v>103900</v>
      </c>
    </row>
    <row r="1494" spans="1:11" x14ac:dyDescent="0.3">
      <c r="A1494" s="4" t="s">
        <v>1503</v>
      </c>
      <c r="B1494" s="4">
        <v>280875</v>
      </c>
      <c r="C1494" s="4">
        <f>IF(DatiOriginali!C1494 &gt;= SogliaPicchi!$B$16,"",DatiOriginali!C1494)</f>
        <v>2243600</v>
      </c>
      <c r="D1494" s="4">
        <v>137861</v>
      </c>
      <c r="E1494" s="4">
        <f>IF(DatiOriginali!E1494 &gt;= SogliaPicchi!$B$16,"",DatiOriginali!E1494)</f>
        <v>478700</v>
      </c>
      <c r="F1494" s="4">
        <v>4539235</v>
      </c>
      <c r="G1494" s="4">
        <f>IF(DatiOriginali!G1494 &gt;= SogliaPicchi!$B$16,"",DatiOriginali!G1494)</f>
        <v>280600</v>
      </c>
      <c r="H1494" s="4">
        <v>5660434</v>
      </c>
      <c r="I1494" s="4">
        <f>IF(DatiOriginali!I1494 &gt;= SogliaPicchi!$B$16,"",DatiOriginali!I1494)</f>
        <v>90400</v>
      </c>
      <c r="J1494" s="4">
        <v>5652997</v>
      </c>
      <c r="K1494" s="4">
        <f>IF(DatiOriginali!K1494 &gt;= SogliaPicchi!$B$16,"",DatiOriginali!K1494)</f>
        <v>100500</v>
      </c>
    </row>
    <row r="1495" spans="1:11" x14ac:dyDescent="0.3">
      <c r="A1495" s="4" t="s">
        <v>1504</v>
      </c>
      <c r="B1495" s="4">
        <v>280875</v>
      </c>
      <c r="C1495" s="4">
        <f>IF(DatiOriginali!C1495 &gt;= SogliaPicchi!$B$16,"",DatiOriginali!C1495)</f>
        <v>2162200</v>
      </c>
      <c r="D1495" s="4">
        <v>136893</v>
      </c>
      <c r="E1495" s="4">
        <f>IF(DatiOriginali!E1495 &gt;= SogliaPicchi!$B$16,"",DatiOriginali!E1495)</f>
        <v>522000</v>
      </c>
      <c r="F1495" s="4">
        <v>4545474</v>
      </c>
      <c r="G1495" s="4">
        <f>IF(DatiOriginali!G1495 &gt;= SogliaPicchi!$B$16,"",DatiOriginali!G1495)</f>
        <v>273100</v>
      </c>
      <c r="H1495" s="4">
        <v>5668177</v>
      </c>
      <c r="I1495" s="4">
        <f>IF(DatiOriginali!I1495 &gt;= SogliaPicchi!$B$16,"",DatiOriginali!I1495)</f>
        <v>94600</v>
      </c>
      <c r="J1495" s="4">
        <v>5661083</v>
      </c>
      <c r="K1495" s="4">
        <f>IF(DatiOriginali!K1495 &gt;= SogliaPicchi!$B$16,"",DatiOriginali!K1495)</f>
        <v>105300</v>
      </c>
    </row>
    <row r="1496" spans="1:11" x14ac:dyDescent="0.3">
      <c r="A1496" s="4" t="s">
        <v>1505</v>
      </c>
      <c r="B1496" s="4">
        <v>280875</v>
      </c>
      <c r="C1496" s="4">
        <f>IF(DatiOriginali!C1496 &gt;= SogliaPicchi!$B$16,"",DatiOriginali!C1496)</f>
        <v>2361300</v>
      </c>
      <c r="D1496" s="4">
        <v>135723</v>
      </c>
      <c r="E1496" s="4">
        <f>IF(DatiOriginali!E1496 &gt;= SogliaPicchi!$B$16,"",DatiOriginali!E1496)</f>
        <v>632300</v>
      </c>
      <c r="F1496" s="4">
        <v>4551682</v>
      </c>
      <c r="G1496" s="4">
        <f>IF(DatiOriginali!G1496 &gt;= SogliaPicchi!$B$16,"",DatiOriginali!G1496)</f>
        <v>414800</v>
      </c>
      <c r="H1496" s="4">
        <v>5675596</v>
      </c>
      <c r="I1496" s="4">
        <f>IF(DatiOriginali!I1496 &gt;= SogliaPicchi!$B$16,"",DatiOriginali!I1496)</f>
        <v>111100</v>
      </c>
      <c r="J1496" s="4">
        <v>5668937</v>
      </c>
      <c r="K1496" s="4">
        <f>IF(DatiOriginali!K1496 &gt;= SogliaPicchi!$B$16,"",DatiOriginali!K1496)</f>
        <v>133400</v>
      </c>
    </row>
    <row r="1497" spans="1:11" x14ac:dyDescent="0.3">
      <c r="A1497" s="4" t="s">
        <v>1506</v>
      </c>
      <c r="B1497" s="4">
        <v>280875</v>
      </c>
      <c r="C1497" s="4">
        <f>IF(DatiOriginali!C1497 &gt;= SogliaPicchi!$B$16,"",DatiOriginali!C1497)</f>
        <v>1968200</v>
      </c>
      <c r="D1497" s="4">
        <v>142819</v>
      </c>
      <c r="E1497" s="4">
        <f>IF(DatiOriginali!E1497 &gt;= SogliaPicchi!$B$16,"",DatiOriginali!E1497)</f>
        <v>496100</v>
      </c>
      <c r="F1497" s="4">
        <v>4557916</v>
      </c>
      <c r="G1497" s="4">
        <f>IF(DatiOriginali!G1497 &gt;= SogliaPicchi!$B$16,"",DatiOriginali!G1497)</f>
        <v>273500</v>
      </c>
      <c r="H1497" s="4">
        <v>5683363</v>
      </c>
      <c r="I1497" s="4">
        <f>IF(DatiOriginali!I1497 &gt;= SogliaPicchi!$B$16,"",DatiOriginali!I1497)</f>
        <v>91800</v>
      </c>
      <c r="J1497" s="4">
        <v>5676001</v>
      </c>
      <c r="K1497" s="4">
        <f>IF(DatiOriginali!K1497 &gt;= SogliaPicchi!$B$16,"",DatiOriginali!K1497)</f>
        <v>107000</v>
      </c>
    </row>
    <row r="1498" spans="1:11" x14ac:dyDescent="0.3">
      <c r="A1498" s="4" t="s">
        <v>1507</v>
      </c>
      <c r="B1498" s="4">
        <v>280875</v>
      </c>
      <c r="C1498" s="4">
        <f>IF(DatiOriginali!C1498 &gt;= SogliaPicchi!$B$16,"",DatiOriginali!C1498)</f>
        <v>2224600</v>
      </c>
      <c r="D1498" s="4">
        <v>133445</v>
      </c>
      <c r="E1498" s="4">
        <f>IF(DatiOriginali!E1498 &gt;= SogliaPicchi!$B$16,"",DatiOriginali!E1498)</f>
        <v>510000</v>
      </c>
      <c r="F1498" s="4">
        <v>4564143</v>
      </c>
      <c r="G1498" s="4">
        <f>IF(DatiOriginali!G1498 &gt;= SogliaPicchi!$B$16,"",DatiOriginali!G1498)</f>
        <v>275400</v>
      </c>
      <c r="H1498" s="4">
        <v>5690705</v>
      </c>
      <c r="I1498" s="4">
        <f>IF(DatiOriginali!I1498 &gt;= SogliaPicchi!$B$16,"",DatiOriginali!I1498)</f>
        <v>91400</v>
      </c>
      <c r="J1498" s="4">
        <v>5684031</v>
      </c>
      <c r="K1498" s="4">
        <f>IF(DatiOriginali!K1498 &gt;= SogliaPicchi!$B$16,"",DatiOriginali!K1498)</f>
        <v>102500</v>
      </c>
    </row>
    <row r="1499" spans="1:11" x14ac:dyDescent="0.3">
      <c r="A1499" s="4" t="s">
        <v>1508</v>
      </c>
      <c r="B1499" s="4">
        <v>280875</v>
      </c>
      <c r="C1499" s="4">
        <f>IF(DatiOriginali!C1499 &gt;= SogliaPicchi!$B$16,"",DatiOriginali!C1499)</f>
        <v>2500300</v>
      </c>
      <c r="D1499" s="4">
        <v>135248</v>
      </c>
      <c r="E1499" s="4">
        <f>IF(DatiOriginali!E1499 &gt;= SogliaPicchi!$B$16,"",DatiOriginali!E1499)</f>
        <v>469400</v>
      </c>
      <c r="F1499" s="4">
        <v>4570351</v>
      </c>
      <c r="G1499" s="4">
        <f>IF(DatiOriginali!G1499 &gt;= SogliaPicchi!$B$16,"",DatiOriginali!G1499)</f>
        <v>269600</v>
      </c>
      <c r="H1499" s="4">
        <v>5698008</v>
      </c>
      <c r="I1499" s="4">
        <f>IF(DatiOriginali!I1499 &gt;= SogliaPicchi!$B$16,"",DatiOriginali!I1499)</f>
        <v>87800</v>
      </c>
      <c r="J1499" s="4">
        <v>5692277</v>
      </c>
      <c r="K1499" s="4">
        <f>IF(DatiOriginali!K1499 &gt;= SogliaPicchi!$B$16,"",DatiOriginali!K1499)</f>
        <v>102400</v>
      </c>
    </row>
    <row r="1500" spans="1:11" x14ac:dyDescent="0.3">
      <c r="A1500" s="4" t="s">
        <v>1509</v>
      </c>
      <c r="B1500" s="4">
        <v>280875</v>
      </c>
      <c r="C1500" s="4">
        <f>IF(DatiOriginali!C1500 &gt;= SogliaPicchi!$B$16,"",DatiOriginali!C1500)</f>
        <v>2169100</v>
      </c>
      <c r="D1500" s="4">
        <v>136827</v>
      </c>
      <c r="E1500" s="4">
        <f>IF(DatiOriginali!E1500 &gt;= SogliaPicchi!$B$16,"",DatiOriginali!E1500)</f>
        <v>474200</v>
      </c>
      <c r="F1500" s="4">
        <v>4576585</v>
      </c>
      <c r="G1500" s="4">
        <f>IF(DatiOriginali!G1500 &gt;= SogliaPicchi!$B$16,"",DatiOriginali!G1500)</f>
        <v>271700</v>
      </c>
      <c r="H1500" s="4">
        <v>5705755</v>
      </c>
      <c r="I1500" s="4">
        <f>IF(DatiOriginali!I1500 &gt;= SogliaPicchi!$B$16,"",DatiOriginali!I1500)</f>
        <v>92700</v>
      </c>
      <c r="J1500" s="4">
        <v>5700068</v>
      </c>
      <c r="K1500" s="4">
        <f>IF(DatiOriginali!K1500 &gt;= SogliaPicchi!$B$16,"",DatiOriginali!K1500)</f>
        <v>98900</v>
      </c>
    </row>
    <row r="1501" spans="1:11" x14ac:dyDescent="0.3">
      <c r="A1501" s="4" t="s">
        <v>1510</v>
      </c>
      <c r="B1501" s="4">
        <v>280875</v>
      </c>
      <c r="C1501" s="4">
        <f>IF(DatiOriginali!C1501 &gt;= SogliaPicchi!$B$16,"",DatiOriginali!C1501)</f>
        <v>2376400</v>
      </c>
      <c r="D1501" s="4">
        <v>144288</v>
      </c>
      <c r="E1501" s="4">
        <f>IF(DatiOriginali!E1501 &gt;= SogliaPicchi!$B$16,"",DatiOriginali!E1501)</f>
        <v>504500</v>
      </c>
      <c r="F1501" s="4">
        <v>4582833</v>
      </c>
      <c r="G1501" s="4">
        <f>IF(DatiOriginali!G1501 &gt;= SogliaPicchi!$B$17,"",DatiOriginali!G1501)</f>
        <v>278500</v>
      </c>
      <c r="H1501" s="4">
        <v>5714166</v>
      </c>
      <c r="I1501" s="4">
        <f>IF(DatiOriginali!I1501 &gt;= SogliaPicchi!$B$17,"",DatiOriginali!I1501)</f>
        <v>89400</v>
      </c>
      <c r="J1501" s="4">
        <v>5707616</v>
      </c>
      <c r="K1501" s="4">
        <f>IF(DatiOriginali!K1501 &gt;= SogliaPicchi!$B$17,"",DatiOriginali!K1501)</f>
        <v>105400</v>
      </c>
    </row>
    <row r="1502" spans="1:11" x14ac:dyDescent="0.3">
      <c r="A1502" s="4" t="s">
        <v>1511</v>
      </c>
      <c r="B1502" s="4">
        <v>319600</v>
      </c>
      <c r="C1502" s="4">
        <f>IF(DatiOriginali!C1502 &gt;= SogliaPicchi!$B$17,"",DatiOriginali!C1502)</f>
        <v>2467700</v>
      </c>
      <c r="D1502" s="4">
        <v>166458</v>
      </c>
      <c r="E1502" s="4">
        <f>IF(DatiOriginali!E1502 &gt;= SogliaPicchi!$B$17,"",DatiOriginali!E1502)</f>
        <v>581300</v>
      </c>
      <c r="F1502" s="4">
        <v>4589564</v>
      </c>
      <c r="G1502" s="4">
        <f>IF(DatiOriginali!G1502 &gt;= SogliaPicchi!$B$17,"",DatiOriginali!G1502)</f>
        <v>288500</v>
      </c>
      <c r="H1502" s="4">
        <v>5722286</v>
      </c>
      <c r="I1502" s="4">
        <f>IF(DatiOriginali!I1502 &gt;= SogliaPicchi!$B$17,"",DatiOriginali!I1502)</f>
        <v>96400</v>
      </c>
      <c r="J1502" s="4">
        <v>5715515</v>
      </c>
      <c r="K1502" s="4">
        <f>IF(DatiOriginali!K1502 &gt;= SogliaPicchi!$B$17,"",DatiOriginali!K1502)</f>
        <v>109200</v>
      </c>
    </row>
    <row r="1503" spans="1:11" x14ac:dyDescent="0.3">
      <c r="A1503" s="4" t="s">
        <v>1512</v>
      </c>
      <c r="B1503" s="4">
        <v>319600</v>
      </c>
      <c r="C1503" s="4">
        <f>IF(DatiOriginali!C1503 &gt;= SogliaPicchi!$B$17,"",DatiOriginali!C1503)</f>
        <v>2452000</v>
      </c>
      <c r="D1503" s="4">
        <v>163119</v>
      </c>
      <c r="E1503" s="4">
        <f>IF(DatiOriginali!E1503 &gt;= SogliaPicchi!$B$17,"",DatiOriginali!E1503)</f>
        <v>565400</v>
      </c>
      <c r="F1503" s="4">
        <v>4596286</v>
      </c>
      <c r="G1503" s="4">
        <f>IF(DatiOriginali!G1503 &gt;= SogliaPicchi!$B$17,"",DatiOriginali!G1503)</f>
        <v>296900</v>
      </c>
      <c r="H1503" s="4">
        <v>5730560</v>
      </c>
      <c r="I1503" s="4">
        <f>IF(DatiOriginali!I1503 &gt;= SogliaPicchi!$B$17,"",DatiOriginali!I1503)</f>
        <v>98000</v>
      </c>
      <c r="J1503" s="4">
        <v>5724268</v>
      </c>
      <c r="K1503" s="4">
        <f>IF(DatiOriginali!K1503 &gt;= SogliaPicchi!$B$17,"",DatiOriginali!K1503)</f>
        <v>106300</v>
      </c>
    </row>
    <row r="1504" spans="1:11" x14ac:dyDescent="0.3">
      <c r="A1504" s="4" t="s">
        <v>1513</v>
      </c>
      <c r="B1504" s="4">
        <v>319600</v>
      </c>
      <c r="C1504" s="4">
        <f>IF(DatiOriginali!C1504 &gt;= SogliaPicchi!$B$17,"",DatiOriginali!C1504)</f>
        <v>2607800</v>
      </c>
      <c r="D1504" s="4">
        <v>154096</v>
      </c>
      <c r="E1504" s="4">
        <f>IF(DatiOriginali!E1504 &gt;= SogliaPicchi!$B$17,"",DatiOriginali!E1504)</f>
        <v>561000</v>
      </c>
      <c r="F1504" s="4">
        <v>4603029</v>
      </c>
      <c r="G1504" s="4">
        <f>IF(DatiOriginali!G1504 &gt;= SogliaPicchi!$B$17,"",DatiOriginali!G1504)</f>
        <v>291500</v>
      </c>
      <c r="H1504" s="4">
        <v>5739239</v>
      </c>
      <c r="I1504" s="4">
        <f>IF(DatiOriginali!I1504 &gt;= SogliaPicchi!$B$17,"",DatiOriginali!I1504)</f>
        <v>100800</v>
      </c>
      <c r="J1504" s="4">
        <v>5732743</v>
      </c>
      <c r="K1504" s="4">
        <f>IF(DatiOriginali!K1504 &gt;= SogliaPicchi!$B$17,"",DatiOriginali!K1504)</f>
        <v>111100</v>
      </c>
    </row>
    <row r="1505" spans="1:11" x14ac:dyDescent="0.3">
      <c r="A1505" s="4" t="s">
        <v>1514</v>
      </c>
      <c r="B1505" s="4">
        <v>319600</v>
      </c>
      <c r="C1505" s="4">
        <f>IF(DatiOriginali!C1505 &gt;= SogliaPicchi!$B$17,"",DatiOriginali!C1505)</f>
        <v>2434100</v>
      </c>
      <c r="D1505" s="4">
        <v>159565</v>
      </c>
      <c r="E1505" s="4">
        <f>IF(DatiOriginali!E1505 &gt;= SogliaPicchi!$B$17,"",DatiOriginali!E1505)</f>
        <v>575900</v>
      </c>
      <c r="F1505" s="4">
        <v>4609713</v>
      </c>
      <c r="G1505" s="4">
        <f>IF(DatiOriginali!G1505 &gt;= SogliaPicchi!$B$17,"",DatiOriginali!G1505)</f>
        <v>293800</v>
      </c>
      <c r="H1505" s="4">
        <v>5747637</v>
      </c>
      <c r="I1505" s="4">
        <f>IF(DatiOriginali!I1505 &gt;= SogliaPicchi!$B$17,"",DatiOriginali!I1505)</f>
        <v>98300</v>
      </c>
      <c r="J1505" s="4">
        <v>5740989</v>
      </c>
      <c r="K1505" s="4">
        <f>IF(DatiOriginali!K1505 &gt;= SogliaPicchi!$B$17,"",DatiOriginali!K1505)</f>
        <v>108300</v>
      </c>
    </row>
    <row r="1506" spans="1:11" x14ac:dyDescent="0.3">
      <c r="A1506" s="4" t="s">
        <v>1515</v>
      </c>
      <c r="B1506" s="4">
        <v>319600</v>
      </c>
      <c r="C1506" s="4">
        <f>IF(DatiOriginali!C1506 &gt;= SogliaPicchi!$B$17,"",DatiOriginali!C1506)</f>
        <v>2531800</v>
      </c>
      <c r="D1506" s="4">
        <v>159998</v>
      </c>
      <c r="E1506" s="4">
        <f>IF(DatiOriginali!E1506 &gt;= SogliaPicchi!$B$17,"",DatiOriginali!E1506)</f>
        <v>555300</v>
      </c>
      <c r="F1506" s="4">
        <v>4616440</v>
      </c>
      <c r="G1506" s="4">
        <f>IF(DatiOriginali!G1506 &gt;= SogliaPicchi!$B$17,"",DatiOriginali!G1506)</f>
        <v>293100</v>
      </c>
      <c r="H1506" s="4">
        <v>5756260</v>
      </c>
      <c r="I1506" s="4">
        <f>IF(DatiOriginali!I1506 &gt;= SogliaPicchi!$B$17,"",DatiOriginali!I1506)</f>
        <v>102500</v>
      </c>
      <c r="J1506" s="4">
        <v>5749096</v>
      </c>
      <c r="K1506" s="4">
        <f>IF(DatiOriginali!K1506 &gt;= SogliaPicchi!$B$17,"",DatiOriginali!K1506)</f>
        <v>107100</v>
      </c>
    </row>
    <row r="1507" spans="1:11" x14ac:dyDescent="0.3">
      <c r="A1507" s="4" t="s">
        <v>1516</v>
      </c>
      <c r="B1507" s="4">
        <v>319600</v>
      </c>
      <c r="C1507" s="4">
        <f>IF(DatiOriginali!C1507 &gt;= SogliaPicchi!$B$17,"",DatiOriginali!C1507)</f>
        <v>2564800</v>
      </c>
      <c r="D1507" s="4">
        <v>162704</v>
      </c>
      <c r="E1507" s="4">
        <f>IF(DatiOriginali!E1507 &gt;= SogliaPicchi!$B$17,"",DatiOriginali!E1507)</f>
        <v>563400</v>
      </c>
      <c r="F1507" s="4">
        <v>4623176</v>
      </c>
      <c r="G1507" s="4">
        <f>IF(DatiOriginali!G1507 &gt;= SogliaPicchi!$B$17,"",DatiOriginali!G1507)</f>
        <v>294400</v>
      </c>
      <c r="H1507" s="4">
        <v>5764745</v>
      </c>
      <c r="I1507" s="4">
        <f>IF(DatiOriginali!I1507 &gt;= SogliaPicchi!$B$17,"",DatiOriginali!I1507)</f>
        <v>97900</v>
      </c>
      <c r="J1507" s="4">
        <v>5757180</v>
      </c>
      <c r="K1507" s="4">
        <f>IF(DatiOriginali!K1507 &gt;= SogliaPicchi!$B$17,"",DatiOriginali!K1507)</f>
        <v>111200</v>
      </c>
    </row>
    <row r="1508" spans="1:11" x14ac:dyDescent="0.3">
      <c r="A1508" s="4" t="s">
        <v>1517</v>
      </c>
      <c r="B1508" s="4">
        <v>319600</v>
      </c>
      <c r="C1508" s="4">
        <f>IF(DatiOriginali!C1508 &gt;= SogliaPicchi!$B$17,"",DatiOriginali!C1508)</f>
        <v>2503100</v>
      </c>
      <c r="D1508" s="4">
        <v>163661</v>
      </c>
      <c r="E1508" s="4">
        <f>IF(DatiOriginali!E1508 &gt;= SogliaPicchi!$B$17,"",DatiOriginali!E1508)</f>
        <v>694900</v>
      </c>
      <c r="F1508" s="4">
        <v>4629903</v>
      </c>
      <c r="G1508" s="4">
        <f>IF(DatiOriginali!G1508 &gt;= SogliaPicchi!$B$17,"",DatiOriginali!G1508)</f>
        <v>291100</v>
      </c>
      <c r="H1508" s="4">
        <v>5773491</v>
      </c>
      <c r="I1508" s="4">
        <f>IF(DatiOriginali!I1508 &gt;= SogliaPicchi!$B$17,"",DatiOriginali!I1508)</f>
        <v>99100</v>
      </c>
      <c r="J1508" s="4">
        <v>5765178</v>
      </c>
      <c r="K1508" s="4">
        <f>IF(DatiOriginali!K1508 &gt;= SogliaPicchi!$B$17,"",DatiOriginali!K1508)</f>
        <v>109600</v>
      </c>
    </row>
    <row r="1509" spans="1:11" x14ac:dyDescent="0.3">
      <c r="A1509" s="4" t="s">
        <v>1518</v>
      </c>
      <c r="B1509" s="4">
        <v>319600</v>
      </c>
      <c r="C1509" s="4">
        <f>IF(DatiOriginali!C1509 &gt;= SogliaPicchi!$B$17,"",DatiOriginali!C1509)</f>
        <v>2413000</v>
      </c>
      <c r="D1509" s="4">
        <v>155155</v>
      </c>
      <c r="E1509" s="4">
        <f>IF(DatiOriginali!E1509 &gt;= SogliaPicchi!$B$17,"",DatiOriginali!E1509)</f>
        <v>537000</v>
      </c>
      <c r="F1509" s="4">
        <v>4636650</v>
      </c>
      <c r="G1509" s="4">
        <f>IF(DatiOriginali!G1509 &gt;= SogliaPicchi!$B$17,"",DatiOriginali!G1509)</f>
        <v>292800</v>
      </c>
      <c r="H1509" s="4">
        <v>5781191</v>
      </c>
      <c r="I1509" s="4">
        <f>IF(DatiOriginali!I1509 &gt;= SogliaPicchi!$B$17,"",DatiOriginali!I1509)</f>
        <v>96800</v>
      </c>
      <c r="J1509" s="4">
        <v>5773236</v>
      </c>
      <c r="K1509" s="4">
        <f>IF(DatiOriginali!K1509 &gt;= SogliaPicchi!$B$17,"",DatiOriginali!K1509)</f>
        <v>109500</v>
      </c>
    </row>
    <row r="1510" spans="1:11" x14ac:dyDescent="0.3">
      <c r="A1510" s="4" t="s">
        <v>1519</v>
      </c>
      <c r="B1510" s="4">
        <v>319600</v>
      </c>
      <c r="C1510" s="4">
        <f>IF(DatiOriginali!C1510 &gt;= SogliaPicchi!$B$17,"",DatiOriginali!C1510)</f>
        <v>2631500</v>
      </c>
      <c r="D1510" s="4">
        <v>165263</v>
      </c>
      <c r="E1510" s="4">
        <f>IF(DatiOriginali!E1510 &gt;= SogliaPicchi!$B$17,"",DatiOriginali!E1510)</f>
        <v>578200</v>
      </c>
      <c r="F1510" s="4">
        <v>4643396</v>
      </c>
      <c r="G1510" s="4">
        <f>IF(DatiOriginali!G1510 &gt;= SogliaPicchi!$B$17,"",DatiOriginali!G1510)</f>
        <v>298300</v>
      </c>
      <c r="H1510" s="4">
        <v>5789306</v>
      </c>
      <c r="I1510" s="4">
        <f>IF(DatiOriginali!I1510 &gt;= SogliaPicchi!$B$17,"",DatiOriginali!I1510)</f>
        <v>95700</v>
      </c>
      <c r="J1510" s="4">
        <v>5780877</v>
      </c>
      <c r="K1510" s="4">
        <f>IF(DatiOriginali!K1510 &gt;= SogliaPicchi!$B$17,"",DatiOriginali!K1510)</f>
        <v>110200</v>
      </c>
    </row>
    <row r="1511" spans="1:11" x14ac:dyDescent="0.3">
      <c r="A1511" s="4" t="s">
        <v>1520</v>
      </c>
      <c r="B1511" s="4">
        <v>319600</v>
      </c>
      <c r="C1511" s="4">
        <f>IF(DatiOriginali!C1511 &gt;= SogliaPicchi!$B$17,"",DatiOriginali!C1511)</f>
        <v>2976200</v>
      </c>
      <c r="D1511" s="4">
        <v>163541</v>
      </c>
      <c r="E1511" s="4">
        <f>IF(DatiOriginali!E1511 &gt;= SogliaPicchi!$B$17,"",DatiOriginali!E1511)</f>
        <v>589300</v>
      </c>
      <c r="F1511" s="4">
        <v>4650131</v>
      </c>
      <c r="G1511" s="4">
        <f>IF(DatiOriginali!G1511 &gt;= SogliaPicchi!$B$17,"",DatiOriginali!G1511)</f>
        <v>294300</v>
      </c>
      <c r="H1511" s="4">
        <v>5797818</v>
      </c>
      <c r="I1511" s="4">
        <f>IF(DatiOriginali!I1511 &gt;= SogliaPicchi!$B$17,"",DatiOriginali!I1511)</f>
        <v>97000</v>
      </c>
      <c r="J1511" s="4">
        <v>5789290</v>
      </c>
      <c r="K1511" s="4">
        <f>IF(DatiOriginali!K1511 &gt;= SogliaPicchi!$B$17,"",DatiOriginali!K1511)</f>
        <v>109200</v>
      </c>
    </row>
    <row r="1512" spans="1:11" x14ac:dyDescent="0.3">
      <c r="A1512" s="4" t="s">
        <v>1521</v>
      </c>
      <c r="B1512" s="4">
        <v>319600</v>
      </c>
      <c r="C1512" s="4">
        <f>IF(DatiOriginali!C1512 &gt;= SogliaPicchi!$B$17,"",DatiOriginali!C1512)</f>
        <v>2797400</v>
      </c>
      <c r="D1512" s="4">
        <v>162624</v>
      </c>
      <c r="E1512" s="4">
        <f>IF(DatiOriginali!E1512 &gt;= SogliaPicchi!$B$17,"",DatiOriginali!E1512)</f>
        <v>595800</v>
      </c>
      <c r="F1512" s="4">
        <v>4656867</v>
      </c>
      <c r="G1512" s="4">
        <f>IF(DatiOriginali!G1512 &gt;= SogliaPicchi!$B$17,"",DatiOriginali!G1512)</f>
        <v>299800</v>
      </c>
      <c r="H1512" s="4">
        <v>5806282</v>
      </c>
      <c r="I1512" s="4">
        <f>IF(DatiOriginali!I1512 &gt;= SogliaPicchi!$B$17,"",DatiOriginali!I1512)</f>
        <v>101900</v>
      </c>
      <c r="J1512" s="4">
        <v>5797430</v>
      </c>
      <c r="K1512" s="4">
        <f>IF(DatiOriginali!K1512 &gt;= SogliaPicchi!$B$17,"",DatiOriginali!K1512)</f>
        <v>112400</v>
      </c>
    </row>
    <row r="1513" spans="1:11" x14ac:dyDescent="0.3">
      <c r="A1513" s="4" t="s">
        <v>1522</v>
      </c>
      <c r="B1513" s="4">
        <v>319600</v>
      </c>
      <c r="C1513" s="4">
        <f>IF(DatiOriginali!C1513 &gt;= SogliaPicchi!$B$17,"",DatiOriginali!C1513)</f>
        <v>2437400</v>
      </c>
      <c r="D1513" s="4">
        <v>161161</v>
      </c>
      <c r="E1513" s="4">
        <f>IF(DatiOriginali!E1513 &gt;= SogliaPicchi!$B$17,"",DatiOriginali!E1513)</f>
        <v>561400</v>
      </c>
      <c r="F1513" s="4">
        <v>4663592</v>
      </c>
      <c r="G1513" s="4">
        <f>IF(DatiOriginali!G1513 &gt;= SogliaPicchi!$B$17,"",DatiOriginali!G1513)</f>
        <v>290000</v>
      </c>
      <c r="H1513" s="4">
        <v>5815121</v>
      </c>
      <c r="I1513" s="4">
        <f>IF(DatiOriginali!I1513 &gt;= SogliaPicchi!$B$17,"",DatiOriginali!I1513)</f>
        <v>97400</v>
      </c>
      <c r="J1513" s="4">
        <v>5806752</v>
      </c>
      <c r="K1513" s="4">
        <f>IF(DatiOriginali!K1513 &gt;= SogliaPicchi!$B$17,"",DatiOriginali!K1513)</f>
        <v>111700</v>
      </c>
    </row>
    <row r="1514" spans="1:11" x14ac:dyDescent="0.3">
      <c r="A1514" s="4" t="s">
        <v>1523</v>
      </c>
      <c r="B1514" s="4">
        <v>319600</v>
      </c>
      <c r="C1514" s="4">
        <f>IF(DatiOriginali!C1514 &gt;= SogliaPicchi!$B$17,"",DatiOriginali!C1514)</f>
        <v>2379600</v>
      </c>
      <c r="D1514" s="4">
        <v>161722</v>
      </c>
      <c r="E1514" s="4">
        <f>IF(DatiOriginali!E1514 &gt;= SogliaPicchi!$B$17,"",DatiOriginali!E1514)</f>
        <v>566100</v>
      </c>
      <c r="F1514" s="4">
        <v>4670331</v>
      </c>
      <c r="G1514" s="4">
        <f>IF(DatiOriginali!G1514 &gt;= SogliaPicchi!$B$17,"",DatiOriginali!G1514)</f>
        <v>288100</v>
      </c>
      <c r="H1514" s="4">
        <v>5823094</v>
      </c>
      <c r="I1514" s="4">
        <f>IF(DatiOriginali!I1514 &gt;= SogliaPicchi!$B$17,"",DatiOriginali!I1514)</f>
        <v>95500</v>
      </c>
      <c r="J1514" s="4">
        <v>5815451</v>
      </c>
      <c r="K1514" s="4">
        <f>IF(DatiOriginali!K1514 &gt;= SogliaPicchi!$B$17,"",DatiOriginali!K1514)</f>
        <v>108700</v>
      </c>
    </row>
    <row r="1515" spans="1:11" x14ac:dyDescent="0.3">
      <c r="A1515" s="4" t="s">
        <v>1524</v>
      </c>
      <c r="B1515" s="4">
        <v>319600</v>
      </c>
      <c r="C1515" s="4" t="str">
        <f>IF(DatiOriginali!C1515 &gt;= SogliaPicchi!$B$17,"",DatiOriginali!C1515)</f>
        <v/>
      </c>
      <c r="D1515" s="4">
        <v>152227</v>
      </c>
      <c r="E1515" s="4">
        <f>IF(DatiOriginali!E1515 &gt;= SogliaPicchi!$B$17,"",DatiOriginali!E1515)</f>
        <v>541400</v>
      </c>
      <c r="F1515" s="4">
        <v>4677054</v>
      </c>
      <c r="G1515" s="4">
        <f>IF(DatiOriginali!G1515 &gt;= SogliaPicchi!$B$17,"",DatiOriginali!G1515)</f>
        <v>293100</v>
      </c>
      <c r="H1515" s="4">
        <v>5830755</v>
      </c>
      <c r="I1515" s="4">
        <f>IF(DatiOriginali!I1515 &gt;= SogliaPicchi!$B$17,"",DatiOriginali!I1515)</f>
        <v>99200</v>
      </c>
      <c r="J1515" s="4">
        <v>5824094</v>
      </c>
      <c r="K1515" s="4">
        <f>IF(DatiOriginali!K1515 &gt;= SogliaPicchi!$B$17,"",DatiOriginali!K1515)</f>
        <v>114200</v>
      </c>
    </row>
    <row r="1516" spans="1:11" x14ac:dyDescent="0.3">
      <c r="A1516" s="4" t="s">
        <v>1525</v>
      </c>
      <c r="B1516" s="4">
        <v>319600</v>
      </c>
      <c r="C1516" s="4">
        <f>IF(DatiOriginali!C1516 &gt;= SogliaPicchi!$B$17,"",DatiOriginali!C1516)</f>
        <v>2563300</v>
      </c>
      <c r="D1516" s="4">
        <v>158420</v>
      </c>
      <c r="E1516" s="4">
        <f>IF(DatiOriginali!E1516 &gt;= SogliaPicchi!$B$17,"",DatiOriginali!E1516)</f>
        <v>553400</v>
      </c>
      <c r="F1516" s="4">
        <v>4683777</v>
      </c>
      <c r="G1516" s="4">
        <f>IF(DatiOriginali!G1516 &gt;= SogliaPicchi!$B$17,"",DatiOriginali!G1516)</f>
        <v>295500</v>
      </c>
      <c r="H1516" s="4">
        <v>5838765</v>
      </c>
      <c r="I1516" s="4">
        <f>IF(DatiOriginali!I1516 &gt;= SogliaPicchi!$B$17,"",DatiOriginali!I1516)</f>
        <v>96200</v>
      </c>
      <c r="J1516" s="4">
        <v>5832096</v>
      </c>
      <c r="K1516" s="4">
        <f>IF(DatiOriginali!K1516 &gt;= SogliaPicchi!$B$17,"",DatiOriginali!K1516)</f>
        <v>108100</v>
      </c>
    </row>
    <row r="1517" spans="1:11" x14ac:dyDescent="0.3">
      <c r="A1517" s="4" t="s">
        <v>1526</v>
      </c>
      <c r="B1517" s="4">
        <v>319600</v>
      </c>
      <c r="C1517" s="4">
        <f>IF(DatiOriginali!C1517 &gt;= SogliaPicchi!$B$17,"",DatiOriginali!C1517)</f>
        <v>2575400</v>
      </c>
      <c r="D1517" s="4">
        <v>158777</v>
      </c>
      <c r="E1517" s="4">
        <f>IF(DatiOriginali!E1517 &gt;= SogliaPicchi!$B$17,"",DatiOriginali!E1517)</f>
        <v>554000</v>
      </c>
      <c r="F1517" s="4">
        <v>4690495</v>
      </c>
      <c r="G1517" s="4">
        <f>IF(DatiOriginali!G1517 &gt;= SogliaPicchi!$B$17,"",DatiOriginali!G1517)</f>
        <v>291800</v>
      </c>
      <c r="H1517" s="4">
        <v>5847218</v>
      </c>
      <c r="I1517" s="4">
        <f>IF(DatiOriginali!I1517 &gt;= SogliaPicchi!$B$17,"",DatiOriginali!I1517)</f>
        <v>100300</v>
      </c>
      <c r="J1517" s="4">
        <v>5840609</v>
      </c>
      <c r="K1517" s="4">
        <f>IF(DatiOriginali!K1517 &gt;= SogliaPicchi!$B$17,"",DatiOriginali!K1517)</f>
        <v>109000</v>
      </c>
    </row>
    <row r="1518" spans="1:11" x14ac:dyDescent="0.3">
      <c r="A1518" s="4" t="s">
        <v>1527</v>
      </c>
      <c r="B1518" s="4">
        <v>319600</v>
      </c>
      <c r="C1518" s="4">
        <f>IF(DatiOriginali!C1518 &gt;= SogliaPicchi!$B$17,"",DatiOriginali!C1518)</f>
        <v>2396300</v>
      </c>
      <c r="D1518" s="4">
        <v>155446</v>
      </c>
      <c r="E1518" s="4">
        <f>IF(DatiOriginali!E1518 &gt;= SogliaPicchi!$B$17,"",DatiOriginali!E1518)</f>
        <v>541600</v>
      </c>
      <c r="F1518" s="4">
        <v>4697219</v>
      </c>
      <c r="G1518" s="4">
        <f>IF(DatiOriginali!G1518 &gt;= SogliaPicchi!$B$17,"",DatiOriginali!G1518)</f>
        <v>291900</v>
      </c>
      <c r="H1518" s="4">
        <v>5856221</v>
      </c>
      <c r="I1518" s="4">
        <f>IF(DatiOriginali!I1518 &gt;= SogliaPicchi!$B$17,"",DatiOriginali!I1518)</f>
        <v>100600</v>
      </c>
      <c r="J1518" s="4">
        <v>5849154</v>
      </c>
      <c r="K1518" s="4">
        <f>IF(DatiOriginali!K1518 &gt;= SogliaPicchi!$B$17,"",DatiOriginali!K1518)</f>
        <v>108900</v>
      </c>
    </row>
    <row r="1519" spans="1:11" x14ac:dyDescent="0.3">
      <c r="A1519" s="4" t="s">
        <v>1528</v>
      </c>
      <c r="B1519" s="4">
        <v>319600</v>
      </c>
      <c r="C1519" s="4">
        <f>IF(DatiOriginali!C1519 &gt;= SogliaPicchi!$B$17,"",DatiOriginali!C1519)</f>
        <v>2633700</v>
      </c>
      <c r="D1519" s="4">
        <v>156028</v>
      </c>
      <c r="E1519" s="4">
        <f>IF(DatiOriginali!E1519 &gt;= SogliaPicchi!$B$17,"",DatiOriginali!E1519)</f>
        <v>554000</v>
      </c>
      <c r="F1519" s="4">
        <v>4703919</v>
      </c>
      <c r="G1519" s="4">
        <f>IF(DatiOriginali!G1519 &gt;= SogliaPicchi!$B$17,"",DatiOriginali!G1519)</f>
        <v>289400</v>
      </c>
      <c r="H1519" s="4">
        <v>5864356</v>
      </c>
      <c r="I1519" s="4">
        <f>IF(DatiOriginali!I1519 &gt;= SogliaPicchi!$B$17,"",DatiOriginali!I1519)</f>
        <v>98400</v>
      </c>
      <c r="J1519" s="4">
        <v>5857324</v>
      </c>
      <c r="K1519" s="4">
        <f>IF(DatiOriginali!K1519 &gt;= SogliaPicchi!$B$17,"",DatiOriginali!K1519)</f>
        <v>111200</v>
      </c>
    </row>
    <row r="1520" spans="1:11" x14ac:dyDescent="0.3">
      <c r="A1520" s="4" t="s">
        <v>1529</v>
      </c>
      <c r="B1520" s="4">
        <v>319600</v>
      </c>
      <c r="C1520" s="4">
        <f>IF(DatiOriginali!C1520 &gt;= SogliaPicchi!$B$17,"",DatiOriginali!C1520)</f>
        <v>2623800</v>
      </c>
      <c r="D1520" s="4">
        <v>164036</v>
      </c>
      <c r="E1520" s="4">
        <f>IF(DatiOriginali!E1520 &gt;= SogliaPicchi!$B$17,"",DatiOriginali!E1520)</f>
        <v>572100</v>
      </c>
      <c r="F1520" s="4">
        <v>4710655</v>
      </c>
      <c r="G1520" s="4">
        <f>IF(DatiOriginali!G1520 &gt;= SogliaPicchi!$B$17,"",DatiOriginali!G1520)</f>
        <v>289900</v>
      </c>
      <c r="H1520" s="4">
        <v>5872283</v>
      </c>
      <c r="I1520" s="4">
        <f>IF(DatiOriginali!I1520 &gt;= SogliaPicchi!$B$17,"",DatiOriginali!I1520)</f>
        <v>98600</v>
      </c>
      <c r="J1520" s="4">
        <v>5865834</v>
      </c>
      <c r="K1520" s="4">
        <f>IF(DatiOriginali!K1520 &gt;= SogliaPicchi!$B$17,"",DatiOriginali!K1520)</f>
        <v>109200</v>
      </c>
    </row>
    <row r="1521" spans="1:11" x14ac:dyDescent="0.3">
      <c r="A1521" s="4" t="s">
        <v>1530</v>
      </c>
      <c r="B1521" s="4">
        <v>319600</v>
      </c>
      <c r="C1521" s="4">
        <f>IF(DatiOriginali!C1521 &gt;= SogliaPicchi!$B$17,"",DatiOriginali!C1521)</f>
        <v>2389400</v>
      </c>
      <c r="D1521" s="4">
        <v>156885</v>
      </c>
      <c r="E1521" s="4">
        <f>IF(DatiOriginali!E1521 &gt;= SogliaPicchi!$B$17,"",DatiOriginali!E1521)</f>
        <v>545700</v>
      </c>
      <c r="F1521" s="4">
        <v>4717388</v>
      </c>
      <c r="G1521" s="4">
        <f>IF(DatiOriginali!G1521 &gt;= SogliaPicchi!$B$17,"",DatiOriginali!G1521)</f>
        <v>292800</v>
      </c>
      <c r="H1521" s="4">
        <v>5880041</v>
      </c>
      <c r="I1521" s="4">
        <f>IF(DatiOriginali!I1521 &gt;= SogliaPicchi!$B$17,"",DatiOriginali!I1521)</f>
        <v>99900</v>
      </c>
      <c r="J1521" s="4">
        <v>5874387</v>
      </c>
      <c r="K1521" s="4">
        <f>IF(DatiOriginali!K1521 &gt;= SogliaPicchi!$B$17,"",DatiOriginali!K1521)</f>
        <v>107700</v>
      </c>
    </row>
    <row r="1522" spans="1:11" x14ac:dyDescent="0.3">
      <c r="A1522" s="4" t="s">
        <v>1531</v>
      </c>
      <c r="B1522" s="4">
        <v>319600</v>
      </c>
      <c r="C1522" s="4">
        <f>IF(DatiOriginali!C1522 &gt;= SogliaPicchi!$B$17,"",DatiOriginali!C1522)</f>
        <v>2506500</v>
      </c>
      <c r="D1522" s="4">
        <v>166522</v>
      </c>
      <c r="E1522" s="4">
        <f>IF(DatiOriginali!E1522 &gt;= SogliaPicchi!$B$17,"",DatiOriginali!E1522)</f>
        <v>688100</v>
      </c>
      <c r="F1522" s="4">
        <v>4724145</v>
      </c>
      <c r="G1522" s="4">
        <f>IF(DatiOriginali!G1522 &gt;= SogliaPicchi!$B$17,"",DatiOriginali!G1522)</f>
        <v>297500</v>
      </c>
      <c r="H1522" s="4">
        <v>5888313</v>
      </c>
      <c r="I1522" s="4">
        <f>IF(DatiOriginali!I1522 &gt;= SogliaPicchi!$B$17,"",DatiOriginali!I1522)</f>
        <v>99500</v>
      </c>
      <c r="J1522" s="4">
        <v>5882842</v>
      </c>
      <c r="K1522" s="4">
        <f>IF(DatiOriginali!K1522 &gt;= SogliaPicchi!$B$17,"",DatiOriginali!K1522)</f>
        <v>108800</v>
      </c>
    </row>
    <row r="1523" spans="1:11" x14ac:dyDescent="0.3">
      <c r="A1523" s="4" t="s">
        <v>1532</v>
      </c>
      <c r="B1523" s="4">
        <v>319600</v>
      </c>
      <c r="C1523" s="4">
        <f>IF(DatiOriginali!C1523 &gt;= SogliaPicchi!$B$17,"",DatiOriginali!C1523)</f>
        <v>3003400</v>
      </c>
      <c r="D1523" s="4">
        <v>158795</v>
      </c>
      <c r="E1523" s="4">
        <f>IF(DatiOriginali!E1523 &gt;= SogliaPicchi!$B$17,"",DatiOriginali!E1523)</f>
        <v>549700</v>
      </c>
      <c r="F1523" s="4">
        <v>4730866</v>
      </c>
      <c r="G1523" s="4">
        <f>IF(DatiOriginali!G1523 &gt;= SogliaPicchi!$B$17,"",DatiOriginali!G1523)</f>
        <v>382300</v>
      </c>
      <c r="H1523" s="4">
        <v>5896399</v>
      </c>
      <c r="I1523" s="4">
        <f>IF(DatiOriginali!I1523 &gt;= SogliaPicchi!$B$17,"",DatiOriginali!I1523)</f>
        <v>117900</v>
      </c>
      <c r="J1523" s="4">
        <v>5891035</v>
      </c>
      <c r="K1523" s="4">
        <f>IF(DatiOriginali!K1523 &gt;= SogliaPicchi!$B$17,"",DatiOriginali!K1523)</f>
        <v>159300</v>
      </c>
    </row>
    <row r="1524" spans="1:11" x14ac:dyDescent="0.3">
      <c r="A1524" s="4" t="s">
        <v>1533</v>
      </c>
      <c r="B1524" s="4">
        <v>319600</v>
      </c>
      <c r="C1524" s="4">
        <f>IF(DatiOriginali!C1524 &gt;= SogliaPicchi!$B$17,"",DatiOriginali!C1524)</f>
        <v>2414500</v>
      </c>
      <c r="D1524" s="4">
        <v>158311</v>
      </c>
      <c r="E1524" s="4">
        <f>IF(DatiOriginali!E1524 &gt;= SogliaPicchi!$B$17,"",DatiOriginali!E1524)</f>
        <v>551600</v>
      </c>
      <c r="F1524" s="4">
        <v>4737597</v>
      </c>
      <c r="G1524" s="4">
        <f>IF(DatiOriginali!G1524 &gt;= SogliaPicchi!$B$17,"",DatiOriginali!G1524)</f>
        <v>1582400</v>
      </c>
      <c r="H1524" s="4">
        <v>5904618</v>
      </c>
      <c r="I1524" s="4">
        <f>IF(DatiOriginali!I1524 &gt;= SogliaPicchi!$B$17,"",DatiOriginali!I1524)</f>
        <v>96000</v>
      </c>
      <c r="J1524" s="4">
        <v>5898932</v>
      </c>
      <c r="K1524" s="4">
        <f>IF(DatiOriginali!K1524 &gt;= SogliaPicchi!$B$17,"",DatiOriginali!K1524)</f>
        <v>104600</v>
      </c>
    </row>
    <row r="1525" spans="1:11" x14ac:dyDescent="0.3">
      <c r="A1525" s="4" t="s">
        <v>1534</v>
      </c>
      <c r="B1525" s="4">
        <v>319600</v>
      </c>
      <c r="C1525" s="4">
        <f>IF(DatiOriginali!C1525 &gt;= SogliaPicchi!$B$17,"",DatiOriginali!C1525)</f>
        <v>2586800</v>
      </c>
      <c r="D1525" s="4">
        <v>162865</v>
      </c>
      <c r="E1525" s="4">
        <f>IF(DatiOriginali!E1525 &gt;= SogliaPicchi!$B$17,"",DatiOriginali!E1525)</f>
        <v>582400</v>
      </c>
      <c r="F1525" s="4">
        <v>4744339</v>
      </c>
      <c r="G1525" s="4">
        <f>IF(DatiOriginali!G1525 &gt;= SogliaPicchi!$B$17,"",DatiOriginali!G1525)</f>
        <v>289100</v>
      </c>
      <c r="H1525" s="4">
        <v>5912693</v>
      </c>
      <c r="I1525" s="4">
        <f>IF(DatiOriginali!I1525 &gt;= SogliaPicchi!$B$17,"",DatiOriginali!I1525)</f>
        <v>98600</v>
      </c>
      <c r="J1525" s="4">
        <v>5906862</v>
      </c>
      <c r="K1525" s="4">
        <f>IF(DatiOriginali!K1525 &gt;= SogliaPicchi!$B$17,"",DatiOriginali!K1525)</f>
        <v>108600</v>
      </c>
    </row>
    <row r="1526" spans="1:11" x14ac:dyDescent="0.3">
      <c r="A1526" s="4" t="s">
        <v>1535</v>
      </c>
      <c r="B1526" s="4">
        <v>319600</v>
      </c>
      <c r="C1526" s="4">
        <f>IF(DatiOriginali!C1526 &gt;= SogliaPicchi!$B$17,"",DatiOriginali!C1526)</f>
        <v>2557800</v>
      </c>
      <c r="D1526" s="4">
        <v>159740</v>
      </c>
      <c r="E1526" s="4">
        <f>IF(DatiOriginali!E1526 &gt;= SogliaPicchi!$B$17,"",DatiOriginali!E1526)</f>
        <v>662000</v>
      </c>
      <c r="F1526" s="4">
        <v>4751082</v>
      </c>
      <c r="G1526" s="4">
        <f>IF(DatiOriginali!G1526 &gt;= SogliaPicchi!$B$17,"",DatiOriginali!G1526)</f>
        <v>312400</v>
      </c>
      <c r="H1526" s="4">
        <v>5921109</v>
      </c>
      <c r="I1526" s="4">
        <f>IF(DatiOriginali!I1526 &gt;= SogliaPicchi!$B$17,"",DatiOriginali!I1526)</f>
        <v>95600</v>
      </c>
      <c r="J1526" s="4">
        <v>5915686</v>
      </c>
      <c r="K1526" s="4">
        <f>IF(DatiOriginali!K1526 &gt;= SogliaPicchi!$B$17,"",DatiOriginali!K1526)</f>
        <v>106600</v>
      </c>
    </row>
    <row r="1527" spans="1:11" x14ac:dyDescent="0.3">
      <c r="A1527" s="4" t="s">
        <v>1536</v>
      </c>
      <c r="B1527" s="4">
        <v>319600</v>
      </c>
      <c r="C1527" s="4">
        <f>IF(DatiOriginali!C1527 &gt;= SogliaPicchi!$B$17,"",DatiOriginali!C1527)</f>
        <v>2347000</v>
      </c>
      <c r="D1527" s="4">
        <v>162001</v>
      </c>
      <c r="E1527" s="4">
        <f>IF(DatiOriginali!E1527 &gt;= SogliaPicchi!$B$17,"",DatiOriginali!E1527)</f>
        <v>561100</v>
      </c>
      <c r="F1527" s="4">
        <v>4757821</v>
      </c>
      <c r="G1527" s="4">
        <f>IF(DatiOriginali!G1527 &gt;= SogliaPicchi!$B$17,"",DatiOriginali!G1527)</f>
        <v>287800</v>
      </c>
      <c r="H1527" s="4">
        <v>5929477</v>
      </c>
      <c r="I1527" s="4">
        <f>IF(DatiOriginali!I1527 &gt;= SogliaPicchi!$B$17,"",DatiOriginali!I1527)</f>
        <v>98200</v>
      </c>
      <c r="J1527" s="4">
        <v>5924281</v>
      </c>
      <c r="K1527" s="4">
        <f>IF(DatiOriginali!K1527 &gt;= SogliaPicchi!$B$17,"",DatiOriginali!K1527)</f>
        <v>106100</v>
      </c>
    </row>
    <row r="1528" spans="1:11" x14ac:dyDescent="0.3">
      <c r="A1528" s="4" t="s">
        <v>1537</v>
      </c>
      <c r="B1528" s="4">
        <v>319600</v>
      </c>
      <c r="C1528" s="4">
        <f>IF(DatiOriginali!C1528 &gt;= SogliaPicchi!$B$17,"",DatiOriginali!C1528)</f>
        <v>2551600</v>
      </c>
      <c r="D1528" s="4">
        <v>160537</v>
      </c>
      <c r="E1528" s="4">
        <f>IF(DatiOriginali!E1528 &gt;= SogliaPicchi!$B$17,"",DatiOriginali!E1528)</f>
        <v>560100</v>
      </c>
      <c r="F1528" s="4">
        <v>4764528</v>
      </c>
      <c r="G1528" s="4">
        <f>IF(DatiOriginali!G1528 &gt;= SogliaPicchi!$B$17,"",DatiOriginali!G1528)</f>
        <v>294100</v>
      </c>
      <c r="H1528" s="4">
        <v>5937554</v>
      </c>
      <c r="I1528" s="4">
        <f>IF(DatiOriginali!I1528 &gt;= SogliaPicchi!$B$17,"",DatiOriginali!I1528)</f>
        <v>95200</v>
      </c>
      <c r="J1528" s="4">
        <v>5932524</v>
      </c>
      <c r="K1528" s="4">
        <f>IF(DatiOriginali!K1528 &gt;= SogliaPicchi!$B$17,"",DatiOriginali!K1528)</f>
        <v>110100</v>
      </c>
    </row>
    <row r="1529" spans="1:11" x14ac:dyDescent="0.3">
      <c r="A1529" s="4" t="s">
        <v>1538</v>
      </c>
      <c r="B1529" s="4">
        <v>319600</v>
      </c>
      <c r="C1529" s="4">
        <f>IF(DatiOriginali!C1529 &gt;= SogliaPicchi!$B$17,"",DatiOriginali!C1529)</f>
        <v>2618700</v>
      </c>
      <c r="D1529" s="4">
        <v>154843</v>
      </c>
      <c r="E1529" s="4">
        <f>IF(DatiOriginali!E1529 &gt;= SogliaPicchi!$B$17,"",DatiOriginali!E1529)</f>
        <v>544700</v>
      </c>
      <c r="F1529" s="4">
        <v>4771248</v>
      </c>
      <c r="G1529" s="4">
        <f>IF(DatiOriginali!G1529 &gt;= SogliaPicchi!$B$17,"",DatiOriginali!G1529)</f>
        <v>296900</v>
      </c>
      <c r="H1529" s="4">
        <v>5946280</v>
      </c>
      <c r="I1529" s="4">
        <f>IF(DatiOriginali!I1529 &gt;= SogliaPicchi!$B$17,"",DatiOriginali!I1529)</f>
        <v>107600</v>
      </c>
      <c r="J1529" s="4">
        <v>5941173</v>
      </c>
      <c r="K1529" s="4">
        <f>IF(DatiOriginali!K1529 &gt;= SogliaPicchi!$B$17,"",DatiOriginali!K1529)</f>
        <v>116600</v>
      </c>
    </row>
    <row r="1530" spans="1:11" x14ac:dyDescent="0.3">
      <c r="A1530" s="4" t="s">
        <v>1539</v>
      </c>
      <c r="B1530" s="4">
        <v>319600</v>
      </c>
      <c r="C1530" s="4">
        <f>IF(DatiOriginali!C1530 &gt;= SogliaPicchi!$B$17,"",DatiOriginali!C1530)</f>
        <v>2506000</v>
      </c>
      <c r="D1530" s="4">
        <v>156496</v>
      </c>
      <c r="E1530" s="4">
        <f>IF(DatiOriginali!E1530 &gt;= SogliaPicchi!$B$17,"",DatiOriginali!E1530)</f>
        <v>545600</v>
      </c>
      <c r="F1530" s="4">
        <v>4777949</v>
      </c>
      <c r="G1530" s="4">
        <f>IF(DatiOriginali!G1530 &gt;= SogliaPicchi!$B$17,"",DatiOriginali!G1530)</f>
        <v>288300</v>
      </c>
      <c r="H1530" s="4">
        <v>5954019</v>
      </c>
      <c r="I1530" s="4">
        <f>IF(DatiOriginali!I1530 &gt;= SogliaPicchi!$B$17,"",DatiOriginali!I1530)</f>
        <v>94700</v>
      </c>
      <c r="J1530" s="4">
        <v>5949300</v>
      </c>
      <c r="K1530" s="4">
        <f>IF(DatiOriginali!K1530 &gt;= SogliaPicchi!$B$17,"",DatiOriginali!K1530)</f>
        <v>106500</v>
      </c>
    </row>
    <row r="1531" spans="1:11" x14ac:dyDescent="0.3">
      <c r="A1531" s="4" t="s">
        <v>1540</v>
      </c>
      <c r="B1531" s="4">
        <v>319600</v>
      </c>
      <c r="C1531" s="4">
        <f>IF(DatiOriginali!C1531 &gt;= SogliaPicchi!$B$17,"",DatiOriginali!C1531)</f>
        <v>2707200</v>
      </c>
      <c r="D1531" s="4">
        <v>160079</v>
      </c>
      <c r="E1531" s="4">
        <f>IF(DatiOriginali!E1531 &gt;= SogliaPicchi!$B$17,"",DatiOriginali!E1531)</f>
        <v>555900</v>
      </c>
      <c r="F1531" s="4">
        <v>4784728</v>
      </c>
      <c r="G1531" s="4">
        <f>IF(DatiOriginali!G1531 &gt;= SogliaPicchi!$B$17,"",DatiOriginali!G1531)</f>
        <v>295500</v>
      </c>
      <c r="H1531" s="4">
        <v>5963207</v>
      </c>
      <c r="I1531" s="4">
        <f>IF(DatiOriginali!I1531 &gt;= SogliaPicchi!$B$17,"",DatiOriginali!I1531)</f>
        <v>100200</v>
      </c>
      <c r="J1531" s="4">
        <v>5957124</v>
      </c>
      <c r="K1531" s="4">
        <f>IF(DatiOriginali!K1531 &gt;= SogliaPicchi!$B$17,"",DatiOriginali!K1531)</f>
        <v>109100</v>
      </c>
    </row>
    <row r="1532" spans="1:11" x14ac:dyDescent="0.3">
      <c r="A1532" s="4" t="s">
        <v>1541</v>
      </c>
      <c r="B1532" s="4">
        <v>319600</v>
      </c>
      <c r="C1532" s="4">
        <f>IF(DatiOriginali!C1532 &gt;= SogliaPicchi!$B$17,"",DatiOriginali!C1532)</f>
        <v>2445500</v>
      </c>
      <c r="D1532" s="4">
        <v>158796</v>
      </c>
      <c r="E1532" s="4">
        <f>IF(DatiOriginali!E1532 &gt;= SogliaPicchi!$B$17,"",DatiOriginali!E1532)</f>
        <v>558400</v>
      </c>
      <c r="F1532" s="4">
        <v>4791416</v>
      </c>
      <c r="G1532" s="4">
        <f>IF(DatiOriginali!G1532 &gt;= SogliaPicchi!$B$17,"",DatiOriginali!G1532)</f>
        <v>295500</v>
      </c>
      <c r="H1532" s="4">
        <v>5971888</v>
      </c>
      <c r="I1532" s="4">
        <f>IF(DatiOriginali!I1532 &gt;= SogliaPicchi!$B$17,"",DatiOriginali!I1532)</f>
        <v>99000</v>
      </c>
      <c r="J1532" s="4">
        <v>5965339</v>
      </c>
      <c r="K1532" s="4">
        <f>IF(DatiOriginali!K1532 &gt;= SogliaPicchi!$B$17,"",DatiOriginali!K1532)</f>
        <v>109900</v>
      </c>
    </row>
    <row r="1533" spans="1:11" x14ac:dyDescent="0.3">
      <c r="A1533" s="4" t="s">
        <v>1542</v>
      </c>
      <c r="B1533" s="4">
        <v>319600</v>
      </c>
      <c r="C1533" s="4" t="str">
        <f>IF(DatiOriginali!C1533 &gt;= SogliaPicchi!$B$17,"",DatiOriginali!C1533)</f>
        <v/>
      </c>
      <c r="D1533" s="4">
        <v>155698</v>
      </c>
      <c r="E1533" s="4">
        <f>IF(DatiOriginali!E1533 &gt;= SogliaPicchi!$B$17,"",DatiOriginali!E1533)</f>
        <v>650800</v>
      </c>
      <c r="F1533" s="4">
        <v>4798161</v>
      </c>
      <c r="G1533" s="4">
        <f>IF(DatiOriginali!G1533 &gt;= SogliaPicchi!$B$17,"",DatiOriginali!G1533)</f>
        <v>347400</v>
      </c>
      <c r="H1533" s="4">
        <v>5979808</v>
      </c>
      <c r="I1533" s="4">
        <f>IF(DatiOriginali!I1533 &gt;= SogliaPicchi!$B$17,"",DatiOriginali!I1533)</f>
        <v>118900</v>
      </c>
      <c r="J1533" s="4">
        <v>5974371</v>
      </c>
      <c r="K1533" s="4">
        <f>IF(DatiOriginali!K1533 &gt;= SogliaPicchi!$B$17,"",DatiOriginali!K1533)</f>
        <v>139300</v>
      </c>
    </row>
    <row r="1534" spans="1:11" x14ac:dyDescent="0.3">
      <c r="A1534" s="4" t="s">
        <v>1543</v>
      </c>
      <c r="B1534" s="4">
        <v>319600</v>
      </c>
      <c r="C1534" s="4">
        <f>IF(DatiOriginali!C1534 &gt;= SogliaPicchi!$B$17,"",DatiOriginali!C1534)</f>
        <v>2610700</v>
      </c>
      <c r="D1534" s="4">
        <v>159091</v>
      </c>
      <c r="E1534" s="4">
        <f>IF(DatiOriginali!E1534 &gt;= SogliaPicchi!$B$17,"",DatiOriginali!E1534)</f>
        <v>555200</v>
      </c>
      <c r="F1534" s="4">
        <v>4804874</v>
      </c>
      <c r="G1534" s="4">
        <f>IF(DatiOriginali!G1534 &gt;= SogliaPicchi!$B$17,"",DatiOriginali!G1534)</f>
        <v>286800</v>
      </c>
      <c r="H1534" s="4">
        <v>5988845</v>
      </c>
      <c r="I1534" s="4">
        <f>IF(DatiOriginali!I1534 &gt;= SogliaPicchi!$B$17,"",DatiOriginali!I1534)</f>
        <v>101600</v>
      </c>
      <c r="J1534" s="4">
        <v>5982282</v>
      </c>
      <c r="K1534" s="4">
        <f>IF(DatiOriginali!K1534 &gt;= SogliaPicchi!$B$17,"",DatiOriginali!K1534)</f>
        <v>104400</v>
      </c>
    </row>
    <row r="1535" spans="1:11" x14ac:dyDescent="0.3">
      <c r="A1535" s="4" t="s">
        <v>1544</v>
      </c>
      <c r="B1535" s="4">
        <v>319600</v>
      </c>
      <c r="C1535" s="4">
        <f>IF(DatiOriginali!C1535 &gt;= SogliaPicchi!$B$17,"",DatiOriginali!C1535)</f>
        <v>2568000</v>
      </c>
      <c r="D1535" s="4">
        <v>159119</v>
      </c>
      <c r="E1535" s="4">
        <f>IF(DatiOriginali!E1535 &gt;= SogliaPicchi!$B$17,"",DatiOriginali!E1535)</f>
        <v>585700</v>
      </c>
      <c r="F1535" s="4">
        <v>4811586</v>
      </c>
      <c r="G1535" s="4">
        <f>IF(DatiOriginali!G1535 &gt;= SogliaPicchi!$B$17,"",DatiOriginali!G1535)</f>
        <v>290700</v>
      </c>
      <c r="H1535" s="4">
        <v>5997823</v>
      </c>
      <c r="I1535" s="4">
        <f>IF(DatiOriginali!I1535 &gt;= SogliaPicchi!$B$17,"",DatiOriginali!I1535)</f>
        <v>103300</v>
      </c>
      <c r="J1535" s="4">
        <v>5990624</v>
      </c>
      <c r="K1535" s="4">
        <f>IF(DatiOriginali!K1535 &gt;= SogliaPicchi!$B$17,"",DatiOriginali!K1535)</f>
        <v>113600</v>
      </c>
    </row>
    <row r="1536" spans="1:11" x14ac:dyDescent="0.3">
      <c r="A1536" s="4" t="s">
        <v>1545</v>
      </c>
      <c r="B1536" s="4">
        <v>319600</v>
      </c>
      <c r="C1536" s="4">
        <f>IF(DatiOriginali!C1536 &gt;= SogliaPicchi!$B$17,"",DatiOriginali!C1536)</f>
        <v>2636800</v>
      </c>
      <c r="D1536" s="4">
        <v>164924</v>
      </c>
      <c r="E1536" s="4">
        <f>IF(DatiOriginali!E1536 &gt;= SogliaPicchi!$B$17,"",DatiOriginali!E1536)</f>
        <v>575400</v>
      </c>
      <c r="F1536" s="4">
        <v>4818326</v>
      </c>
      <c r="G1536" s="4">
        <f>IF(DatiOriginali!G1536 &gt;= SogliaPicchi!$B$17,"",DatiOriginali!G1536)</f>
        <v>294300</v>
      </c>
      <c r="H1536" s="4">
        <v>6006400</v>
      </c>
      <c r="I1536" s="4">
        <f>IF(DatiOriginali!I1536 &gt;= SogliaPicchi!$B$17,"",DatiOriginali!I1536)</f>
        <v>104500</v>
      </c>
      <c r="J1536" s="4">
        <v>5999212</v>
      </c>
      <c r="K1536" s="4">
        <f>IF(DatiOriginali!K1536 &gt;= SogliaPicchi!$B$17,"",DatiOriginali!K1536)</f>
        <v>112700</v>
      </c>
    </row>
    <row r="1537" spans="1:11" x14ac:dyDescent="0.3">
      <c r="A1537" s="4" t="s">
        <v>1546</v>
      </c>
      <c r="B1537" s="4">
        <v>319600</v>
      </c>
      <c r="C1537" s="4">
        <f>IF(DatiOriginali!C1537 &gt;= SogliaPicchi!$B$17,"",DatiOriginali!C1537)</f>
        <v>2554500</v>
      </c>
      <c r="D1537" s="4">
        <v>156308</v>
      </c>
      <c r="E1537" s="4">
        <f>IF(DatiOriginali!E1537 &gt;= SogliaPicchi!$B$17,"",DatiOriginali!E1537)</f>
        <v>542900</v>
      </c>
      <c r="F1537" s="4">
        <v>4825048</v>
      </c>
      <c r="G1537" s="4">
        <f>IF(DatiOriginali!G1537 &gt;= SogliaPicchi!$B$17,"",DatiOriginali!G1537)</f>
        <v>287400</v>
      </c>
      <c r="H1537" s="4">
        <v>6014488</v>
      </c>
      <c r="I1537" s="4">
        <f>IF(DatiOriginali!I1537 &gt;= SogliaPicchi!$B$17,"",DatiOriginali!I1537)</f>
        <v>99300</v>
      </c>
      <c r="J1537" s="4">
        <v>6007378</v>
      </c>
      <c r="K1537" s="4">
        <f>IF(DatiOriginali!K1537 &gt;= SogliaPicchi!$B$17,"",DatiOriginali!K1537)</f>
        <v>109500</v>
      </c>
    </row>
    <row r="1538" spans="1:11" x14ac:dyDescent="0.3">
      <c r="A1538" s="4" t="s">
        <v>1547</v>
      </c>
      <c r="B1538" s="4">
        <v>319600</v>
      </c>
      <c r="C1538" s="4">
        <f>IF(DatiOriginali!C1538 &gt;= SogliaPicchi!$B$17,"",DatiOriginali!C1538)</f>
        <v>2560600</v>
      </c>
      <c r="D1538" s="4">
        <v>158913</v>
      </c>
      <c r="E1538" s="4">
        <f>IF(DatiOriginali!E1538 &gt;= SogliaPicchi!$B$17,"",DatiOriginali!E1538)</f>
        <v>572500</v>
      </c>
      <c r="F1538" s="4">
        <v>4831781</v>
      </c>
      <c r="G1538" s="4">
        <f>IF(DatiOriginali!G1538 &gt;= SogliaPicchi!$B$17,"",DatiOriginali!G1538)</f>
        <v>289000</v>
      </c>
      <c r="H1538" s="4">
        <v>6022715</v>
      </c>
      <c r="I1538" s="4">
        <f>IF(DatiOriginali!I1538 &gt;= SogliaPicchi!$B$17,"",DatiOriginali!I1538)</f>
        <v>98300</v>
      </c>
      <c r="J1538" s="4">
        <v>6015133</v>
      </c>
      <c r="K1538" s="4">
        <f>IF(DatiOriginali!K1538 &gt;= SogliaPicchi!$B$17,"",DatiOriginali!K1538)</f>
        <v>112700</v>
      </c>
    </row>
    <row r="1539" spans="1:11" x14ac:dyDescent="0.3">
      <c r="A1539" s="4" t="s">
        <v>1548</v>
      </c>
      <c r="B1539" s="4">
        <v>319600</v>
      </c>
      <c r="C1539" s="4">
        <f>IF(DatiOriginali!C1539 &gt;= SogliaPicchi!$B$17,"",DatiOriginali!C1539)</f>
        <v>2520000</v>
      </c>
      <c r="D1539" s="4">
        <v>165569</v>
      </c>
      <c r="E1539" s="4">
        <f>IF(DatiOriginali!E1539 &gt;= SogliaPicchi!$B$17,"",DatiOriginali!E1539)</f>
        <v>593300</v>
      </c>
      <c r="F1539" s="4">
        <v>4838524</v>
      </c>
      <c r="G1539" s="4">
        <f>IF(DatiOriginali!G1539 &gt;= SogliaPicchi!$B$17,"",DatiOriginali!G1539)</f>
        <v>300900</v>
      </c>
      <c r="H1539" s="4">
        <v>6031125</v>
      </c>
      <c r="I1539" s="4">
        <f>IF(DatiOriginali!I1539 &gt;= SogliaPicchi!$B$17,"",DatiOriginali!I1539)</f>
        <v>97000</v>
      </c>
      <c r="J1539" s="4">
        <v>6024303</v>
      </c>
      <c r="K1539" s="4">
        <f>IF(DatiOriginali!K1539 &gt;= SogliaPicchi!$B$17,"",DatiOriginali!K1539)</f>
        <v>117700</v>
      </c>
    </row>
    <row r="1540" spans="1:11" x14ac:dyDescent="0.3">
      <c r="A1540" s="4" t="s">
        <v>1549</v>
      </c>
      <c r="B1540" s="4">
        <v>319600</v>
      </c>
      <c r="C1540" s="4">
        <f>IF(DatiOriginali!C1540 &gt;= SogliaPicchi!$B$17,"",DatiOriginali!C1540)</f>
        <v>2726800</v>
      </c>
      <c r="D1540" s="4">
        <v>157482</v>
      </c>
      <c r="E1540" s="4">
        <f>IF(DatiOriginali!E1540 &gt;= SogliaPicchi!$B$17,"",DatiOriginali!E1540)</f>
        <v>550100</v>
      </c>
      <c r="F1540" s="4">
        <v>4845244</v>
      </c>
      <c r="G1540" s="4">
        <f>IF(DatiOriginali!G1540 &gt;= SogliaPicchi!$B$17,"",DatiOriginali!G1540)</f>
        <v>286800</v>
      </c>
      <c r="H1540" s="4">
        <v>6040229</v>
      </c>
      <c r="I1540" s="4">
        <f>IF(DatiOriginali!I1540 &gt;= SogliaPicchi!$B$17,"",DatiOriginali!I1540)</f>
        <v>100700</v>
      </c>
      <c r="J1540" s="4">
        <v>6032192</v>
      </c>
      <c r="K1540" s="4">
        <f>IF(DatiOriginali!K1540 &gt;= SogliaPicchi!$B$17,"",DatiOriginali!K1540)</f>
        <v>107700</v>
      </c>
    </row>
    <row r="1541" spans="1:11" x14ac:dyDescent="0.3">
      <c r="A1541" s="4" t="s">
        <v>1550</v>
      </c>
      <c r="B1541" s="4">
        <v>319600</v>
      </c>
      <c r="C1541" s="4">
        <f>IF(DatiOriginali!C1541 &gt;= SogliaPicchi!$B$17,"",DatiOriginali!C1541)</f>
        <v>2324000</v>
      </c>
      <c r="D1541" s="4">
        <v>159716</v>
      </c>
      <c r="E1541" s="4">
        <f>IF(DatiOriginali!E1541 &gt;= SogliaPicchi!$B$17,"",DatiOriginali!E1541)</f>
        <v>553900</v>
      </c>
      <c r="F1541" s="4">
        <v>4851978</v>
      </c>
      <c r="G1541" s="4">
        <f>IF(DatiOriginali!G1541 &gt;= SogliaPicchi!$B$17,"",DatiOriginali!G1541)</f>
        <v>288300</v>
      </c>
      <c r="H1541" s="4">
        <v>6048340</v>
      </c>
      <c r="I1541" s="4">
        <f>IF(DatiOriginali!I1541 &gt;= SogliaPicchi!$B$17,"",DatiOriginali!I1541)</f>
        <v>96600</v>
      </c>
      <c r="J1541" s="4">
        <v>6041336</v>
      </c>
      <c r="K1541" s="4">
        <f>IF(DatiOriginali!K1541 &gt;= SogliaPicchi!$B$17,"",DatiOriginali!K1541)</f>
        <v>112100</v>
      </c>
    </row>
    <row r="1542" spans="1:11" x14ac:dyDescent="0.3">
      <c r="A1542" s="4" t="s">
        <v>1551</v>
      </c>
      <c r="B1542" s="4">
        <v>319600</v>
      </c>
      <c r="C1542" s="4">
        <f>IF(DatiOriginali!C1542 &gt;= SogliaPicchi!$B$17,"",DatiOriginali!C1542)</f>
        <v>2957500</v>
      </c>
      <c r="D1542" s="4">
        <v>159765</v>
      </c>
      <c r="E1542" s="4">
        <f>IF(DatiOriginali!E1542 &gt;= SogliaPicchi!$B$17,"",DatiOriginali!E1542)</f>
        <v>560200</v>
      </c>
      <c r="F1542" s="4">
        <v>4858709</v>
      </c>
      <c r="G1542" s="4">
        <f>IF(DatiOriginali!G1542 &gt;= SogliaPicchi!$B$17,"",DatiOriginali!G1542)</f>
        <v>379800</v>
      </c>
      <c r="H1542" s="4">
        <v>6057132</v>
      </c>
      <c r="I1542" s="4">
        <f>IF(DatiOriginali!I1542 &gt;= SogliaPicchi!$B$17,"",DatiOriginali!I1542)</f>
        <v>118200</v>
      </c>
      <c r="J1542" s="4">
        <v>6049362</v>
      </c>
      <c r="K1542" s="4">
        <f>IF(DatiOriginali!K1542 &gt;= SogliaPicchi!$B$17,"",DatiOriginali!K1542)</f>
        <v>139000</v>
      </c>
    </row>
    <row r="1543" spans="1:11" x14ac:dyDescent="0.3">
      <c r="A1543" s="4" t="s">
        <v>1552</v>
      </c>
      <c r="B1543" s="4">
        <v>319600</v>
      </c>
      <c r="C1543" s="4">
        <f>IF(DatiOriginali!C1543 &gt;= SogliaPicchi!$B$17,"",DatiOriginali!C1543)</f>
        <v>2498600</v>
      </c>
      <c r="D1543" s="4">
        <v>161015</v>
      </c>
      <c r="E1543" s="4">
        <f>IF(DatiOriginali!E1543 &gt;= SogliaPicchi!$B$17,"",DatiOriginali!E1543)</f>
        <v>582700</v>
      </c>
      <c r="F1543" s="4">
        <v>4865422</v>
      </c>
      <c r="G1543" s="4">
        <f>IF(DatiOriginali!G1543 &gt;= SogliaPicchi!$B$17,"",DatiOriginali!G1543)</f>
        <v>296100</v>
      </c>
      <c r="H1543" s="4">
        <v>6066420</v>
      </c>
      <c r="I1543" s="4">
        <f>IF(DatiOriginali!I1543 &gt;= SogliaPicchi!$B$17,"",DatiOriginali!I1543)</f>
        <v>102800</v>
      </c>
      <c r="J1543" s="4">
        <v>6057904</v>
      </c>
      <c r="K1543" s="4">
        <f>IF(DatiOriginali!K1543 &gt;= SogliaPicchi!$B$17,"",DatiOriginali!K1543)</f>
        <v>107600</v>
      </c>
    </row>
    <row r="1544" spans="1:11" x14ac:dyDescent="0.3">
      <c r="A1544" s="4" t="s">
        <v>1553</v>
      </c>
      <c r="B1544" s="4">
        <v>319600</v>
      </c>
      <c r="C1544" s="4">
        <f>IF(DatiOriginali!C1544 &gt;= SogliaPicchi!$B$17,"",DatiOriginali!C1544)</f>
        <v>2661800</v>
      </c>
      <c r="D1544" s="4">
        <v>158124</v>
      </c>
      <c r="E1544" s="4">
        <f>IF(DatiOriginali!E1544 &gt;= SogliaPicchi!$B$17,"",DatiOriginali!E1544)</f>
        <v>553300</v>
      </c>
      <c r="F1544" s="4">
        <v>4872115</v>
      </c>
      <c r="G1544" s="4">
        <f>IF(DatiOriginali!G1544 &gt;= SogliaPicchi!$B$17,"",DatiOriginali!G1544)</f>
        <v>294000</v>
      </c>
      <c r="H1544" s="4">
        <v>6075670</v>
      </c>
      <c r="I1544" s="4">
        <f>IF(DatiOriginali!I1544 &gt;= SogliaPicchi!$B$17,"",DatiOriginali!I1544)</f>
        <v>104300</v>
      </c>
      <c r="J1544" s="4">
        <v>6066116</v>
      </c>
      <c r="K1544" s="4">
        <f>IF(DatiOriginali!K1544 &gt;= SogliaPicchi!$B$17,"",DatiOriginali!K1544)</f>
        <v>109000</v>
      </c>
    </row>
    <row r="1545" spans="1:11" x14ac:dyDescent="0.3">
      <c r="A1545" s="4" t="s">
        <v>1554</v>
      </c>
      <c r="B1545" s="4">
        <v>319600</v>
      </c>
      <c r="C1545" s="4">
        <f>IF(DatiOriginali!C1545 &gt;= SogliaPicchi!$B$17,"",DatiOriginali!C1545)</f>
        <v>2536500</v>
      </c>
      <c r="D1545" s="4">
        <v>154871</v>
      </c>
      <c r="E1545" s="4">
        <f>IF(DatiOriginali!E1545 &gt;= SogliaPicchi!$B$17,"",DatiOriginali!E1545)</f>
        <v>706400</v>
      </c>
      <c r="F1545" s="4">
        <v>4878834</v>
      </c>
      <c r="G1545" s="4">
        <f>IF(DatiOriginali!G1545 &gt;= SogliaPicchi!$B$17,"",DatiOriginali!G1545)</f>
        <v>303100</v>
      </c>
      <c r="H1545" s="4">
        <v>6084362</v>
      </c>
      <c r="I1545" s="4">
        <f>IF(DatiOriginali!I1545 &gt;= SogliaPicchi!$B$17,"",DatiOriginali!I1545)</f>
        <v>104900</v>
      </c>
      <c r="J1545" s="4">
        <v>6074314</v>
      </c>
      <c r="K1545" s="4">
        <f>IF(DatiOriginali!K1545 &gt;= SogliaPicchi!$B$17,"",DatiOriginali!K1545)</f>
        <v>109400</v>
      </c>
    </row>
    <row r="1546" spans="1:11" x14ac:dyDescent="0.3">
      <c r="A1546" s="4" t="s">
        <v>1555</v>
      </c>
      <c r="B1546" s="4">
        <v>319600</v>
      </c>
      <c r="C1546" s="4">
        <f>IF(DatiOriginali!C1546 &gt;= SogliaPicchi!$B$17,"",DatiOriginali!C1546)</f>
        <v>2601400</v>
      </c>
      <c r="D1546" s="4">
        <v>154478</v>
      </c>
      <c r="E1546" s="4">
        <f>IF(DatiOriginali!E1546 &gt;= SogliaPicchi!$B$17,"",DatiOriginali!E1546)</f>
        <v>553400</v>
      </c>
      <c r="F1546" s="4">
        <v>4885558</v>
      </c>
      <c r="G1546" s="4">
        <f>IF(DatiOriginali!G1546 &gt;= SogliaPicchi!$B$17,"",DatiOriginali!G1546)</f>
        <v>292300</v>
      </c>
      <c r="H1546" s="4">
        <v>6092823</v>
      </c>
      <c r="I1546" s="4">
        <f>IF(DatiOriginali!I1546 &gt;= SogliaPicchi!$B$17,"",DatiOriginali!I1546)</f>
        <v>97300</v>
      </c>
      <c r="J1546" s="4">
        <v>6082322</v>
      </c>
      <c r="K1546" s="4">
        <f>IF(DatiOriginali!K1546 &gt;= SogliaPicchi!$B$17,"",DatiOriginali!K1546)</f>
        <v>109400</v>
      </c>
    </row>
    <row r="1547" spans="1:11" x14ac:dyDescent="0.3">
      <c r="A1547" s="4" t="s">
        <v>1556</v>
      </c>
      <c r="B1547" s="4">
        <v>319600</v>
      </c>
      <c r="C1547" s="4">
        <f>IF(DatiOriginali!C1547 &gt;= SogliaPicchi!$B$17,"",DatiOriginali!C1547)</f>
        <v>3034800</v>
      </c>
      <c r="D1547" s="4">
        <v>165701</v>
      </c>
      <c r="E1547" s="4">
        <f>IF(DatiOriginali!E1547 &gt;= SogliaPicchi!$B$17,"",DatiOriginali!E1547)</f>
        <v>579300</v>
      </c>
      <c r="F1547" s="4">
        <v>4892268</v>
      </c>
      <c r="G1547" s="4">
        <f>IF(DatiOriginali!G1547 &gt;= SogliaPicchi!$B$17,"",DatiOriginali!G1547)</f>
        <v>289500</v>
      </c>
      <c r="H1547" s="4">
        <v>6102232</v>
      </c>
      <c r="I1547" s="4">
        <f>IF(DatiOriginali!I1547 &gt;= SogliaPicchi!$B$17,"",DatiOriginali!I1547)</f>
        <v>101100</v>
      </c>
      <c r="J1547" s="4">
        <v>6091052</v>
      </c>
      <c r="K1547" s="4">
        <f>IF(DatiOriginali!K1547 &gt;= SogliaPicchi!$B$17,"",DatiOriginali!K1547)</f>
        <v>108600</v>
      </c>
    </row>
    <row r="1548" spans="1:11" x14ac:dyDescent="0.3">
      <c r="A1548" s="4" t="s">
        <v>1557</v>
      </c>
      <c r="B1548" s="4">
        <v>319600</v>
      </c>
      <c r="C1548" s="4">
        <f>IF(DatiOriginali!C1548 &gt;= SogliaPicchi!$B$17,"",DatiOriginali!C1548)</f>
        <v>2737800</v>
      </c>
      <c r="D1548" s="4">
        <v>166629</v>
      </c>
      <c r="E1548" s="4">
        <f>IF(DatiOriginali!E1548 &gt;= SogliaPicchi!$B$17,"",DatiOriginali!E1548)</f>
        <v>683900</v>
      </c>
      <c r="F1548" s="4">
        <v>4899002</v>
      </c>
      <c r="G1548" s="4">
        <f>IF(DatiOriginali!G1548 &gt;= SogliaPicchi!$B$17,"",DatiOriginali!G1548)</f>
        <v>291200</v>
      </c>
      <c r="H1548" s="4">
        <v>6109714</v>
      </c>
      <c r="I1548" s="4">
        <f>IF(DatiOriginali!I1548 &gt;= SogliaPicchi!$B$17,"",DatiOriginali!I1548)</f>
        <v>96500</v>
      </c>
      <c r="J1548" s="4">
        <v>6098913</v>
      </c>
      <c r="K1548" s="4">
        <f>IF(DatiOriginali!K1548 &gt;= SogliaPicchi!$B$17,"",DatiOriginali!K1548)</f>
        <v>111200</v>
      </c>
    </row>
    <row r="1549" spans="1:11" x14ac:dyDescent="0.3">
      <c r="A1549" s="4" t="s">
        <v>1558</v>
      </c>
      <c r="B1549" s="4">
        <v>319600</v>
      </c>
      <c r="C1549" s="4">
        <f>IF(DatiOriginali!C1549 &gt;= SogliaPicchi!$B$17,"",DatiOriginali!C1549)</f>
        <v>3025900</v>
      </c>
      <c r="D1549" s="4">
        <v>159756</v>
      </c>
      <c r="E1549" s="4">
        <f>IF(DatiOriginali!E1549 &gt;= SogliaPicchi!$B$17,"",DatiOriginali!E1549)</f>
        <v>554900</v>
      </c>
      <c r="F1549" s="4">
        <v>4905734</v>
      </c>
      <c r="G1549" s="4">
        <f>IF(DatiOriginali!G1549 &gt;= SogliaPicchi!$B$17,"",DatiOriginali!G1549)</f>
        <v>292300</v>
      </c>
      <c r="H1549" s="4">
        <v>6118584</v>
      </c>
      <c r="I1549" s="4">
        <f>IF(DatiOriginali!I1549 &gt;= SogliaPicchi!$B$17,"",DatiOriginali!I1549)</f>
        <v>102400</v>
      </c>
      <c r="J1549" s="4">
        <v>6108360</v>
      </c>
      <c r="K1549" s="4">
        <f>IF(DatiOriginali!K1549 &gt;= SogliaPicchi!$B$17,"",DatiOriginali!K1549)</f>
        <v>107100</v>
      </c>
    </row>
    <row r="1550" spans="1:11" x14ac:dyDescent="0.3">
      <c r="A1550" s="4" t="s">
        <v>1559</v>
      </c>
      <c r="B1550" s="4">
        <v>319600</v>
      </c>
      <c r="C1550" s="4">
        <f>IF(DatiOriginali!C1550 &gt;= SogliaPicchi!$B$17,"",DatiOriginali!C1550)</f>
        <v>2503600</v>
      </c>
      <c r="D1550" s="4">
        <v>156282</v>
      </c>
      <c r="E1550" s="4">
        <f>IF(DatiOriginali!E1550 &gt;= SogliaPicchi!$B$17,"",DatiOriginali!E1550)</f>
        <v>545000</v>
      </c>
      <c r="F1550" s="4">
        <v>4912469</v>
      </c>
      <c r="G1550" s="4">
        <f>IF(DatiOriginali!G1550 &gt;= SogliaPicchi!$B$17,"",DatiOriginali!G1550)</f>
        <v>294300</v>
      </c>
      <c r="H1550" s="4">
        <v>6126421</v>
      </c>
      <c r="I1550" s="4">
        <f>IF(DatiOriginali!I1550 &gt;= SogliaPicchi!$B$17,"",DatiOriginali!I1550)</f>
        <v>99600</v>
      </c>
      <c r="J1550" s="4">
        <v>6116413</v>
      </c>
      <c r="K1550" s="4">
        <f>IF(DatiOriginali!K1550 &gt;= SogliaPicchi!$B$17,"",DatiOriginali!K1550)</f>
        <v>109600</v>
      </c>
    </row>
    <row r="1551" spans="1:11" x14ac:dyDescent="0.3">
      <c r="A1551" s="4" t="s">
        <v>1560</v>
      </c>
      <c r="B1551" s="4">
        <v>319600</v>
      </c>
      <c r="C1551" s="4">
        <f>IF(DatiOriginali!C1551 &gt;= SogliaPicchi!$B$17,"",DatiOriginali!C1551)</f>
        <v>2398500</v>
      </c>
      <c r="D1551" s="4">
        <v>165614</v>
      </c>
      <c r="E1551" s="4">
        <f>IF(DatiOriginali!E1551 &gt;= SogliaPicchi!$B$17,"",DatiOriginali!E1551)</f>
        <v>605600</v>
      </c>
      <c r="F1551" s="4">
        <v>4919205</v>
      </c>
      <c r="G1551" s="4">
        <f>IF(DatiOriginali!G1551 &gt;= SogliaPicchi!$B$17,"",DatiOriginali!G1551)</f>
        <v>291800</v>
      </c>
      <c r="H1551" s="4">
        <v>6134247</v>
      </c>
      <c r="I1551" s="4">
        <f>IF(DatiOriginali!I1551 &gt;= SogliaPicchi!$B$17,"",DatiOriginali!I1551)</f>
        <v>96100</v>
      </c>
      <c r="J1551" s="4">
        <v>6124503</v>
      </c>
      <c r="K1551" s="4">
        <f>IF(DatiOriginali!K1551 &gt;= SogliaPicchi!$B$17,"",DatiOriginali!K1551)</f>
        <v>108600</v>
      </c>
    </row>
    <row r="1552" spans="1:11" x14ac:dyDescent="0.3">
      <c r="A1552" s="4" t="s">
        <v>1561</v>
      </c>
      <c r="B1552" s="4">
        <v>319600</v>
      </c>
      <c r="C1552" s="4">
        <f>IF(DatiOriginali!C1552 &gt;= SogliaPicchi!$B$17,"",DatiOriginali!C1552)</f>
        <v>2862200</v>
      </c>
      <c r="D1552" s="4">
        <v>154876</v>
      </c>
      <c r="E1552" s="4">
        <f>IF(DatiOriginali!E1552 &gt;= SogliaPicchi!$B$17,"",DatiOriginali!E1552)</f>
        <v>556600</v>
      </c>
      <c r="F1552" s="4">
        <v>4925884</v>
      </c>
      <c r="G1552" s="4">
        <f>IF(DatiOriginali!G1552 &gt;= SogliaPicchi!$B$17,"",DatiOriginali!G1552)</f>
        <v>297100</v>
      </c>
      <c r="H1552" s="4">
        <v>6142548</v>
      </c>
      <c r="I1552" s="4">
        <f>IF(DatiOriginali!I1552 &gt;= SogliaPicchi!$B$17,"",DatiOriginali!I1552)</f>
        <v>98700</v>
      </c>
      <c r="J1552" s="4">
        <v>6132736</v>
      </c>
      <c r="K1552" s="4">
        <f>IF(DatiOriginali!K1552 &gt;= SogliaPicchi!$B$17,"",DatiOriginali!K1552)</f>
        <v>120000</v>
      </c>
    </row>
    <row r="1553" spans="1:11" x14ac:dyDescent="0.3">
      <c r="A1553" s="4" t="s">
        <v>1562</v>
      </c>
      <c r="B1553" s="4">
        <v>319600</v>
      </c>
      <c r="C1553" s="4">
        <f>IF(DatiOriginali!C1553 &gt;= SogliaPicchi!$B$17,"",DatiOriginali!C1553)</f>
        <v>2496200</v>
      </c>
      <c r="D1553" s="4">
        <v>150876</v>
      </c>
      <c r="E1553" s="4">
        <f>IF(DatiOriginali!E1553 &gt;= SogliaPicchi!$B$17,"",DatiOriginali!E1553)</f>
        <v>524500</v>
      </c>
      <c r="F1553" s="4">
        <v>4932618</v>
      </c>
      <c r="G1553" s="4">
        <f>IF(DatiOriginali!G1553 &gt;= SogliaPicchi!$B$17,"",DatiOriginali!G1553)</f>
        <v>292500</v>
      </c>
      <c r="H1553" s="4">
        <v>6151261</v>
      </c>
      <c r="I1553" s="4">
        <f>IF(DatiOriginali!I1553 &gt;= SogliaPicchi!$B$17,"",DatiOriginali!I1553)</f>
        <v>100300</v>
      </c>
      <c r="J1553" s="4">
        <v>6141122</v>
      </c>
      <c r="K1553" s="4">
        <f>IF(DatiOriginali!K1553 &gt;= SogliaPicchi!$B$17,"",DatiOriginali!K1553)</f>
        <v>108900</v>
      </c>
    </row>
    <row r="1554" spans="1:11" x14ac:dyDescent="0.3">
      <c r="A1554" s="4" t="s">
        <v>1563</v>
      </c>
      <c r="B1554" s="4">
        <v>319600</v>
      </c>
      <c r="C1554" s="4">
        <f>IF(DatiOriginali!C1554 &gt;= SogliaPicchi!$B$17,"",DatiOriginali!C1554)</f>
        <v>2671900</v>
      </c>
      <c r="D1554" s="4">
        <v>164688</v>
      </c>
      <c r="E1554" s="4">
        <f>IF(DatiOriginali!E1554 &gt;= SogliaPicchi!$B$17,"",DatiOriginali!E1554)</f>
        <v>591800</v>
      </c>
      <c r="F1554" s="4">
        <v>4939348</v>
      </c>
      <c r="G1554" s="4">
        <f>IF(DatiOriginali!G1554 &gt;= SogliaPicchi!$B$17,"",DatiOriginali!G1554)</f>
        <v>296500</v>
      </c>
      <c r="H1554" s="4">
        <v>6160730</v>
      </c>
      <c r="I1554" s="4">
        <f>IF(DatiOriginali!I1554 &gt;= SogliaPicchi!$B$17,"",DatiOriginali!I1554)</f>
        <v>104500</v>
      </c>
      <c r="J1554" s="4">
        <v>6149686</v>
      </c>
      <c r="K1554" s="4">
        <f>IF(DatiOriginali!K1554 &gt;= SogliaPicchi!$B$17,"",DatiOriginali!K1554)</f>
        <v>109900</v>
      </c>
    </row>
    <row r="1555" spans="1:11" x14ac:dyDescent="0.3">
      <c r="A1555" s="4" t="s">
        <v>1564</v>
      </c>
      <c r="B1555" s="4">
        <v>319600</v>
      </c>
      <c r="C1555" s="4">
        <f>IF(DatiOriginali!C1555 &gt;= SogliaPicchi!$B$17,"",DatiOriginali!C1555)</f>
        <v>2953700</v>
      </c>
      <c r="D1555" s="4">
        <v>160810</v>
      </c>
      <c r="E1555" s="4">
        <f>IF(DatiOriginali!E1555 &gt;= SogliaPicchi!$B$17,"",DatiOriginali!E1555)</f>
        <v>566300</v>
      </c>
      <c r="F1555" s="4">
        <v>4946067</v>
      </c>
      <c r="G1555" s="4">
        <f>IF(DatiOriginali!G1555 &gt;= SogliaPicchi!$B$17,"",DatiOriginali!G1555)</f>
        <v>295100</v>
      </c>
      <c r="H1555" s="4">
        <v>6169550</v>
      </c>
      <c r="I1555" s="4">
        <f>IF(DatiOriginali!I1555 &gt;= SogliaPicchi!$B$17,"",DatiOriginali!I1555)</f>
        <v>96400</v>
      </c>
      <c r="J1555" s="4">
        <v>6158111</v>
      </c>
      <c r="K1555" s="4">
        <f>IF(DatiOriginali!K1555 &gt;= SogliaPicchi!$B$17,"",DatiOriginali!K1555)</f>
        <v>112200</v>
      </c>
    </row>
    <row r="1556" spans="1:11" x14ac:dyDescent="0.3">
      <c r="A1556" s="4" t="s">
        <v>1565</v>
      </c>
      <c r="B1556" s="4">
        <v>319600</v>
      </c>
      <c r="C1556" s="4">
        <f>IF(DatiOriginali!C1556 &gt;= SogliaPicchi!$B$17,"",DatiOriginali!C1556)</f>
        <v>2487700</v>
      </c>
      <c r="D1556" s="4">
        <v>156547</v>
      </c>
      <c r="E1556" s="4">
        <f>IF(DatiOriginali!E1556 &gt;= SogliaPicchi!$B$17,"",DatiOriginali!E1556)</f>
        <v>542600</v>
      </c>
      <c r="F1556" s="4">
        <v>4952789</v>
      </c>
      <c r="G1556" s="4">
        <f>IF(DatiOriginali!G1556 &gt;= SogliaPicchi!$B$17,"",DatiOriginali!G1556)</f>
        <v>291200</v>
      </c>
      <c r="H1556" s="4">
        <v>6178387</v>
      </c>
      <c r="I1556" s="4">
        <f>IF(DatiOriginali!I1556 &gt;= SogliaPicchi!$B$17,"",DatiOriginali!I1556)</f>
        <v>99200</v>
      </c>
      <c r="J1556" s="4">
        <v>6167047</v>
      </c>
      <c r="K1556" s="4">
        <f>IF(DatiOriginali!K1556 &gt;= SogliaPicchi!$B$17,"",DatiOriginali!K1556)</f>
        <v>110700</v>
      </c>
    </row>
    <row r="1557" spans="1:11" x14ac:dyDescent="0.3">
      <c r="A1557" s="4" t="s">
        <v>1566</v>
      </c>
      <c r="B1557" s="4">
        <v>319600</v>
      </c>
      <c r="C1557" s="4">
        <f>IF(DatiOriginali!C1557 &gt;= SogliaPicchi!$B$17,"",DatiOriginali!C1557)</f>
        <v>2579900</v>
      </c>
      <c r="D1557" s="4">
        <v>163015</v>
      </c>
      <c r="E1557" s="4">
        <f>IF(DatiOriginali!E1557 &gt;= SogliaPicchi!$B$17,"",DatiOriginali!E1557)</f>
        <v>574700</v>
      </c>
      <c r="F1557" s="4">
        <v>4959475</v>
      </c>
      <c r="G1557" s="4">
        <f>IF(DatiOriginali!G1557 &gt;= SogliaPicchi!$B$17,"",DatiOriginali!G1557)</f>
        <v>290800</v>
      </c>
      <c r="H1557" s="4">
        <v>6187045</v>
      </c>
      <c r="I1557" s="4">
        <f>IF(DatiOriginali!I1557 &gt;= SogliaPicchi!$B$17,"",DatiOriginali!I1557)</f>
        <v>96500</v>
      </c>
      <c r="J1557" s="4">
        <v>6176064</v>
      </c>
      <c r="K1557" s="4">
        <f>IF(DatiOriginali!K1557 &gt;= SogliaPicchi!$B$17,"",DatiOriginali!K1557)</f>
        <v>109800</v>
      </c>
    </row>
    <row r="1558" spans="1:11" x14ac:dyDescent="0.3">
      <c r="A1558" s="4" t="s">
        <v>1567</v>
      </c>
      <c r="B1558" s="4">
        <v>319600</v>
      </c>
      <c r="C1558" s="4">
        <f>IF(DatiOriginali!C1558 &gt;= SogliaPicchi!$B$17,"",DatiOriginali!C1558)</f>
        <v>2622400</v>
      </c>
      <c r="D1558" s="4">
        <v>160162</v>
      </c>
      <c r="E1558" s="4">
        <f>IF(DatiOriginali!E1558 &gt;= SogliaPicchi!$B$17,"",DatiOriginali!E1558)</f>
        <v>562100</v>
      </c>
      <c r="F1558" s="4">
        <v>4966221</v>
      </c>
      <c r="G1558" s="4">
        <f>IF(DatiOriginali!G1558 &gt;= SogliaPicchi!$B$17,"",DatiOriginali!G1558)</f>
        <v>290400</v>
      </c>
      <c r="H1558" s="4">
        <v>6195528</v>
      </c>
      <c r="I1558" s="4">
        <f>IF(DatiOriginali!I1558 &gt;= SogliaPicchi!$B$17,"",DatiOriginali!I1558)</f>
        <v>99300</v>
      </c>
      <c r="J1558" s="4">
        <v>6183954</v>
      </c>
      <c r="K1558" s="4">
        <f>IF(DatiOriginali!K1558 &gt;= SogliaPicchi!$B$17,"",DatiOriginali!K1558)</f>
        <v>105600</v>
      </c>
    </row>
    <row r="1559" spans="1:11" x14ac:dyDescent="0.3">
      <c r="A1559" s="4" t="s">
        <v>1568</v>
      </c>
      <c r="B1559" s="4">
        <v>319600</v>
      </c>
      <c r="C1559" s="4">
        <f>IF(DatiOriginali!C1559 &gt;= SogliaPicchi!$B$17,"",DatiOriginali!C1559)</f>
        <v>2491600</v>
      </c>
      <c r="D1559" s="4">
        <v>166797</v>
      </c>
      <c r="E1559" s="4">
        <f>IF(DatiOriginali!E1559 &gt;= SogliaPicchi!$B$17,"",DatiOriginali!E1559)</f>
        <v>580300</v>
      </c>
      <c r="F1559" s="4">
        <v>4972932</v>
      </c>
      <c r="G1559" s="4">
        <f>IF(DatiOriginali!G1559 &gt;= SogliaPicchi!$B$17,"",DatiOriginali!G1559)</f>
        <v>324100</v>
      </c>
      <c r="H1559" s="4">
        <v>6204012</v>
      </c>
      <c r="I1559" s="4">
        <f>IF(DatiOriginali!I1559 &gt;= SogliaPicchi!$B$17,"",DatiOriginali!I1559)</f>
        <v>125300</v>
      </c>
      <c r="J1559" s="4">
        <v>6192049</v>
      </c>
      <c r="K1559" s="4">
        <f>IF(DatiOriginali!K1559 &gt;= SogliaPicchi!$B$17,"",DatiOriginali!K1559)</f>
        <v>115100</v>
      </c>
    </row>
    <row r="1560" spans="1:11" x14ac:dyDescent="0.3">
      <c r="A1560" s="4" t="s">
        <v>1569</v>
      </c>
      <c r="B1560" s="4">
        <v>319600</v>
      </c>
      <c r="C1560" s="4">
        <f>IF(DatiOriginali!C1560 &gt;= SogliaPicchi!$B$17,"",DatiOriginali!C1560)</f>
        <v>2591400</v>
      </c>
      <c r="D1560" s="4">
        <v>166584</v>
      </c>
      <c r="E1560" s="4">
        <f>IF(DatiOriginali!E1560 &gt;= SogliaPicchi!$B$17,"",DatiOriginali!E1560)</f>
        <v>582400</v>
      </c>
      <c r="F1560" s="4">
        <v>4979659</v>
      </c>
      <c r="G1560" s="4">
        <f>IF(DatiOriginali!G1560 &gt;= SogliaPicchi!$B$17,"",DatiOriginali!G1560)</f>
        <v>294200</v>
      </c>
      <c r="H1560" s="4">
        <v>6212105</v>
      </c>
      <c r="I1560" s="4">
        <f>IF(DatiOriginali!I1560 &gt;= SogliaPicchi!$B$17,"",DatiOriginali!I1560)</f>
        <v>98000</v>
      </c>
      <c r="J1560" s="4">
        <v>6200675</v>
      </c>
      <c r="K1560" s="4">
        <f>IF(DatiOriginali!K1560 &gt;= SogliaPicchi!$B$17,"",DatiOriginali!K1560)</f>
        <v>107400</v>
      </c>
    </row>
    <row r="1561" spans="1:11" x14ac:dyDescent="0.3">
      <c r="A1561" s="4" t="s">
        <v>1570</v>
      </c>
      <c r="B1561" s="4">
        <v>319600</v>
      </c>
      <c r="C1561" s="4">
        <f>IF(DatiOriginali!C1561 &gt;= SogliaPicchi!$B$17,"",DatiOriginali!C1561)</f>
        <v>2614800</v>
      </c>
      <c r="D1561" s="4">
        <v>159903</v>
      </c>
      <c r="E1561" s="4">
        <f>IF(DatiOriginali!E1561 &gt;= SogliaPicchi!$B$17,"",DatiOriginali!E1561)</f>
        <v>573500</v>
      </c>
      <c r="F1561" s="4">
        <v>4986388</v>
      </c>
      <c r="G1561" s="4">
        <f>IF(DatiOriginali!G1561 &gt;= SogliaPicchi!$B$17,"",DatiOriginali!G1561)</f>
        <v>294800</v>
      </c>
      <c r="H1561" s="4">
        <v>6220064</v>
      </c>
      <c r="I1561" s="4">
        <f>IF(DatiOriginali!I1561 &gt;= SogliaPicchi!$B$17,"",DatiOriginali!I1561)</f>
        <v>98500</v>
      </c>
      <c r="J1561" s="4">
        <v>6209239</v>
      </c>
      <c r="K1561" s="4">
        <f>IF(DatiOriginali!K1561 &gt;= SogliaPicchi!$B$17,"",DatiOriginali!K1561)</f>
        <v>116600</v>
      </c>
    </row>
    <row r="1562" spans="1:11" x14ac:dyDescent="0.3">
      <c r="A1562" s="4" t="s">
        <v>1571</v>
      </c>
      <c r="B1562" s="4">
        <v>319600</v>
      </c>
      <c r="C1562" s="4">
        <f>IF(DatiOriginali!C1562 &gt;= SogliaPicchi!$B$17,"",DatiOriginali!C1562)</f>
        <v>2482600</v>
      </c>
      <c r="D1562" s="4">
        <v>157767</v>
      </c>
      <c r="E1562" s="4">
        <f>IF(DatiOriginali!E1562 &gt;= SogliaPicchi!$B$17,"",DatiOriginali!E1562)</f>
        <v>552800</v>
      </c>
      <c r="F1562" s="4">
        <v>4993171</v>
      </c>
      <c r="G1562" s="4">
        <f>IF(DatiOriginali!G1562 &gt;= SogliaPicchi!$B$17,"",DatiOriginali!G1562)</f>
        <v>289600</v>
      </c>
      <c r="H1562" s="4">
        <v>6228479</v>
      </c>
      <c r="I1562" s="4">
        <f>IF(DatiOriginali!I1562 &gt;= SogliaPicchi!$B$17,"",DatiOriginali!I1562)</f>
        <v>98600</v>
      </c>
      <c r="J1562" s="4">
        <v>6217610</v>
      </c>
      <c r="K1562" s="4">
        <f>IF(DatiOriginali!K1562 &gt;= SogliaPicchi!$B$17,"",DatiOriginali!K1562)</f>
        <v>109500</v>
      </c>
    </row>
    <row r="1563" spans="1:11" x14ac:dyDescent="0.3">
      <c r="A1563" s="4" t="s">
        <v>1572</v>
      </c>
      <c r="B1563" s="4">
        <v>319600</v>
      </c>
      <c r="C1563" s="4">
        <f>IF(DatiOriginali!C1563 &gt;= SogliaPicchi!$B$17,"",DatiOriginali!C1563)</f>
        <v>2597700</v>
      </c>
      <c r="D1563" s="4">
        <v>159686</v>
      </c>
      <c r="E1563" s="4">
        <f>IF(DatiOriginali!E1563 &gt;= SogliaPicchi!$B$17,"",DatiOriginali!E1563)</f>
        <v>557000</v>
      </c>
      <c r="F1563" s="4">
        <v>4999921</v>
      </c>
      <c r="G1563" s="4">
        <f>IF(DatiOriginali!G1563 &gt;= SogliaPicchi!$B$17,"",DatiOriginali!G1563)</f>
        <v>289200</v>
      </c>
      <c r="H1563" s="4">
        <v>6236362</v>
      </c>
      <c r="I1563" s="4">
        <f>IF(DatiOriginali!I1563 &gt;= SogliaPicchi!$B$17,"",DatiOriginali!I1563)</f>
        <v>96900</v>
      </c>
      <c r="J1563" s="4">
        <v>6226119</v>
      </c>
      <c r="K1563" s="4">
        <f>IF(DatiOriginali!K1563 &gt;= SogliaPicchi!$B$17,"",DatiOriginali!K1563)</f>
        <v>110600</v>
      </c>
    </row>
    <row r="1564" spans="1:11" x14ac:dyDescent="0.3">
      <c r="A1564" s="4" t="s">
        <v>1573</v>
      </c>
      <c r="B1564" s="4">
        <v>319600</v>
      </c>
      <c r="C1564" s="4">
        <f>IF(DatiOriginali!C1564 &gt;= SogliaPicchi!$B$17,"",DatiOriginali!C1564)</f>
        <v>2548100</v>
      </c>
      <c r="D1564" s="4">
        <v>159333</v>
      </c>
      <c r="E1564" s="4">
        <f>IF(DatiOriginali!E1564 &gt;= SogliaPicchi!$B$17,"",DatiOriginali!E1564)</f>
        <v>559300</v>
      </c>
      <c r="F1564" s="4">
        <v>5006648</v>
      </c>
      <c r="G1564" s="4">
        <f>IF(DatiOriginali!G1564 &gt;= SogliaPicchi!$B$17,"",DatiOriginali!G1564)</f>
        <v>292800</v>
      </c>
      <c r="H1564" s="4">
        <v>6244448</v>
      </c>
      <c r="I1564" s="4">
        <f>IF(DatiOriginali!I1564 &gt;= SogliaPicchi!$B$17,"",DatiOriginali!I1564)</f>
        <v>97600</v>
      </c>
      <c r="J1564" s="4">
        <v>6234627</v>
      </c>
      <c r="K1564" s="4">
        <f>IF(DatiOriginali!K1564 &gt;= SogliaPicchi!$B$17,"",DatiOriginali!K1564)</f>
        <v>112200</v>
      </c>
    </row>
    <row r="1565" spans="1:11" x14ac:dyDescent="0.3">
      <c r="A1565" s="4" t="s">
        <v>1574</v>
      </c>
      <c r="B1565" s="4">
        <v>319600</v>
      </c>
      <c r="C1565" s="4">
        <f>IF(DatiOriginali!C1565 &gt;= SogliaPicchi!$B$17,"",DatiOriginali!C1565)</f>
        <v>2348800</v>
      </c>
      <c r="D1565" s="4">
        <v>163012</v>
      </c>
      <c r="E1565" s="4">
        <f>IF(DatiOriginali!E1565 &gt;= SogliaPicchi!$B$17,"",DatiOriginali!E1565)</f>
        <v>565400</v>
      </c>
      <c r="F1565" s="4">
        <v>5013392</v>
      </c>
      <c r="G1565" s="4">
        <f>IF(DatiOriginali!G1565 &gt;= SogliaPicchi!$B$17,"",DatiOriginali!G1565)</f>
        <v>296300</v>
      </c>
      <c r="H1565" s="4">
        <v>6252599</v>
      </c>
      <c r="I1565" s="4">
        <f>IF(DatiOriginali!I1565 &gt;= SogliaPicchi!$B$17,"",DatiOriginali!I1565)</f>
        <v>96900</v>
      </c>
      <c r="J1565" s="4">
        <v>6242852</v>
      </c>
      <c r="K1565" s="4">
        <f>IF(DatiOriginali!K1565 &gt;= SogliaPicchi!$B$17,"",DatiOriginali!K1565)</f>
        <v>105700</v>
      </c>
    </row>
    <row r="1566" spans="1:11" x14ac:dyDescent="0.3">
      <c r="A1566" s="4" t="s">
        <v>1575</v>
      </c>
      <c r="B1566" s="4">
        <v>319600</v>
      </c>
      <c r="C1566" s="4">
        <f>IF(DatiOriginali!C1566 &gt;= SogliaPicchi!$B$17,"",DatiOriginali!C1566)</f>
        <v>2489900</v>
      </c>
      <c r="D1566" s="4">
        <v>153168</v>
      </c>
      <c r="E1566" s="4">
        <f>IF(DatiOriginali!E1566 &gt;= SogliaPicchi!$B$17,"",DatiOriginali!E1566)</f>
        <v>583200</v>
      </c>
      <c r="F1566" s="4">
        <v>5020123</v>
      </c>
      <c r="G1566" s="4">
        <f>IF(DatiOriginali!G1566 &gt;= SogliaPicchi!$B$17,"",DatiOriginali!G1566)</f>
        <v>303800</v>
      </c>
      <c r="H1566" s="4">
        <v>6260505</v>
      </c>
      <c r="I1566" s="4">
        <f>IF(DatiOriginali!I1566 &gt;= SogliaPicchi!$B$17,"",DatiOriginali!I1566)</f>
        <v>95100</v>
      </c>
      <c r="J1566" s="4">
        <v>6251029</v>
      </c>
      <c r="K1566" s="4">
        <f>IF(DatiOriginali!K1566 &gt;= SogliaPicchi!$B$17,"",DatiOriginali!K1566)</f>
        <v>109900</v>
      </c>
    </row>
    <row r="1567" spans="1:11" x14ac:dyDescent="0.3">
      <c r="A1567" s="4" t="s">
        <v>1576</v>
      </c>
      <c r="B1567" s="4">
        <v>319600</v>
      </c>
      <c r="C1567" s="4">
        <f>IF(DatiOriginali!C1567 &gt;= SogliaPicchi!$B$17,"",DatiOriginali!C1567)</f>
        <v>2885800</v>
      </c>
      <c r="D1567" s="4">
        <v>162194</v>
      </c>
      <c r="E1567" s="4">
        <f>IF(DatiOriginali!E1567 &gt;= SogliaPicchi!$B$17,"",DatiOriginali!E1567)</f>
        <v>569000</v>
      </c>
      <c r="F1567" s="4">
        <v>5026845</v>
      </c>
      <c r="G1567" s="4">
        <f>IF(DatiOriginali!G1567 &gt;= SogliaPicchi!$B$17,"",DatiOriginali!G1567)</f>
        <v>294300</v>
      </c>
      <c r="H1567" s="4">
        <v>6269013</v>
      </c>
      <c r="I1567" s="4">
        <f>IF(DatiOriginali!I1567 &gt;= SogliaPicchi!$B$17,"",DatiOriginali!I1567)</f>
        <v>96300</v>
      </c>
      <c r="J1567" s="4">
        <v>6259098</v>
      </c>
      <c r="K1567" s="4">
        <f>IF(DatiOriginali!K1567 &gt;= SogliaPicchi!$B$17,"",DatiOriginali!K1567)</f>
        <v>112600</v>
      </c>
    </row>
    <row r="1568" spans="1:11" x14ac:dyDescent="0.3">
      <c r="A1568" s="4" t="s">
        <v>1577</v>
      </c>
      <c r="B1568" s="4">
        <v>319600</v>
      </c>
      <c r="C1568" s="4">
        <f>IF(DatiOriginali!C1568 &gt;= SogliaPicchi!$B$17,"",DatiOriginali!C1568)</f>
        <v>2953900</v>
      </c>
      <c r="D1568" s="4">
        <v>159683</v>
      </c>
      <c r="E1568" s="4">
        <f>IF(DatiOriginali!E1568 &gt;= SogliaPicchi!$B$17,"",DatiOriginali!E1568)</f>
        <v>561700</v>
      </c>
      <c r="F1568" s="4">
        <v>5033550</v>
      </c>
      <c r="G1568" s="4">
        <f>IF(DatiOriginali!G1568 &gt;= SogliaPicchi!$B$17,"",DatiOriginali!G1568)</f>
        <v>294900</v>
      </c>
      <c r="H1568" s="4">
        <v>6277978</v>
      </c>
      <c r="I1568" s="4">
        <f>IF(DatiOriginali!I1568 &gt;= SogliaPicchi!$B$17,"",DatiOriginali!I1568)</f>
        <v>100900</v>
      </c>
      <c r="J1568" s="4">
        <v>6267110</v>
      </c>
      <c r="K1568" s="4">
        <f>IF(DatiOriginali!K1568 &gt;= SogliaPicchi!$B$17,"",DatiOriginali!K1568)</f>
        <v>113300</v>
      </c>
    </row>
    <row r="1569" spans="1:11" x14ac:dyDescent="0.3">
      <c r="A1569" s="4" t="s">
        <v>1578</v>
      </c>
      <c r="B1569" s="4">
        <v>319600</v>
      </c>
      <c r="C1569" s="4">
        <f>IF(DatiOriginali!C1569 &gt;= SogliaPicchi!$B$17,"",DatiOriginali!C1569)</f>
        <v>2405000</v>
      </c>
      <c r="D1569" s="4">
        <v>155285</v>
      </c>
      <c r="E1569" s="4">
        <f>IF(DatiOriginali!E1569 &gt;= SogliaPicchi!$B$17,"",DatiOriginali!E1569)</f>
        <v>542500</v>
      </c>
      <c r="F1569" s="4">
        <v>5040277</v>
      </c>
      <c r="G1569" s="4">
        <f>IF(DatiOriginali!G1569 &gt;= SogliaPicchi!$B$17,"",DatiOriginali!G1569)</f>
        <v>296800</v>
      </c>
      <c r="H1569" s="4">
        <v>6286404</v>
      </c>
      <c r="I1569" s="4">
        <f>IF(DatiOriginali!I1569 &gt;= SogliaPicchi!$B$17,"",DatiOriginali!I1569)</f>
        <v>99000</v>
      </c>
      <c r="J1569" s="4">
        <v>6276041</v>
      </c>
      <c r="K1569" s="4">
        <f>IF(DatiOriginali!K1569 &gt;= SogliaPicchi!$B$17,"",DatiOriginali!K1569)</f>
        <v>110900</v>
      </c>
    </row>
    <row r="1570" spans="1:11" x14ac:dyDescent="0.3">
      <c r="A1570" s="4" t="s">
        <v>1579</v>
      </c>
      <c r="B1570" s="4">
        <v>319600</v>
      </c>
      <c r="C1570" s="4">
        <f>IF(DatiOriginali!C1570 &gt;= SogliaPicchi!$B$17,"",DatiOriginali!C1570)</f>
        <v>2835800</v>
      </c>
      <c r="D1570" s="4">
        <v>164885</v>
      </c>
      <c r="E1570" s="4">
        <f>IF(DatiOriginali!E1570 &gt;= SogliaPicchi!$B$17,"",DatiOriginali!E1570)</f>
        <v>732700</v>
      </c>
      <c r="F1570" s="4">
        <v>5047011</v>
      </c>
      <c r="G1570" s="4">
        <f>IF(DatiOriginali!G1570 &gt;= SogliaPicchi!$B$17,"",DatiOriginali!G1570)</f>
        <v>313300</v>
      </c>
      <c r="H1570" s="4">
        <v>6294648</v>
      </c>
      <c r="I1570" s="4">
        <f>IF(DatiOriginali!I1570 &gt;= SogliaPicchi!$B$17,"",DatiOriginali!I1570)</f>
        <v>98200</v>
      </c>
      <c r="J1570" s="4">
        <v>6284740</v>
      </c>
      <c r="K1570" s="4">
        <f>IF(DatiOriginali!K1570 &gt;= SogliaPicchi!$B$17,"",DatiOriginali!K1570)</f>
        <v>113100</v>
      </c>
    </row>
    <row r="1571" spans="1:11" x14ac:dyDescent="0.3">
      <c r="A1571" s="4" t="s">
        <v>1580</v>
      </c>
      <c r="B1571" s="4">
        <v>319600</v>
      </c>
      <c r="C1571" s="4">
        <f>IF(DatiOriginali!C1571 &gt;= SogliaPicchi!$B$17,"",DatiOriginali!C1571)</f>
        <v>2569500</v>
      </c>
      <c r="D1571" s="4">
        <v>161151</v>
      </c>
      <c r="E1571" s="4">
        <f>IF(DatiOriginali!E1571 &gt;= SogliaPicchi!$B$17,"",DatiOriginali!E1571)</f>
        <v>578800</v>
      </c>
      <c r="F1571" s="4">
        <v>5053739</v>
      </c>
      <c r="G1571" s="4">
        <f>IF(DatiOriginali!G1571 &gt;= SogliaPicchi!$B$17,"",DatiOriginali!G1571)</f>
        <v>289000</v>
      </c>
      <c r="H1571" s="4">
        <v>6303560</v>
      </c>
      <c r="I1571" s="4">
        <f>IF(DatiOriginali!I1571 &gt;= SogliaPicchi!$B$17,"",DatiOriginali!I1571)</f>
        <v>100100</v>
      </c>
      <c r="J1571" s="4">
        <v>6292914</v>
      </c>
      <c r="K1571" s="4">
        <f>IF(DatiOriginali!K1571 &gt;= SogliaPicchi!$B$17,"",DatiOriginali!K1571)</f>
        <v>112400</v>
      </c>
    </row>
    <row r="1572" spans="1:11" x14ac:dyDescent="0.3">
      <c r="A1572" s="4" t="s">
        <v>1581</v>
      </c>
      <c r="B1572" s="4">
        <v>319600</v>
      </c>
      <c r="C1572" s="4">
        <f>IF(DatiOriginali!C1572 &gt;= SogliaPicchi!$B$17,"",DatiOriginali!C1572)</f>
        <v>2476800</v>
      </c>
      <c r="D1572" s="4">
        <v>157191</v>
      </c>
      <c r="E1572" s="4">
        <f>IF(DatiOriginali!E1572 &gt;= SogliaPicchi!$B$17,"",DatiOriginali!E1572)</f>
        <v>545100</v>
      </c>
      <c r="F1572" s="4">
        <v>5060466</v>
      </c>
      <c r="G1572" s="4">
        <f>IF(DatiOriginali!G1572 &gt;= SogliaPicchi!$B$17,"",DatiOriginali!G1572)</f>
        <v>289800</v>
      </c>
      <c r="H1572" s="4">
        <v>6311964</v>
      </c>
      <c r="I1572" s="4">
        <f>IF(DatiOriginali!I1572 &gt;= SogliaPicchi!$B$17,"",DatiOriginali!I1572)</f>
        <v>101400</v>
      </c>
      <c r="J1572" s="4">
        <v>6302175</v>
      </c>
      <c r="K1572" s="4">
        <f>IF(DatiOriginali!K1572 &gt;= SogliaPicchi!$B$17,"",DatiOriginali!K1572)</f>
        <v>111200</v>
      </c>
    </row>
    <row r="1573" spans="1:11" x14ac:dyDescent="0.3">
      <c r="A1573" s="4" t="s">
        <v>1582</v>
      </c>
      <c r="B1573" s="4">
        <v>319600</v>
      </c>
      <c r="C1573" s="4">
        <f>IF(DatiOriginali!C1573 &gt;= SogliaPicchi!$B$17,"",DatiOriginali!C1573)</f>
        <v>3000300</v>
      </c>
      <c r="D1573" s="4">
        <v>162946</v>
      </c>
      <c r="E1573" s="4">
        <f>IF(DatiOriginali!E1573 &gt;= SogliaPicchi!$B$17,"",DatiOriginali!E1573)</f>
        <v>579900</v>
      </c>
      <c r="F1573" s="4">
        <v>5067168</v>
      </c>
      <c r="G1573" s="4">
        <f>IF(DatiOriginali!G1573 &gt;= SogliaPicchi!$B$17,"",DatiOriginali!G1573)</f>
        <v>293000</v>
      </c>
      <c r="H1573" s="4">
        <v>6320273</v>
      </c>
      <c r="I1573" s="4">
        <f>IF(DatiOriginali!I1573 &gt;= SogliaPicchi!$B$17,"",DatiOriginali!I1573)</f>
        <v>98800</v>
      </c>
      <c r="J1573" s="4">
        <v>6310825</v>
      </c>
      <c r="K1573" s="4">
        <f>IF(DatiOriginali!K1573 &gt;= SogliaPicchi!$B$17,"",DatiOriginali!K1573)</f>
        <v>109600</v>
      </c>
    </row>
    <row r="1574" spans="1:11" x14ac:dyDescent="0.3">
      <c r="A1574" s="4" t="s">
        <v>1583</v>
      </c>
      <c r="B1574" s="4">
        <v>319600</v>
      </c>
      <c r="C1574" s="4">
        <f>IF(DatiOriginali!C1574 &gt;= SogliaPicchi!$B$17,"",DatiOriginali!C1574)</f>
        <v>2758200</v>
      </c>
      <c r="D1574" s="4">
        <v>162946</v>
      </c>
      <c r="E1574" s="4">
        <f>IF(DatiOriginali!E1574 &gt;= SogliaPicchi!$B$17,"",DatiOriginali!E1574)</f>
        <v>567100</v>
      </c>
      <c r="F1574" s="4">
        <v>5073897</v>
      </c>
      <c r="G1574" s="4">
        <f>IF(DatiOriginali!G1574 &gt;= SogliaPicchi!$B$17,"",DatiOriginali!G1574)</f>
        <v>291600</v>
      </c>
      <c r="H1574" s="4">
        <v>6328529</v>
      </c>
      <c r="I1574" s="4">
        <f>IF(DatiOriginali!I1574 &gt;= SogliaPicchi!$B$17,"",DatiOriginali!I1574)</f>
        <v>101900</v>
      </c>
      <c r="J1574" s="4">
        <v>6318749</v>
      </c>
      <c r="K1574" s="4">
        <f>IF(DatiOriginali!K1574 &gt;= SogliaPicchi!$B$17,"",DatiOriginali!K1574)</f>
        <v>109100</v>
      </c>
    </row>
    <row r="1575" spans="1:11" x14ac:dyDescent="0.3">
      <c r="A1575" s="4" t="s">
        <v>1584</v>
      </c>
      <c r="B1575" s="4">
        <v>319600</v>
      </c>
      <c r="C1575" s="4">
        <f>IF(DatiOriginali!C1575 &gt;= SogliaPicchi!$B$17,"",DatiOriginali!C1575)</f>
        <v>2536500</v>
      </c>
      <c r="D1575" s="4">
        <v>162921</v>
      </c>
      <c r="E1575" s="4">
        <f>IF(DatiOriginali!E1575 &gt;= SogliaPicchi!$B$17,"",DatiOriginali!E1575)</f>
        <v>570200</v>
      </c>
      <c r="F1575" s="4">
        <v>5080590</v>
      </c>
      <c r="G1575" s="4">
        <f>IF(DatiOriginali!G1575 &gt;= SogliaPicchi!$B$17,"",DatiOriginali!G1575)</f>
        <v>319100</v>
      </c>
      <c r="H1575" s="4">
        <v>6336828</v>
      </c>
      <c r="I1575" s="4">
        <f>IF(DatiOriginali!I1575 &gt;= SogliaPicchi!$B$17,"",DatiOriginali!I1575)</f>
        <v>97200</v>
      </c>
      <c r="J1575" s="4">
        <v>6328466</v>
      </c>
      <c r="K1575" s="4">
        <f>IF(DatiOriginali!K1575 &gt;= SogliaPicchi!$B$17,"",DatiOriginali!K1575)</f>
        <v>112200</v>
      </c>
    </row>
    <row r="1576" spans="1:11" x14ac:dyDescent="0.3">
      <c r="A1576" s="4" t="s">
        <v>1585</v>
      </c>
      <c r="B1576" s="4">
        <v>319600</v>
      </c>
      <c r="C1576" s="4">
        <f>IF(DatiOriginali!C1576 &gt;= SogliaPicchi!$B$17,"",DatiOriginali!C1576)</f>
        <v>2528000</v>
      </c>
      <c r="D1576" s="4">
        <v>156897</v>
      </c>
      <c r="E1576" s="4">
        <f>IF(DatiOriginali!E1576 &gt;= SogliaPicchi!$B$17,"",DatiOriginali!E1576)</f>
        <v>546000</v>
      </c>
      <c r="F1576" s="4">
        <v>5087312</v>
      </c>
      <c r="G1576" s="4">
        <f>IF(DatiOriginali!G1576 &gt;= SogliaPicchi!$B$17,"",DatiOriginali!G1576)</f>
        <v>289400</v>
      </c>
      <c r="H1576" s="4">
        <v>6345473</v>
      </c>
      <c r="I1576" s="4">
        <f>IF(DatiOriginali!I1576 &gt;= SogliaPicchi!$B$17,"",DatiOriginali!I1576)</f>
        <v>99600</v>
      </c>
      <c r="J1576" s="4">
        <v>6338068</v>
      </c>
      <c r="K1576" s="4">
        <f>IF(DatiOriginali!K1576 &gt;= SogliaPicchi!$B$17,"",DatiOriginali!K1576)</f>
        <v>104800</v>
      </c>
    </row>
    <row r="1577" spans="1:11" x14ac:dyDescent="0.3">
      <c r="A1577" s="4" t="s">
        <v>1586</v>
      </c>
      <c r="B1577" s="4">
        <v>319600</v>
      </c>
      <c r="C1577" s="4">
        <f>IF(DatiOriginali!C1577 &gt;= SogliaPicchi!$B$17,"",DatiOriginali!C1577)</f>
        <v>2934600</v>
      </c>
      <c r="D1577" s="4">
        <v>161194</v>
      </c>
      <c r="E1577" s="4">
        <f>IF(DatiOriginali!E1577 &gt;= SogliaPicchi!$B$17,"",DatiOriginali!E1577)</f>
        <v>564300</v>
      </c>
      <c r="F1577" s="4">
        <v>5094030</v>
      </c>
      <c r="G1577" s="4">
        <f>IF(DatiOriginali!G1577 &gt;= SogliaPicchi!$B$17,"",DatiOriginali!G1577)</f>
        <v>293500</v>
      </c>
      <c r="H1577" s="4">
        <v>6353937</v>
      </c>
      <c r="I1577" s="4">
        <f>IF(DatiOriginali!I1577 &gt;= SogliaPicchi!$B$17,"",DatiOriginali!I1577)</f>
        <v>98700</v>
      </c>
      <c r="J1577" s="4">
        <v>6346107</v>
      </c>
      <c r="K1577" s="4">
        <f>IF(DatiOriginali!K1577 &gt;= SogliaPicchi!$B$17,"",DatiOriginali!K1577)</f>
        <v>108400</v>
      </c>
    </row>
    <row r="1578" spans="1:11" x14ac:dyDescent="0.3">
      <c r="A1578" s="4" t="s">
        <v>1587</v>
      </c>
      <c r="B1578" s="4">
        <v>319600</v>
      </c>
      <c r="C1578" s="4">
        <f>IF(DatiOriginali!C1578 &gt;= SogliaPicchi!$B$17,"",DatiOriginali!C1578)</f>
        <v>2513400</v>
      </c>
      <c r="D1578" s="4">
        <v>150497</v>
      </c>
      <c r="E1578" s="4">
        <f>IF(DatiOriginali!E1578 &gt;= SogliaPicchi!$B$17,"",DatiOriginali!E1578)</f>
        <v>541400</v>
      </c>
      <c r="F1578" s="4">
        <v>5100731</v>
      </c>
      <c r="G1578" s="4">
        <f>IF(DatiOriginali!G1578 &gt;= SogliaPicchi!$B$17,"",DatiOriginali!G1578)</f>
        <v>291700</v>
      </c>
      <c r="H1578" s="4">
        <v>6362885</v>
      </c>
      <c r="I1578" s="4">
        <f>IF(DatiOriginali!I1578 &gt;= SogliaPicchi!$B$17,"",DatiOriginali!I1578)</f>
        <v>104600</v>
      </c>
      <c r="J1578" s="4">
        <v>6354847</v>
      </c>
      <c r="K1578" s="4">
        <f>IF(DatiOriginali!K1578 &gt;= SogliaPicchi!$B$17,"",DatiOriginali!K1578)</f>
        <v>114600</v>
      </c>
    </row>
    <row r="1579" spans="1:11" x14ac:dyDescent="0.3">
      <c r="A1579" s="4" t="s">
        <v>1588</v>
      </c>
      <c r="B1579" s="4">
        <v>319600</v>
      </c>
      <c r="C1579" s="4">
        <f>IF(DatiOriginali!C1579 &gt;= SogliaPicchi!$B$17,"",DatiOriginali!C1579)</f>
        <v>2791800</v>
      </c>
      <c r="D1579" s="4">
        <v>156725</v>
      </c>
      <c r="E1579" s="4">
        <f>IF(DatiOriginali!E1579 &gt;= SogliaPicchi!$B$17,"",DatiOriginali!E1579)</f>
        <v>725200</v>
      </c>
      <c r="F1579" s="4">
        <v>5107443</v>
      </c>
      <c r="G1579" s="4">
        <f>IF(DatiOriginali!G1579 &gt;= SogliaPicchi!$B$17,"",DatiOriginali!G1579)</f>
        <v>290500</v>
      </c>
      <c r="H1579" s="4">
        <v>6371045</v>
      </c>
      <c r="I1579" s="4">
        <f>IF(DatiOriginali!I1579 &gt;= SogliaPicchi!$B$17,"",DatiOriginali!I1579)</f>
        <v>101100</v>
      </c>
      <c r="J1579" s="4">
        <v>6363391</v>
      </c>
      <c r="K1579" s="4">
        <f>IF(DatiOriginali!K1579 &gt;= SogliaPicchi!$B$17,"",DatiOriginali!K1579)</f>
        <v>119200</v>
      </c>
    </row>
    <row r="1580" spans="1:11" x14ac:dyDescent="0.3">
      <c r="A1580" s="4" t="s">
        <v>1589</v>
      </c>
      <c r="B1580" s="4">
        <v>319600</v>
      </c>
      <c r="C1580" s="4">
        <f>IF(DatiOriginali!C1580 &gt;= SogliaPicchi!$B$17,"",DatiOriginali!C1580)</f>
        <v>2535000</v>
      </c>
      <c r="D1580" s="4">
        <v>159125</v>
      </c>
      <c r="E1580" s="4">
        <f>IF(DatiOriginali!E1580 &gt;= SogliaPicchi!$B$17,"",DatiOriginali!E1580)</f>
        <v>563200</v>
      </c>
      <c r="F1580" s="4">
        <v>5114163</v>
      </c>
      <c r="G1580" s="4">
        <f>IF(DatiOriginali!G1580 &gt;= SogliaPicchi!$B$17,"",DatiOriginali!G1580)</f>
        <v>294900</v>
      </c>
      <c r="H1580" s="4">
        <v>6379230</v>
      </c>
      <c r="I1580" s="4">
        <f>IF(DatiOriginali!I1580 &gt;= SogliaPicchi!$B$17,"",DatiOriginali!I1580)</f>
        <v>100100</v>
      </c>
      <c r="J1580" s="4">
        <v>6371577</v>
      </c>
      <c r="K1580" s="4">
        <f>IF(DatiOriginali!K1580 &gt;= SogliaPicchi!$B$17,"",DatiOriginali!K1580)</f>
        <v>109700</v>
      </c>
    </row>
    <row r="1581" spans="1:11" x14ac:dyDescent="0.3">
      <c r="A1581" s="4" t="s">
        <v>1590</v>
      </c>
      <c r="B1581" s="4">
        <v>319600</v>
      </c>
      <c r="C1581" s="4">
        <f>IF(DatiOriginali!C1581 &gt;= SogliaPicchi!$B$17,"",DatiOriginali!C1581)</f>
        <v>2461700</v>
      </c>
      <c r="D1581" s="4">
        <v>152868</v>
      </c>
      <c r="E1581" s="4">
        <f>IF(DatiOriginali!E1581 &gt;= SogliaPicchi!$B$17,"",DatiOriginali!E1581)</f>
        <v>530500</v>
      </c>
      <c r="F1581" s="4">
        <v>5120907</v>
      </c>
      <c r="G1581" s="4">
        <f>IF(DatiOriginali!G1581 &gt;= SogliaPicchi!$B$17,"",DatiOriginali!G1581)</f>
        <v>291800</v>
      </c>
      <c r="H1581" s="4">
        <v>6387158</v>
      </c>
      <c r="I1581" s="4">
        <f>IF(DatiOriginali!I1581 &gt;= SogliaPicchi!$B$17,"",DatiOriginali!I1581)</f>
        <v>97200</v>
      </c>
      <c r="J1581" s="4">
        <v>6380069</v>
      </c>
      <c r="K1581" s="4">
        <f>IF(DatiOriginali!K1581 &gt;= SogliaPicchi!$B$17,"",DatiOriginali!K1581)</f>
        <v>105400</v>
      </c>
    </row>
    <row r="1582" spans="1:11" x14ac:dyDescent="0.3">
      <c r="A1582" s="4" t="s">
        <v>1591</v>
      </c>
      <c r="B1582" s="4">
        <v>319600</v>
      </c>
      <c r="C1582" s="4">
        <f>IF(DatiOriginali!C1582 &gt;= SogliaPicchi!$B$17,"",DatiOriginali!C1582)</f>
        <v>2626600</v>
      </c>
      <c r="D1582" s="4">
        <v>162353</v>
      </c>
      <c r="E1582" s="4">
        <f>IF(DatiOriginali!E1582 &gt;= SogliaPicchi!$B$17,"",DatiOriginali!E1582)</f>
        <v>577900</v>
      </c>
      <c r="F1582" s="4">
        <v>5127631</v>
      </c>
      <c r="G1582" s="4">
        <f>IF(DatiOriginali!G1582 &gt;= SogliaPicchi!$B$17,"",DatiOriginali!G1582)</f>
        <v>291300</v>
      </c>
      <c r="H1582" s="4">
        <v>6394868</v>
      </c>
      <c r="I1582" s="4">
        <f>IF(DatiOriginali!I1582 &gt;= SogliaPicchi!$B$17,"",DatiOriginali!I1582)</f>
        <v>97000</v>
      </c>
      <c r="J1582" s="4">
        <v>6388098</v>
      </c>
      <c r="K1582" s="4">
        <f>IF(DatiOriginali!K1582 &gt;= SogliaPicchi!$B$17,"",DatiOriginali!K1582)</f>
        <v>110700</v>
      </c>
    </row>
    <row r="1583" spans="1:11" x14ac:dyDescent="0.3">
      <c r="A1583" s="4" t="s">
        <v>1592</v>
      </c>
      <c r="B1583" s="4">
        <v>319600</v>
      </c>
      <c r="C1583" s="4">
        <f>IF(DatiOriginali!C1583 &gt;= SogliaPicchi!$B$17,"",DatiOriginali!C1583)</f>
        <v>2515300</v>
      </c>
      <c r="D1583" s="4">
        <v>156726</v>
      </c>
      <c r="E1583" s="4">
        <f>IF(DatiOriginali!E1583 &gt;= SogliaPicchi!$B$17,"",DatiOriginali!E1583)</f>
        <v>550600</v>
      </c>
      <c r="F1583" s="4">
        <v>5134355</v>
      </c>
      <c r="G1583" s="4">
        <f>IF(DatiOriginali!G1583 &gt;= SogliaPicchi!$B$17,"",DatiOriginali!G1583)</f>
        <v>291600</v>
      </c>
      <c r="H1583" s="4">
        <v>6404773</v>
      </c>
      <c r="I1583" s="4">
        <f>IF(DatiOriginali!I1583 &gt;= SogliaPicchi!$B$17,"",DatiOriginali!I1583)</f>
        <v>101700</v>
      </c>
      <c r="J1583" s="4">
        <v>6396272</v>
      </c>
      <c r="K1583" s="4">
        <f>IF(DatiOriginali!K1583 &gt;= SogliaPicchi!$B$17,"",DatiOriginali!K1583)</f>
        <v>107200</v>
      </c>
    </row>
    <row r="1584" spans="1:11" x14ac:dyDescent="0.3">
      <c r="A1584" s="4" t="s">
        <v>1593</v>
      </c>
      <c r="B1584" s="4">
        <v>319600</v>
      </c>
      <c r="C1584" s="4">
        <f>IF(DatiOriginali!C1584 &gt;= SogliaPicchi!$B$17,"",DatiOriginali!C1584)</f>
        <v>2749100</v>
      </c>
      <c r="D1584" s="4">
        <v>160138</v>
      </c>
      <c r="E1584" s="4">
        <f>IF(DatiOriginali!E1584 &gt;= SogliaPicchi!$B$17,"",DatiOriginali!E1584)</f>
        <v>556200</v>
      </c>
      <c r="F1584" s="4">
        <v>5141064</v>
      </c>
      <c r="G1584" s="4">
        <f>IF(DatiOriginali!G1584 &gt;= SogliaPicchi!$B$17,"",DatiOriginali!G1584)</f>
        <v>544200</v>
      </c>
      <c r="H1584" s="4">
        <v>6413099</v>
      </c>
      <c r="I1584" s="4">
        <f>IF(DatiOriginali!I1584 &gt;= SogliaPicchi!$B$17,"",DatiOriginali!I1584)</f>
        <v>120200</v>
      </c>
      <c r="J1584" s="4">
        <v>6404226</v>
      </c>
      <c r="K1584" s="4">
        <f>IF(DatiOriginali!K1584 &gt;= SogliaPicchi!$B$17,"",DatiOriginali!K1584)</f>
        <v>132700</v>
      </c>
    </row>
    <row r="1585" spans="1:11" x14ac:dyDescent="0.3">
      <c r="A1585" s="4" t="s">
        <v>1594</v>
      </c>
      <c r="B1585" s="4">
        <v>319600</v>
      </c>
      <c r="C1585" s="4">
        <f>IF(DatiOriginali!C1585 &gt;= SogliaPicchi!$B$17,"",DatiOriginali!C1585)</f>
        <v>2615500</v>
      </c>
      <c r="D1585" s="4">
        <v>160022</v>
      </c>
      <c r="E1585" s="4">
        <f>IF(DatiOriginali!E1585 &gt;= SogliaPicchi!$B$17,"",DatiOriginali!E1585)</f>
        <v>584600</v>
      </c>
      <c r="F1585" s="4">
        <v>5147778</v>
      </c>
      <c r="G1585" s="4">
        <f>IF(DatiOriginali!G1585 &gt;= SogliaPicchi!$B$17,"",DatiOriginali!G1585)</f>
        <v>289500</v>
      </c>
      <c r="H1585" s="4">
        <v>6420852</v>
      </c>
      <c r="I1585" s="4">
        <f>IF(DatiOriginali!I1585 &gt;= SogliaPicchi!$B$17,"",DatiOriginali!I1585)</f>
        <v>97500</v>
      </c>
      <c r="J1585" s="4">
        <v>6412284</v>
      </c>
      <c r="K1585" s="4">
        <f>IF(DatiOriginali!K1585 &gt;= SogliaPicchi!$B$17,"",DatiOriginali!K1585)</f>
        <v>108800</v>
      </c>
    </row>
    <row r="1586" spans="1:11" x14ac:dyDescent="0.3">
      <c r="A1586" s="4" t="s">
        <v>1595</v>
      </c>
      <c r="B1586" s="4">
        <v>319600</v>
      </c>
      <c r="C1586" s="4">
        <f>IF(DatiOriginali!C1586 &gt;= SogliaPicchi!$B$17,"",DatiOriginali!C1586)</f>
        <v>2492800</v>
      </c>
      <c r="D1586" s="4">
        <v>161564</v>
      </c>
      <c r="E1586" s="4">
        <f>IF(DatiOriginali!E1586 &gt;= SogliaPicchi!$B$17,"",DatiOriginali!E1586)</f>
        <v>570300</v>
      </c>
      <c r="F1586" s="4">
        <v>5154513</v>
      </c>
      <c r="G1586" s="4">
        <f>IF(DatiOriginali!G1586 &gt;= SogliaPicchi!$B$17,"",DatiOriginali!G1586)</f>
        <v>291800</v>
      </c>
      <c r="H1586" s="4">
        <v>6428813</v>
      </c>
      <c r="I1586" s="4">
        <f>IF(DatiOriginali!I1586 &gt;= SogliaPicchi!$B$17,"",DatiOriginali!I1586)</f>
        <v>95900</v>
      </c>
      <c r="J1586" s="4">
        <v>6420548</v>
      </c>
      <c r="K1586" s="4">
        <f>IF(DatiOriginali!K1586 &gt;= SogliaPicchi!$B$17,"",DatiOriginali!K1586)</f>
        <v>111200</v>
      </c>
    </row>
    <row r="1587" spans="1:11" x14ac:dyDescent="0.3">
      <c r="A1587" s="4" t="s">
        <v>1596</v>
      </c>
      <c r="B1587" s="4">
        <v>319600</v>
      </c>
      <c r="C1587" s="4">
        <f>IF(DatiOriginali!C1587 &gt;= SogliaPicchi!$B$17,"",DatiOriginali!C1587)</f>
        <v>2561400</v>
      </c>
      <c r="D1587" s="4">
        <v>161666</v>
      </c>
      <c r="E1587" s="4">
        <f>IF(DatiOriginali!E1587 &gt;= SogliaPicchi!$B$17,"",DatiOriginali!E1587)</f>
        <v>566900</v>
      </c>
      <c r="F1587" s="4">
        <v>5161251</v>
      </c>
      <c r="G1587" s="4">
        <f>IF(DatiOriginali!G1587 &gt;= SogliaPicchi!$B$17,"",DatiOriginali!G1587)</f>
        <v>287600</v>
      </c>
      <c r="H1587" s="4">
        <v>6436499</v>
      </c>
      <c r="I1587" s="4">
        <f>IF(DatiOriginali!I1587 &gt;= SogliaPicchi!$B$17,"",DatiOriginali!I1587)</f>
        <v>97700</v>
      </c>
      <c r="J1587" s="4">
        <v>6428810</v>
      </c>
      <c r="K1587" s="4">
        <f>IF(DatiOriginali!K1587 &gt;= SogliaPicchi!$B$17,"",DatiOriginali!K1587)</f>
        <v>108700</v>
      </c>
    </row>
    <row r="1588" spans="1:11" x14ac:dyDescent="0.3">
      <c r="A1588" s="4" t="s">
        <v>1597</v>
      </c>
      <c r="B1588" s="4">
        <v>319600</v>
      </c>
      <c r="C1588" s="4">
        <f>IF(DatiOriginali!C1588 &gt;= SogliaPicchi!$B$17,"",DatiOriginali!C1588)</f>
        <v>2562700</v>
      </c>
      <c r="D1588" s="4">
        <v>166736</v>
      </c>
      <c r="E1588" s="4">
        <f>IF(DatiOriginali!E1588 &gt;= SogliaPicchi!$B$17,"",DatiOriginali!E1588)</f>
        <v>596400</v>
      </c>
      <c r="F1588" s="4">
        <v>5167961</v>
      </c>
      <c r="G1588" s="4">
        <f>IF(DatiOriginali!G1588 &gt;= SogliaPicchi!$B$17,"",DatiOriginali!G1588)</f>
        <v>292000</v>
      </c>
      <c r="H1588" s="4">
        <v>6444240</v>
      </c>
      <c r="I1588" s="4">
        <f>IF(DatiOriginali!I1588 &gt;= SogliaPicchi!$B$17,"",DatiOriginali!I1588)</f>
        <v>96000</v>
      </c>
      <c r="J1588" s="4">
        <v>6436719</v>
      </c>
      <c r="K1588" s="4">
        <f>IF(DatiOriginali!K1588 &gt;= SogliaPicchi!$B$17,"",DatiOriginali!K1588)</f>
        <v>108900</v>
      </c>
    </row>
    <row r="1589" spans="1:11" x14ac:dyDescent="0.3">
      <c r="A1589" s="4" t="s">
        <v>1598</v>
      </c>
      <c r="B1589" s="4">
        <v>319600</v>
      </c>
      <c r="C1589" s="4">
        <f>IF(DatiOriginali!C1589 &gt;= SogliaPicchi!$B$17,"",DatiOriginali!C1589)</f>
        <v>2517200</v>
      </c>
      <c r="D1589" s="4">
        <v>163820</v>
      </c>
      <c r="E1589" s="4">
        <f>IF(DatiOriginali!E1589 &gt;= SogliaPicchi!$B$17,"",DatiOriginali!E1589)</f>
        <v>567600</v>
      </c>
      <c r="F1589" s="4">
        <v>5174677</v>
      </c>
      <c r="G1589" s="4">
        <f>IF(DatiOriginali!G1589 &gt;= SogliaPicchi!$B$17,"",DatiOriginali!G1589)</f>
        <v>295200</v>
      </c>
      <c r="H1589" s="4">
        <v>6452927</v>
      </c>
      <c r="I1589" s="4">
        <f>IF(DatiOriginali!I1589 &gt;= SogliaPicchi!$B$17,"",DatiOriginali!I1589)</f>
        <v>101300</v>
      </c>
      <c r="J1589" s="4">
        <v>6444753</v>
      </c>
      <c r="K1589" s="4">
        <f>IF(DatiOriginali!K1589 &gt;= SogliaPicchi!$B$17,"",DatiOriginali!K1589)</f>
        <v>106300</v>
      </c>
    </row>
    <row r="1590" spans="1:11" x14ac:dyDescent="0.3">
      <c r="A1590" s="4" t="s">
        <v>1599</v>
      </c>
      <c r="B1590" s="4">
        <v>319600</v>
      </c>
      <c r="C1590" s="4">
        <f>IF(DatiOriginali!C1590 &gt;= SogliaPicchi!$B$17,"",DatiOriginali!C1590)</f>
        <v>2443600</v>
      </c>
      <c r="D1590" s="4">
        <v>165942</v>
      </c>
      <c r="E1590" s="4">
        <f>IF(DatiOriginali!E1590 &gt;= SogliaPicchi!$B$17,"",DatiOriginali!E1590)</f>
        <v>580300</v>
      </c>
      <c r="F1590" s="4">
        <v>5181391</v>
      </c>
      <c r="G1590" s="4">
        <f>IF(DatiOriginali!G1590 &gt;= SogliaPicchi!$B$17,"",DatiOriginali!G1590)</f>
        <v>289100</v>
      </c>
      <c r="H1590" s="4">
        <v>6461342</v>
      </c>
      <c r="I1590" s="4">
        <f>IF(DatiOriginali!I1590 &gt;= SogliaPicchi!$B$17,"",DatiOriginali!I1590)</f>
        <v>95200</v>
      </c>
      <c r="J1590" s="4">
        <v>6453671</v>
      </c>
      <c r="K1590" s="4">
        <f>IF(DatiOriginali!K1590 &gt;= SogliaPicchi!$B$17,"",DatiOriginali!K1590)</f>
        <v>111400</v>
      </c>
    </row>
    <row r="1591" spans="1:11" x14ac:dyDescent="0.3">
      <c r="A1591" s="4" t="s">
        <v>1600</v>
      </c>
      <c r="B1591" s="4">
        <v>319600</v>
      </c>
      <c r="C1591" s="4">
        <f>IF(DatiOriginali!C1591 &gt;= SogliaPicchi!$B$17,"",DatiOriginali!C1591)</f>
        <v>2608600</v>
      </c>
      <c r="D1591" s="4">
        <v>158358</v>
      </c>
      <c r="E1591" s="4">
        <f>IF(DatiOriginali!E1591 &gt;= SogliaPicchi!$B$17,"",DatiOriginali!E1591)</f>
        <v>624600</v>
      </c>
      <c r="F1591" s="4">
        <v>5188101</v>
      </c>
      <c r="G1591" s="4">
        <f>IF(DatiOriginali!G1591 &gt;= SogliaPicchi!$B$17,"",DatiOriginali!G1591)</f>
        <v>296700</v>
      </c>
      <c r="H1591" s="4">
        <v>6469194</v>
      </c>
      <c r="I1591" s="4">
        <f>IF(DatiOriginali!I1591 &gt;= SogliaPicchi!$B$17,"",DatiOriginali!I1591)</f>
        <v>95800</v>
      </c>
      <c r="J1591" s="4">
        <v>6461629</v>
      </c>
      <c r="K1591" s="4">
        <f>IF(DatiOriginali!K1591 &gt;= SogliaPicchi!$B$17,"",DatiOriginali!K1591)</f>
        <v>108600</v>
      </c>
    </row>
    <row r="1592" spans="1:11" x14ac:dyDescent="0.3">
      <c r="A1592" s="4" t="s">
        <v>1601</v>
      </c>
      <c r="B1592" s="4">
        <v>319600</v>
      </c>
      <c r="C1592" s="4">
        <f>IF(DatiOriginali!C1592 &gt;= SogliaPicchi!$B$17,"",DatiOriginali!C1592)</f>
        <v>2847600</v>
      </c>
      <c r="D1592" s="4">
        <v>161109</v>
      </c>
      <c r="E1592" s="4">
        <f>IF(DatiOriginali!E1592 &gt;= SogliaPicchi!$B$17,"",DatiOriginali!E1592)</f>
        <v>563700</v>
      </c>
      <c r="F1592" s="4">
        <v>5194836</v>
      </c>
      <c r="G1592" s="4">
        <f>IF(DatiOriginali!G1592 &gt;= SogliaPicchi!$B$17,"",DatiOriginali!G1592)</f>
        <v>293300</v>
      </c>
      <c r="H1592" s="4">
        <v>6477084</v>
      </c>
      <c r="I1592" s="4">
        <f>IF(DatiOriginali!I1592 &gt;= SogliaPicchi!$B$17,"",DatiOriginali!I1592)</f>
        <v>98000</v>
      </c>
      <c r="J1592" s="4">
        <v>6469702</v>
      </c>
      <c r="K1592" s="4">
        <f>IF(DatiOriginali!K1592 &gt;= SogliaPicchi!$B$17,"",DatiOriginali!K1592)</f>
        <v>107100</v>
      </c>
    </row>
    <row r="1593" spans="1:11" x14ac:dyDescent="0.3">
      <c r="A1593" s="4" t="s">
        <v>1602</v>
      </c>
      <c r="B1593" s="4">
        <v>319600</v>
      </c>
      <c r="C1593" s="4">
        <f>IF(DatiOriginali!C1593 &gt;= SogliaPicchi!$B$17,"",DatiOriginali!C1593)</f>
        <v>2531300</v>
      </c>
      <c r="D1593" s="4">
        <v>154969</v>
      </c>
      <c r="E1593" s="4">
        <f>IF(DatiOriginali!E1593 &gt;= SogliaPicchi!$B$17,"",DatiOriginali!E1593)</f>
        <v>542000</v>
      </c>
      <c r="F1593" s="4">
        <v>5201548</v>
      </c>
      <c r="G1593" s="4">
        <f>IF(DatiOriginali!G1593 &gt;= SogliaPicchi!$B$17,"",DatiOriginali!G1593)</f>
        <v>290300</v>
      </c>
      <c r="H1593" s="4">
        <v>6484924</v>
      </c>
      <c r="I1593" s="4">
        <f>IF(DatiOriginali!I1593 &gt;= SogliaPicchi!$B$17,"",DatiOriginali!I1593)</f>
        <v>98500</v>
      </c>
      <c r="J1593" s="4">
        <v>6477391</v>
      </c>
      <c r="K1593" s="4">
        <f>IF(DatiOriginali!K1593 &gt;= SogliaPicchi!$B$17,"",DatiOriginali!K1593)</f>
        <v>108900</v>
      </c>
    </row>
    <row r="1594" spans="1:11" x14ac:dyDescent="0.3">
      <c r="A1594" s="4" t="s">
        <v>1603</v>
      </c>
      <c r="B1594" s="4">
        <v>319600</v>
      </c>
      <c r="C1594" s="4">
        <f>IF(DatiOriginali!C1594 &gt;= SogliaPicchi!$B$17,"",DatiOriginali!C1594)</f>
        <v>2544800</v>
      </c>
      <c r="D1594" s="4">
        <v>164347</v>
      </c>
      <c r="E1594" s="4">
        <f>IF(DatiOriginali!E1594 &gt;= SogliaPicchi!$B$17,"",DatiOriginali!E1594)</f>
        <v>598500</v>
      </c>
      <c r="F1594" s="4">
        <v>5208269</v>
      </c>
      <c r="G1594" s="4">
        <f>IF(DatiOriginali!G1594 &gt;= SogliaPicchi!$B$17,"",DatiOriginali!G1594)</f>
        <v>290300</v>
      </c>
      <c r="H1594" s="4">
        <v>6492800</v>
      </c>
      <c r="I1594" s="4">
        <f>IF(DatiOriginali!I1594 &gt;= SogliaPicchi!$B$17,"",DatiOriginali!I1594)</f>
        <v>97300</v>
      </c>
      <c r="J1594" s="4">
        <v>6485820</v>
      </c>
      <c r="K1594" s="4">
        <f>IF(DatiOriginali!K1594 &gt;= SogliaPicchi!$B$17,"",DatiOriginali!K1594)</f>
        <v>108500</v>
      </c>
    </row>
    <row r="1595" spans="1:11" x14ac:dyDescent="0.3">
      <c r="A1595" s="4" t="s">
        <v>1604</v>
      </c>
      <c r="B1595" s="4">
        <v>319600</v>
      </c>
      <c r="C1595" s="4">
        <f>IF(DatiOriginali!C1595 &gt;= SogliaPicchi!$B$17,"",DatiOriginali!C1595)</f>
        <v>2426700</v>
      </c>
      <c r="D1595" s="4">
        <v>157690</v>
      </c>
      <c r="E1595" s="4">
        <f>IF(DatiOriginali!E1595 &gt;= SogliaPicchi!$B$17,"",DatiOriginali!E1595)</f>
        <v>549300</v>
      </c>
      <c r="F1595" s="4">
        <v>5215014</v>
      </c>
      <c r="G1595" s="4">
        <f>IF(DatiOriginali!G1595 &gt;= SogliaPicchi!$B$17,"",DatiOriginali!G1595)</f>
        <v>295800</v>
      </c>
      <c r="H1595" s="4">
        <v>6502157</v>
      </c>
      <c r="I1595" s="4">
        <f>IF(DatiOriginali!I1595 &gt;= SogliaPicchi!$B$17,"",DatiOriginali!I1595)</f>
        <v>98500</v>
      </c>
      <c r="J1595" s="4">
        <v>6493670</v>
      </c>
      <c r="K1595" s="4">
        <f>IF(DatiOriginali!K1595 &gt;= SogliaPicchi!$B$17,"",DatiOriginali!K1595)</f>
        <v>107200</v>
      </c>
    </row>
    <row r="1596" spans="1:11" x14ac:dyDescent="0.3">
      <c r="A1596" s="4" t="s">
        <v>1605</v>
      </c>
      <c r="B1596" s="4">
        <v>319600</v>
      </c>
      <c r="C1596" s="4">
        <f>IF(DatiOriginali!C1596 &gt;= SogliaPicchi!$B$17,"",DatiOriginali!C1596)</f>
        <v>2827200</v>
      </c>
      <c r="D1596" s="4">
        <v>157170</v>
      </c>
      <c r="E1596" s="4">
        <f>IF(DatiOriginali!E1596 &gt;= SogliaPicchi!$B$17,"",DatiOriginali!E1596)</f>
        <v>551700</v>
      </c>
      <c r="F1596" s="4">
        <v>5221751</v>
      </c>
      <c r="G1596" s="4">
        <f>IF(DatiOriginali!G1596 &gt;= SogliaPicchi!$B$17,"",DatiOriginali!G1596)</f>
        <v>296400</v>
      </c>
      <c r="H1596" s="4">
        <v>6510580</v>
      </c>
      <c r="I1596" s="4">
        <f>IF(DatiOriginali!I1596 &gt;= SogliaPicchi!$B$17,"",DatiOriginali!I1596)</f>
        <v>97900</v>
      </c>
      <c r="J1596" s="4">
        <v>6502190</v>
      </c>
      <c r="K1596" s="4">
        <f>IF(DatiOriginali!K1596 &gt;= SogliaPicchi!$B$17,"",DatiOriginali!K1596)</f>
        <v>108800</v>
      </c>
    </row>
    <row r="1597" spans="1:11" x14ac:dyDescent="0.3">
      <c r="A1597" s="4" t="s">
        <v>1606</v>
      </c>
      <c r="B1597" s="4">
        <v>319600</v>
      </c>
      <c r="C1597" s="4">
        <f>IF(DatiOriginali!C1597 &gt;= SogliaPicchi!$B$17,"",DatiOriginali!C1597)</f>
        <v>2417300</v>
      </c>
      <c r="D1597" s="4">
        <v>156618</v>
      </c>
      <c r="E1597" s="4">
        <f>IF(DatiOriginali!E1597 &gt;= SogliaPicchi!$B$17,"",DatiOriginali!E1597)</f>
        <v>557100</v>
      </c>
      <c r="F1597" s="4">
        <v>5228465</v>
      </c>
      <c r="G1597" s="4">
        <f>IF(DatiOriginali!G1597 &gt;= SogliaPicchi!$B$17,"",DatiOriginali!G1597)</f>
        <v>289000</v>
      </c>
      <c r="H1597" s="4">
        <v>6519306</v>
      </c>
      <c r="I1597" s="4">
        <f>IF(DatiOriginali!I1597 &gt;= SogliaPicchi!$B$17,"",DatiOriginali!I1597)</f>
        <v>95200</v>
      </c>
      <c r="J1597" s="4">
        <v>6510363</v>
      </c>
      <c r="K1597" s="4">
        <f>IF(DatiOriginali!K1597 &gt;= SogliaPicchi!$B$17,"",DatiOriginali!K1597)</f>
        <v>107200</v>
      </c>
    </row>
    <row r="1598" spans="1:11" x14ac:dyDescent="0.3">
      <c r="A1598" s="4" t="s">
        <v>1607</v>
      </c>
      <c r="B1598" s="4">
        <v>319600</v>
      </c>
      <c r="C1598" s="4">
        <f>IF(DatiOriginali!C1598 &gt;= SogliaPicchi!$B$17,"",DatiOriginali!C1598)</f>
        <v>2521700</v>
      </c>
      <c r="D1598" s="4">
        <v>154870</v>
      </c>
      <c r="E1598" s="4">
        <f>IF(DatiOriginali!E1598 &gt;= SogliaPicchi!$B$17,"",DatiOriginali!E1598)</f>
        <v>548000</v>
      </c>
      <c r="F1598" s="4">
        <v>5235155</v>
      </c>
      <c r="G1598" s="4">
        <f>IF(DatiOriginali!G1598 &gt;= SogliaPicchi!$B$17,"",DatiOriginali!G1598)</f>
        <v>298200</v>
      </c>
      <c r="H1598" s="4">
        <v>6527922</v>
      </c>
      <c r="I1598" s="4">
        <f>IF(DatiOriginali!I1598 &gt;= SogliaPicchi!$B$17,"",DatiOriginali!I1598)</f>
        <v>133100</v>
      </c>
      <c r="J1598" s="4">
        <v>6519063</v>
      </c>
      <c r="K1598" s="4">
        <f>IF(DatiOriginali!K1598 &gt;= SogliaPicchi!$B$17,"",DatiOriginali!K1598)</f>
        <v>150000</v>
      </c>
    </row>
    <row r="1599" spans="1:11" x14ac:dyDescent="0.3">
      <c r="A1599" s="4" t="s">
        <v>1608</v>
      </c>
      <c r="B1599" s="4">
        <v>319600</v>
      </c>
      <c r="C1599" s="4">
        <f>IF(DatiOriginali!C1599 &gt;= SogliaPicchi!$B$17,"",DatiOriginali!C1599)</f>
        <v>2516600</v>
      </c>
      <c r="D1599" s="4">
        <v>161347</v>
      </c>
      <c r="E1599" s="4">
        <f>IF(DatiOriginali!E1599 &gt;= SogliaPicchi!$B$17,"",DatiOriginali!E1599)</f>
        <v>588500</v>
      </c>
      <c r="F1599" s="4">
        <v>5241906</v>
      </c>
      <c r="G1599" s="4">
        <f>IF(DatiOriginali!G1599 &gt;= SogliaPicchi!$B$17,"",DatiOriginali!G1599)</f>
        <v>287300</v>
      </c>
      <c r="H1599" s="4">
        <v>6535904</v>
      </c>
      <c r="I1599" s="4">
        <f>IF(DatiOriginali!I1599 &gt;= SogliaPicchi!$B$17,"",DatiOriginali!I1599)</f>
        <v>97700</v>
      </c>
      <c r="J1599" s="4">
        <v>6528448</v>
      </c>
      <c r="K1599" s="4">
        <f>IF(DatiOriginali!K1599 &gt;= SogliaPicchi!$B$17,"",DatiOriginali!K1599)</f>
        <v>110800</v>
      </c>
    </row>
    <row r="1600" spans="1:11" x14ac:dyDescent="0.3">
      <c r="A1600" s="4" t="s">
        <v>1609</v>
      </c>
      <c r="B1600" s="4">
        <v>319600</v>
      </c>
      <c r="C1600" s="4">
        <f>IF(DatiOriginali!C1600 &gt;= SogliaPicchi!$B$17,"",DatiOriginali!C1600)</f>
        <v>2328000</v>
      </c>
      <c r="D1600" s="4">
        <v>168546</v>
      </c>
      <c r="E1600" s="4">
        <f>IF(DatiOriginali!E1600 &gt;= SogliaPicchi!$B$17,"",DatiOriginali!E1600)</f>
        <v>583900</v>
      </c>
      <c r="F1600" s="4">
        <v>5248624</v>
      </c>
      <c r="G1600" s="4">
        <f>IF(DatiOriginali!G1600 &gt;= SogliaPicchi!$B$17,"",DatiOriginali!G1600)</f>
        <v>289000</v>
      </c>
      <c r="H1600" s="4">
        <v>6544026</v>
      </c>
      <c r="I1600" s="4">
        <f>IF(DatiOriginali!I1600 &gt;= SogliaPicchi!$B$17,"",DatiOriginali!I1600)</f>
        <v>97700</v>
      </c>
      <c r="J1600" s="4">
        <v>6536691</v>
      </c>
      <c r="K1600" s="4">
        <f>IF(DatiOriginali!K1600 &gt;= SogliaPicchi!$B$17,"",DatiOriginali!K1600)</f>
        <v>105400</v>
      </c>
    </row>
    <row r="1601" spans="1:11" x14ac:dyDescent="0.3">
      <c r="A1601" s="4" t="s">
        <v>1610</v>
      </c>
      <c r="B1601" s="4">
        <v>319600</v>
      </c>
      <c r="C1601" s="4">
        <f>IF(DatiOriginali!C1601 &gt;= SogliaPicchi!$B$17,"",DatiOriginali!C1601)</f>
        <v>2375900</v>
      </c>
      <c r="D1601" s="4">
        <v>159165</v>
      </c>
      <c r="E1601" s="4">
        <f>IF(DatiOriginali!E1601 &gt;= SogliaPicchi!$B$17,"",DatiOriginali!E1601)</f>
        <v>559000</v>
      </c>
      <c r="F1601" s="4">
        <v>5255341</v>
      </c>
      <c r="G1601" s="4">
        <f>IF(DatiOriginali!G1601 &gt;= SogliaPicchi!$B$18,"",DatiOriginali!G1601)</f>
        <v>296800</v>
      </c>
      <c r="H1601" s="4">
        <v>6552435</v>
      </c>
      <c r="I1601" s="4">
        <f>IF(DatiOriginali!I1601 &gt;= SogliaPicchi!$B$18,"",DatiOriginali!I1601)</f>
        <v>123100</v>
      </c>
      <c r="J1601" s="4">
        <v>6545951</v>
      </c>
      <c r="K1601" s="4">
        <f>IF(DatiOriginali!K1601 &gt;= SogliaPicchi!$B$18,"",DatiOriginali!K1601)</f>
        <v>145600</v>
      </c>
    </row>
    <row r="1602" spans="1:11" x14ac:dyDescent="0.3">
      <c r="A1602" s="4" t="s">
        <v>1611</v>
      </c>
      <c r="B1602" s="4">
        <v>360825</v>
      </c>
      <c r="C1602" s="4">
        <f>IF(DatiOriginali!C1602 &gt;= SogliaPicchi!$B$18,"",DatiOriginali!C1602)</f>
        <v>2911700</v>
      </c>
      <c r="D1602" s="4">
        <v>176996</v>
      </c>
      <c r="E1602" s="4">
        <f>IF(DatiOriginali!E1602 &gt;= SogliaPicchi!$B$18,"",DatiOriginali!E1602)</f>
        <v>613700</v>
      </c>
      <c r="F1602" s="4">
        <v>5262512</v>
      </c>
      <c r="G1602" s="4">
        <f>IF(DatiOriginali!G1602 &gt;= SogliaPicchi!$B$18,"",DatiOriginali!G1602)</f>
        <v>315000</v>
      </c>
      <c r="H1602" s="4">
        <v>6560817</v>
      </c>
      <c r="I1602" s="4">
        <f>IF(DatiOriginali!I1602 &gt;= SogliaPicchi!$B$18,"",DatiOriginali!I1602)</f>
        <v>105200</v>
      </c>
      <c r="J1602" s="4">
        <v>6554187</v>
      </c>
      <c r="K1602" s="4">
        <f>IF(DatiOriginali!K1602 &gt;= SogliaPicchi!$B$18,"",DatiOriginali!K1602)</f>
        <v>117500</v>
      </c>
    </row>
    <row r="1603" spans="1:11" x14ac:dyDescent="0.3">
      <c r="A1603" s="4" t="s">
        <v>1612</v>
      </c>
      <c r="B1603" s="4">
        <v>360825</v>
      </c>
      <c r="C1603" s="4">
        <f>IF(DatiOriginali!C1603 &gt;= SogliaPicchi!$B$18,"",DatiOriginali!C1603)</f>
        <v>2825700</v>
      </c>
      <c r="D1603" s="4">
        <v>175449</v>
      </c>
      <c r="E1603" s="4">
        <f>IF(DatiOriginali!E1603 &gt;= SogliaPicchi!$B$18,"",DatiOriginali!E1603)</f>
        <v>610200</v>
      </c>
      <c r="F1603" s="4">
        <v>5269744</v>
      </c>
      <c r="G1603" s="4">
        <f>IF(DatiOriginali!G1603 &gt;= SogliaPicchi!$B$18,"",DatiOriginali!G1603)</f>
        <v>307800</v>
      </c>
      <c r="H1603" s="4">
        <v>6569290</v>
      </c>
      <c r="I1603" s="4">
        <f>IF(DatiOriginali!I1603 &gt;= SogliaPicchi!$B$18,"",DatiOriginali!I1603)</f>
        <v>102800</v>
      </c>
      <c r="J1603" s="4">
        <v>6563051</v>
      </c>
      <c r="K1603" s="4">
        <f>IF(DatiOriginali!K1603 &gt;= SogliaPicchi!$B$18,"",DatiOriginali!K1603)</f>
        <v>111500</v>
      </c>
    </row>
    <row r="1604" spans="1:11" x14ac:dyDescent="0.3">
      <c r="A1604" s="4" t="s">
        <v>1613</v>
      </c>
      <c r="B1604" s="4">
        <v>360825</v>
      </c>
      <c r="C1604" s="4">
        <f>IF(DatiOriginali!C1604 &gt;= SogliaPicchi!$B$18,"",DatiOriginali!C1604)</f>
        <v>2924000</v>
      </c>
      <c r="D1604" s="4">
        <v>176960</v>
      </c>
      <c r="E1604" s="4">
        <f>IF(DatiOriginali!E1604 &gt;= SogliaPicchi!$B$18,"",DatiOriginali!E1604)</f>
        <v>637100</v>
      </c>
      <c r="F1604" s="4">
        <v>5276953</v>
      </c>
      <c r="G1604" s="4">
        <f>IF(DatiOriginali!G1604 &gt;= SogliaPicchi!$B$18,"",DatiOriginali!G1604)</f>
        <v>307500</v>
      </c>
      <c r="H1604" s="4">
        <v>6578453</v>
      </c>
      <c r="I1604" s="4">
        <f>IF(DatiOriginali!I1604 &gt;= SogliaPicchi!$B$18,"",DatiOriginali!I1604)</f>
        <v>103100</v>
      </c>
      <c r="J1604" s="4">
        <v>6571942</v>
      </c>
      <c r="K1604" s="4">
        <f>IF(DatiOriginali!K1604 &gt;= SogliaPicchi!$B$18,"",DatiOriginali!K1604)</f>
        <v>120900</v>
      </c>
    </row>
    <row r="1605" spans="1:11" x14ac:dyDescent="0.3">
      <c r="A1605" s="4" t="s">
        <v>1614</v>
      </c>
      <c r="B1605" s="4">
        <v>360825</v>
      </c>
      <c r="C1605" s="4">
        <f>IF(DatiOriginali!C1605 &gt;= SogliaPicchi!$B$18,"",DatiOriginali!C1605)</f>
        <v>2728700</v>
      </c>
      <c r="D1605" s="4">
        <v>181932</v>
      </c>
      <c r="E1605" s="4">
        <f>IF(DatiOriginali!E1605 &gt;= SogliaPicchi!$B$18,"",DatiOriginali!E1605)</f>
        <v>660100</v>
      </c>
      <c r="F1605" s="4">
        <v>5284183</v>
      </c>
      <c r="G1605" s="4">
        <f>IF(DatiOriginali!G1605 &gt;= SogliaPicchi!$B$18,"",DatiOriginali!G1605)</f>
        <v>313500</v>
      </c>
      <c r="H1605" s="4">
        <v>6588029</v>
      </c>
      <c r="I1605" s="4">
        <f>IF(DatiOriginali!I1605 &gt;= SogliaPicchi!$B$18,"",DatiOriginali!I1605)</f>
        <v>104800</v>
      </c>
      <c r="J1605" s="4">
        <v>6581658</v>
      </c>
      <c r="K1605" s="4">
        <f>IF(DatiOriginali!K1605 &gt;= SogliaPicchi!$B$18,"",DatiOriginali!K1605)</f>
        <v>120900</v>
      </c>
    </row>
    <row r="1606" spans="1:11" x14ac:dyDescent="0.3">
      <c r="A1606" s="4" t="s">
        <v>1615</v>
      </c>
      <c r="B1606" s="4">
        <v>360825</v>
      </c>
      <c r="C1606" s="4">
        <f>IF(DatiOriginali!C1606 &gt;= SogliaPicchi!$B$18,"",DatiOriginali!C1606)</f>
        <v>2967500</v>
      </c>
      <c r="D1606" s="4">
        <v>188351</v>
      </c>
      <c r="E1606" s="4">
        <f>IF(DatiOriginali!E1606 &gt;= SogliaPicchi!$B$18,"",DatiOriginali!E1606)</f>
        <v>651600</v>
      </c>
      <c r="F1606" s="4">
        <v>5291416</v>
      </c>
      <c r="G1606" s="4">
        <f>IF(DatiOriginali!G1606 &gt;= SogliaPicchi!$B$18,"",DatiOriginali!G1606)</f>
        <v>318100</v>
      </c>
      <c r="H1606" s="4">
        <v>6596882</v>
      </c>
      <c r="I1606" s="4">
        <f>IF(DatiOriginali!I1606 &gt;= SogliaPicchi!$B$18,"",DatiOriginali!I1606)</f>
        <v>105600</v>
      </c>
      <c r="J1606" s="4">
        <v>6590362</v>
      </c>
      <c r="K1606" s="4">
        <f>IF(DatiOriginali!K1606 &gt;= SogliaPicchi!$B$18,"",DatiOriginali!K1606)</f>
        <v>116400</v>
      </c>
    </row>
    <row r="1607" spans="1:11" x14ac:dyDescent="0.3">
      <c r="A1607" s="4" t="s">
        <v>1616</v>
      </c>
      <c r="B1607" s="4">
        <v>360825</v>
      </c>
      <c r="C1607" s="4">
        <f>IF(DatiOriginali!C1607 &gt;= SogliaPicchi!$B$18,"",DatiOriginali!C1607)</f>
        <v>2779400</v>
      </c>
      <c r="D1607" s="4">
        <v>174598</v>
      </c>
      <c r="E1607" s="4">
        <f>IF(DatiOriginali!E1607 &gt;= SogliaPicchi!$B$18,"",DatiOriginali!E1607)</f>
        <v>642900</v>
      </c>
      <c r="F1607" s="4">
        <v>5298602</v>
      </c>
      <c r="G1607" s="4">
        <f>IF(DatiOriginali!G1607 &gt;= SogliaPicchi!$B$18,"",DatiOriginali!G1607)</f>
        <v>312400</v>
      </c>
      <c r="H1607" s="4">
        <v>6605595</v>
      </c>
      <c r="I1607" s="4">
        <f>IF(DatiOriginali!I1607 &gt;= SogliaPicchi!$B$18,"",DatiOriginali!I1607)</f>
        <v>104800</v>
      </c>
      <c r="J1607" s="4">
        <v>6599383</v>
      </c>
      <c r="K1607" s="4">
        <f>IF(DatiOriginali!K1607 &gt;= SogliaPicchi!$B$18,"",DatiOriginali!K1607)</f>
        <v>115800</v>
      </c>
    </row>
    <row r="1608" spans="1:11" x14ac:dyDescent="0.3">
      <c r="A1608" s="4" t="s">
        <v>1617</v>
      </c>
      <c r="B1608" s="4">
        <v>360825</v>
      </c>
      <c r="C1608" s="4">
        <f>IF(DatiOriginali!C1608 &gt;= SogliaPicchi!$B$18,"",DatiOriginali!C1608)</f>
        <v>2881800</v>
      </c>
      <c r="D1608" s="4">
        <v>181367</v>
      </c>
      <c r="E1608" s="4">
        <f>IF(DatiOriginali!E1608 &gt;= SogliaPicchi!$B$18,"",DatiOriginali!E1608)</f>
        <v>867600</v>
      </c>
      <c r="F1608" s="4">
        <v>5305828</v>
      </c>
      <c r="G1608" s="4">
        <f>IF(DatiOriginali!G1608 &gt;= SogliaPicchi!$B$18,"",DatiOriginali!G1608)</f>
        <v>309500</v>
      </c>
      <c r="H1608" s="4">
        <v>6613989</v>
      </c>
      <c r="I1608" s="4">
        <f>IF(DatiOriginali!I1608 &gt;= SogliaPicchi!$B$18,"",DatiOriginali!I1608)</f>
        <v>102200</v>
      </c>
      <c r="J1608" s="4">
        <v>6608942</v>
      </c>
      <c r="K1608" s="4">
        <f>IF(DatiOriginali!K1608 &gt;= SogliaPicchi!$B$18,"",DatiOriginali!K1608)</f>
        <v>114600</v>
      </c>
    </row>
    <row r="1609" spans="1:11" x14ac:dyDescent="0.3">
      <c r="A1609" s="4" t="s">
        <v>1618</v>
      </c>
      <c r="B1609" s="4">
        <v>360825</v>
      </c>
      <c r="C1609" s="4">
        <f>IF(DatiOriginali!C1609 &gt;= SogliaPicchi!$B$18,"",DatiOriginali!C1609)</f>
        <v>2817600</v>
      </c>
      <c r="D1609" s="4">
        <v>177582</v>
      </c>
      <c r="E1609" s="4">
        <f>IF(DatiOriginali!E1609 &gt;= SogliaPicchi!$B$18,"",DatiOriginali!E1609)</f>
        <v>632300</v>
      </c>
      <c r="F1609" s="4">
        <v>5313034</v>
      </c>
      <c r="G1609" s="4">
        <f>IF(DatiOriginali!G1609 &gt;= SogliaPicchi!$B$18,"",DatiOriginali!G1609)</f>
        <v>311700</v>
      </c>
      <c r="H1609" s="4">
        <v>6623459</v>
      </c>
      <c r="I1609" s="4">
        <f>IF(DatiOriginali!I1609 &gt;= SogliaPicchi!$B$18,"",DatiOriginali!I1609)</f>
        <v>107200</v>
      </c>
      <c r="J1609" s="4">
        <v>6619332</v>
      </c>
      <c r="K1609" s="4">
        <f>IF(DatiOriginali!K1609 &gt;= SogliaPicchi!$B$18,"",DatiOriginali!K1609)</f>
        <v>116600</v>
      </c>
    </row>
    <row r="1610" spans="1:11" x14ac:dyDescent="0.3">
      <c r="A1610" s="4" t="s">
        <v>1619</v>
      </c>
      <c r="B1610" s="4">
        <v>360825</v>
      </c>
      <c r="C1610" s="4">
        <f>IF(DatiOriginali!C1610 &gt;= SogliaPicchi!$B$18,"",DatiOriginali!C1610)</f>
        <v>2935100</v>
      </c>
      <c r="D1610" s="4">
        <v>185628</v>
      </c>
      <c r="E1610" s="4">
        <f>IF(DatiOriginali!E1610 &gt;= SogliaPicchi!$B$18,"",DatiOriginali!E1610)</f>
        <v>643100</v>
      </c>
      <c r="F1610" s="4">
        <v>5320254</v>
      </c>
      <c r="G1610" s="4">
        <f>IF(DatiOriginali!G1610 &gt;= SogliaPicchi!$B$18,"",DatiOriginali!G1610)</f>
        <v>309400</v>
      </c>
      <c r="H1610" s="4">
        <v>6632568</v>
      </c>
      <c r="I1610" s="4">
        <f>IF(DatiOriginali!I1610 &gt;= SogliaPicchi!$B$18,"",DatiOriginali!I1610)</f>
        <v>102800</v>
      </c>
      <c r="J1610" s="4">
        <v>6627958</v>
      </c>
      <c r="K1610" s="4">
        <f>IF(DatiOriginali!K1610 &gt;= SogliaPicchi!$B$18,"",DatiOriginali!K1610)</f>
        <v>113100</v>
      </c>
    </row>
    <row r="1611" spans="1:11" x14ac:dyDescent="0.3">
      <c r="A1611" s="4" t="s">
        <v>1620</v>
      </c>
      <c r="B1611" s="4">
        <v>360825</v>
      </c>
      <c r="C1611" s="4">
        <f>IF(DatiOriginali!C1611 &gt;= SogliaPicchi!$B$18,"",DatiOriginali!C1611)</f>
        <v>2951300</v>
      </c>
      <c r="D1611" s="4">
        <v>175584</v>
      </c>
      <c r="E1611" s="4">
        <f>IF(DatiOriginali!E1611 &gt;= SogliaPicchi!$B$18,"",DatiOriginali!E1611)</f>
        <v>610600</v>
      </c>
      <c r="F1611" s="4">
        <v>5327477</v>
      </c>
      <c r="G1611" s="4">
        <f>IF(DatiOriginali!G1611 &gt;= SogliaPicchi!$B$18,"",DatiOriginali!G1611)</f>
        <v>309200</v>
      </c>
      <c r="H1611" s="4">
        <v>6641192</v>
      </c>
      <c r="I1611" s="4">
        <f>IF(DatiOriginali!I1611 &gt;= SogliaPicchi!$B$18,"",DatiOriginali!I1611)</f>
        <v>103700</v>
      </c>
      <c r="J1611" s="4">
        <v>6636625</v>
      </c>
      <c r="K1611" s="4">
        <f>IF(DatiOriginali!K1611 &gt;= SogliaPicchi!$B$18,"",DatiOriginali!K1611)</f>
        <v>116000</v>
      </c>
    </row>
    <row r="1612" spans="1:11" x14ac:dyDescent="0.3">
      <c r="A1612" s="4" t="s">
        <v>1621</v>
      </c>
      <c r="B1612" s="4">
        <v>360825</v>
      </c>
      <c r="C1612" s="4">
        <f>IF(DatiOriginali!C1612 &gt;= SogliaPicchi!$B$18,"",DatiOriginali!C1612)</f>
        <v>3096700</v>
      </c>
      <c r="D1612" s="4">
        <v>187066</v>
      </c>
      <c r="E1612" s="4">
        <f>IF(DatiOriginali!E1612 &gt;= SogliaPicchi!$B$18,"",DatiOriginali!E1612)</f>
        <v>671200</v>
      </c>
      <c r="F1612" s="4">
        <v>5334665</v>
      </c>
      <c r="G1612" s="4">
        <f>IF(DatiOriginali!G1612 &gt;= SogliaPicchi!$B$18,"",DatiOriginali!G1612)</f>
        <v>415600</v>
      </c>
      <c r="H1612" s="4">
        <v>6651719</v>
      </c>
      <c r="I1612" s="4">
        <f>IF(DatiOriginali!I1612 &gt;= SogliaPicchi!$B$18,"",DatiOriginali!I1612)</f>
        <v>142200</v>
      </c>
      <c r="J1612" s="4">
        <v>6645297</v>
      </c>
      <c r="K1612" s="4">
        <f>IF(DatiOriginali!K1612 &gt;= SogliaPicchi!$B$18,"",DatiOriginali!K1612)</f>
        <v>163800</v>
      </c>
    </row>
    <row r="1613" spans="1:11" x14ac:dyDescent="0.3">
      <c r="A1613" s="4" t="s">
        <v>1622</v>
      </c>
      <c r="B1613" s="4">
        <v>360825</v>
      </c>
      <c r="C1613" s="4">
        <f>IF(DatiOriginali!C1613 &gt;= SogliaPicchi!$B$18,"",DatiOriginali!C1613)</f>
        <v>2902100</v>
      </c>
      <c r="D1613" s="4">
        <v>184967</v>
      </c>
      <c r="E1613" s="4">
        <f>IF(DatiOriginali!E1613 &gt;= SogliaPicchi!$B$18,"",DatiOriginali!E1613)</f>
        <v>665200</v>
      </c>
      <c r="F1613" s="4">
        <v>5341858</v>
      </c>
      <c r="G1613" s="4">
        <f>IF(DatiOriginali!G1613 &gt;= SogliaPicchi!$B$18,"",DatiOriginali!G1613)</f>
        <v>316500</v>
      </c>
      <c r="H1613" s="4">
        <v>6660310</v>
      </c>
      <c r="I1613" s="4">
        <f>IF(DatiOriginali!I1613 &gt;= SogliaPicchi!$B$18,"",DatiOriginali!I1613)</f>
        <v>104900</v>
      </c>
      <c r="J1613" s="4">
        <v>6653927</v>
      </c>
      <c r="K1613" s="4">
        <f>IF(DatiOriginali!K1613 &gt;= SogliaPicchi!$B$18,"",DatiOriginali!K1613)</f>
        <v>118600</v>
      </c>
    </row>
    <row r="1614" spans="1:11" x14ac:dyDescent="0.3">
      <c r="A1614" s="4" t="s">
        <v>1623</v>
      </c>
      <c r="B1614" s="4">
        <v>360825</v>
      </c>
      <c r="C1614" s="4">
        <f>IF(DatiOriginali!C1614 &gt;= SogliaPicchi!$B$18,"",DatiOriginali!C1614)</f>
        <v>2890200</v>
      </c>
      <c r="D1614" s="4">
        <v>177968</v>
      </c>
      <c r="E1614" s="4">
        <f>IF(DatiOriginali!E1614 &gt;= SogliaPicchi!$B$18,"",DatiOriginali!E1614)</f>
        <v>645900</v>
      </c>
      <c r="F1614" s="4">
        <v>5349064</v>
      </c>
      <c r="G1614" s="4">
        <f>IF(DatiOriginali!G1614 &gt;= SogliaPicchi!$B$18,"",DatiOriginali!G1614)</f>
        <v>309900</v>
      </c>
      <c r="H1614" s="4">
        <v>6669183</v>
      </c>
      <c r="I1614" s="4">
        <f>IF(DatiOriginali!I1614 &gt;= SogliaPicchi!$B$18,"",DatiOriginali!I1614)</f>
        <v>104000</v>
      </c>
      <c r="J1614" s="4">
        <v>6662202</v>
      </c>
      <c r="K1614" s="4">
        <f>IF(DatiOriginali!K1614 &gt;= SogliaPicchi!$B$18,"",DatiOriginali!K1614)</f>
        <v>116900</v>
      </c>
    </row>
    <row r="1615" spans="1:11" x14ac:dyDescent="0.3">
      <c r="A1615" s="4" t="s">
        <v>1624</v>
      </c>
      <c r="B1615" s="4">
        <v>360825</v>
      </c>
      <c r="C1615" s="4">
        <f>IF(DatiOriginali!C1615 &gt;= SogliaPicchi!$B$18,"",DatiOriginali!C1615)</f>
        <v>3111300</v>
      </c>
      <c r="D1615" s="4">
        <v>175789</v>
      </c>
      <c r="E1615" s="4">
        <f>IF(DatiOriginali!E1615 &gt;= SogliaPicchi!$B$18,"",DatiOriginali!E1615)</f>
        <v>621300</v>
      </c>
      <c r="F1615" s="4">
        <v>5356292</v>
      </c>
      <c r="G1615" s="4">
        <f>IF(DatiOriginali!G1615 &gt;= SogliaPicchi!$B$18,"",DatiOriginali!G1615)</f>
        <v>314500</v>
      </c>
      <c r="H1615" s="4">
        <v>6678231</v>
      </c>
      <c r="I1615" s="4">
        <f>IF(DatiOriginali!I1615 &gt;= SogliaPicchi!$B$18,"",DatiOriginali!I1615)</f>
        <v>104200</v>
      </c>
      <c r="J1615" s="4">
        <v>6670974</v>
      </c>
      <c r="K1615" s="4">
        <f>IF(DatiOriginali!K1615 &gt;= SogliaPicchi!$B$18,"",DatiOriginali!K1615)</f>
        <v>115400</v>
      </c>
    </row>
    <row r="1616" spans="1:11" x14ac:dyDescent="0.3">
      <c r="A1616" s="4" t="s">
        <v>1625</v>
      </c>
      <c r="B1616" s="4">
        <v>360825</v>
      </c>
      <c r="C1616" s="4">
        <f>IF(DatiOriginali!C1616 &gt;= SogliaPicchi!$B$18,"",DatiOriginali!C1616)</f>
        <v>2956500</v>
      </c>
      <c r="D1616" s="4">
        <v>182285</v>
      </c>
      <c r="E1616" s="4">
        <f>IF(DatiOriginali!E1616 &gt;= SogliaPicchi!$B$18,"",DatiOriginali!E1616)</f>
        <v>707300</v>
      </c>
      <c r="F1616" s="4">
        <v>5363523</v>
      </c>
      <c r="G1616" s="4">
        <f>IF(DatiOriginali!G1616 &gt;= SogliaPicchi!$B$18,"",DatiOriginali!G1616)</f>
        <v>310200</v>
      </c>
      <c r="H1616" s="4">
        <v>6687228</v>
      </c>
      <c r="I1616" s="4">
        <f>IF(DatiOriginali!I1616 &gt;= SogliaPicchi!$B$18,"",DatiOriginali!I1616)</f>
        <v>103300</v>
      </c>
      <c r="J1616" s="4">
        <v>6679840</v>
      </c>
      <c r="K1616" s="4">
        <f>IF(DatiOriginali!K1616 &gt;= SogliaPicchi!$B$18,"",DatiOriginali!K1616)</f>
        <v>116700</v>
      </c>
    </row>
    <row r="1617" spans="1:11" x14ac:dyDescent="0.3">
      <c r="A1617" s="4" t="s">
        <v>1626</v>
      </c>
      <c r="B1617" s="4">
        <v>360825</v>
      </c>
      <c r="C1617" s="4">
        <f>IF(DatiOriginali!C1617 &gt;= SogliaPicchi!$B$18,"",DatiOriginali!C1617)</f>
        <v>3123700</v>
      </c>
      <c r="D1617" s="4">
        <v>174470</v>
      </c>
      <c r="E1617" s="4">
        <f>IF(DatiOriginali!E1617 &gt;= SogliaPicchi!$B$18,"",DatiOriginali!E1617)</f>
        <v>609300</v>
      </c>
      <c r="F1617" s="4">
        <v>5370714</v>
      </c>
      <c r="G1617" s="4">
        <f>IF(DatiOriginali!G1617 &gt;= SogliaPicchi!$B$18,"",DatiOriginali!G1617)</f>
        <v>315200</v>
      </c>
      <c r="H1617" s="4">
        <v>6696395</v>
      </c>
      <c r="I1617" s="4">
        <f>IF(DatiOriginali!I1617 &gt;= SogliaPicchi!$B$18,"",DatiOriginali!I1617)</f>
        <v>104500</v>
      </c>
      <c r="J1617" s="4">
        <v>6689466</v>
      </c>
      <c r="K1617" s="4">
        <f>IF(DatiOriginali!K1617 &gt;= SogliaPicchi!$B$18,"",DatiOriginali!K1617)</f>
        <v>114700</v>
      </c>
    </row>
    <row r="1618" spans="1:11" x14ac:dyDescent="0.3">
      <c r="A1618" s="4" t="s">
        <v>1627</v>
      </c>
      <c r="B1618" s="4">
        <v>360825</v>
      </c>
      <c r="C1618" s="4">
        <f>IF(DatiOriginali!C1618 &gt;= SogliaPicchi!$B$18,"",DatiOriginali!C1618)</f>
        <v>2826000</v>
      </c>
      <c r="D1618" s="4">
        <v>180548</v>
      </c>
      <c r="E1618" s="4">
        <f>IF(DatiOriginali!E1618 &gt;= SogliaPicchi!$B$18,"",DatiOriginali!E1618)</f>
        <v>630600</v>
      </c>
      <c r="F1618" s="4">
        <v>5377954</v>
      </c>
      <c r="G1618" s="4">
        <f>IF(DatiOriginali!G1618 &gt;= SogliaPicchi!$B$18,"",DatiOriginali!G1618)</f>
        <v>311500</v>
      </c>
      <c r="H1618" s="4">
        <v>6705293</v>
      </c>
      <c r="I1618" s="4">
        <f>IF(DatiOriginali!I1618 &gt;= SogliaPicchi!$B$18,"",DatiOriginali!I1618)</f>
        <v>109000</v>
      </c>
      <c r="J1618" s="4">
        <v>6698948</v>
      </c>
      <c r="K1618" s="4">
        <f>IF(DatiOriginali!K1618 &gt;= SogliaPicchi!$B$18,"",DatiOriginali!K1618)</f>
        <v>120400</v>
      </c>
    </row>
    <row r="1619" spans="1:11" x14ac:dyDescent="0.3">
      <c r="A1619" s="4" t="s">
        <v>1628</v>
      </c>
      <c r="B1619" s="4">
        <v>360825</v>
      </c>
      <c r="C1619" s="4">
        <f>IF(DatiOriginali!C1619 &gt;= SogliaPicchi!$B$18,"",DatiOriginali!C1619)</f>
        <v>3364100</v>
      </c>
      <c r="D1619" s="4">
        <v>181662</v>
      </c>
      <c r="E1619" s="4">
        <f>IF(DatiOriginali!E1619 &gt;= SogliaPicchi!$B$18,"",DatiOriginali!E1619)</f>
        <v>648800</v>
      </c>
      <c r="F1619" s="4">
        <v>5385146</v>
      </c>
      <c r="G1619" s="4">
        <f>IF(DatiOriginali!G1619 &gt;= SogliaPicchi!$B$18,"",DatiOriginali!G1619)</f>
        <v>309800</v>
      </c>
      <c r="H1619" s="4">
        <v>6714417</v>
      </c>
      <c r="I1619" s="4">
        <f>IF(DatiOriginali!I1619 &gt;= SogliaPicchi!$B$18,"",DatiOriginali!I1619)</f>
        <v>110800</v>
      </c>
      <c r="J1619" s="4">
        <v>6707767</v>
      </c>
      <c r="K1619" s="4">
        <f>IF(DatiOriginali!K1619 &gt;= SogliaPicchi!$B$18,"",DatiOriginali!K1619)</f>
        <v>116800</v>
      </c>
    </row>
    <row r="1620" spans="1:11" x14ac:dyDescent="0.3">
      <c r="A1620" s="4" t="s">
        <v>1629</v>
      </c>
      <c r="B1620" s="4">
        <v>360825</v>
      </c>
      <c r="C1620" s="4">
        <f>IF(DatiOriginali!C1620 &gt;= SogliaPicchi!$B$18,"",DatiOriginali!C1620)</f>
        <v>3085200</v>
      </c>
      <c r="D1620" s="4">
        <v>180379</v>
      </c>
      <c r="E1620" s="4">
        <f>IF(DatiOriginali!E1620 &gt;= SogliaPicchi!$B$18,"",DatiOriginali!E1620)</f>
        <v>623900</v>
      </c>
      <c r="F1620" s="4">
        <v>5392356</v>
      </c>
      <c r="G1620" s="4">
        <f>IF(DatiOriginali!G1620 &gt;= SogliaPicchi!$B$18,"",DatiOriginali!G1620)</f>
        <v>321100</v>
      </c>
      <c r="H1620" s="4">
        <v>6722498</v>
      </c>
      <c r="I1620" s="4">
        <f>IF(DatiOriginali!I1620 &gt;= SogliaPicchi!$B$18,"",DatiOriginali!I1620)</f>
        <v>106000</v>
      </c>
      <c r="J1620" s="4">
        <v>6716540</v>
      </c>
      <c r="K1620" s="4">
        <f>IF(DatiOriginali!K1620 &gt;= SogliaPicchi!$B$18,"",DatiOriginali!K1620)</f>
        <v>114500</v>
      </c>
    </row>
    <row r="1621" spans="1:11" x14ac:dyDescent="0.3">
      <c r="A1621" s="4" t="s">
        <v>1630</v>
      </c>
      <c r="B1621" s="4">
        <v>360825</v>
      </c>
      <c r="C1621" s="4">
        <f>IF(DatiOriginali!C1621 &gt;= SogliaPicchi!$B$18,"",DatiOriginali!C1621)</f>
        <v>2907100</v>
      </c>
      <c r="D1621" s="4">
        <v>182938</v>
      </c>
      <c r="E1621" s="4">
        <f>IF(DatiOriginali!E1621 &gt;= SogliaPicchi!$B$18,"",DatiOriginali!E1621)</f>
        <v>632200</v>
      </c>
      <c r="F1621" s="4">
        <v>5399584</v>
      </c>
      <c r="G1621" s="4">
        <f>IF(DatiOriginali!G1621 &gt;= SogliaPicchi!$B$18,"",DatiOriginali!G1621)</f>
        <v>312200</v>
      </c>
      <c r="H1621" s="4">
        <v>6731295</v>
      </c>
      <c r="I1621" s="4">
        <f>IF(DatiOriginali!I1621 &gt;= SogliaPicchi!$B$18,"",DatiOriginali!I1621)</f>
        <v>107900</v>
      </c>
      <c r="J1621" s="4">
        <v>6725148</v>
      </c>
      <c r="K1621" s="4">
        <f>IF(DatiOriginali!K1621 &gt;= SogliaPicchi!$B$18,"",DatiOriginali!K1621)</f>
        <v>146100</v>
      </c>
    </row>
    <row r="1622" spans="1:11" x14ac:dyDescent="0.3">
      <c r="A1622" s="4" t="s">
        <v>1631</v>
      </c>
      <c r="B1622" s="4">
        <v>360825</v>
      </c>
      <c r="C1622" s="4">
        <f>IF(DatiOriginali!C1622 &gt;= SogliaPicchi!$B$18,"",DatiOriginali!C1622)</f>
        <v>2786300</v>
      </c>
      <c r="D1622" s="4">
        <v>180112</v>
      </c>
      <c r="E1622" s="4">
        <f>IF(DatiOriginali!E1622 &gt;= SogliaPicchi!$B$18,"",DatiOriginali!E1622)</f>
        <v>622500</v>
      </c>
      <c r="F1622" s="4">
        <v>5406811</v>
      </c>
      <c r="G1622" s="4">
        <f>IF(DatiOriginali!G1622 &gt;= SogliaPicchi!$B$18,"",DatiOriginali!G1622)</f>
        <v>309900</v>
      </c>
      <c r="H1622" s="4">
        <v>6740312</v>
      </c>
      <c r="I1622" s="4">
        <f>IF(DatiOriginali!I1622 &gt;= SogliaPicchi!$B$18,"",DatiOriginali!I1622)</f>
        <v>107700</v>
      </c>
      <c r="J1622" s="4">
        <v>6733926</v>
      </c>
      <c r="K1622" s="4">
        <f>IF(DatiOriginali!K1622 &gt;= SogliaPicchi!$B$18,"",DatiOriginali!K1622)</f>
        <v>114300</v>
      </c>
    </row>
    <row r="1623" spans="1:11" x14ac:dyDescent="0.3">
      <c r="A1623" s="4" t="s">
        <v>1632</v>
      </c>
      <c r="B1623" s="4">
        <v>360825</v>
      </c>
      <c r="C1623" s="4">
        <f>IF(DatiOriginali!C1623 &gt;= SogliaPicchi!$B$18,"",DatiOriginali!C1623)</f>
        <v>2987800</v>
      </c>
      <c r="D1623" s="4">
        <v>182123</v>
      </c>
      <c r="E1623" s="4">
        <f>IF(DatiOriginali!E1623 &gt;= SogliaPicchi!$B$18,"",DatiOriginali!E1623)</f>
        <v>643500</v>
      </c>
      <c r="F1623" s="4">
        <v>5413996</v>
      </c>
      <c r="G1623" s="4">
        <f>IF(DatiOriginali!G1623 &gt;= SogliaPicchi!$B$18,"",DatiOriginali!G1623)</f>
        <v>317300</v>
      </c>
      <c r="H1623" s="4">
        <v>6749995</v>
      </c>
      <c r="I1623" s="4">
        <f>IF(DatiOriginali!I1623 &gt;= SogliaPicchi!$B$18,"",DatiOriginali!I1623)</f>
        <v>107300</v>
      </c>
      <c r="J1623" s="4">
        <v>6743264</v>
      </c>
      <c r="K1623" s="4">
        <f>IF(DatiOriginali!K1623 &gt;= SogliaPicchi!$B$18,"",DatiOriginali!K1623)</f>
        <v>120300</v>
      </c>
    </row>
    <row r="1624" spans="1:11" x14ac:dyDescent="0.3">
      <c r="A1624" s="4" t="s">
        <v>1633</v>
      </c>
      <c r="B1624" s="4">
        <v>360825</v>
      </c>
      <c r="C1624" s="4">
        <f>IF(DatiOriginali!C1624 &gt;= SogliaPicchi!$B$18,"",DatiOriginali!C1624)</f>
        <v>3060900</v>
      </c>
      <c r="D1624" s="4">
        <v>182999</v>
      </c>
      <c r="E1624" s="4">
        <f>IF(DatiOriginali!E1624 &gt;= SogliaPicchi!$B$18,"",DatiOriginali!E1624)</f>
        <v>633200</v>
      </c>
      <c r="F1624" s="4">
        <v>5421194</v>
      </c>
      <c r="G1624" s="4">
        <f>IF(DatiOriginali!G1624 &gt;= SogliaPicchi!$B$18,"",DatiOriginali!G1624)</f>
        <v>310600</v>
      </c>
      <c r="H1624" s="4">
        <v>6758791</v>
      </c>
      <c r="I1624" s="4">
        <f>IF(DatiOriginali!I1624 &gt;= SogliaPicchi!$B$18,"",DatiOriginali!I1624)</f>
        <v>104400</v>
      </c>
      <c r="J1624" s="4">
        <v>6752023</v>
      </c>
      <c r="K1624" s="4">
        <f>IF(DatiOriginali!K1624 &gt;= SogliaPicchi!$B$18,"",DatiOriginali!K1624)</f>
        <v>116600</v>
      </c>
    </row>
    <row r="1625" spans="1:11" x14ac:dyDescent="0.3">
      <c r="A1625" s="4" t="s">
        <v>1634</v>
      </c>
      <c r="B1625" s="4">
        <v>360825</v>
      </c>
      <c r="C1625" s="4">
        <f>IF(DatiOriginali!C1625 &gt;= SogliaPicchi!$B$18,"",DatiOriginali!C1625)</f>
        <v>3056700</v>
      </c>
      <c r="D1625" s="4">
        <v>180597</v>
      </c>
      <c r="E1625" s="4">
        <f>IF(DatiOriginali!E1625 &gt;= SogliaPicchi!$B$18,"",DatiOriginali!E1625)</f>
        <v>624700</v>
      </c>
      <c r="F1625" s="4">
        <v>5428423</v>
      </c>
      <c r="G1625" s="4">
        <f>IF(DatiOriginali!G1625 &gt;= SogliaPicchi!$B$18,"",DatiOriginali!G1625)</f>
        <v>308400</v>
      </c>
      <c r="H1625" s="4">
        <v>6769008</v>
      </c>
      <c r="I1625" s="4">
        <f>IF(DatiOriginali!I1625 &gt;= SogliaPicchi!$B$18,"",DatiOriginali!I1625)</f>
        <v>126500</v>
      </c>
      <c r="J1625" s="4">
        <v>6761604</v>
      </c>
      <c r="K1625" s="4">
        <f>IF(DatiOriginali!K1625 &gt;= SogliaPicchi!$B$18,"",DatiOriginali!K1625)</f>
        <v>119800</v>
      </c>
    </row>
    <row r="1626" spans="1:11" x14ac:dyDescent="0.3">
      <c r="A1626" s="4" t="s">
        <v>1635</v>
      </c>
      <c r="B1626" s="4">
        <v>360825</v>
      </c>
      <c r="C1626" s="4">
        <f>IF(DatiOriginali!C1626 &gt;= SogliaPicchi!$B$18,"",DatiOriginali!C1626)</f>
        <v>2763500</v>
      </c>
      <c r="D1626" s="4">
        <v>182792</v>
      </c>
      <c r="E1626" s="4">
        <f>IF(DatiOriginali!E1626 &gt;= SogliaPicchi!$B$18,"",DatiOriginali!E1626)</f>
        <v>632700</v>
      </c>
      <c r="F1626" s="4">
        <v>5435633</v>
      </c>
      <c r="G1626" s="4">
        <f>IF(DatiOriginali!G1626 &gt;= SogliaPicchi!$B$18,"",DatiOriginali!G1626)</f>
        <v>314000</v>
      </c>
      <c r="H1626" s="4">
        <v>6777996</v>
      </c>
      <c r="I1626" s="4">
        <f>IF(DatiOriginali!I1626 &gt;= SogliaPicchi!$B$18,"",DatiOriginali!I1626)</f>
        <v>104700</v>
      </c>
      <c r="J1626" s="4">
        <v>6770858</v>
      </c>
      <c r="K1626" s="4">
        <f>IF(DatiOriginali!K1626 &gt;= SogliaPicchi!$B$18,"",DatiOriginali!K1626)</f>
        <v>117600</v>
      </c>
    </row>
    <row r="1627" spans="1:11" x14ac:dyDescent="0.3">
      <c r="A1627" s="4" t="s">
        <v>1636</v>
      </c>
      <c r="B1627" s="4">
        <v>360825</v>
      </c>
      <c r="C1627" s="4">
        <f>IF(DatiOriginali!C1627 &gt;= SogliaPicchi!$B$18,"",DatiOriginali!C1627)</f>
        <v>2768000</v>
      </c>
      <c r="D1627" s="4">
        <v>179815</v>
      </c>
      <c r="E1627" s="4">
        <f>IF(DatiOriginali!E1627 &gt;= SogliaPicchi!$B$18,"",DatiOriginali!E1627)</f>
        <v>626600</v>
      </c>
      <c r="F1627" s="4">
        <v>5442835</v>
      </c>
      <c r="G1627" s="4">
        <f>IF(DatiOriginali!G1627 &gt;= SogliaPicchi!$B$18,"",DatiOriginali!G1627)</f>
        <v>322700</v>
      </c>
      <c r="H1627" s="4">
        <v>6787683</v>
      </c>
      <c r="I1627" s="4">
        <f>IF(DatiOriginali!I1627 &gt;= SogliaPicchi!$B$18,"",DatiOriginali!I1627)</f>
        <v>104900</v>
      </c>
      <c r="J1627" s="4">
        <v>6779657</v>
      </c>
      <c r="K1627" s="4">
        <f>IF(DatiOriginali!K1627 &gt;= SogliaPicchi!$B$18,"",DatiOriginali!K1627)</f>
        <v>115400</v>
      </c>
    </row>
    <row r="1628" spans="1:11" x14ac:dyDescent="0.3">
      <c r="A1628" s="4" t="s">
        <v>1637</v>
      </c>
      <c r="B1628" s="4">
        <v>360825</v>
      </c>
      <c r="C1628" s="4">
        <f>IF(DatiOriginali!C1628 &gt;= SogliaPicchi!$B$18,"",DatiOriginali!C1628)</f>
        <v>2790500</v>
      </c>
      <c r="D1628" s="4">
        <v>187759</v>
      </c>
      <c r="E1628" s="4">
        <f>IF(DatiOriginali!E1628 &gt;= SogliaPicchi!$B$18,"",DatiOriginali!E1628)</f>
        <v>649200</v>
      </c>
      <c r="F1628" s="4">
        <v>5450078</v>
      </c>
      <c r="G1628" s="4">
        <f>IF(DatiOriginali!G1628 &gt;= SogliaPicchi!$B$18,"",DatiOriginali!G1628)</f>
        <v>311400</v>
      </c>
      <c r="H1628" s="4">
        <v>6797515</v>
      </c>
      <c r="I1628" s="4">
        <f>IF(DatiOriginali!I1628 &gt;= SogliaPicchi!$B$18,"",DatiOriginali!I1628)</f>
        <v>108000</v>
      </c>
      <c r="J1628" s="4">
        <v>6788443</v>
      </c>
      <c r="K1628" s="4">
        <f>IF(DatiOriginali!K1628 &gt;= SogliaPicchi!$B$18,"",DatiOriginali!K1628)</f>
        <v>116000</v>
      </c>
    </row>
    <row r="1629" spans="1:11" x14ac:dyDescent="0.3">
      <c r="A1629" s="4" t="s">
        <v>1638</v>
      </c>
      <c r="B1629" s="4">
        <v>360825</v>
      </c>
      <c r="C1629" s="4">
        <f>IF(DatiOriginali!C1629 &gt;= SogliaPicchi!$B$18,"",DatiOriginali!C1629)</f>
        <v>3103800</v>
      </c>
      <c r="D1629" s="4">
        <v>188371</v>
      </c>
      <c r="E1629" s="4">
        <f>IF(DatiOriginali!E1629 &gt;= SogliaPicchi!$B$18,"",DatiOriginali!E1629)</f>
        <v>873900</v>
      </c>
      <c r="F1629" s="4">
        <v>5457299</v>
      </c>
      <c r="G1629" s="4">
        <f>IF(DatiOriginali!G1629 &gt;= SogliaPicchi!$B$18,"",DatiOriginali!G1629)</f>
        <v>382800</v>
      </c>
      <c r="H1629" s="4">
        <v>6807310</v>
      </c>
      <c r="I1629" s="4">
        <f>IF(DatiOriginali!I1629 &gt;= SogliaPicchi!$B$18,"",DatiOriginali!I1629)</f>
        <v>132000</v>
      </c>
      <c r="J1629" s="4">
        <v>6797218</v>
      </c>
      <c r="K1629" s="4">
        <f>IF(DatiOriginali!K1629 &gt;= SogliaPicchi!$B$18,"",DatiOriginali!K1629)</f>
        <v>145000</v>
      </c>
    </row>
    <row r="1630" spans="1:11" x14ac:dyDescent="0.3">
      <c r="A1630" s="4" t="s">
        <v>1639</v>
      </c>
      <c r="B1630" s="4">
        <v>360825</v>
      </c>
      <c r="C1630" s="4">
        <f>IF(DatiOriginali!C1630 &gt;= SogliaPicchi!$B$18,"",DatiOriginali!C1630)</f>
        <v>2795900</v>
      </c>
      <c r="D1630" s="4">
        <v>182824</v>
      </c>
      <c r="E1630" s="4">
        <f>IF(DatiOriginali!E1630 &gt;= SogliaPicchi!$B$18,"",DatiOriginali!E1630)</f>
        <v>640900</v>
      </c>
      <c r="F1630" s="4">
        <v>5464521</v>
      </c>
      <c r="G1630" s="4">
        <f>IF(DatiOriginali!G1630 &gt;= SogliaPicchi!$B$18,"",DatiOriginali!G1630)</f>
        <v>330200</v>
      </c>
      <c r="H1630" s="4">
        <v>6815630</v>
      </c>
      <c r="I1630" s="4">
        <f>IF(DatiOriginali!I1630 &gt;= SogliaPicchi!$B$18,"",DatiOriginali!I1630)</f>
        <v>105500</v>
      </c>
      <c r="J1630" s="4">
        <v>6806855</v>
      </c>
      <c r="K1630" s="4">
        <f>IF(DatiOriginali!K1630 &gt;= SogliaPicchi!$B$18,"",DatiOriginali!K1630)</f>
        <v>115300</v>
      </c>
    </row>
    <row r="1631" spans="1:11" x14ac:dyDescent="0.3">
      <c r="A1631" s="4" t="s">
        <v>1640</v>
      </c>
      <c r="B1631" s="4">
        <v>360825</v>
      </c>
      <c r="C1631" s="4">
        <f>IF(DatiOriginali!C1631 &gt;= SogliaPicchi!$B$18,"",DatiOriginali!C1631)</f>
        <v>3241800</v>
      </c>
      <c r="D1631" s="4">
        <v>182856</v>
      </c>
      <c r="E1631" s="4">
        <f>IF(DatiOriginali!E1631 &gt;= SogliaPicchi!$B$18,"",DatiOriginali!E1631)</f>
        <v>663400</v>
      </c>
      <c r="F1631" s="4">
        <v>5471733</v>
      </c>
      <c r="G1631" s="4">
        <f>IF(DatiOriginali!G1631 &gt;= SogliaPicchi!$B$18,"",DatiOriginali!G1631)</f>
        <v>309500</v>
      </c>
      <c r="H1631" s="4">
        <v>6825186</v>
      </c>
      <c r="I1631" s="4">
        <f>IF(DatiOriginali!I1631 &gt;= SogliaPicchi!$B$18,"",DatiOriginali!I1631)</f>
        <v>109700</v>
      </c>
      <c r="J1631" s="4">
        <v>6815952</v>
      </c>
      <c r="K1631" s="4">
        <f>IF(DatiOriginali!K1631 &gt;= SogliaPicchi!$B$18,"",DatiOriginali!K1631)</f>
        <v>116200</v>
      </c>
    </row>
    <row r="1632" spans="1:11" x14ac:dyDescent="0.3">
      <c r="A1632" s="4" t="s">
        <v>1641</v>
      </c>
      <c r="B1632" s="4">
        <v>360825</v>
      </c>
      <c r="C1632" s="4">
        <f>IF(DatiOriginali!C1632 &gt;= SogliaPicchi!$B$18,"",DatiOriginali!C1632)</f>
        <v>3154000</v>
      </c>
      <c r="D1632" s="4">
        <v>181919</v>
      </c>
      <c r="E1632" s="4">
        <f>IF(DatiOriginali!E1632 &gt;= SogliaPicchi!$B$18,"",DatiOriginali!E1632)</f>
        <v>631400</v>
      </c>
      <c r="F1632" s="4">
        <v>5478932</v>
      </c>
      <c r="G1632" s="4">
        <f>IF(DatiOriginali!G1632 &gt;= SogliaPicchi!$B$18,"",DatiOriginali!G1632)</f>
        <v>316400</v>
      </c>
      <c r="H1632" s="4">
        <v>6834894</v>
      </c>
      <c r="I1632" s="4">
        <f>IF(DatiOriginali!I1632 &gt;= SogliaPicchi!$B$18,"",DatiOriginali!I1632)</f>
        <v>105100</v>
      </c>
      <c r="J1632" s="4">
        <v>6825078</v>
      </c>
      <c r="K1632" s="4">
        <f>IF(DatiOriginali!K1632 &gt;= SogliaPicchi!$B$18,"",DatiOriginali!K1632)</f>
        <v>115700</v>
      </c>
    </row>
    <row r="1633" spans="1:11" x14ac:dyDescent="0.3">
      <c r="A1633" s="4" t="s">
        <v>1642</v>
      </c>
      <c r="B1633" s="4">
        <v>360825</v>
      </c>
      <c r="C1633" s="4">
        <f>IF(DatiOriginali!C1633 &gt;= SogliaPicchi!$B$18,"",DatiOriginali!C1633)</f>
        <v>3052600</v>
      </c>
      <c r="D1633" s="4">
        <v>179343</v>
      </c>
      <c r="E1633" s="4">
        <f>IF(DatiOriginali!E1633 &gt;= SogliaPicchi!$B$18,"",DatiOriginali!E1633)</f>
        <v>1014300</v>
      </c>
      <c r="F1633" s="4">
        <v>5486125</v>
      </c>
      <c r="G1633" s="4">
        <f>IF(DatiOriginali!G1633 &gt;= SogliaPicchi!$B$18,"",DatiOriginali!G1633)</f>
        <v>314900</v>
      </c>
      <c r="H1633" s="4">
        <v>6843933</v>
      </c>
      <c r="I1633" s="4">
        <f>IF(DatiOriginali!I1633 &gt;= SogliaPicchi!$B$18,"",DatiOriginali!I1633)</f>
        <v>106100</v>
      </c>
      <c r="J1633" s="4">
        <v>6834944</v>
      </c>
      <c r="K1633" s="4">
        <f>IF(DatiOriginali!K1633 &gt;= SogliaPicchi!$B$18,"",DatiOriginali!K1633)</f>
        <v>121200</v>
      </c>
    </row>
    <row r="1634" spans="1:11" x14ac:dyDescent="0.3">
      <c r="A1634" s="4" t="s">
        <v>1643</v>
      </c>
      <c r="B1634" s="4">
        <v>360825</v>
      </c>
      <c r="C1634" s="4">
        <f>IF(DatiOriginali!C1634 &gt;= SogliaPicchi!$B$18,"",DatiOriginali!C1634)</f>
        <v>3531100</v>
      </c>
      <c r="D1634" s="4">
        <v>179886</v>
      </c>
      <c r="E1634" s="4">
        <f>IF(DatiOriginali!E1634 &gt;= SogliaPicchi!$B$18,"",DatiOriginali!E1634)</f>
        <v>637600</v>
      </c>
      <c r="F1634" s="4">
        <v>5493352</v>
      </c>
      <c r="G1634" s="4">
        <f>IF(DatiOriginali!G1634 &gt;= SogliaPicchi!$B$18,"",DatiOriginali!G1634)</f>
        <v>315100</v>
      </c>
      <c r="H1634" s="4">
        <v>6852246</v>
      </c>
      <c r="I1634" s="4">
        <f>IF(DatiOriginali!I1634 &gt;= SogliaPicchi!$B$18,"",DatiOriginali!I1634)</f>
        <v>105500</v>
      </c>
      <c r="J1634" s="4">
        <v>6843766</v>
      </c>
      <c r="K1634" s="4">
        <f>IF(DatiOriginali!K1634 &gt;= SogliaPicchi!$B$18,"",DatiOriginali!K1634)</f>
        <v>117000</v>
      </c>
    </row>
    <row r="1635" spans="1:11" x14ac:dyDescent="0.3">
      <c r="A1635" s="4" t="s">
        <v>1644</v>
      </c>
      <c r="B1635" s="4">
        <v>360825</v>
      </c>
      <c r="C1635" s="4">
        <f>IF(DatiOriginali!C1635 &gt;= SogliaPicchi!$B$18,"",DatiOriginali!C1635)</f>
        <v>3321300</v>
      </c>
      <c r="D1635" s="4">
        <v>175576</v>
      </c>
      <c r="E1635" s="4">
        <f>IF(DatiOriginali!E1635 &gt;= SogliaPicchi!$B$18,"",DatiOriginali!E1635)</f>
        <v>612700</v>
      </c>
      <c r="F1635" s="4">
        <v>5500581</v>
      </c>
      <c r="G1635" s="4">
        <f>IF(DatiOriginali!G1635 &gt;= SogliaPicchi!$B$18,"",DatiOriginali!G1635)</f>
        <v>317900</v>
      </c>
      <c r="H1635" s="4">
        <v>6860805</v>
      </c>
      <c r="I1635" s="4">
        <f>IF(DatiOriginali!I1635 &gt;= SogliaPicchi!$B$18,"",DatiOriginali!I1635)</f>
        <v>106400</v>
      </c>
      <c r="J1635" s="4">
        <v>6853288</v>
      </c>
      <c r="K1635" s="4">
        <f>IF(DatiOriginali!K1635 &gt;= SogliaPicchi!$B$18,"",DatiOriginali!K1635)</f>
        <v>117700</v>
      </c>
    </row>
    <row r="1636" spans="1:11" x14ac:dyDescent="0.3">
      <c r="A1636" s="4" t="s">
        <v>1645</v>
      </c>
      <c r="B1636" s="4">
        <v>360825</v>
      </c>
      <c r="C1636" s="4">
        <f>IF(DatiOriginali!C1636 &gt;= SogliaPicchi!$B$18,"",DatiOriginali!C1636)</f>
        <v>3313000</v>
      </c>
      <c r="D1636" s="4">
        <v>179429</v>
      </c>
      <c r="E1636" s="4">
        <f>IF(DatiOriginali!E1636 &gt;= SogliaPicchi!$B$18,"",DatiOriginali!E1636)</f>
        <v>627400</v>
      </c>
      <c r="F1636" s="4">
        <v>5507766</v>
      </c>
      <c r="G1636" s="4">
        <f>IF(DatiOriginali!G1636 &gt;= SogliaPicchi!$B$18,"",DatiOriginali!G1636)</f>
        <v>341100</v>
      </c>
      <c r="H1636" s="4">
        <v>6870223</v>
      </c>
      <c r="I1636" s="4">
        <f>IF(DatiOriginali!I1636 &gt;= SogliaPicchi!$B$18,"",DatiOriginali!I1636)</f>
        <v>103900</v>
      </c>
      <c r="J1636" s="4">
        <v>6862526</v>
      </c>
      <c r="K1636" s="4">
        <f>IF(DatiOriginali!K1636 &gt;= SogliaPicchi!$B$18,"",DatiOriginali!K1636)</f>
        <v>119700</v>
      </c>
    </row>
    <row r="1637" spans="1:11" x14ac:dyDescent="0.3">
      <c r="A1637" s="4" t="s">
        <v>1646</v>
      </c>
      <c r="B1637" s="4">
        <v>360825</v>
      </c>
      <c r="C1637" s="4">
        <f>IF(DatiOriginali!C1637 &gt;= SogliaPicchi!$B$18,"",DatiOriginali!C1637)</f>
        <v>2793600</v>
      </c>
      <c r="D1637" s="4">
        <v>183573</v>
      </c>
      <c r="E1637" s="4">
        <f>IF(DatiOriginali!E1637 &gt;= SogliaPicchi!$B$18,"",DatiOriginali!E1637)</f>
        <v>637700</v>
      </c>
      <c r="F1637" s="4">
        <v>5514984</v>
      </c>
      <c r="G1637" s="4">
        <f>IF(DatiOriginali!G1637 &gt;= SogliaPicchi!$B$18,"",DatiOriginali!G1637)</f>
        <v>310200</v>
      </c>
      <c r="H1637" s="4">
        <v>6879504</v>
      </c>
      <c r="I1637" s="4">
        <f>IF(DatiOriginali!I1637 &gt;= SogliaPicchi!$B$18,"",DatiOriginali!I1637)</f>
        <v>109300</v>
      </c>
      <c r="J1637" s="4">
        <v>6871628</v>
      </c>
      <c r="K1637" s="4">
        <f>IF(DatiOriginali!K1637 &gt;= SogliaPicchi!$B$18,"",DatiOriginali!K1637)</f>
        <v>115300</v>
      </c>
    </row>
    <row r="1638" spans="1:11" x14ac:dyDescent="0.3">
      <c r="A1638" s="4" t="s">
        <v>1647</v>
      </c>
      <c r="B1638" s="4">
        <v>360825</v>
      </c>
      <c r="C1638" s="4">
        <f>IF(DatiOriginali!C1638 &gt;= SogliaPicchi!$B$18,"",DatiOriginali!C1638)</f>
        <v>3792100</v>
      </c>
      <c r="D1638" s="4">
        <v>182659</v>
      </c>
      <c r="E1638" s="4">
        <f>IF(DatiOriginali!E1638 &gt;= SogliaPicchi!$B$18,"",DatiOriginali!E1638)</f>
        <v>1115000</v>
      </c>
      <c r="F1638" s="4">
        <v>5522180</v>
      </c>
      <c r="G1638" s="4">
        <f>IF(DatiOriginali!G1638 &gt;= SogliaPicchi!$B$18,"",DatiOriginali!G1638)</f>
        <v>311200</v>
      </c>
      <c r="H1638" s="4">
        <v>6888035</v>
      </c>
      <c r="I1638" s="4">
        <f>IF(DatiOriginali!I1638 &gt;= SogliaPicchi!$B$18,"",DatiOriginali!I1638)</f>
        <v>105500</v>
      </c>
      <c r="J1638" s="4">
        <v>6881892</v>
      </c>
      <c r="K1638" s="4">
        <f>IF(DatiOriginali!K1638 &gt;= SogliaPicchi!$B$18,"",DatiOriginali!K1638)</f>
        <v>123200</v>
      </c>
    </row>
    <row r="1639" spans="1:11" x14ac:dyDescent="0.3">
      <c r="A1639" s="4" t="s">
        <v>1648</v>
      </c>
      <c r="B1639" s="4">
        <v>360825</v>
      </c>
      <c r="C1639" s="4">
        <f>IF(DatiOriginali!C1639 &gt;= SogliaPicchi!$B$18,"",DatiOriginali!C1639)</f>
        <v>2731200</v>
      </c>
      <c r="D1639" s="4">
        <v>181027</v>
      </c>
      <c r="E1639" s="4">
        <f>IF(DatiOriginali!E1639 &gt;= SogliaPicchi!$B$18,"",DatiOriginali!E1639)</f>
        <v>630400</v>
      </c>
      <c r="F1639" s="4">
        <v>5529417</v>
      </c>
      <c r="G1639" s="4">
        <f>IF(DatiOriginali!G1639 &gt;= SogliaPicchi!$B$18,"",DatiOriginali!G1639)</f>
        <v>835300</v>
      </c>
      <c r="H1639" s="4">
        <v>6897711</v>
      </c>
      <c r="I1639" s="4">
        <f>IF(DatiOriginali!I1639 &gt;= SogliaPicchi!$B$18,"",DatiOriginali!I1639)</f>
        <v>106400</v>
      </c>
      <c r="J1639" s="4">
        <v>6890487</v>
      </c>
      <c r="K1639" s="4">
        <f>IF(DatiOriginali!K1639 &gt;= SogliaPicchi!$B$18,"",DatiOriginali!K1639)</f>
        <v>114600</v>
      </c>
    </row>
    <row r="1640" spans="1:11" x14ac:dyDescent="0.3">
      <c r="A1640" s="4" t="s">
        <v>1649</v>
      </c>
      <c r="B1640" s="4">
        <v>360825</v>
      </c>
      <c r="C1640" s="4">
        <f>IF(DatiOriginali!C1640 &gt;= SogliaPicchi!$B$18,"",DatiOriginali!C1640)</f>
        <v>3387800</v>
      </c>
      <c r="D1640" s="4">
        <v>185659</v>
      </c>
      <c r="E1640" s="4">
        <f>IF(DatiOriginali!E1640 &gt;= SogliaPicchi!$B$18,"",DatiOriginali!E1640)</f>
        <v>665000</v>
      </c>
      <c r="F1640" s="4">
        <v>5536636</v>
      </c>
      <c r="G1640" s="4">
        <f>IF(DatiOriginali!G1640 &gt;= SogliaPicchi!$B$18,"",DatiOriginali!G1640)</f>
        <v>310300</v>
      </c>
      <c r="H1640" s="4">
        <v>6906323</v>
      </c>
      <c r="I1640" s="4">
        <f>IF(DatiOriginali!I1640 &gt;= SogliaPicchi!$B$18,"",DatiOriginali!I1640)</f>
        <v>106400</v>
      </c>
      <c r="J1640" s="4">
        <v>6898926</v>
      </c>
      <c r="K1640" s="4">
        <f>IF(DatiOriginali!K1640 &gt;= SogliaPicchi!$B$18,"",DatiOriginali!K1640)</f>
        <v>116900</v>
      </c>
    </row>
    <row r="1641" spans="1:11" x14ac:dyDescent="0.3">
      <c r="A1641" s="4" t="s">
        <v>1650</v>
      </c>
      <c r="B1641" s="4">
        <v>360825</v>
      </c>
      <c r="C1641" s="4">
        <f>IF(DatiOriginali!C1641 &gt;= SogliaPicchi!$B$18,"",DatiOriginali!C1641)</f>
        <v>2876500</v>
      </c>
      <c r="D1641" s="4">
        <v>182492</v>
      </c>
      <c r="E1641" s="4">
        <f>IF(DatiOriginali!E1641 &gt;= SogliaPicchi!$B$18,"",DatiOriginali!E1641)</f>
        <v>658000</v>
      </c>
      <c r="F1641" s="4">
        <v>5543838</v>
      </c>
      <c r="G1641" s="4">
        <f>IF(DatiOriginali!G1641 &gt;= SogliaPicchi!$B$18,"",DatiOriginali!G1641)</f>
        <v>308200</v>
      </c>
      <c r="H1641" s="4">
        <v>6915324</v>
      </c>
      <c r="I1641" s="4">
        <f>IF(DatiOriginali!I1641 &gt;= SogliaPicchi!$B$18,"",DatiOriginali!I1641)</f>
        <v>106500</v>
      </c>
      <c r="J1641" s="4">
        <v>6907283</v>
      </c>
      <c r="K1641" s="4">
        <f>IF(DatiOriginali!K1641 &gt;= SogliaPicchi!$B$18,"",DatiOriginali!K1641)</f>
        <v>116500</v>
      </c>
    </row>
    <row r="1642" spans="1:11" x14ac:dyDescent="0.3">
      <c r="A1642" s="4" t="s">
        <v>1651</v>
      </c>
      <c r="B1642" s="4">
        <v>360825</v>
      </c>
      <c r="C1642" s="4">
        <f>IF(DatiOriginali!C1642 &gt;= SogliaPicchi!$B$18,"",DatiOriginali!C1642)</f>
        <v>3120400</v>
      </c>
      <c r="D1642" s="4">
        <v>174213</v>
      </c>
      <c r="E1642" s="4">
        <f>IF(DatiOriginali!E1642 &gt;= SogliaPicchi!$B$18,"",DatiOriginali!E1642)</f>
        <v>610200</v>
      </c>
      <c r="F1642" s="4">
        <v>5551040</v>
      </c>
      <c r="G1642" s="4">
        <f>IF(DatiOriginali!G1642 &gt;= SogliaPicchi!$B$18,"",DatiOriginali!G1642)</f>
        <v>306600</v>
      </c>
      <c r="H1642" s="4">
        <v>6924149</v>
      </c>
      <c r="I1642" s="4">
        <f>IF(DatiOriginali!I1642 &gt;= SogliaPicchi!$B$18,"",DatiOriginali!I1642)</f>
        <v>102700</v>
      </c>
      <c r="J1642" s="4">
        <v>6916310</v>
      </c>
      <c r="K1642" s="4">
        <f>IF(DatiOriginali!K1642 &gt;= SogliaPicchi!$B$18,"",DatiOriginali!K1642)</f>
        <v>118400</v>
      </c>
    </row>
    <row r="1643" spans="1:11" x14ac:dyDescent="0.3">
      <c r="A1643" s="4" t="s">
        <v>1652</v>
      </c>
      <c r="B1643" s="4">
        <v>360825</v>
      </c>
      <c r="C1643" s="4">
        <f>IF(DatiOriginali!C1643 &gt;= SogliaPicchi!$B$18,"",DatiOriginali!C1643)</f>
        <v>2988500</v>
      </c>
      <c r="D1643" s="4">
        <v>182297</v>
      </c>
      <c r="E1643" s="4">
        <f>IF(DatiOriginali!E1643 &gt;= SogliaPicchi!$B$18,"",DatiOriginali!E1643)</f>
        <v>637100</v>
      </c>
      <c r="F1643" s="4">
        <v>5558257</v>
      </c>
      <c r="G1643" s="4">
        <f>IF(DatiOriginali!G1643 &gt;= SogliaPicchi!$B$18,"",DatiOriginali!G1643)</f>
        <v>309900</v>
      </c>
      <c r="H1643" s="4">
        <v>6933188</v>
      </c>
      <c r="I1643" s="4">
        <f>IF(DatiOriginali!I1643 &gt;= SogliaPicchi!$B$18,"",DatiOriginali!I1643)</f>
        <v>104000</v>
      </c>
      <c r="J1643" s="4">
        <v>6924716</v>
      </c>
      <c r="K1643" s="4">
        <f>IF(DatiOriginali!K1643 &gt;= SogliaPicchi!$B$18,"",DatiOriginali!K1643)</f>
        <v>115900</v>
      </c>
    </row>
    <row r="1644" spans="1:11" x14ac:dyDescent="0.3">
      <c r="A1644" s="4" t="s">
        <v>1653</v>
      </c>
      <c r="B1644" s="4">
        <v>360825</v>
      </c>
      <c r="C1644" s="4">
        <f>IF(DatiOriginali!C1644 &gt;= SogliaPicchi!$B$18,"",DatiOriginali!C1644)</f>
        <v>3253500</v>
      </c>
      <c r="D1644" s="4">
        <v>179946</v>
      </c>
      <c r="E1644" s="4">
        <f>IF(DatiOriginali!E1644 &gt;= SogliaPicchi!$B$18,"",DatiOriginali!E1644)</f>
        <v>636500</v>
      </c>
      <c r="F1644" s="4">
        <v>5565486</v>
      </c>
      <c r="G1644" s="4">
        <f>IF(DatiOriginali!G1644 &gt;= SogliaPicchi!$B$18,"",DatiOriginali!G1644)</f>
        <v>312200</v>
      </c>
      <c r="H1644" s="4">
        <v>6942595</v>
      </c>
      <c r="I1644" s="4">
        <f>IF(DatiOriginali!I1644 &gt;= SogliaPicchi!$B$18,"",DatiOriginali!I1644)</f>
        <v>107000</v>
      </c>
      <c r="J1644" s="4">
        <v>6933519</v>
      </c>
      <c r="K1644" s="4">
        <f>IF(DatiOriginali!K1644 &gt;= SogliaPicchi!$B$18,"",DatiOriginali!K1644)</f>
        <v>116500</v>
      </c>
    </row>
    <row r="1645" spans="1:11" x14ac:dyDescent="0.3">
      <c r="A1645" s="4" t="s">
        <v>1654</v>
      </c>
      <c r="B1645" s="4">
        <v>360825</v>
      </c>
      <c r="C1645" s="4">
        <f>IF(DatiOriginali!C1645 &gt;= SogliaPicchi!$B$18,"",DatiOriginali!C1645)</f>
        <v>2979800</v>
      </c>
      <c r="D1645" s="4">
        <v>180731</v>
      </c>
      <c r="E1645" s="4">
        <f>IF(DatiOriginali!E1645 &gt;= SogliaPicchi!$B$18,"",DatiOriginali!E1645)</f>
        <v>629500</v>
      </c>
      <c r="F1645" s="4">
        <v>5572715</v>
      </c>
      <c r="G1645" s="4">
        <f>IF(DatiOriginali!G1645 &gt;= SogliaPicchi!$B$18,"",DatiOriginali!G1645)</f>
        <v>315100</v>
      </c>
      <c r="H1645" s="4">
        <v>6951464</v>
      </c>
      <c r="I1645" s="4">
        <f>IF(DatiOriginali!I1645 &gt;= SogliaPicchi!$B$18,"",DatiOriginali!I1645)</f>
        <v>104700</v>
      </c>
      <c r="J1645" s="4">
        <v>6943526</v>
      </c>
      <c r="K1645" s="4">
        <f>IF(DatiOriginali!K1645 &gt;= SogliaPicchi!$B$18,"",DatiOriginali!K1645)</f>
        <v>117400</v>
      </c>
    </row>
    <row r="1646" spans="1:11" x14ac:dyDescent="0.3">
      <c r="A1646" s="4" t="s">
        <v>1655</v>
      </c>
      <c r="B1646" s="4">
        <v>360825</v>
      </c>
      <c r="C1646" s="4">
        <f>IF(DatiOriginali!C1646 &gt;= SogliaPicchi!$B$18,"",DatiOriginali!C1646)</f>
        <v>3456400</v>
      </c>
      <c r="D1646" s="4">
        <v>184204</v>
      </c>
      <c r="E1646" s="4">
        <f>IF(DatiOriginali!E1646 &gt;= SogliaPicchi!$B$18,"",DatiOriginali!E1646)</f>
        <v>640800</v>
      </c>
      <c r="F1646" s="4">
        <v>5579919</v>
      </c>
      <c r="G1646" s="4">
        <f>IF(DatiOriginali!G1646 &gt;= SogliaPicchi!$B$18,"",DatiOriginali!G1646)</f>
        <v>317700</v>
      </c>
      <c r="H1646" s="4">
        <v>6960967</v>
      </c>
      <c r="I1646" s="4">
        <f>IF(DatiOriginali!I1646 &gt;= SogliaPicchi!$B$18,"",DatiOriginali!I1646)</f>
        <v>104800</v>
      </c>
      <c r="J1646" s="4">
        <v>6952620</v>
      </c>
      <c r="K1646" s="4">
        <f>IF(DatiOriginali!K1646 &gt;= SogliaPicchi!$B$18,"",DatiOriginali!K1646)</f>
        <v>117000</v>
      </c>
    </row>
    <row r="1647" spans="1:11" x14ac:dyDescent="0.3">
      <c r="A1647" s="4" t="s">
        <v>1656</v>
      </c>
      <c r="B1647" s="4">
        <v>360825</v>
      </c>
      <c r="C1647" s="4">
        <f>IF(DatiOriginali!C1647 &gt;= SogliaPicchi!$B$18,"",DatiOriginali!C1647)</f>
        <v>2872800</v>
      </c>
      <c r="D1647" s="4">
        <v>180808</v>
      </c>
      <c r="E1647" s="4">
        <f>IF(DatiOriginali!E1647 &gt;= SogliaPicchi!$B$18,"",DatiOriginali!E1647)</f>
        <v>629600</v>
      </c>
      <c r="F1647" s="4">
        <v>5587118</v>
      </c>
      <c r="G1647" s="4">
        <f>IF(DatiOriginali!G1647 &gt;= SogliaPicchi!$B$18,"",DatiOriginali!G1647)</f>
        <v>308800</v>
      </c>
      <c r="H1647" s="4">
        <v>6969614</v>
      </c>
      <c r="I1647" s="4">
        <f>IF(DatiOriginali!I1647 &gt;= SogliaPicchi!$B$18,"",DatiOriginali!I1647)</f>
        <v>106800</v>
      </c>
      <c r="J1647" s="4">
        <v>6961393</v>
      </c>
      <c r="K1647" s="4">
        <f>IF(DatiOriginali!K1647 &gt;= SogliaPicchi!$B$18,"",DatiOriginali!K1647)</f>
        <v>116500</v>
      </c>
    </row>
    <row r="1648" spans="1:11" x14ac:dyDescent="0.3">
      <c r="A1648" s="4" t="s">
        <v>1657</v>
      </c>
      <c r="B1648" s="4">
        <v>360825</v>
      </c>
      <c r="C1648" s="4">
        <f>IF(DatiOriginali!C1648 &gt;= SogliaPicchi!$B$18,"",DatiOriginali!C1648)</f>
        <v>2865000</v>
      </c>
      <c r="D1648" s="4">
        <v>179178</v>
      </c>
      <c r="E1648" s="4">
        <f>IF(DatiOriginali!E1648 &gt;= SogliaPicchi!$B$18,"",DatiOriginali!E1648)</f>
        <v>647600</v>
      </c>
      <c r="F1648" s="4">
        <v>5594326</v>
      </c>
      <c r="G1648" s="4">
        <f>IF(DatiOriginali!G1648 &gt;= SogliaPicchi!$B$18,"",DatiOriginali!G1648)</f>
        <v>310100</v>
      </c>
      <c r="H1648" s="4">
        <v>6977725</v>
      </c>
      <c r="I1648" s="4">
        <f>IF(DatiOriginali!I1648 &gt;= SogliaPicchi!$B$18,"",DatiOriginali!I1648)</f>
        <v>102500</v>
      </c>
      <c r="J1648" s="4">
        <v>6971491</v>
      </c>
      <c r="K1648" s="4">
        <f>IF(DatiOriginali!K1648 &gt;= SogliaPicchi!$B$18,"",DatiOriginali!K1648)</f>
        <v>125500</v>
      </c>
    </row>
    <row r="1649" spans="1:11" x14ac:dyDescent="0.3">
      <c r="A1649" s="4" t="s">
        <v>1658</v>
      </c>
      <c r="B1649" s="4">
        <v>360825</v>
      </c>
      <c r="C1649" s="4">
        <f>IF(DatiOriginali!C1649 &gt;= SogliaPicchi!$B$18,"",DatiOriginali!C1649)</f>
        <v>3175200</v>
      </c>
      <c r="D1649" s="4">
        <v>174840</v>
      </c>
      <c r="E1649" s="4">
        <f>IF(DatiOriginali!E1649 &gt;= SogliaPicchi!$B$18,"",DatiOriginali!E1649)</f>
        <v>635200</v>
      </c>
      <c r="F1649" s="4">
        <v>5601529</v>
      </c>
      <c r="G1649" s="4">
        <f>IF(DatiOriginali!G1649 &gt;= SogliaPicchi!$B$18,"",DatiOriginali!G1649)</f>
        <v>307400</v>
      </c>
      <c r="H1649" s="4">
        <v>6986706</v>
      </c>
      <c r="I1649" s="4">
        <f>IF(DatiOriginali!I1649 &gt;= SogliaPicchi!$B$18,"",DatiOriginali!I1649)</f>
        <v>106400</v>
      </c>
      <c r="J1649" s="4">
        <v>6980739</v>
      </c>
      <c r="K1649" s="4">
        <f>IF(DatiOriginali!K1649 &gt;= SogliaPicchi!$B$18,"",DatiOriginali!K1649)</f>
        <v>119600</v>
      </c>
    </row>
    <row r="1650" spans="1:11" x14ac:dyDescent="0.3">
      <c r="A1650" s="4" t="s">
        <v>1659</v>
      </c>
      <c r="B1650" s="4">
        <v>360825</v>
      </c>
      <c r="C1650" s="4">
        <f>IF(DatiOriginali!C1650 &gt;= SogliaPicchi!$B$18,"",DatiOriginali!C1650)</f>
        <v>3307600</v>
      </c>
      <c r="D1650" s="4">
        <v>181303</v>
      </c>
      <c r="E1650" s="4">
        <f>IF(DatiOriginali!E1650 &gt;= SogliaPicchi!$B$18,"",DatiOriginali!E1650)</f>
        <v>638700</v>
      </c>
      <c r="F1650" s="4">
        <v>5608722</v>
      </c>
      <c r="G1650" s="4">
        <f>IF(DatiOriginali!G1650 &gt;= SogliaPicchi!$B$18,"",DatiOriginali!G1650)</f>
        <v>335800</v>
      </c>
      <c r="H1650" s="4">
        <v>6996189</v>
      </c>
      <c r="I1650" s="4">
        <f>IF(DatiOriginali!I1650 &gt;= SogliaPicchi!$B$18,"",DatiOriginali!I1650)</f>
        <v>102600</v>
      </c>
      <c r="J1650" s="4">
        <v>6989611</v>
      </c>
      <c r="K1650" s="4">
        <f>IF(DatiOriginali!K1650 &gt;= SogliaPicchi!$B$18,"",DatiOriginali!K1650)</f>
        <v>115600</v>
      </c>
    </row>
    <row r="1651" spans="1:11" x14ac:dyDescent="0.3">
      <c r="A1651" s="4" t="s">
        <v>1660</v>
      </c>
      <c r="B1651" s="4">
        <v>360825</v>
      </c>
      <c r="C1651" s="4">
        <f>IF(DatiOriginali!C1651 &gt;= SogliaPicchi!$B$18,"",DatiOriginali!C1651)</f>
        <v>3099200</v>
      </c>
      <c r="D1651" s="4">
        <v>176554</v>
      </c>
      <c r="E1651" s="4">
        <f>IF(DatiOriginali!E1651 &gt;= SogliaPicchi!$B$18,"",DatiOriginali!E1651)</f>
        <v>615900</v>
      </c>
      <c r="F1651" s="4">
        <v>5615916</v>
      </c>
      <c r="G1651" s="4">
        <f>IF(DatiOriginali!G1651 &gt;= SogliaPicchi!$B$18,"",DatiOriginali!G1651)</f>
        <v>319000</v>
      </c>
      <c r="H1651" s="4">
        <v>7005200</v>
      </c>
      <c r="I1651" s="4">
        <f>IF(DatiOriginali!I1651 &gt;= SogliaPicchi!$B$18,"",DatiOriginali!I1651)</f>
        <v>101600</v>
      </c>
      <c r="J1651" s="4">
        <v>6998086</v>
      </c>
      <c r="K1651" s="4">
        <f>IF(DatiOriginali!K1651 &gt;= SogliaPicchi!$B$18,"",DatiOriginali!K1651)</f>
        <v>118200</v>
      </c>
    </row>
    <row r="1652" spans="1:11" x14ac:dyDescent="0.3">
      <c r="A1652" s="4" t="s">
        <v>1661</v>
      </c>
      <c r="B1652" s="4">
        <v>360825</v>
      </c>
      <c r="C1652" s="4">
        <f>IF(DatiOriginali!C1652 &gt;= SogliaPicchi!$B$18,"",DatiOriginali!C1652)</f>
        <v>3085800</v>
      </c>
      <c r="D1652" s="4">
        <v>178007</v>
      </c>
      <c r="E1652" s="4">
        <f>IF(DatiOriginali!E1652 &gt;= SogliaPicchi!$B$18,"",DatiOriginali!E1652)</f>
        <v>649300</v>
      </c>
      <c r="F1652" s="4">
        <v>5623132</v>
      </c>
      <c r="G1652" s="4">
        <f>IF(DatiOriginali!G1652 &gt;= SogliaPicchi!$B$18,"",DatiOriginali!G1652)</f>
        <v>315700</v>
      </c>
      <c r="H1652" s="4">
        <v>7014598</v>
      </c>
      <c r="I1652" s="4">
        <f>IF(DatiOriginali!I1652 &gt;= SogliaPicchi!$B$18,"",DatiOriginali!I1652)</f>
        <v>106100</v>
      </c>
      <c r="J1652" s="4">
        <v>7008752</v>
      </c>
      <c r="K1652" s="4">
        <f>IF(DatiOriginali!K1652 &gt;= SogliaPicchi!$B$18,"",DatiOriginali!K1652)</f>
        <v>128000</v>
      </c>
    </row>
    <row r="1653" spans="1:11" x14ac:dyDescent="0.3">
      <c r="A1653" s="4" t="s">
        <v>1662</v>
      </c>
      <c r="B1653" s="4">
        <v>360825</v>
      </c>
      <c r="C1653" s="4">
        <f>IF(DatiOriginali!C1653 &gt;= SogliaPicchi!$B$18,"",DatiOriginali!C1653)</f>
        <v>3006000</v>
      </c>
      <c r="D1653" s="4">
        <v>186502</v>
      </c>
      <c r="E1653" s="4">
        <f>IF(DatiOriginali!E1653 &gt;= SogliaPicchi!$B$18,"",DatiOriginali!E1653)</f>
        <v>666100</v>
      </c>
      <c r="F1653" s="4">
        <v>5630350</v>
      </c>
      <c r="G1653" s="4">
        <f>IF(DatiOriginali!G1653 &gt;= SogliaPicchi!$B$18,"",DatiOriginali!G1653)</f>
        <v>310100</v>
      </c>
      <c r="H1653" s="4">
        <v>7023204</v>
      </c>
      <c r="I1653" s="4">
        <f>IF(DatiOriginali!I1653 &gt;= SogliaPicchi!$B$18,"",DatiOriginali!I1653)</f>
        <v>104400</v>
      </c>
      <c r="J1653" s="4">
        <v>7017587</v>
      </c>
      <c r="K1653" s="4">
        <f>IF(DatiOriginali!K1653 &gt;= SogliaPicchi!$B$18,"",DatiOriginali!K1653)</f>
        <v>118100</v>
      </c>
    </row>
    <row r="1654" spans="1:11" x14ac:dyDescent="0.3">
      <c r="A1654" s="4" t="s">
        <v>1663</v>
      </c>
      <c r="B1654" s="4">
        <v>360825</v>
      </c>
      <c r="C1654" s="4">
        <f>IF(DatiOriginali!C1654 &gt;= SogliaPicchi!$B$18,"",DatiOriginali!C1654)</f>
        <v>2979800</v>
      </c>
      <c r="D1654" s="4">
        <v>180665</v>
      </c>
      <c r="E1654" s="4">
        <f>IF(DatiOriginali!E1654 &gt;= SogliaPicchi!$B$18,"",DatiOriginali!E1654)</f>
        <v>1148600</v>
      </c>
      <c r="F1654" s="4">
        <v>5637574</v>
      </c>
      <c r="G1654" s="4">
        <f>IF(DatiOriginali!G1654 &gt;= SogliaPicchi!$B$18,"",DatiOriginali!G1654)</f>
        <v>358200</v>
      </c>
      <c r="H1654" s="4">
        <v>7032369</v>
      </c>
      <c r="I1654" s="4">
        <f>IF(DatiOriginali!I1654 &gt;= SogliaPicchi!$B$18,"",DatiOriginali!I1654)</f>
        <v>105600</v>
      </c>
      <c r="J1654" s="4">
        <v>7026628</v>
      </c>
      <c r="K1654" s="4">
        <f>IF(DatiOriginali!K1654 &gt;= SogliaPicchi!$B$18,"",DatiOriginali!K1654)</f>
        <v>119100</v>
      </c>
    </row>
    <row r="1655" spans="1:11" x14ac:dyDescent="0.3">
      <c r="A1655" s="4" t="s">
        <v>1664</v>
      </c>
      <c r="B1655" s="4">
        <v>360825</v>
      </c>
      <c r="C1655" s="4">
        <f>IF(DatiOriginali!C1655 &gt;= SogliaPicchi!$B$18,"",DatiOriginali!C1655)</f>
        <v>2945000</v>
      </c>
      <c r="D1655" s="4">
        <v>183283</v>
      </c>
      <c r="E1655" s="4">
        <f>IF(DatiOriginali!E1655 &gt;= SogliaPicchi!$B$18,"",DatiOriginali!E1655)</f>
        <v>655000</v>
      </c>
      <c r="F1655" s="4">
        <v>5644804</v>
      </c>
      <c r="G1655" s="4">
        <f>IF(DatiOriginali!G1655 &gt;= SogliaPicchi!$B$18,"",DatiOriginali!G1655)</f>
        <v>315900</v>
      </c>
      <c r="H1655" s="4">
        <v>7040723</v>
      </c>
      <c r="I1655" s="4">
        <f>IF(DatiOriginali!I1655 &gt;= SogliaPicchi!$B$18,"",DatiOriginali!I1655)</f>
        <v>103300</v>
      </c>
      <c r="J1655" s="4">
        <v>7035386</v>
      </c>
      <c r="K1655" s="4">
        <f>IF(DatiOriginali!K1655 &gt;= SogliaPicchi!$B$18,"",DatiOriginali!K1655)</f>
        <v>116800</v>
      </c>
    </row>
    <row r="1656" spans="1:11" x14ac:dyDescent="0.3">
      <c r="A1656" s="4" t="s">
        <v>1665</v>
      </c>
      <c r="B1656" s="4">
        <v>360825</v>
      </c>
      <c r="C1656" s="4">
        <f>IF(DatiOriginali!C1656 &gt;= SogliaPicchi!$B$18,"",DatiOriginali!C1656)</f>
        <v>2913500</v>
      </c>
      <c r="D1656" s="4">
        <v>181202</v>
      </c>
      <c r="E1656" s="4">
        <f>IF(DatiOriginali!E1656 &gt;= SogliaPicchi!$B$18,"",DatiOriginali!E1656)</f>
        <v>633800</v>
      </c>
      <c r="F1656" s="4">
        <v>5652015</v>
      </c>
      <c r="G1656" s="4">
        <f>IF(DatiOriginali!G1656 &gt;= SogliaPicchi!$B$18,"",DatiOriginali!G1656)</f>
        <v>318500</v>
      </c>
      <c r="H1656" s="4">
        <v>7049177</v>
      </c>
      <c r="I1656" s="4">
        <f>IF(DatiOriginali!I1656 &gt;= SogliaPicchi!$B$18,"",DatiOriginali!I1656)</f>
        <v>106300</v>
      </c>
      <c r="J1656" s="4">
        <v>7043561</v>
      </c>
      <c r="K1656" s="4">
        <f>IF(DatiOriginali!K1656 &gt;= SogliaPicchi!$B$18,"",DatiOriginali!K1656)</f>
        <v>117500</v>
      </c>
    </row>
    <row r="1657" spans="1:11" x14ac:dyDescent="0.3">
      <c r="A1657" s="4" t="s">
        <v>1666</v>
      </c>
      <c r="B1657" s="4">
        <v>360825</v>
      </c>
      <c r="C1657" s="4">
        <f>IF(DatiOriginali!C1657 &gt;= SogliaPicchi!$B$18,"",DatiOriginali!C1657)</f>
        <v>2836900</v>
      </c>
      <c r="D1657" s="4">
        <v>179452</v>
      </c>
      <c r="E1657" s="4">
        <f>IF(DatiOriginali!E1657 &gt;= SogliaPicchi!$B$18,"",DatiOriginali!E1657)</f>
        <v>624500</v>
      </c>
      <c r="F1657" s="4">
        <v>5659244</v>
      </c>
      <c r="G1657" s="4">
        <f>IF(DatiOriginali!G1657 &gt;= SogliaPicchi!$B$18,"",DatiOriginali!G1657)</f>
        <v>309900</v>
      </c>
      <c r="H1657" s="4">
        <v>7057562</v>
      </c>
      <c r="I1657" s="4">
        <f>IF(DatiOriginali!I1657 &gt;= SogliaPicchi!$B$18,"",DatiOriginali!I1657)</f>
        <v>106200</v>
      </c>
      <c r="J1657" s="4">
        <v>7052208</v>
      </c>
      <c r="K1657" s="4">
        <f>IF(DatiOriginali!K1657 &gt;= SogliaPicchi!$B$18,"",DatiOriginali!K1657)</f>
        <v>118500</v>
      </c>
    </row>
    <row r="1658" spans="1:11" x14ac:dyDescent="0.3">
      <c r="A1658" s="4" t="s">
        <v>1667</v>
      </c>
      <c r="B1658" s="4">
        <v>360825</v>
      </c>
      <c r="C1658" s="4">
        <f>IF(DatiOriginali!C1658 &gt;= SogliaPicchi!$B$18,"",DatiOriginali!C1658)</f>
        <v>3015500</v>
      </c>
      <c r="D1658" s="4">
        <v>184067</v>
      </c>
      <c r="E1658" s="4">
        <f>IF(DatiOriginali!E1658 &gt;= SogliaPicchi!$B$18,"",DatiOriginali!E1658)</f>
        <v>804800</v>
      </c>
      <c r="F1658" s="4">
        <v>5666477</v>
      </c>
      <c r="G1658" s="4">
        <f>IF(DatiOriginali!G1658 &gt;= SogliaPicchi!$B$18,"",DatiOriginali!G1658)</f>
        <v>312800</v>
      </c>
      <c r="H1658" s="4">
        <v>7066749</v>
      </c>
      <c r="I1658" s="4">
        <f>IF(DatiOriginali!I1658 &gt;= SogliaPicchi!$B$18,"",DatiOriginali!I1658)</f>
        <v>107500</v>
      </c>
      <c r="J1658" s="4">
        <v>7060833</v>
      </c>
      <c r="K1658" s="4">
        <f>IF(DatiOriginali!K1658 &gt;= SogliaPicchi!$B$18,"",DatiOriginali!K1658)</f>
        <v>117000</v>
      </c>
    </row>
    <row r="1659" spans="1:11" x14ac:dyDescent="0.3">
      <c r="A1659" s="4" t="s">
        <v>1668</v>
      </c>
      <c r="B1659" s="4">
        <v>360825</v>
      </c>
      <c r="C1659" s="4">
        <f>IF(DatiOriginali!C1659 &gt;= SogliaPicchi!$B$18,"",DatiOriginali!C1659)</f>
        <v>2837800</v>
      </c>
      <c r="D1659" s="4">
        <v>178346</v>
      </c>
      <c r="E1659" s="4">
        <f>IF(DatiOriginali!E1659 &gt;= SogliaPicchi!$B$18,"",DatiOriginali!E1659)</f>
        <v>618400</v>
      </c>
      <c r="F1659" s="4">
        <v>5673720</v>
      </c>
      <c r="G1659" s="4">
        <f>IF(DatiOriginali!G1659 &gt;= SogliaPicchi!$B$18,"",DatiOriginali!G1659)</f>
        <v>324200</v>
      </c>
      <c r="H1659" s="4">
        <v>7076620</v>
      </c>
      <c r="I1659" s="4">
        <f>IF(DatiOriginali!I1659 &gt;= SogliaPicchi!$B$18,"",DatiOriginali!I1659)</f>
        <v>103300</v>
      </c>
      <c r="J1659" s="4">
        <v>7070946</v>
      </c>
      <c r="K1659" s="4">
        <f>IF(DatiOriginali!K1659 &gt;= SogliaPicchi!$B$18,"",DatiOriginali!K1659)</f>
        <v>119200</v>
      </c>
    </row>
    <row r="1660" spans="1:11" x14ac:dyDescent="0.3">
      <c r="A1660" s="4" t="s">
        <v>1669</v>
      </c>
      <c r="B1660" s="4">
        <v>360825</v>
      </c>
      <c r="C1660" s="4">
        <f>IF(DatiOriginali!C1660 &gt;= SogliaPicchi!$B$18,"",DatiOriginali!C1660)</f>
        <v>2835500</v>
      </c>
      <c r="D1660" s="4">
        <v>179513</v>
      </c>
      <c r="E1660" s="4">
        <f>IF(DatiOriginali!E1660 &gt;= SogliaPicchi!$B$18,"",DatiOriginali!E1660)</f>
        <v>626700</v>
      </c>
      <c r="F1660" s="4">
        <v>5680947</v>
      </c>
      <c r="G1660" s="4">
        <f>IF(DatiOriginali!G1660 &gt;= SogliaPicchi!$B$18,"",DatiOriginali!G1660)</f>
        <v>309500</v>
      </c>
      <c r="H1660" s="4">
        <v>7085143</v>
      </c>
      <c r="I1660" s="4">
        <f>IF(DatiOriginali!I1660 &gt;= SogliaPicchi!$B$18,"",DatiOriginali!I1660)</f>
        <v>104900</v>
      </c>
      <c r="J1660" s="4">
        <v>7079666</v>
      </c>
      <c r="K1660" s="4">
        <f>IF(DatiOriginali!K1660 &gt;= SogliaPicchi!$B$18,"",DatiOriginali!K1660)</f>
        <v>115300</v>
      </c>
    </row>
    <row r="1661" spans="1:11" x14ac:dyDescent="0.3">
      <c r="A1661" s="4" t="s">
        <v>1670</v>
      </c>
      <c r="B1661" s="4">
        <v>360825</v>
      </c>
      <c r="C1661" s="4">
        <f>IF(DatiOriginali!C1661 &gt;= SogliaPicchi!$B$18,"",DatiOriginali!C1661)</f>
        <v>2905300</v>
      </c>
      <c r="D1661" s="4">
        <v>180744</v>
      </c>
      <c r="E1661" s="4">
        <f>IF(DatiOriginali!E1661 &gt;= SogliaPicchi!$B$18,"",DatiOriginali!E1661)</f>
        <v>625300</v>
      </c>
      <c r="F1661" s="4">
        <v>5688185</v>
      </c>
      <c r="G1661" s="4">
        <f>IF(DatiOriginali!G1661 &gt;= SogliaPicchi!$B$18,"",DatiOriginali!G1661)</f>
        <v>315300</v>
      </c>
      <c r="H1661" s="4">
        <v>7094160</v>
      </c>
      <c r="I1661" s="4">
        <f>IF(DatiOriginali!I1661 &gt;= SogliaPicchi!$B$18,"",DatiOriginali!I1661)</f>
        <v>104900</v>
      </c>
      <c r="J1661" s="4">
        <v>7088267</v>
      </c>
      <c r="K1661" s="4">
        <f>IF(DatiOriginali!K1661 &gt;= SogliaPicchi!$B$18,"",DatiOriginali!K1661)</f>
        <v>116500</v>
      </c>
    </row>
    <row r="1662" spans="1:11" x14ac:dyDescent="0.3">
      <c r="A1662" s="4" t="s">
        <v>1671</v>
      </c>
      <c r="B1662" s="4">
        <v>360825</v>
      </c>
      <c r="C1662" s="4">
        <f>IF(DatiOriginali!C1662 &gt;= SogliaPicchi!$B$18,"",DatiOriginali!C1662)</f>
        <v>2801400</v>
      </c>
      <c r="D1662" s="4">
        <v>178436</v>
      </c>
      <c r="E1662" s="4">
        <f>IF(DatiOriginali!E1662 &gt;= SogliaPicchi!$B$18,"",DatiOriginali!E1662)</f>
        <v>620100</v>
      </c>
      <c r="F1662" s="4">
        <v>5695417</v>
      </c>
      <c r="G1662" s="4">
        <f>IF(DatiOriginali!G1662 &gt;= SogliaPicchi!$B$18,"",DatiOriginali!G1662)</f>
        <v>352900</v>
      </c>
      <c r="H1662" s="4">
        <v>7104233</v>
      </c>
      <c r="I1662" s="4">
        <f>IF(DatiOriginali!I1662 &gt;= SogliaPicchi!$B$18,"",DatiOriginali!I1662)</f>
        <v>151800</v>
      </c>
      <c r="J1662" s="4">
        <v>7096859</v>
      </c>
      <c r="K1662" s="4">
        <f>IF(DatiOriginali!K1662 &gt;= SogliaPicchi!$B$18,"",DatiOriginali!K1662)</f>
        <v>157700</v>
      </c>
    </row>
    <row r="1663" spans="1:11" x14ac:dyDescent="0.3">
      <c r="A1663" s="4" t="s">
        <v>1672</v>
      </c>
      <c r="B1663" s="4">
        <v>360825</v>
      </c>
      <c r="C1663" s="4">
        <f>IF(DatiOriginali!C1663 &gt;= SogliaPicchi!$B$18,"",DatiOriginali!C1663)</f>
        <v>3260700</v>
      </c>
      <c r="D1663" s="4">
        <v>180612</v>
      </c>
      <c r="E1663" s="4">
        <f>IF(DatiOriginali!E1663 &gt;= SogliaPicchi!$B$18,"",DatiOriginali!E1663)</f>
        <v>647500</v>
      </c>
      <c r="F1663" s="4">
        <v>5702651</v>
      </c>
      <c r="G1663" s="4">
        <f>IF(DatiOriginali!G1663 &gt;= SogliaPicchi!$B$18,"",DatiOriginali!G1663)</f>
        <v>313700</v>
      </c>
      <c r="H1663" s="4">
        <v>7113418</v>
      </c>
      <c r="I1663" s="4">
        <f>IF(DatiOriginali!I1663 &gt;= SogliaPicchi!$B$18,"",DatiOriginali!I1663)</f>
        <v>108500</v>
      </c>
      <c r="J1663" s="4">
        <v>7105395</v>
      </c>
      <c r="K1663" s="4">
        <f>IF(DatiOriginali!K1663 &gt;= SogliaPicchi!$B$18,"",DatiOriginali!K1663)</f>
        <v>117100</v>
      </c>
    </row>
    <row r="1664" spans="1:11" x14ac:dyDescent="0.3">
      <c r="A1664" s="4" t="s">
        <v>1673</v>
      </c>
      <c r="B1664" s="4">
        <v>360825</v>
      </c>
      <c r="C1664" s="4">
        <f>IF(DatiOriginali!C1664 &gt;= SogliaPicchi!$B$18,"",DatiOriginali!C1664)</f>
        <v>3053500</v>
      </c>
      <c r="D1664" s="4">
        <v>178725</v>
      </c>
      <c r="E1664" s="4">
        <f>IF(DatiOriginali!E1664 &gt;= SogliaPicchi!$B$18,"",DatiOriginali!E1664)</f>
        <v>640900</v>
      </c>
      <c r="F1664" s="4">
        <v>5709879</v>
      </c>
      <c r="G1664" s="4">
        <f>IF(DatiOriginali!G1664 &gt;= SogliaPicchi!$B$18,"",DatiOriginali!G1664)</f>
        <v>309700</v>
      </c>
      <c r="H1664" s="4">
        <v>7123132</v>
      </c>
      <c r="I1664" s="4">
        <f>IF(DatiOriginali!I1664 &gt;= SogliaPicchi!$B$18,"",DatiOriginali!I1664)</f>
        <v>106400</v>
      </c>
      <c r="J1664" s="4">
        <v>7114711</v>
      </c>
      <c r="K1664" s="4">
        <f>IF(DatiOriginali!K1664 &gt;= SogliaPicchi!$B$18,"",DatiOriginali!K1664)</f>
        <v>117400</v>
      </c>
    </row>
    <row r="1665" spans="1:11" x14ac:dyDescent="0.3">
      <c r="A1665" s="4" t="s">
        <v>1674</v>
      </c>
      <c r="B1665" s="4">
        <v>360825</v>
      </c>
      <c r="C1665" s="4">
        <f>IF(DatiOriginali!C1665 &gt;= SogliaPicchi!$B$18,"",DatiOriginali!C1665)</f>
        <v>3312100</v>
      </c>
      <c r="D1665" s="4">
        <v>180469</v>
      </c>
      <c r="E1665" s="4">
        <f>IF(DatiOriginali!E1665 &gt;= SogliaPicchi!$B$18,"",DatiOriginali!E1665)</f>
        <v>632500</v>
      </c>
      <c r="F1665" s="4">
        <v>5717085</v>
      </c>
      <c r="G1665" s="4">
        <f>IF(DatiOriginali!G1665 &gt;= SogliaPicchi!$B$18,"",DatiOriginali!G1665)</f>
        <v>312300</v>
      </c>
      <c r="H1665" s="4">
        <v>7132987</v>
      </c>
      <c r="I1665" s="4">
        <f>IF(DatiOriginali!I1665 &gt;= SogliaPicchi!$B$18,"",DatiOriginali!I1665)</f>
        <v>105600</v>
      </c>
      <c r="J1665" s="4">
        <v>7123420</v>
      </c>
      <c r="K1665" s="4">
        <f>IF(DatiOriginali!K1665 &gt;= SogliaPicchi!$B$18,"",DatiOriginali!K1665)</f>
        <v>143900</v>
      </c>
    </row>
    <row r="1666" spans="1:11" x14ac:dyDescent="0.3">
      <c r="A1666" s="4" t="s">
        <v>1675</v>
      </c>
      <c r="B1666" s="4">
        <v>360825</v>
      </c>
      <c r="C1666" s="4">
        <f>IF(DatiOriginali!C1666 &gt;= SogliaPicchi!$B$18,"",DatiOriginali!C1666)</f>
        <v>2822900</v>
      </c>
      <c r="D1666" s="4">
        <v>176785</v>
      </c>
      <c r="E1666" s="4">
        <f>IF(DatiOriginali!E1666 &gt;= SogliaPicchi!$B$18,"",DatiOriginali!E1666)</f>
        <v>614900</v>
      </c>
      <c r="F1666" s="4">
        <v>5724312</v>
      </c>
      <c r="G1666" s="4">
        <f>IF(DatiOriginali!G1666 &gt;= SogliaPicchi!$B$18,"",DatiOriginali!G1666)</f>
        <v>318100</v>
      </c>
      <c r="H1666" s="4">
        <v>7144016</v>
      </c>
      <c r="I1666" s="4">
        <f>IF(DatiOriginali!I1666 &gt;= SogliaPicchi!$B$18,"",DatiOriginali!I1666)</f>
        <v>117000</v>
      </c>
      <c r="J1666" s="4">
        <v>7132149</v>
      </c>
      <c r="K1666" s="4">
        <f>IF(DatiOriginali!K1666 &gt;= SogliaPicchi!$B$18,"",DatiOriginali!K1666)</f>
        <v>117200</v>
      </c>
    </row>
    <row r="1667" spans="1:11" x14ac:dyDescent="0.3">
      <c r="A1667" s="4" t="s">
        <v>1676</v>
      </c>
      <c r="B1667" s="4">
        <v>360825</v>
      </c>
      <c r="C1667" s="4">
        <f>IF(DatiOriginali!C1667 &gt;= SogliaPicchi!$B$18,"",DatiOriginali!C1667)</f>
        <v>2956000</v>
      </c>
      <c r="D1667" s="4">
        <v>179594</v>
      </c>
      <c r="E1667" s="4">
        <f>IF(DatiOriginali!E1667 &gt;= SogliaPicchi!$B$18,"",DatiOriginali!E1667)</f>
        <v>621700</v>
      </c>
      <c r="F1667" s="4">
        <v>5731534</v>
      </c>
      <c r="G1667" s="4">
        <f>IF(DatiOriginali!G1667 &gt;= SogliaPicchi!$B$18,"",DatiOriginali!G1667)</f>
        <v>316600</v>
      </c>
      <c r="H1667" s="4">
        <v>7153219</v>
      </c>
      <c r="I1667" s="4">
        <f>IF(DatiOriginali!I1667 &gt;= SogliaPicchi!$B$18,"",DatiOriginali!I1667)</f>
        <v>107200</v>
      </c>
      <c r="J1667" s="4">
        <v>7141183</v>
      </c>
      <c r="K1667" s="4">
        <f>IF(DatiOriginali!K1667 &gt;= SogliaPicchi!$B$18,"",DatiOriginali!K1667)</f>
        <v>116800</v>
      </c>
    </row>
    <row r="1668" spans="1:11" x14ac:dyDescent="0.3">
      <c r="A1668" s="4" t="s">
        <v>1677</v>
      </c>
      <c r="B1668" s="4">
        <v>360825</v>
      </c>
      <c r="C1668" s="4">
        <f>IF(DatiOriginali!C1668 &gt;= SogliaPicchi!$B$18,"",DatiOriginali!C1668)</f>
        <v>2908400</v>
      </c>
      <c r="D1668" s="4">
        <v>182383</v>
      </c>
      <c r="E1668" s="4">
        <f>IF(DatiOriginali!E1668 &gt;= SogliaPicchi!$B$18,"",DatiOriginali!E1668)</f>
        <v>660100</v>
      </c>
      <c r="F1668" s="4">
        <v>5738741</v>
      </c>
      <c r="G1668" s="4">
        <f>IF(DatiOriginali!G1668 &gt;= SogliaPicchi!$B$18,"",DatiOriginali!G1668)</f>
        <v>320100</v>
      </c>
      <c r="H1668" s="4">
        <v>7161615</v>
      </c>
      <c r="I1668" s="4">
        <f>IF(DatiOriginali!I1668 &gt;= SogliaPicchi!$B$18,"",DatiOriginali!I1668)</f>
        <v>105000</v>
      </c>
      <c r="J1668" s="4">
        <v>7149865</v>
      </c>
      <c r="K1668" s="4">
        <f>IF(DatiOriginali!K1668 &gt;= SogliaPicchi!$B$18,"",DatiOriginali!K1668)</f>
        <v>115800</v>
      </c>
    </row>
    <row r="1669" spans="1:11" x14ac:dyDescent="0.3">
      <c r="A1669" s="4" t="s">
        <v>1678</v>
      </c>
      <c r="B1669" s="4">
        <v>360825</v>
      </c>
      <c r="C1669" s="4">
        <f>IF(DatiOriginali!C1669 &gt;= SogliaPicchi!$B$18,"",DatiOriginali!C1669)</f>
        <v>3291100</v>
      </c>
      <c r="D1669" s="4">
        <v>183450</v>
      </c>
      <c r="E1669" s="4">
        <f>IF(DatiOriginali!E1669 &gt;= SogliaPicchi!$B$18,"",DatiOriginali!E1669)</f>
        <v>672500</v>
      </c>
      <c r="F1669" s="4">
        <v>5745949</v>
      </c>
      <c r="G1669" s="4">
        <f>IF(DatiOriginali!G1669 &gt;= SogliaPicchi!$B$18,"",DatiOriginali!G1669)</f>
        <v>312500</v>
      </c>
      <c r="H1669" s="4">
        <v>7170223</v>
      </c>
      <c r="I1669" s="4">
        <f>IF(DatiOriginali!I1669 &gt;= SogliaPicchi!$B$18,"",DatiOriginali!I1669)</f>
        <v>107300</v>
      </c>
      <c r="J1669" s="4">
        <v>7158861</v>
      </c>
      <c r="K1669" s="4">
        <f>IF(DatiOriginali!K1669 &gt;= SogliaPicchi!$B$18,"",DatiOriginali!K1669)</f>
        <v>116000</v>
      </c>
    </row>
    <row r="1670" spans="1:11" x14ac:dyDescent="0.3">
      <c r="A1670" s="4" t="s">
        <v>1679</v>
      </c>
      <c r="B1670" s="4">
        <v>360825</v>
      </c>
      <c r="C1670" s="4">
        <f>IF(DatiOriginali!C1670 &gt;= SogliaPicchi!$B$18,"",DatiOriginali!C1670)</f>
        <v>2857600</v>
      </c>
      <c r="D1670" s="4">
        <v>184674</v>
      </c>
      <c r="E1670" s="4">
        <f>IF(DatiOriginali!E1670 &gt;= SogliaPicchi!$B$18,"",DatiOriginali!E1670)</f>
        <v>642700</v>
      </c>
      <c r="F1670" s="4">
        <v>5753177</v>
      </c>
      <c r="G1670" s="4">
        <f>IF(DatiOriginali!G1670 &gt;= SogliaPicchi!$B$18,"",DatiOriginali!G1670)</f>
        <v>312300</v>
      </c>
      <c r="H1670" s="4">
        <v>7178913</v>
      </c>
      <c r="I1670" s="4">
        <f>IF(DatiOriginali!I1670 &gt;= SogliaPicchi!$B$18,"",DatiOriginali!I1670)</f>
        <v>104800</v>
      </c>
      <c r="J1670" s="4">
        <v>7167717</v>
      </c>
      <c r="K1670" s="4">
        <f>IF(DatiOriginali!K1670 &gt;= SogliaPicchi!$B$18,"",DatiOriginali!K1670)</f>
        <v>116100</v>
      </c>
    </row>
    <row r="1671" spans="1:11" x14ac:dyDescent="0.3">
      <c r="A1671" s="4" t="s">
        <v>1680</v>
      </c>
      <c r="B1671" s="4">
        <v>360825</v>
      </c>
      <c r="C1671" s="4">
        <f>IF(DatiOriginali!C1671 &gt;= SogliaPicchi!$B$18,"",DatiOriginali!C1671)</f>
        <v>3238900</v>
      </c>
      <c r="D1671" s="4">
        <v>178238</v>
      </c>
      <c r="E1671" s="4">
        <f>IF(DatiOriginali!E1671 &gt;= SogliaPicchi!$B$18,"",DatiOriginali!E1671)</f>
        <v>620100</v>
      </c>
      <c r="F1671" s="4">
        <v>5760408</v>
      </c>
      <c r="G1671" s="4">
        <f>IF(DatiOriginali!G1671 &gt;= SogliaPicchi!$B$18,"",DatiOriginali!G1671)</f>
        <v>309300</v>
      </c>
      <c r="H1671" s="4">
        <v>7187167</v>
      </c>
      <c r="I1671" s="4">
        <f>IF(DatiOriginali!I1671 &gt;= SogliaPicchi!$B$18,"",DatiOriginali!I1671)</f>
        <v>102800</v>
      </c>
      <c r="J1671" s="4">
        <v>7176817</v>
      </c>
      <c r="K1671" s="4">
        <f>IF(DatiOriginali!K1671 &gt;= SogliaPicchi!$B$18,"",DatiOriginali!K1671)</f>
        <v>117800</v>
      </c>
    </row>
    <row r="1672" spans="1:11" x14ac:dyDescent="0.3">
      <c r="A1672" s="4" t="s">
        <v>1681</v>
      </c>
      <c r="B1672" s="4">
        <v>360825</v>
      </c>
      <c r="C1672" s="4">
        <f>IF(DatiOriginali!C1672 &gt;= SogliaPicchi!$B$18,"",DatiOriginali!C1672)</f>
        <v>3048300</v>
      </c>
      <c r="D1672" s="4">
        <v>175311</v>
      </c>
      <c r="E1672" s="4">
        <f>IF(DatiOriginali!E1672 &gt;= SogliaPicchi!$B$18,"",DatiOriginali!E1672)</f>
        <v>615000</v>
      </c>
      <c r="F1672" s="4">
        <v>5767594</v>
      </c>
      <c r="G1672" s="4">
        <f>IF(DatiOriginali!G1672 &gt;= SogliaPicchi!$B$18,"",DatiOriginali!G1672)</f>
        <v>312500</v>
      </c>
      <c r="H1672" s="4">
        <v>7196227</v>
      </c>
      <c r="I1672" s="4">
        <f>IF(DatiOriginali!I1672 &gt;= SogliaPicchi!$B$18,"",DatiOriginali!I1672)</f>
        <v>106900</v>
      </c>
      <c r="J1672" s="4">
        <v>7185558</v>
      </c>
      <c r="K1672" s="4">
        <f>IF(DatiOriginali!K1672 &gt;= SogliaPicchi!$B$18,"",DatiOriginali!K1672)</f>
        <v>118500</v>
      </c>
    </row>
    <row r="1673" spans="1:11" x14ac:dyDescent="0.3">
      <c r="A1673" s="4" t="s">
        <v>1682</v>
      </c>
      <c r="B1673" s="4">
        <v>360825</v>
      </c>
      <c r="C1673" s="4">
        <f>IF(DatiOriginali!C1673 &gt;= SogliaPicchi!$B$18,"",DatiOriginali!C1673)</f>
        <v>2948000</v>
      </c>
      <c r="D1673" s="4">
        <v>186289</v>
      </c>
      <c r="E1673" s="4">
        <f>IF(DatiOriginali!E1673 &gt;= SogliaPicchi!$B$18,"",DatiOriginali!E1673)</f>
        <v>791100</v>
      </c>
      <c r="F1673" s="4">
        <v>5774774</v>
      </c>
      <c r="G1673" s="4">
        <f>IF(DatiOriginali!G1673 &gt;= SogliaPicchi!$B$18,"",DatiOriginali!G1673)</f>
        <v>324200</v>
      </c>
      <c r="H1673" s="4">
        <v>7204882</v>
      </c>
      <c r="I1673" s="4">
        <f>IF(DatiOriginali!I1673 &gt;= SogliaPicchi!$B$18,"",DatiOriginali!I1673)</f>
        <v>108500</v>
      </c>
      <c r="J1673" s="4">
        <v>7194678</v>
      </c>
      <c r="K1673" s="4">
        <f>IF(DatiOriginali!K1673 &gt;= SogliaPicchi!$B$18,"",DatiOriginali!K1673)</f>
        <v>118900</v>
      </c>
    </row>
    <row r="1674" spans="1:11" x14ac:dyDescent="0.3">
      <c r="A1674" s="4" t="s">
        <v>1683</v>
      </c>
      <c r="B1674" s="4">
        <v>360825</v>
      </c>
      <c r="C1674" s="4">
        <f>IF(DatiOriginali!C1674 &gt;= SogliaPicchi!$B$18,"",DatiOriginali!C1674)</f>
        <v>2977100</v>
      </c>
      <c r="D1674" s="4">
        <v>174420</v>
      </c>
      <c r="E1674" s="4">
        <f>IF(DatiOriginali!E1674 &gt;= SogliaPicchi!$B$18,"",DatiOriginali!E1674)</f>
        <v>607000</v>
      </c>
      <c r="F1674" s="4">
        <v>5781981</v>
      </c>
      <c r="G1674" s="4">
        <f>IF(DatiOriginali!G1674 &gt;= SogliaPicchi!$B$18,"",DatiOriginali!G1674)</f>
        <v>313400</v>
      </c>
      <c r="H1674" s="4">
        <v>7213460</v>
      </c>
      <c r="I1674" s="4">
        <f>IF(DatiOriginali!I1674 &gt;= SogliaPicchi!$B$18,"",DatiOriginali!I1674)</f>
        <v>103900</v>
      </c>
      <c r="J1674" s="4">
        <v>7203554</v>
      </c>
      <c r="K1674" s="4">
        <f>IF(DatiOriginali!K1674 &gt;= SogliaPicchi!$B$18,"",DatiOriginali!K1674)</f>
        <v>115900</v>
      </c>
    </row>
    <row r="1675" spans="1:11" x14ac:dyDescent="0.3">
      <c r="A1675" s="4" t="s">
        <v>1684</v>
      </c>
      <c r="B1675" s="4">
        <v>360825</v>
      </c>
      <c r="C1675" s="4">
        <f>IF(DatiOriginali!C1675 &gt;= SogliaPicchi!$B$18,"",DatiOriginali!C1675)</f>
        <v>2638100</v>
      </c>
      <c r="D1675" s="4">
        <v>177192</v>
      </c>
      <c r="E1675" s="4">
        <f>IF(DatiOriginali!E1675 &gt;= SogliaPicchi!$B$18,"",DatiOriginali!E1675)</f>
        <v>673300</v>
      </c>
      <c r="F1675" s="4">
        <v>5789207</v>
      </c>
      <c r="G1675" s="4">
        <f>IF(DatiOriginali!G1675 &gt;= SogliaPicchi!$B$18,"",DatiOriginali!G1675)</f>
        <v>310500</v>
      </c>
      <c r="H1675" s="4">
        <v>7222454</v>
      </c>
      <c r="I1675" s="4">
        <f>IF(DatiOriginali!I1675 &gt;= SogliaPicchi!$B$18,"",DatiOriginali!I1675)</f>
        <v>104800</v>
      </c>
      <c r="J1675" s="4">
        <v>7212495</v>
      </c>
      <c r="K1675" s="4">
        <f>IF(DatiOriginali!K1675 &gt;= SogliaPicchi!$B$18,"",DatiOriginali!K1675)</f>
        <v>116400</v>
      </c>
    </row>
    <row r="1676" spans="1:11" x14ac:dyDescent="0.3">
      <c r="A1676" s="4" t="s">
        <v>1685</v>
      </c>
      <c r="B1676" s="4">
        <v>360825</v>
      </c>
      <c r="C1676" s="4">
        <f>IF(DatiOriginali!C1676 &gt;= SogliaPicchi!$B$18,"",DatiOriginali!C1676)</f>
        <v>2834600</v>
      </c>
      <c r="D1676" s="4">
        <v>179054</v>
      </c>
      <c r="E1676" s="4">
        <f>IF(DatiOriginali!E1676 &gt;= SogliaPicchi!$B$18,"",DatiOriginali!E1676)</f>
        <v>630000</v>
      </c>
      <c r="F1676" s="4">
        <v>5796425</v>
      </c>
      <c r="G1676" s="4">
        <f>IF(DatiOriginali!G1676 &gt;= SogliaPicchi!$B$18,"",DatiOriginali!G1676)</f>
        <v>312600</v>
      </c>
      <c r="H1676" s="4">
        <v>7230574</v>
      </c>
      <c r="I1676" s="4">
        <f>IF(DatiOriginali!I1676 &gt;= SogliaPicchi!$B$18,"",DatiOriginali!I1676)</f>
        <v>102400</v>
      </c>
      <c r="J1676" s="4">
        <v>7221860</v>
      </c>
      <c r="K1676" s="4">
        <f>IF(DatiOriginali!K1676 &gt;= SogliaPicchi!$B$18,"",DatiOriginali!K1676)</f>
        <v>120900</v>
      </c>
    </row>
    <row r="1677" spans="1:11" x14ac:dyDescent="0.3">
      <c r="A1677" s="4" t="s">
        <v>1686</v>
      </c>
      <c r="B1677" s="4">
        <v>360825</v>
      </c>
      <c r="C1677" s="4">
        <f>IF(DatiOriginali!C1677 &gt;= SogliaPicchi!$B$18,"",DatiOriginali!C1677)</f>
        <v>2995800</v>
      </c>
      <c r="D1677" s="4">
        <v>181745</v>
      </c>
      <c r="E1677" s="4">
        <f>IF(DatiOriginali!E1677 &gt;= SogliaPicchi!$B$18,"",DatiOriginali!E1677)</f>
        <v>653400</v>
      </c>
      <c r="F1677" s="4">
        <v>5803630</v>
      </c>
      <c r="G1677" s="4">
        <f>IF(DatiOriginali!G1677 &gt;= SogliaPicchi!$B$18,"",DatiOriginali!G1677)</f>
        <v>314900</v>
      </c>
      <c r="H1677" s="4">
        <v>7239223</v>
      </c>
      <c r="I1677" s="4">
        <f>IF(DatiOriginali!I1677 &gt;= SogliaPicchi!$B$18,"",DatiOriginali!I1677)</f>
        <v>106500</v>
      </c>
      <c r="J1677" s="4">
        <v>7230639</v>
      </c>
      <c r="K1677" s="4">
        <f>IF(DatiOriginali!K1677 &gt;= SogliaPicchi!$B$18,"",DatiOriginali!K1677)</f>
        <v>117800</v>
      </c>
    </row>
    <row r="1678" spans="1:11" x14ac:dyDescent="0.3">
      <c r="A1678" s="4" t="s">
        <v>1687</v>
      </c>
      <c r="B1678" s="4">
        <v>360825</v>
      </c>
      <c r="C1678" s="4">
        <f>IF(DatiOriginali!C1678 &gt;= SogliaPicchi!$B$18,"",DatiOriginali!C1678)</f>
        <v>3136300</v>
      </c>
      <c r="D1678" s="4">
        <v>182585</v>
      </c>
      <c r="E1678" s="4">
        <f>IF(DatiOriginali!E1678 &gt;= SogliaPicchi!$B$18,"",DatiOriginali!E1678)</f>
        <v>641400</v>
      </c>
      <c r="F1678" s="4">
        <v>5810828</v>
      </c>
      <c r="G1678" s="4">
        <f>IF(DatiOriginali!G1678 &gt;= SogliaPicchi!$B$18,"",DatiOriginali!G1678)</f>
        <v>310700</v>
      </c>
      <c r="H1678" s="4">
        <v>7248318</v>
      </c>
      <c r="I1678" s="4">
        <f>IF(DatiOriginali!I1678 &gt;= SogliaPicchi!$B$18,"",DatiOriginali!I1678)</f>
        <v>122300</v>
      </c>
      <c r="J1678" s="4">
        <v>7239221</v>
      </c>
      <c r="K1678" s="4">
        <f>IF(DatiOriginali!K1678 &gt;= SogliaPicchi!$B$18,"",DatiOriginali!K1678)</f>
        <v>119600</v>
      </c>
    </row>
    <row r="1679" spans="1:11" x14ac:dyDescent="0.3">
      <c r="A1679" s="4" t="s">
        <v>1688</v>
      </c>
      <c r="B1679" s="4">
        <v>360825</v>
      </c>
      <c r="C1679" s="4">
        <f>IF(DatiOriginali!C1679 &gt;= SogliaPicchi!$B$18,"",DatiOriginali!C1679)</f>
        <v>2942100</v>
      </c>
      <c r="D1679" s="4">
        <v>184848</v>
      </c>
      <c r="E1679" s="4">
        <f>IF(DatiOriginali!E1679 &gt;= SogliaPicchi!$B$18,"",DatiOriginali!E1679)</f>
        <v>644200</v>
      </c>
      <c r="F1679" s="4">
        <v>5818029</v>
      </c>
      <c r="G1679" s="4">
        <f>IF(DatiOriginali!G1679 &gt;= SogliaPicchi!$B$18,"",DatiOriginali!G1679)</f>
        <v>308300</v>
      </c>
      <c r="H1679" s="4">
        <v>7257269</v>
      </c>
      <c r="I1679" s="4">
        <f>IF(DatiOriginali!I1679 &gt;= SogliaPicchi!$B$18,"",DatiOriginali!I1679)</f>
        <v>104800</v>
      </c>
      <c r="J1679" s="4">
        <v>7248070</v>
      </c>
      <c r="K1679" s="4">
        <f>IF(DatiOriginali!K1679 &gt;= SogliaPicchi!$B$18,"",DatiOriginali!K1679)</f>
        <v>115300</v>
      </c>
    </row>
    <row r="1680" spans="1:11" x14ac:dyDescent="0.3">
      <c r="A1680" s="4" t="s">
        <v>1689</v>
      </c>
      <c r="B1680" s="4">
        <v>360825</v>
      </c>
      <c r="C1680" s="4">
        <f>IF(DatiOriginali!C1680 &gt;= SogliaPicchi!$B$18,"",DatiOriginali!C1680)</f>
        <v>3092400</v>
      </c>
      <c r="D1680" s="4">
        <v>180040</v>
      </c>
      <c r="E1680" s="4">
        <f>IF(DatiOriginali!E1680 &gt;= SogliaPicchi!$B$18,"",DatiOriginali!E1680)</f>
        <v>683800</v>
      </c>
      <c r="F1680" s="4">
        <v>5825244</v>
      </c>
      <c r="G1680" s="4">
        <f>IF(DatiOriginali!G1680 &gt;= SogliaPicchi!$B$18,"",DatiOriginali!G1680)</f>
        <v>310700</v>
      </c>
      <c r="H1680" s="4">
        <v>7265758</v>
      </c>
      <c r="I1680" s="4">
        <f>IF(DatiOriginali!I1680 &gt;= SogliaPicchi!$B$18,"",DatiOriginali!I1680)</f>
        <v>106900</v>
      </c>
      <c r="J1680" s="4">
        <v>7256804</v>
      </c>
      <c r="K1680" s="4">
        <f>IF(DatiOriginali!K1680 &gt;= SogliaPicchi!$B$18,"",DatiOriginali!K1680)</f>
        <v>116900</v>
      </c>
    </row>
    <row r="1681" spans="1:11" x14ac:dyDescent="0.3">
      <c r="A1681" s="4" t="s">
        <v>1690</v>
      </c>
      <c r="B1681" s="4">
        <v>360825</v>
      </c>
      <c r="C1681" s="4">
        <f>IF(DatiOriginali!C1681 &gt;= SogliaPicchi!$B$18,"",DatiOriginali!C1681)</f>
        <v>2960400</v>
      </c>
      <c r="D1681" s="4">
        <v>180620</v>
      </c>
      <c r="E1681" s="4">
        <f>IF(DatiOriginali!E1681 &gt;= SogliaPicchi!$B$18,"",DatiOriginali!E1681)</f>
        <v>658800</v>
      </c>
      <c r="F1681" s="4">
        <v>5832451</v>
      </c>
      <c r="G1681" s="4">
        <f>IF(DatiOriginali!G1681 &gt;= SogliaPicchi!$B$18,"",DatiOriginali!G1681)</f>
        <v>315400</v>
      </c>
      <c r="H1681" s="4">
        <v>7274944</v>
      </c>
      <c r="I1681" s="4">
        <f>IF(DatiOriginali!I1681 &gt;= SogliaPicchi!$B$18,"",DatiOriginali!I1681)</f>
        <v>104200</v>
      </c>
      <c r="J1681" s="4">
        <v>7265618</v>
      </c>
      <c r="K1681" s="4">
        <f>IF(DatiOriginali!K1681 &gt;= SogliaPicchi!$B$18,"",DatiOriginali!K1681)</f>
        <v>119300</v>
      </c>
    </row>
    <row r="1682" spans="1:11" x14ac:dyDescent="0.3">
      <c r="A1682" s="4" t="s">
        <v>1691</v>
      </c>
      <c r="B1682" s="4">
        <v>360825</v>
      </c>
      <c r="C1682" s="4">
        <f>IF(DatiOriginali!C1682 &gt;= SogliaPicchi!$B$18,"",DatiOriginali!C1682)</f>
        <v>2956600</v>
      </c>
      <c r="D1682" s="4">
        <v>177234</v>
      </c>
      <c r="E1682" s="4">
        <f>IF(DatiOriginali!E1682 &gt;= SogliaPicchi!$B$18,"",DatiOriginali!E1682)</f>
        <v>631400</v>
      </c>
      <c r="F1682" s="4">
        <v>5839682</v>
      </c>
      <c r="G1682" s="4">
        <f>IF(DatiOriginali!G1682 &gt;= SogliaPicchi!$B$18,"",DatiOriginali!G1682)</f>
        <v>312100</v>
      </c>
      <c r="H1682" s="4">
        <v>7284957</v>
      </c>
      <c r="I1682" s="4">
        <f>IF(DatiOriginali!I1682 &gt;= SogliaPicchi!$B$18,"",DatiOriginali!I1682)</f>
        <v>105800</v>
      </c>
      <c r="J1682" s="4">
        <v>7274698</v>
      </c>
      <c r="K1682" s="4">
        <f>IF(DatiOriginali!K1682 &gt;= SogliaPicchi!$B$18,"",DatiOriginali!K1682)</f>
        <v>113000</v>
      </c>
    </row>
    <row r="1683" spans="1:11" x14ac:dyDescent="0.3">
      <c r="A1683" s="4" t="s">
        <v>1692</v>
      </c>
      <c r="B1683" s="4">
        <v>360825</v>
      </c>
      <c r="C1683" s="4">
        <f>IF(DatiOriginali!C1683 &gt;= SogliaPicchi!$B$18,"",DatiOriginali!C1683)</f>
        <v>2886500</v>
      </c>
      <c r="D1683" s="4">
        <v>179191</v>
      </c>
      <c r="E1683" s="4">
        <f>IF(DatiOriginali!E1683 &gt;= SogliaPicchi!$B$18,"",DatiOriginali!E1683)</f>
        <v>620900</v>
      </c>
      <c r="F1683" s="4">
        <v>5846913</v>
      </c>
      <c r="G1683" s="4">
        <f>IF(DatiOriginali!G1683 &gt;= SogliaPicchi!$B$18,"",DatiOriginali!G1683)</f>
        <v>306900</v>
      </c>
      <c r="H1683" s="4">
        <v>7293213</v>
      </c>
      <c r="I1683" s="4">
        <f>IF(DatiOriginali!I1683 &gt;= SogliaPicchi!$B$18,"",DatiOriginali!I1683)</f>
        <v>105700</v>
      </c>
      <c r="J1683" s="4">
        <v>7283498</v>
      </c>
      <c r="K1683" s="4">
        <f>IF(DatiOriginali!K1683 &gt;= SogliaPicchi!$B$18,"",DatiOriginali!K1683)</f>
        <v>117200</v>
      </c>
    </row>
    <row r="1684" spans="1:11" x14ac:dyDescent="0.3">
      <c r="A1684" s="4" t="s">
        <v>1693</v>
      </c>
      <c r="B1684" s="4">
        <v>360825</v>
      </c>
      <c r="C1684" s="4">
        <f>IF(DatiOriginali!C1684 &gt;= SogliaPicchi!$B$18,"",DatiOriginali!C1684)</f>
        <v>2974800</v>
      </c>
      <c r="D1684" s="4">
        <v>181378</v>
      </c>
      <c r="E1684" s="4">
        <f>IF(DatiOriginali!E1684 &gt;= SogliaPicchi!$B$18,"",DatiOriginali!E1684)</f>
        <v>699500</v>
      </c>
      <c r="F1684" s="4">
        <v>5854116</v>
      </c>
      <c r="G1684" s="4">
        <f>IF(DatiOriginali!G1684 &gt;= SogliaPicchi!$B$18,"",DatiOriginali!G1684)</f>
        <v>333200</v>
      </c>
      <c r="H1684" s="4">
        <v>7303690</v>
      </c>
      <c r="I1684" s="4">
        <f>IF(DatiOriginali!I1684 &gt;= SogliaPicchi!$B$18,"",DatiOriginali!I1684)</f>
        <v>112900</v>
      </c>
      <c r="J1684" s="4">
        <v>7293220</v>
      </c>
      <c r="K1684" s="4">
        <f>IF(DatiOriginali!K1684 &gt;= SogliaPicchi!$B$18,"",DatiOriginali!K1684)</f>
        <v>115300</v>
      </c>
    </row>
    <row r="1685" spans="1:11" x14ac:dyDescent="0.3">
      <c r="A1685" s="4" t="s">
        <v>1694</v>
      </c>
      <c r="B1685" s="4">
        <v>360825</v>
      </c>
      <c r="C1685" s="4">
        <f>IF(DatiOriginali!C1685 &gt;= SogliaPicchi!$B$18,"",DatiOriginali!C1685)</f>
        <v>2757900</v>
      </c>
      <c r="D1685" s="4">
        <v>186644</v>
      </c>
      <c r="E1685" s="4">
        <f>IF(DatiOriginali!E1685 &gt;= SogliaPicchi!$B$18,"",DatiOriginali!E1685)</f>
        <v>668100</v>
      </c>
      <c r="F1685" s="4">
        <v>5861337</v>
      </c>
      <c r="G1685" s="4">
        <f>IF(DatiOriginali!G1685 &gt;= SogliaPicchi!$B$18,"",DatiOriginali!G1685)</f>
        <v>314400</v>
      </c>
      <c r="H1685" s="4">
        <v>7312516</v>
      </c>
      <c r="I1685" s="4">
        <f>IF(DatiOriginali!I1685 &gt;= SogliaPicchi!$B$18,"",DatiOriginali!I1685)</f>
        <v>104800</v>
      </c>
      <c r="J1685" s="4">
        <v>7304132</v>
      </c>
      <c r="K1685" s="4">
        <f>IF(DatiOriginali!K1685 &gt;= SogliaPicchi!$B$18,"",DatiOriginali!K1685)</f>
        <v>122800</v>
      </c>
    </row>
    <row r="1686" spans="1:11" x14ac:dyDescent="0.3">
      <c r="A1686" s="4" t="s">
        <v>1695</v>
      </c>
      <c r="B1686" s="4">
        <v>360825</v>
      </c>
      <c r="C1686" s="4">
        <f>IF(DatiOriginali!C1686 &gt;= SogliaPicchi!$B$18,"",DatiOriginali!C1686)</f>
        <v>2975100</v>
      </c>
      <c r="D1686" s="4">
        <v>177771</v>
      </c>
      <c r="E1686" s="4">
        <f>IF(DatiOriginali!E1686 &gt;= SogliaPicchi!$B$18,"",DatiOriginali!E1686)</f>
        <v>621400</v>
      </c>
      <c r="F1686" s="4">
        <v>5868580</v>
      </c>
      <c r="G1686" s="4">
        <f>IF(DatiOriginali!G1686 &gt;= SogliaPicchi!$B$18,"",DatiOriginali!G1686)</f>
        <v>308900</v>
      </c>
      <c r="H1686" s="4">
        <v>7320827</v>
      </c>
      <c r="I1686" s="4">
        <f>IF(DatiOriginali!I1686 &gt;= SogliaPicchi!$B$18,"",DatiOriginali!I1686)</f>
        <v>105400</v>
      </c>
      <c r="J1686" s="4">
        <v>7313050</v>
      </c>
      <c r="K1686" s="4">
        <f>IF(DatiOriginali!K1686 &gt;= SogliaPicchi!$B$18,"",DatiOriginali!K1686)</f>
        <v>116100</v>
      </c>
    </row>
    <row r="1687" spans="1:11" x14ac:dyDescent="0.3">
      <c r="A1687" s="4" t="s">
        <v>1696</v>
      </c>
      <c r="B1687" s="4">
        <v>360825</v>
      </c>
      <c r="C1687" s="4">
        <f>IF(DatiOriginali!C1687 &gt;= SogliaPicchi!$B$18,"",DatiOriginali!C1687)</f>
        <v>2847900</v>
      </c>
      <c r="D1687" s="4">
        <v>177232</v>
      </c>
      <c r="E1687" s="4">
        <f>IF(DatiOriginali!E1687 &gt;= SogliaPicchi!$B$18,"",DatiOriginali!E1687)</f>
        <v>619100</v>
      </c>
      <c r="F1687" s="4">
        <v>5875804</v>
      </c>
      <c r="G1687" s="4">
        <f>IF(DatiOriginali!G1687 &gt;= SogliaPicchi!$B$18,"",DatiOriginali!G1687)</f>
        <v>321200</v>
      </c>
      <c r="H1687" s="4">
        <v>7329476</v>
      </c>
      <c r="I1687" s="4">
        <f>IF(DatiOriginali!I1687 &gt;= SogliaPicchi!$B$18,"",DatiOriginali!I1687)</f>
        <v>105800</v>
      </c>
      <c r="J1687" s="4">
        <v>7321858</v>
      </c>
      <c r="K1687" s="4">
        <f>IF(DatiOriginali!K1687 &gt;= SogliaPicchi!$B$18,"",DatiOriginali!K1687)</f>
        <v>115900</v>
      </c>
    </row>
    <row r="1688" spans="1:11" x14ac:dyDescent="0.3">
      <c r="A1688" s="4" t="s">
        <v>1697</v>
      </c>
      <c r="B1688" s="4">
        <v>360825</v>
      </c>
      <c r="C1688" s="4">
        <f>IF(DatiOriginali!C1688 &gt;= SogliaPicchi!$B$18,"",DatiOriginali!C1688)</f>
        <v>3093600</v>
      </c>
      <c r="D1688" s="4">
        <v>177554</v>
      </c>
      <c r="E1688" s="4">
        <f>IF(DatiOriginali!E1688 &gt;= SogliaPicchi!$B$18,"",DatiOriginali!E1688)</f>
        <v>623900</v>
      </c>
      <c r="F1688" s="4">
        <v>5883013</v>
      </c>
      <c r="G1688" s="4">
        <f>IF(DatiOriginali!G1688 &gt;= SogliaPicchi!$B$18,"",DatiOriginali!G1688)</f>
        <v>311300</v>
      </c>
      <c r="H1688" s="4">
        <v>7338242</v>
      </c>
      <c r="I1688" s="4">
        <f>IF(DatiOriginali!I1688 &gt;= SogliaPicchi!$B$18,"",DatiOriginali!I1688)</f>
        <v>112400</v>
      </c>
      <c r="J1688" s="4">
        <v>7331279</v>
      </c>
      <c r="K1688" s="4">
        <f>IF(DatiOriginali!K1688 &gt;= SogliaPicchi!$B$18,"",DatiOriginali!K1688)</f>
        <v>141500</v>
      </c>
    </row>
    <row r="1689" spans="1:11" x14ac:dyDescent="0.3">
      <c r="A1689" s="4" t="s">
        <v>1698</v>
      </c>
      <c r="B1689" s="4">
        <v>360825</v>
      </c>
      <c r="C1689" s="4">
        <f>IF(DatiOriginali!C1689 &gt;= SogliaPicchi!$B$18,"",DatiOriginali!C1689)</f>
        <v>2914600</v>
      </c>
      <c r="D1689" s="4">
        <v>187083</v>
      </c>
      <c r="E1689" s="4">
        <f>IF(DatiOriginali!E1689 &gt;= SogliaPicchi!$B$18,"",DatiOriginali!E1689)</f>
        <v>648200</v>
      </c>
      <c r="F1689" s="4">
        <v>5890242</v>
      </c>
      <c r="G1689" s="4">
        <f>IF(DatiOriginali!G1689 &gt;= SogliaPicchi!$B$18,"",DatiOriginali!G1689)</f>
        <v>312300</v>
      </c>
      <c r="H1689" s="4">
        <v>7346966</v>
      </c>
      <c r="I1689" s="4">
        <f>IF(DatiOriginali!I1689 &gt;= SogliaPicchi!$B$18,"",DatiOriginali!I1689)</f>
        <v>104000</v>
      </c>
      <c r="J1689" s="4">
        <v>7339940</v>
      </c>
      <c r="K1689" s="4">
        <f>IF(DatiOriginali!K1689 &gt;= SogliaPicchi!$B$18,"",DatiOriginali!K1689)</f>
        <v>113700</v>
      </c>
    </row>
    <row r="1690" spans="1:11" x14ac:dyDescent="0.3">
      <c r="A1690" s="4" t="s">
        <v>1699</v>
      </c>
      <c r="B1690" s="4">
        <v>360825</v>
      </c>
      <c r="C1690" s="4">
        <f>IF(DatiOriginali!C1690 &gt;= SogliaPicchi!$B$18,"",DatiOriginali!C1690)</f>
        <v>2854700</v>
      </c>
      <c r="D1690" s="4">
        <v>182181</v>
      </c>
      <c r="E1690" s="4">
        <f>IF(DatiOriginali!E1690 &gt;= SogliaPicchi!$B$18,"",DatiOriginali!E1690)</f>
        <v>648400</v>
      </c>
      <c r="F1690" s="4">
        <v>5897459</v>
      </c>
      <c r="G1690" s="4">
        <f>IF(DatiOriginali!G1690 &gt;= SogliaPicchi!$B$18,"",DatiOriginali!G1690)</f>
        <v>308700</v>
      </c>
      <c r="H1690" s="4">
        <v>7356154</v>
      </c>
      <c r="I1690" s="4">
        <f>IF(DatiOriginali!I1690 &gt;= SogliaPicchi!$B$18,"",DatiOriginali!I1690)</f>
        <v>105200</v>
      </c>
      <c r="J1690" s="4">
        <v>7348735</v>
      </c>
      <c r="K1690" s="4">
        <f>IF(DatiOriginali!K1690 &gt;= SogliaPicchi!$B$18,"",DatiOriginali!K1690)</f>
        <v>117200</v>
      </c>
    </row>
    <row r="1691" spans="1:11" x14ac:dyDescent="0.3">
      <c r="A1691" s="4" t="s">
        <v>1700</v>
      </c>
      <c r="B1691" s="4">
        <v>360825</v>
      </c>
      <c r="C1691" s="4">
        <f>IF(DatiOriginali!C1691 &gt;= SogliaPicchi!$B$18,"",DatiOriginali!C1691)</f>
        <v>3100900</v>
      </c>
      <c r="D1691" s="4">
        <v>183780</v>
      </c>
      <c r="E1691" s="4">
        <f>IF(DatiOriginali!E1691 &gt;= SogliaPicchi!$B$18,"",DatiOriginali!E1691)</f>
        <v>680600</v>
      </c>
      <c r="F1691" s="4">
        <v>5904659</v>
      </c>
      <c r="G1691" s="4">
        <f>IF(DatiOriginali!G1691 &gt;= SogliaPicchi!$B$18,"",DatiOriginali!G1691)</f>
        <v>314500</v>
      </c>
      <c r="H1691" s="4">
        <v>7364670</v>
      </c>
      <c r="I1691" s="4">
        <f>IF(DatiOriginali!I1691 &gt;= SogliaPicchi!$B$18,"",DatiOriginali!I1691)</f>
        <v>106000</v>
      </c>
      <c r="J1691" s="4">
        <v>7357491</v>
      </c>
      <c r="K1691" s="4">
        <f>IF(DatiOriginali!K1691 &gt;= SogliaPicchi!$B$18,"",DatiOriginali!K1691)</f>
        <v>120700</v>
      </c>
    </row>
    <row r="1692" spans="1:11" x14ac:dyDescent="0.3">
      <c r="A1692" s="4" t="s">
        <v>1701</v>
      </c>
      <c r="B1692" s="4">
        <v>360825</v>
      </c>
      <c r="C1692" s="4">
        <f>IF(DatiOriginali!C1692 &gt;= SogliaPicchi!$B$18,"",DatiOriginali!C1692)</f>
        <v>2712400</v>
      </c>
      <c r="D1692" s="4">
        <v>182888</v>
      </c>
      <c r="E1692" s="4">
        <f>IF(DatiOriginali!E1692 &gt;= SogliaPicchi!$B$18,"",DatiOriginali!E1692)</f>
        <v>635000</v>
      </c>
      <c r="F1692" s="4">
        <v>5911871</v>
      </c>
      <c r="G1692" s="4">
        <f>IF(DatiOriginali!G1692 &gt;= SogliaPicchi!$B$18,"",DatiOriginali!G1692)</f>
        <v>309400</v>
      </c>
      <c r="H1692" s="4">
        <v>7374306</v>
      </c>
      <c r="I1692" s="4">
        <f>IF(DatiOriginali!I1692 &gt;= SogliaPicchi!$B$18,"",DatiOriginali!I1692)</f>
        <v>105200</v>
      </c>
      <c r="J1692" s="4">
        <v>7366718</v>
      </c>
      <c r="K1692" s="4">
        <f>IF(DatiOriginali!K1692 &gt;= SogliaPicchi!$B$18,"",DatiOriginali!K1692)</f>
        <v>118600</v>
      </c>
    </row>
    <row r="1693" spans="1:11" x14ac:dyDescent="0.3">
      <c r="A1693" s="4" t="s">
        <v>1702</v>
      </c>
      <c r="B1693" s="4">
        <v>360825</v>
      </c>
      <c r="C1693" s="4">
        <f>IF(DatiOriginali!C1693 &gt;= SogliaPicchi!$B$18,"",DatiOriginali!C1693)</f>
        <v>2728800</v>
      </c>
      <c r="D1693" s="4">
        <v>185604</v>
      </c>
      <c r="E1693" s="4">
        <f>IF(DatiOriginali!E1693 &gt;= SogliaPicchi!$B$18,"",DatiOriginali!E1693)</f>
        <v>644600</v>
      </c>
      <c r="F1693" s="4">
        <v>5919069</v>
      </c>
      <c r="G1693" s="4">
        <f>IF(DatiOriginali!G1693 &gt;= SogliaPicchi!$B$18,"",DatiOriginali!G1693)</f>
        <v>307900</v>
      </c>
      <c r="H1693" s="4">
        <v>7383697</v>
      </c>
      <c r="I1693" s="4">
        <f>IF(DatiOriginali!I1693 &gt;= SogliaPicchi!$B$18,"",DatiOriginali!I1693)</f>
        <v>103400</v>
      </c>
      <c r="J1693" s="4">
        <v>7375695</v>
      </c>
      <c r="K1693" s="4">
        <f>IF(DatiOriginali!K1693 &gt;= SogliaPicchi!$B$18,"",DatiOriginali!K1693)</f>
        <v>114400</v>
      </c>
    </row>
    <row r="1694" spans="1:11" x14ac:dyDescent="0.3">
      <c r="A1694" s="4" t="s">
        <v>1703</v>
      </c>
      <c r="B1694" s="4">
        <v>360825</v>
      </c>
      <c r="C1694" s="4">
        <f>IF(DatiOriginali!C1694 &gt;= SogliaPicchi!$B$18,"",DatiOriginali!C1694)</f>
        <v>2990500</v>
      </c>
      <c r="D1694" s="4">
        <v>186335</v>
      </c>
      <c r="E1694" s="4">
        <f>IF(DatiOriginali!E1694 &gt;= SogliaPicchi!$B$18,"",DatiOriginali!E1694)</f>
        <v>667300</v>
      </c>
      <c r="F1694" s="4">
        <v>5926261</v>
      </c>
      <c r="G1694" s="4">
        <f>IF(DatiOriginali!G1694 &gt;= SogliaPicchi!$B$18,"",DatiOriginali!G1694)</f>
        <v>313700</v>
      </c>
      <c r="H1694" s="4">
        <v>7392436</v>
      </c>
      <c r="I1694" s="4">
        <f>IF(DatiOriginali!I1694 &gt;= SogliaPicchi!$B$18,"",DatiOriginali!I1694)</f>
        <v>105000</v>
      </c>
      <c r="J1694" s="4">
        <v>7383915</v>
      </c>
      <c r="K1694" s="4">
        <f>IF(DatiOriginali!K1694 &gt;= SogliaPicchi!$B$18,"",DatiOriginali!K1694)</f>
        <v>120200</v>
      </c>
    </row>
    <row r="1695" spans="1:11" x14ac:dyDescent="0.3">
      <c r="A1695" s="4" t="s">
        <v>1704</v>
      </c>
      <c r="B1695" s="4">
        <v>360825</v>
      </c>
      <c r="C1695" s="4">
        <f>IF(DatiOriginali!C1695 &gt;= SogliaPicchi!$B$18,"",DatiOriginali!C1695)</f>
        <v>3216700</v>
      </c>
      <c r="D1695" s="4">
        <v>178752</v>
      </c>
      <c r="E1695" s="4">
        <f>IF(DatiOriginali!E1695 &gt;= SogliaPicchi!$B$18,"",DatiOriginali!E1695)</f>
        <v>673700</v>
      </c>
      <c r="F1695" s="4">
        <v>5933474</v>
      </c>
      <c r="G1695" s="4">
        <f>IF(DatiOriginali!G1695 &gt;= SogliaPicchi!$B$18,"",DatiOriginali!G1695)</f>
        <v>313200</v>
      </c>
      <c r="H1695" s="4">
        <v>7402767</v>
      </c>
      <c r="I1695" s="4">
        <f>IF(DatiOriginali!I1695 &gt;= SogliaPicchi!$B$18,"",DatiOriginali!I1695)</f>
        <v>109000</v>
      </c>
      <c r="J1695" s="4">
        <v>7393045</v>
      </c>
      <c r="K1695" s="4">
        <f>IF(DatiOriginali!K1695 &gt;= SogliaPicchi!$B$18,"",DatiOriginali!K1695)</f>
        <v>118000</v>
      </c>
    </row>
    <row r="1696" spans="1:11" x14ac:dyDescent="0.3">
      <c r="A1696" s="4" t="s">
        <v>1705</v>
      </c>
      <c r="B1696" s="4">
        <v>360825</v>
      </c>
      <c r="C1696" s="4">
        <f>IF(DatiOriginali!C1696 &gt;= SogliaPicchi!$B$18,"",DatiOriginali!C1696)</f>
        <v>3179100</v>
      </c>
      <c r="D1696" s="4">
        <v>183155</v>
      </c>
      <c r="E1696" s="4">
        <f>IF(DatiOriginali!E1696 &gt;= SogliaPicchi!$B$18,"",DatiOriginali!E1696)</f>
        <v>645600</v>
      </c>
      <c r="F1696" s="4">
        <v>5940698</v>
      </c>
      <c r="G1696" s="4">
        <f>IF(DatiOriginali!G1696 &gt;= SogliaPicchi!$B$18,"",DatiOriginali!G1696)</f>
        <v>311300</v>
      </c>
      <c r="H1696" s="4">
        <v>7411504</v>
      </c>
      <c r="I1696" s="4">
        <f>IF(DatiOriginali!I1696 &gt;= SogliaPicchi!$B$18,"",DatiOriginali!I1696)</f>
        <v>103600</v>
      </c>
      <c r="J1696" s="4">
        <v>7402144</v>
      </c>
      <c r="K1696" s="4">
        <f>IF(DatiOriginali!K1696 &gt;= SogliaPicchi!$B$18,"",DatiOriginali!K1696)</f>
        <v>119600</v>
      </c>
    </row>
    <row r="1697" spans="1:11" x14ac:dyDescent="0.3">
      <c r="A1697" s="4" t="s">
        <v>1706</v>
      </c>
      <c r="B1697" s="4">
        <v>360825</v>
      </c>
      <c r="C1697" s="4">
        <f>IF(DatiOriginali!C1697 &gt;= SogliaPicchi!$B$18,"",DatiOriginali!C1697)</f>
        <v>2880000</v>
      </c>
      <c r="D1697" s="4">
        <v>176454</v>
      </c>
      <c r="E1697" s="4">
        <f>IF(DatiOriginali!E1697 &gt;= SogliaPicchi!$B$18,"",DatiOriginali!E1697)</f>
        <v>630900</v>
      </c>
      <c r="F1697" s="4">
        <v>5947889</v>
      </c>
      <c r="G1697" s="4">
        <f>IF(DatiOriginali!G1697 &gt;= SogliaPicchi!$B$18,"",DatiOriginali!G1697)</f>
        <v>311400</v>
      </c>
      <c r="H1697" s="4">
        <v>7420692</v>
      </c>
      <c r="I1697" s="4">
        <f>IF(DatiOriginali!I1697 &gt;= SogliaPicchi!$B$18,"",DatiOriginali!I1697)</f>
        <v>105100</v>
      </c>
      <c r="J1697" s="4">
        <v>7410844</v>
      </c>
      <c r="K1697" s="4">
        <f>IF(DatiOriginali!K1697 &gt;= SogliaPicchi!$B$18,"",DatiOriginali!K1697)</f>
        <v>117800</v>
      </c>
    </row>
    <row r="1698" spans="1:11" x14ac:dyDescent="0.3">
      <c r="A1698" s="4" t="s">
        <v>1707</v>
      </c>
      <c r="B1698" s="4">
        <v>360825</v>
      </c>
      <c r="C1698" s="4">
        <f>IF(DatiOriginali!C1698 &gt;= SogliaPicchi!$B$18,"",DatiOriginali!C1698)</f>
        <v>2920900</v>
      </c>
      <c r="D1698" s="4">
        <v>182560</v>
      </c>
      <c r="E1698" s="4">
        <f>IF(DatiOriginali!E1698 &gt;= SogliaPicchi!$B$18,"",DatiOriginali!E1698)</f>
        <v>656500</v>
      </c>
      <c r="F1698" s="4">
        <v>5955088</v>
      </c>
      <c r="G1698" s="4">
        <f>IF(DatiOriginali!G1698 &gt;= SogliaPicchi!$B$18,"",DatiOriginali!G1698)</f>
        <v>311700</v>
      </c>
      <c r="H1698" s="4">
        <v>7429410</v>
      </c>
      <c r="I1698" s="4">
        <f>IF(DatiOriginali!I1698 &gt;= SogliaPicchi!$B$18,"",DatiOriginali!I1698)</f>
        <v>102600</v>
      </c>
      <c r="J1698" s="4">
        <v>7419828</v>
      </c>
      <c r="K1698" s="4">
        <f>IF(DatiOriginali!K1698 &gt;= SogliaPicchi!$B$18,"",DatiOriginali!K1698)</f>
        <v>119800</v>
      </c>
    </row>
    <row r="1699" spans="1:11" x14ac:dyDescent="0.3">
      <c r="A1699" s="4" t="s">
        <v>1708</v>
      </c>
      <c r="B1699" s="4">
        <v>360825</v>
      </c>
      <c r="C1699" s="4">
        <f>IF(DatiOriginali!C1699 &gt;= SogliaPicchi!$B$18,"",DatiOriginali!C1699)</f>
        <v>2955000</v>
      </c>
      <c r="D1699" s="4">
        <v>180432</v>
      </c>
      <c r="E1699" s="4">
        <f>IF(DatiOriginali!E1699 &gt;= SogliaPicchi!$B$18,"",DatiOriginali!E1699)</f>
        <v>628100</v>
      </c>
      <c r="F1699" s="4">
        <v>5962287</v>
      </c>
      <c r="G1699" s="4">
        <f>IF(DatiOriginali!G1699 &gt;= SogliaPicchi!$B$18,"",DatiOriginali!G1699)</f>
        <v>320600</v>
      </c>
      <c r="H1699" s="4">
        <v>7438405</v>
      </c>
      <c r="I1699" s="4">
        <f>IF(DatiOriginali!I1699 &gt;= SogliaPicchi!$B$18,"",DatiOriginali!I1699)</f>
        <v>106900</v>
      </c>
      <c r="J1699" s="4">
        <v>7429060</v>
      </c>
      <c r="K1699" s="4">
        <f>IF(DatiOriginali!K1699 &gt;= SogliaPicchi!$B$18,"",DatiOriginali!K1699)</f>
        <v>118700</v>
      </c>
    </row>
    <row r="1700" spans="1:11" x14ac:dyDescent="0.3">
      <c r="A1700" s="4" t="s">
        <v>1709</v>
      </c>
      <c r="B1700" s="4">
        <v>360825</v>
      </c>
      <c r="C1700" s="4">
        <f>IF(DatiOriginali!C1700 &gt;= SogliaPicchi!$B$18,"",DatiOriginali!C1700)</f>
        <v>2997100</v>
      </c>
      <c r="D1700" s="4">
        <v>172049</v>
      </c>
      <c r="E1700" s="4">
        <f>IF(DatiOriginali!E1700 &gt;= SogliaPicchi!$B$18,"",DatiOriginali!E1700)</f>
        <v>606300</v>
      </c>
      <c r="F1700" s="4">
        <v>5969513</v>
      </c>
      <c r="G1700" s="4">
        <f>IF(DatiOriginali!G1700 &gt;= SogliaPicchi!$B$18,"",DatiOriginali!G1700)</f>
        <v>310200</v>
      </c>
      <c r="H1700" s="4">
        <v>7447368</v>
      </c>
      <c r="I1700" s="4">
        <f>IF(DatiOriginali!I1700 &gt;= SogliaPicchi!$B$18,"",DatiOriginali!I1700)</f>
        <v>101800</v>
      </c>
      <c r="J1700" s="4">
        <v>7438471</v>
      </c>
      <c r="K1700" s="4">
        <f>IF(DatiOriginali!K1700 &gt;= SogliaPicchi!$B$18,"",DatiOriginali!K1700)</f>
        <v>116000</v>
      </c>
    </row>
    <row r="1701" spans="1:11" x14ac:dyDescent="0.3">
      <c r="A1701" s="4" t="s">
        <v>1710</v>
      </c>
      <c r="B1701" s="4">
        <v>360825</v>
      </c>
      <c r="C1701" s="4">
        <f>IF(DatiOriginali!C1701 &gt;= SogliaPicchi!$B$18,"",DatiOriginali!C1701)</f>
        <v>2934000</v>
      </c>
      <c r="D1701" s="4">
        <v>179059</v>
      </c>
      <c r="E1701" s="4">
        <f>IF(DatiOriginali!E1701 &gt;= SogliaPicchi!$B$18,"",DatiOriginali!E1701)</f>
        <v>635900</v>
      </c>
      <c r="F1701" s="4">
        <v>5976689</v>
      </c>
      <c r="G1701" s="4">
        <f>IF(DatiOriginali!G1701 &gt;= SogliaPicchi!$B$19,"",DatiOriginali!G1701)</f>
        <v>306500</v>
      </c>
      <c r="H1701" s="4">
        <v>7458544</v>
      </c>
      <c r="I1701" s="4">
        <f>IF(DatiOriginali!I1701 &gt;= SogliaPicchi!$B$19,"",DatiOriginali!I1701)</f>
        <v>106800</v>
      </c>
      <c r="J1701" s="4">
        <v>7447044</v>
      </c>
      <c r="K1701" s="4">
        <f>IF(DatiOriginali!K1701 &gt;= SogliaPicchi!$B$19,"",DatiOriginali!K1701)</f>
        <v>156500</v>
      </c>
    </row>
    <row r="1702" spans="1:11" x14ac:dyDescent="0.3">
      <c r="A1702" s="4" t="s">
        <v>1711</v>
      </c>
      <c r="B1702" s="4">
        <v>404550</v>
      </c>
      <c r="C1702" s="4">
        <f>IF(DatiOriginali!C1702 &gt;= SogliaPicchi!$B$19,"",DatiOriginali!C1702)</f>
        <v>3415500</v>
      </c>
      <c r="D1702" s="4">
        <v>200474</v>
      </c>
      <c r="E1702" s="4">
        <f>IF(DatiOriginali!E1702 &gt;= SogliaPicchi!$B$19,"",DatiOriginali!E1702)</f>
        <v>698800</v>
      </c>
      <c r="F1702" s="4">
        <v>5984400</v>
      </c>
      <c r="G1702" s="4">
        <f>IF(DatiOriginali!G1702 &gt;= SogliaPicchi!$B$19,"",DatiOriginali!G1702)</f>
        <v>324800</v>
      </c>
      <c r="H1702" s="4">
        <v>7467881</v>
      </c>
      <c r="I1702" s="4">
        <f>IF(DatiOriginali!I1702 &gt;= SogliaPicchi!$B$19,"",DatiOriginali!I1702)</f>
        <v>113100</v>
      </c>
      <c r="J1702" s="4">
        <v>7457163</v>
      </c>
      <c r="K1702" s="4">
        <f>IF(DatiOriginali!K1702 &gt;= SogliaPicchi!$B$19,"",DatiOriginali!K1702)</f>
        <v>123700</v>
      </c>
    </row>
    <row r="1703" spans="1:11" x14ac:dyDescent="0.3">
      <c r="A1703" s="4" t="s">
        <v>1712</v>
      </c>
      <c r="B1703" s="4">
        <v>404550</v>
      </c>
      <c r="C1703" s="4">
        <f>IF(DatiOriginali!C1703 &gt;= SogliaPicchi!$B$19,"",DatiOriginali!C1703)</f>
        <v>3226900</v>
      </c>
      <c r="D1703" s="4">
        <v>198914</v>
      </c>
      <c r="E1703" s="4">
        <f>IF(DatiOriginali!E1703 &gt;= SogliaPicchi!$B$19,"",DatiOriginali!E1703)</f>
        <v>708900</v>
      </c>
      <c r="F1703" s="4">
        <v>5992148</v>
      </c>
      <c r="G1703" s="4">
        <f>IF(DatiOriginali!G1703 &gt;= SogliaPicchi!$B$19,"",DatiOriginali!G1703)</f>
        <v>339100</v>
      </c>
      <c r="H1703" s="4">
        <v>7476639</v>
      </c>
      <c r="I1703" s="4">
        <f>IF(DatiOriginali!I1703 &gt;= SogliaPicchi!$B$19,"",DatiOriginali!I1703)</f>
        <v>123100</v>
      </c>
      <c r="J1703" s="4">
        <v>7466647</v>
      </c>
      <c r="K1703" s="4">
        <f>IF(DatiOriginali!K1703 &gt;= SogliaPicchi!$B$19,"",DatiOriginali!K1703)</f>
        <v>121900</v>
      </c>
    </row>
    <row r="1704" spans="1:11" x14ac:dyDescent="0.3">
      <c r="A1704" s="4" t="s">
        <v>1713</v>
      </c>
      <c r="B1704" s="4">
        <v>404550</v>
      </c>
      <c r="C1704" s="4">
        <f>IF(DatiOriginali!C1704 &gt;= SogliaPicchi!$B$19,"",DatiOriginali!C1704)</f>
        <v>3336600</v>
      </c>
      <c r="D1704" s="4">
        <v>204174</v>
      </c>
      <c r="E1704" s="4">
        <f>IF(DatiOriginali!E1704 &gt;= SogliaPicchi!$B$19,"",DatiOriginali!E1704)</f>
        <v>716700</v>
      </c>
      <c r="F1704" s="4">
        <v>5999852</v>
      </c>
      <c r="G1704" s="4">
        <f>IF(DatiOriginali!G1704 &gt;= SogliaPicchi!$B$19,"",DatiOriginali!G1704)</f>
        <v>328400</v>
      </c>
      <c r="H1704" s="4">
        <v>7486807</v>
      </c>
      <c r="I1704" s="4">
        <f>IF(DatiOriginali!I1704 &gt;= SogliaPicchi!$B$19,"",DatiOriginali!I1704)</f>
        <v>111500</v>
      </c>
      <c r="J1704" s="4">
        <v>7477693</v>
      </c>
      <c r="K1704" s="4">
        <f>IF(DatiOriginali!K1704 &gt;= SogliaPicchi!$B$19,"",DatiOriginali!K1704)</f>
        <v>123500</v>
      </c>
    </row>
    <row r="1705" spans="1:11" x14ac:dyDescent="0.3">
      <c r="A1705" s="4" t="s">
        <v>1714</v>
      </c>
      <c r="B1705" s="4">
        <v>404550</v>
      </c>
      <c r="C1705" s="4">
        <f>IF(DatiOriginali!C1705 &gt;= SogliaPicchi!$B$19,"",DatiOriginali!C1705)</f>
        <v>3317300</v>
      </c>
      <c r="D1705" s="4">
        <v>195621</v>
      </c>
      <c r="E1705" s="4">
        <f>IF(DatiOriginali!E1705 &gt;= SogliaPicchi!$B$19,"",DatiOriginali!E1705)</f>
        <v>693300</v>
      </c>
      <c r="F1705" s="4">
        <v>6007557</v>
      </c>
      <c r="G1705" s="4">
        <f>IF(DatiOriginali!G1705 &gt;= SogliaPicchi!$B$19,"",DatiOriginali!G1705)</f>
        <v>339600</v>
      </c>
      <c r="H1705" s="4">
        <v>7496872</v>
      </c>
      <c r="I1705" s="4">
        <f>IF(DatiOriginali!I1705 &gt;= SogliaPicchi!$B$19,"",DatiOriginali!I1705)</f>
        <v>111200</v>
      </c>
      <c r="J1705" s="4">
        <v>7487018</v>
      </c>
      <c r="K1705" s="4">
        <f>IF(DatiOriginali!K1705 &gt;= SogliaPicchi!$B$19,"",DatiOriginali!K1705)</f>
        <v>125300</v>
      </c>
    </row>
    <row r="1706" spans="1:11" x14ac:dyDescent="0.3">
      <c r="A1706" s="4" t="s">
        <v>1715</v>
      </c>
      <c r="B1706" s="4">
        <v>404550</v>
      </c>
      <c r="C1706" s="4">
        <f>IF(DatiOriginali!C1706 &gt;= SogliaPicchi!$B$19,"",DatiOriginali!C1706)</f>
        <v>3340800</v>
      </c>
      <c r="D1706" s="4">
        <v>206369</v>
      </c>
      <c r="E1706" s="4">
        <f>IF(DatiOriginali!E1706 &gt;= SogliaPicchi!$B$19,"",DatiOriginali!E1706)</f>
        <v>712200</v>
      </c>
      <c r="F1706" s="4">
        <v>6015257</v>
      </c>
      <c r="G1706" s="4">
        <f>IF(DatiOriginali!G1706 &gt;= SogliaPicchi!$B$19,"",DatiOriginali!G1706)</f>
        <v>332300</v>
      </c>
      <c r="H1706" s="4">
        <v>7506394</v>
      </c>
      <c r="I1706" s="4">
        <f>IF(DatiOriginali!I1706 &gt;= SogliaPicchi!$B$19,"",DatiOriginali!I1706)</f>
        <v>113400</v>
      </c>
      <c r="J1706" s="4">
        <v>7496738</v>
      </c>
      <c r="K1706" s="4">
        <f>IF(DatiOriginali!K1706 &gt;= SogliaPicchi!$B$19,"",DatiOriginali!K1706)</f>
        <v>125800</v>
      </c>
    </row>
    <row r="1707" spans="1:11" x14ac:dyDescent="0.3">
      <c r="A1707" s="4" t="s">
        <v>1716</v>
      </c>
      <c r="B1707" s="4">
        <v>404550</v>
      </c>
      <c r="C1707" s="4">
        <f>IF(DatiOriginali!C1707 &gt;= SogliaPicchi!$B$19,"",DatiOriginali!C1707)</f>
        <v>3344900</v>
      </c>
      <c r="D1707" s="4">
        <v>197254</v>
      </c>
      <c r="E1707" s="4">
        <f>IF(DatiOriginali!E1707 &gt;= SogliaPicchi!$B$19,"",DatiOriginali!E1707)</f>
        <v>798900</v>
      </c>
      <c r="F1707" s="4">
        <v>6022974</v>
      </c>
      <c r="G1707" s="4">
        <f>IF(DatiOriginali!G1707 &gt;= SogliaPicchi!$B$19,"",DatiOriginali!G1707)</f>
        <v>327300</v>
      </c>
      <c r="H1707" s="4">
        <v>7515782</v>
      </c>
      <c r="I1707" s="4">
        <f>IF(DatiOriginali!I1707 &gt;= SogliaPicchi!$B$19,"",DatiOriginali!I1707)</f>
        <v>109500</v>
      </c>
      <c r="J1707" s="4">
        <v>7506363</v>
      </c>
      <c r="K1707" s="4">
        <f>IF(DatiOriginali!K1707 &gt;= SogliaPicchi!$B$19,"",DatiOriginali!K1707)</f>
        <v>126000</v>
      </c>
    </row>
    <row r="1708" spans="1:11" x14ac:dyDescent="0.3">
      <c r="A1708" s="4" t="s">
        <v>1717</v>
      </c>
      <c r="B1708" s="4">
        <v>404550</v>
      </c>
      <c r="C1708" s="4">
        <f>IF(DatiOriginali!C1708 &gt;= SogliaPicchi!$B$19,"",DatiOriginali!C1708)</f>
        <v>3471100</v>
      </c>
      <c r="D1708" s="4">
        <v>202275</v>
      </c>
      <c r="E1708" s="4">
        <f>IF(DatiOriginali!E1708 &gt;= SogliaPicchi!$B$19,"",DatiOriginali!E1708)</f>
        <v>968200</v>
      </c>
      <c r="F1708" s="4">
        <v>6030701</v>
      </c>
      <c r="G1708" s="4">
        <f>IF(DatiOriginali!G1708 &gt;= SogliaPicchi!$B$19,"",DatiOriginali!G1708)</f>
        <v>391800</v>
      </c>
      <c r="H1708" s="4">
        <v>7525014</v>
      </c>
      <c r="I1708" s="4">
        <f>IF(DatiOriginali!I1708 &gt;= SogliaPicchi!$B$19,"",DatiOriginali!I1708)</f>
        <v>132800</v>
      </c>
      <c r="J1708" s="4">
        <v>7515365</v>
      </c>
      <c r="K1708" s="4">
        <f>IF(DatiOriginali!K1708 &gt;= SogliaPicchi!$B$19,"",DatiOriginali!K1708)</f>
        <v>147600</v>
      </c>
    </row>
    <row r="1709" spans="1:11" x14ac:dyDescent="0.3">
      <c r="A1709" s="4" t="s">
        <v>1718</v>
      </c>
      <c r="B1709" s="4">
        <v>404550</v>
      </c>
      <c r="C1709" s="4">
        <f>IF(DatiOriginali!C1709 &gt;= SogliaPicchi!$B$19,"",DatiOriginali!C1709)</f>
        <v>3204300</v>
      </c>
      <c r="D1709" s="4">
        <v>197068</v>
      </c>
      <c r="E1709" s="4">
        <f>IF(DatiOriginali!E1709 &gt;= SogliaPicchi!$B$19,"",DatiOriginali!E1709)</f>
        <v>690000</v>
      </c>
      <c r="F1709" s="4">
        <v>6038428</v>
      </c>
      <c r="G1709" s="4">
        <f>IF(DatiOriginali!G1709 &gt;= SogliaPicchi!$B$19,"",DatiOriginali!G1709)</f>
        <v>329500</v>
      </c>
      <c r="H1709" s="4">
        <v>7535178</v>
      </c>
      <c r="I1709" s="4">
        <f>IF(DatiOriginali!I1709 &gt;= SogliaPicchi!$B$19,"",DatiOriginali!I1709)</f>
        <v>115700</v>
      </c>
      <c r="J1709" s="4">
        <v>7524984</v>
      </c>
      <c r="K1709" s="4">
        <f>IF(DatiOriginali!K1709 &gt;= SogliaPicchi!$B$19,"",DatiOriginali!K1709)</f>
        <v>122100</v>
      </c>
    </row>
    <row r="1710" spans="1:11" x14ac:dyDescent="0.3">
      <c r="A1710" s="4" t="s">
        <v>1719</v>
      </c>
      <c r="B1710" s="4">
        <v>404550</v>
      </c>
      <c r="C1710" s="4">
        <f>IF(DatiOriginali!C1710 &gt;= SogliaPicchi!$B$19,"",DatiOriginali!C1710)</f>
        <v>3564900</v>
      </c>
      <c r="D1710" s="4">
        <v>210845</v>
      </c>
      <c r="E1710" s="4">
        <f>IF(DatiOriginali!E1710 &gt;= SogliaPicchi!$B$19,"",DatiOriginali!E1710)</f>
        <v>738700</v>
      </c>
      <c r="F1710" s="4">
        <v>6046137</v>
      </c>
      <c r="G1710" s="4">
        <f>IF(DatiOriginali!G1710 &gt;= SogliaPicchi!$B$19,"",DatiOriginali!G1710)</f>
        <v>327500</v>
      </c>
      <c r="H1710" s="4">
        <v>7544736</v>
      </c>
      <c r="I1710" s="4">
        <f>IF(DatiOriginali!I1710 &gt;= SogliaPicchi!$B$19,"",DatiOriginali!I1710)</f>
        <v>115500</v>
      </c>
      <c r="J1710" s="4">
        <v>7536243</v>
      </c>
      <c r="K1710" s="4">
        <f>IF(DatiOriginali!K1710 &gt;= SogliaPicchi!$B$19,"",DatiOriginali!K1710)</f>
        <v>125000</v>
      </c>
    </row>
    <row r="1711" spans="1:11" x14ac:dyDescent="0.3">
      <c r="A1711" s="4" t="s">
        <v>1720</v>
      </c>
      <c r="B1711" s="4">
        <v>404550</v>
      </c>
      <c r="C1711" s="4">
        <f>IF(DatiOriginali!C1711 &gt;= SogliaPicchi!$B$19,"",DatiOriginali!C1711)</f>
        <v>3236700</v>
      </c>
      <c r="D1711" s="4">
        <v>206067</v>
      </c>
      <c r="E1711" s="4">
        <f>IF(DatiOriginali!E1711 &gt;= SogliaPicchi!$B$19,"",DatiOriginali!E1711)</f>
        <v>711600</v>
      </c>
      <c r="F1711" s="4">
        <v>6053873</v>
      </c>
      <c r="G1711" s="4">
        <f>IF(DatiOriginali!G1711 &gt;= SogliaPicchi!$B$19,"",DatiOriginali!G1711)</f>
        <v>334500</v>
      </c>
      <c r="H1711" s="4">
        <v>7555032</v>
      </c>
      <c r="I1711" s="4">
        <f>IF(DatiOriginali!I1711 &gt;= SogliaPicchi!$B$19,"",DatiOriginali!I1711)</f>
        <v>110800</v>
      </c>
      <c r="J1711" s="4">
        <v>7545997</v>
      </c>
      <c r="K1711" s="4">
        <f>IF(DatiOriginali!K1711 &gt;= SogliaPicchi!$B$19,"",DatiOriginali!K1711)</f>
        <v>126400</v>
      </c>
    </row>
    <row r="1712" spans="1:11" x14ac:dyDescent="0.3">
      <c r="A1712" s="4" t="s">
        <v>1721</v>
      </c>
      <c r="B1712" s="4">
        <v>404550</v>
      </c>
      <c r="C1712" s="4">
        <f>IF(DatiOriginali!C1712 &gt;= SogliaPicchi!$B$19,"",DatiOriginali!C1712)</f>
        <v>3347700</v>
      </c>
      <c r="D1712" s="4">
        <v>203265</v>
      </c>
      <c r="E1712" s="4">
        <f>IF(DatiOriginali!E1712 &gt;= SogliaPicchi!$B$19,"",DatiOriginali!E1712)</f>
        <v>702400</v>
      </c>
      <c r="F1712" s="4">
        <v>6061571</v>
      </c>
      <c r="G1712" s="4">
        <f>IF(DatiOriginali!G1712 &gt;= SogliaPicchi!$B$19,"",DatiOriginali!G1712)</f>
        <v>337800</v>
      </c>
      <c r="H1712" s="4">
        <v>7565246</v>
      </c>
      <c r="I1712" s="4">
        <f>IF(DatiOriginali!I1712 &gt;= SogliaPicchi!$B$19,"",DatiOriginali!I1712)</f>
        <v>108800</v>
      </c>
      <c r="J1712" s="4">
        <v>7556507</v>
      </c>
      <c r="K1712" s="4">
        <f>IF(DatiOriginali!K1712 &gt;= SogliaPicchi!$B$19,"",DatiOriginali!K1712)</f>
        <v>132700</v>
      </c>
    </row>
    <row r="1713" spans="1:11" x14ac:dyDescent="0.3">
      <c r="A1713" s="4" t="s">
        <v>1722</v>
      </c>
      <c r="B1713" s="4">
        <v>404550</v>
      </c>
      <c r="C1713" s="4">
        <f>IF(DatiOriginali!C1713 &gt;= SogliaPicchi!$B$19,"",DatiOriginali!C1713)</f>
        <v>3095100</v>
      </c>
      <c r="D1713" s="4">
        <v>205794</v>
      </c>
      <c r="E1713" s="4">
        <f>IF(DatiOriginali!E1713 &gt;= SogliaPicchi!$B$19,"",DatiOriginali!E1713)</f>
        <v>718800</v>
      </c>
      <c r="F1713" s="4">
        <v>6069274</v>
      </c>
      <c r="G1713" s="4">
        <f>IF(DatiOriginali!G1713 &gt;= SogliaPicchi!$B$19,"",DatiOriginali!G1713)</f>
        <v>354500</v>
      </c>
      <c r="H1713" s="4">
        <v>7575176</v>
      </c>
      <c r="I1713" s="4">
        <f>IF(DatiOriginali!I1713 &gt;= SogliaPicchi!$B$19,"",DatiOriginali!I1713)</f>
        <v>176400</v>
      </c>
      <c r="J1713" s="4">
        <v>7566308</v>
      </c>
      <c r="K1713" s="4">
        <f>IF(DatiOriginali!K1713 &gt;= SogliaPicchi!$B$19,"",DatiOriginali!K1713)</f>
        <v>122300</v>
      </c>
    </row>
    <row r="1714" spans="1:11" x14ac:dyDescent="0.3">
      <c r="A1714" s="4" t="s">
        <v>1723</v>
      </c>
      <c r="B1714" s="4">
        <v>404550</v>
      </c>
      <c r="C1714" s="4">
        <f>IF(DatiOriginali!C1714 &gt;= SogliaPicchi!$B$19,"",DatiOriginali!C1714)</f>
        <v>3432100</v>
      </c>
      <c r="D1714" s="4">
        <v>200541</v>
      </c>
      <c r="E1714" s="4">
        <f>IF(DatiOriginali!E1714 &gt;= SogliaPicchi!$B$19,"",DatiOriginali!E1714)</f>
        <v>698600</v>
      </c>
      <c r="F1714" s="4">
        <v>6076973</v>
      </c>
      <c r="G1714" s="4">
        <f>IF(DatiOriginali!G1714 &gt;= SogliaPicchi!$B$19,"",DatiOriginali!G1714)</f>
        <v>332900</v>
      </c>
      <c r="H1714" s="4">
        <v>7584708</v>
      </c>
      <c r="I1714" s="4">
        <f>IF(DatiOriginali!I1714 &gt;= SogliaPicchi!$B$19,"",DatiOriginali!I1714)</f>
        <v>112800</v>
      </c>
      <c r="J1714" s="4">
        <v>7575666</v>
      </c>
      <c r="K1714" s="4">
        <f>IF(DatiOriginali!K1714 &gt;= SogliaPicchi!$B$19,"",DatiOriginali!K1714)</f>
        <v>123000</v>
      </c>
    </row>
    <row r="1715" spans="1:11" x14ac:dyDescent="0.3">
      <c r="A1715" s="4" t="s">
        <v>1724</v>
      </c>
      <c r="B1715" s="4">
        <v>404550</v>
      </c>
      <c r="C1715" s="4">
        <f>IF(DatiOriginali!C1715 &gt;= SogliaPicchi!$B$19,"",DatiOriginali!C1715)</f>
        <v>3235700</v>
      </c>
      <c r="D1715" s="4">
        <v>203204</v>
      </c>
      <c r="E1715" s="4">
        <f>IF(DatiOriginali!E1715 &gt;= SogliaPicchi!$B$19,"",DatiOriginali!E1715)</f>
        <v>707500</v>
      </c>
      <c r="F1715" s="4">
        <v>6084674</v>
      </c>
      <c r="G1715" s="4">
        <f>IF(DatiOriginali!G1715 &gt;= SogliaPicchi!$B$19,"",DatiOriginali!G1715)</f>
        <v>334100</v>
      </c>
      <c r="H1715" s="4">
        <v>7594847</v>
      </c>
      <c r="I1715" s="4">
        <f>IF(DatiOriginali!I1715 &gt;= SogliaPicchi!$B$19,"",DatiOriginali!I1715)</f>
        <v>113800</v>
      </c>
      <c r="J1715" s="4">
        <v>7585242</v>
      </c>
      <c r="K1715" s="4">
        <f>IF(DatiOriginali!K1715 &gt;= SogliaPicchi!$B$19,"",DatiOriginali!K1715)</f>
        <v>123800</v>
      </c>
    </row>
    <row r="1716" spans="1:11" x14ac:dyDescent="0.3">
      <c r="A1716" s="4" t="s">
        <v>1725</v>
      </c>
      <c r="B1716" s="4">
        <v>404550</v>
      </c>
      <c r="C1716" s="4">
        <f>IF(DatiOriginali!C1716 &gt;= SogliaPicchi!$B$19,"",DatiOriginali!C1716)</f>
        <v>3278000</v>
      </c>
      <c r="D1716" s="4">
        <v>196377</v>
      </c>
      <c r="E1716" s="4">
        <f>IF(DatiOriginali!E1716 &gt;= SogliaPicchi!$B$19,"",DatiOriginali!E1716)</f>
        <v>677900</v>
      </c>
      <c r="F1716" s="4">
        <v>6092376</v>
      </c>
      <c r="G1716" s="4">
        <f>IF(DatiOriginali!G1716 &gt;= SogliaPicchi!$B$19,"",DatiOriginali!G1716)</f>
        <v>324900</v>
      </c>
      <c r="H1716" s="4">
        <v>7603876</v>
      </c>
      <c r="I1716" s="4">
        <f>IF(DatiOriginali!I1716 &gt;= SogliaPicchi!$B$19,"",DatiOriginali!I1716)</f>
        <v>110000</v>
      </c>
      <c r="J1716" s="4">
        <v>7594872</v>
      </c>
      <c r="K1716" s="4">
        <f>IF(DatiOriginali!K1716 &gt;= SogliaPicchi!$B$19,"",DatiOriginali!K1716)</f>
        <v>125200</v>
      </c>
    </row>
    <row r="1717" spans="1:11" x14ac:dyDescent="0.3">
      <c r="A1717" s="4" t="s">
        <v>1726</v>
      </c>
      <c r="B1717" s="4">
        <v>404550</v>
      </c>
      <c r="C1717" s="4">
        <f>IF(DatiOriginali!C1717 &gt;= SogliaPicchi!$B$19,"",DatiOriginali!C1717)</f>
        <v>3254600</v>
      </c>
      <c r="D1717" s="4">
        <v>205543</v>
      </c>
      <c r="E1717" s="4">
        <f>IF(DatiOriginali!E1717 &gt;= SogliaPicchi!$B$19,"",DatiOriginali!E1717)</f>
        <v>737100</v>
      </c>
      <c r="F1717" s="4">
        <v>6100100</v>
      </c>
      <c r="G1717" s="4">
        <f>IF(DatiOriginali!G1717 &gt;= SogliaPicchi!$B$19,"",DatiOriginali!G1717)</f>
        <v>327300</v>
      </c>
      <c r="H1717" s="4">
        <v>7613515</v>
      </c>
      <c r="I1717" s="4">
        <f>IF(DatiOriginali!I1717 &gt;= SogliaPicchi!$B$19,"",DatiOriginali!I1717)</f>
        <v>114400</v>
      </c>
      <c r="J1717" s="4">
        <v>7605066</v>
      </c>
      <c r="K1717" s="4">
        <f>IF(DatiOriginali!K1717 &gt;= SogliaPicchi!$B$19,"",DatiOriginali!K1717)</f>
        <v>128700</v>
      </c>
    </row>
    <row r="1718" spans="1:11" x14ac:dyDescent="0.3">
      <c r="A1718" s="4" t="s">
        <v>1727</v>
      </c>
      <c r="B1718" s="4">
        <v>404550</v>
      </c>
      <c r="C1718" s="4">
        <f>IF(DatiOriginali!C1718 &gt;= SogliaPicchi!$B$19,"",DatiOriginali!C1718)</f>
        <v>3863600</v>
      </c>
      <c r="D1718" s="4">
        <v>197921</v>
      </c>
      <c r="E1718" s="4">
        <f>IF(DatiOriginali!E1718 &gt;= SogliaPicchi!$B$19,"",DatiOriginali!E1718)</f>
        <v>683600</v>
      </c>
      <c r="F1718" s="4">
        <v>6107799</v>
      </c>
      <c r="G1718" s="4">
        <f>IF(DatiOriginali!G1718 &gt;= SogliaPicchi!$B$19,"",DatiOriginali!G1718)</f>
        <v>331600</v>
      </c>
      <c r="H1718" s="4">
        <v>7623324</v>
      </c>
      <c r="I1718" s="4">
        <f>IF(DatiOriginali!I1718 &gt;= SogliaPicchi!$B$19,"",DatiOriginali!I1718)</f>
        <v>120300</v>
      </c>
      <c r="J1718" s="4">
        <v>7614690</v>
      </c>
      <c r="K1718" s="4">
        <f>IF(DatiOriginali!K1718 &gt;= SogliaPicchi!$B$19,"",DatiOriginali!K1718)</f>
        <v>182500</v>
      </c>
    </row>
    <row r="1719" spans="1:11" x14ac:dyDescent="0.3">
      <c r="A1719" s="4" t="s">
        <v>1728</v>
      </c>
      <c r="B1719" s="4">
        <v>404550</v>
      </c>
      <c r="C1719" s="4">
        <f>IF(DatiOriginali!C1719 &gt;= SogliaPicchi!$B$19,"",DatiOriginali!C1719)</f>
        <v>3654600</v>
      </c>
      <c r="D1719" s="4">
        <v>201884</v>
      </c>
      <c r="E1719" s="4">
        <f>IF(DatiOriginali!E1719 &gt;= SogliaPicchi!$B$19,"",DatiOriginali!E1719)</f>
        <v>703500</v>
      </c>
      <c r="F1719" s="4">
        <v>6115512</v>
      </c>
      <c r="G1719" s="4">
        <f>IF(DatiOriginali!G1719 &gt;= SogliaPicchi!$B$19,"",DatiOriginali!G1719)</f>
        <v>331300</v>
      </c>
      <c r="H1719" s="4">
        <v>7632914</v>
      </c>
      <c r="I1719" s="4">
        <f>IF(DatiOriginali!I1719 &gt;= SogliaPicchi!$B$19,"",DatiOriginali!I1719)</f>
        <v>114800</v>
      </c>
      <c r="J1719" s="4">
        <v>7625399</v>
      </c>
      <c r="K1719" s="4">
        <f>IF(DatiOriginali!K1719 &gt;= SogliaPicchi!$B$19,"",DatiOriginali!K1719)</f>
        <v>126700</v>
      </c>
    </row>
    <row r="1720" spans="1:11" x14ac:dyDescent="0.3">
      <c r="A1720" s="4" t="s">
        <v>1729</v>
      </c>
      <c r="B1720" s="4">
        <v>404550</v>
      </c>
      <c r="C1720" s="4">
        <f>IF(DatiOriginali!C1720 &gt;= SogliaPicchi!$B$19,"",DatiOriginali!C1720)</f>
        <v>3201400</v>
      </c>
      <c r="D1720" s="4">
        <v>205466</v>
      </c>
      <c r="E1720" s="4">
        <f>IF(DatiOriginali!E1720 &gt;= SogliaPicchi!$B$19,"",DatiOriginali!E1720)</f>
        <v>709700</v>
      </c>
      <c r="F1720" s="4">
        <v>6123212</v>
      </c>
      <c r="G1720" s="4">
        <f>IF(DatiOriginali!G1720 &gt;= SogliaPicchi!$B$19,"",DatiOriginali!G1720)</f>
        <v>327600</v>
      </c>
      <c r="H1720" s="4">
        <v>7642421</v>
      </c>
      <c r="I1720" s="4">
        <f>IF(DatiOriginali!I1720 &gt;= SogliaPicchi!$B$19,"",DatiOriginali!I1720)</f>
        <v>118100</v>
      </c>
      <c r="J1720" s="4">
        <v>7634600</v>
      </c>
      <c r="K1720" s="4">
        <f>IF(DatiOriginali!K1720 &gt;= SogliaPicchi!$B$19,"",DatiOriginali!K1720)</f>
        <v>125600</v>
      </c>
    </row>
    <row r="1721" spans="1:11" x14ac:dyDescent="0.3">
      <c r="A1721" s="4" t="s">
        <v>1730</v>
      </c>
      <c r="B1721" s="4">
        <v>404550</v>
      </c>
      <c r="C1721" s="4">
        <f>IF(DatiOriginali!C1721 &gt;= SogliaPicchi!$B$19,"",DatiOriginali!C1721)</f>
        <v>3454700</v>
      </c>
      <c r="D1721" s="4">
        <v>199408</v>
      </c>
      <c r="E1721" s="4">
        <f>IF(DatiOriginali!E1721 &gt;= SogliaPicchi!$B$19,"",DatiOriginali!E1721)</f>
        <v>712600</v>
      </c>
      <c r="F1721" s="4">
        <v>6130952</v>
      </c>
      <c r="G1721" s="4">
        <f>IF(DatiOriginali!G1721 &gt;= SogliaPicchi!$B$19,"",DatiOriginali!G1721)</f>
        <v>326900</v>
      </c>
      <c r="H1721" s="4">
        <v>7652038</v>
      </c>
      <c r="I1721" s="4">
        <f>IF(DatiOriginali!I1721 &gt;= SogliaPicchi!$B$19,"",DatiOriginali!I1721)</f>
        <v>112200</v>
      </c>
      <c r="J1721" s="4">
        <v>7643615</v>
      </c>
      <c r="K1721" s="4">
        <f>IF(DatiOriginali!K1721 &gt;= SogliaPicchi!$B$19,"",DatiOriginali!K1721)</f>
        <v>123700</v>
      </c>
    </row>
    <row r="1722" spans="1:11" x14ac:dyDescent="0.3">
      <c r="A1722" s="4" t="s">
        <v>1731</v>
      </c>
      <c r="B1722" s="4">
        <v>404550</v>
      </c>
      <c r="C1722" s="4">
        <f>IF(DatiOriginali!C1722 &gt;= SogliaPicchi!$B$19,"",DatiOriginali!C1722)</f>
        <v>3656100</v>
      </c>
      <c r="D1722" s="4">
        <v>203241</v>
      </c>
      <c r="E1722" s="4">
        <f>IF(DatiOriginali!E1722 &gt;= SogliaPicchi!$B$19,"",DatiOriginali!E1722)</f>
        <v>737500</v>
      </c>
      <c r="F1722" s="4">
        <v>6138669</v>
      </c>
      <c r="G1722" s="4">
        <f>IF(DatiOriginali!G1722 &gt;= SogliaPicchi!$B$19,"",DatiOriginali!G1722)</f>
        <v>328100</v>
      </c>
      <c r="H1722" s="4">
        <v>7661890</v>
      </c>
      <c r="I1722" s="4">
        <f>IF(DatiOriginali!I1722 &gt;= SogliaPicchi!$B$19,"",DatiOriginali!I1722)</f>
        <v>113700</v>
      </c>
      <c r="J1722" s="4">
        <v>7654403</v>
      </c>
      <c r="K1722" s="4">
        <f>IF(DatiOriginali!K1722 &gt;= SogliaPicchi!$B$19,"",DatiOriginali!K1722)</f>
        <v>130500</v>
      </c>
    </row>
    <row r="1723" spans="1:11" x14ac:dyDescent="0.3">
      <c r="A1723" s="4" t="s">
        <v>1732</v>
      </c>
      <c r="B1723" s="4">
        <v>404550</v>
      </c>
      <c r="C1723" s="4">
        <f>IF(DatiOriginali!C1723 &gt;= SogliaPicchi!$B$19,"",DatiOriginali!C1723)</f>
        <v>3256000</v>
      </c>
      <c r="D1723" s="4">
        <v>202425</v>
      </c>
      <c r="E1723" s="4">
        <f>IF(DatiOriginali!E1723 &gt;= SogliaPicchi!$B$19,"",DatiOriginali!E1723)</f>
        <v>703800</v>
      </c>
      <c r="F1723" s="4">
        <v>6146363</v>
      </c>
      <c r="G1723" s="4">
        <f>IF(DatiOriginali!G1723 &gt;= SogliaPicchi!$B$19,"",DatiOriginali!G1723)</f>
        <v>329900</v>
      </c>
      <c r="H1723" s="4">
        <v>7671659</v>
      </c>
      <c r="I1723" s="4">
        <f>IF(DatiOriginali!I1723 &gt;= SogliaPicchi!$B$19,"",DatiOriginali!I1723)</f>
        <v>114400</v>
      </c>
      <c r="J1723" s="4">
        <v>7663750</v>
      </c>
      <c r="K1723" s="4">
        <f>IF(DatiOriginali!K1723 &gt;= SogliaPicchi!$B$19,"",DatiOriginali!K1723)</f>
        <v>127800</v>
      </c>
    </row>
    <row r="1724" spans="1:11" x14ac:dyDescent="0.3">
      <c r="A1724" s="4" t="s">
        <v>1733</v>
      </c>
      <c r="B1724" s="4">
        <v>404550</v>
      </c>
      <c r="C1724" s="4">
        <f>IF(DatiOriginali!C1724 &gt;= SogliaPicchi!$B$19,"",DatiOriginali!C1724)</f>
        <v>3257000</v>
      </c>
      <c r="D1724" s="4">
        <v>201622</v>
      </c>
      <c r="E1724" s="4">
        <f>IF(DatiOriginali!E1724 &gt;= SogliaPicchi!$B$19,"",DatiOriginali!E1724)</f>
        <v>698100</v>
      </c>
      <c r="F1724" s="4">
        <v>6154066</v>
      </c>
      <c r="G1724" s="4">
        <f>IF(DatiOriginali!G1724 &gt;= SogliaPicchi!$B$19,"",DatiOriginali!G1724)</f>
        <v>335800</v>
      </c>
      <c r="H1724" s="4">
        <v>7681722</v>
      </c>
      <c r="I1724" s="4">
        <f>IF(DatiOriginali!I1724 &gt;= SogliaPicchi!$B$19,"",DatiOriginali!I1724)</f>
        <v>117800</v>
      </c>
      <c r="J1724" s="4">
        <v>7672818</v>
      </c>
      <c r="K1724" s="4">
        <f>IF(DatiOriginali!K1724 &gt;= SogliaPicchi!$B$19,"",DatiOriginali!K1724)</f>
        <v>123200</v>
      </c>
    </row>
    <row r="1725" spans="1:11" x14ac:dyDescent="0.3">
      <c r="A1725" s="4" t="s">
        <v>1734</v>
      </c>
      <c r="B1725" s="4">
        <v>404550</v>
      </c>
      <c r="C1725" s="4">
        <f>IF(DatiOriginali!C1725 &gt;= SogliaPicchi!$B$19,"",DatiOriginali!C1725)</f>
        <v>3135800</v>
      </c>
      <c r="D1725" s="4">
        <v>203724</v>
      </c>
      <c r="E1725" s="4">
        <f>IF(DatiOriginali!E1725 &gt;= SogliaPicchi!$B$19,"",DatiOriginali!E1725)</f>
        <v>726700</v>
      </c>
      <c r="F1725" s="4">
        <v>6161787</v>
      </c>
      <c r="G1725" s="4">
        <f>IF(DatiOriginali!G1725 &gt;= SogliaPicchi!$B$19,"",DatiOriginali!G1725)</f>
        <v>487500</v>
      </c>
      <c r="H1725" s="4">
        <v>7692640</v>
      </c>
      <c r="I1725" s="4">
        <f>IF(DatiOriginali!I1725 &gt;= SogliaPicchi!$B$19,"",DatiOriginali!I1725)</f>
        <v>130100</v>
      </c>
      <c r="J1725" s="4">
        <v>7682223</v>
      </c>
      <c r="K1725" s="4">
        <f>IF(DatiOriginali!K1725 &gt;= SogliaPicchi!$B$19,"",DatiOriginali!K1725)</f>
        <v>146900</v>
      </c>
    </row>
    <row r="1726" spans="1:11" x14ac:dyDescent="0.3">
      <c r="A1726" s="4" t="s">
        <v>1735</v>
      </c>
      <c r="B1726" s="4">
        <v>404550</v>
      </c>
      <c r="C1726" s="4">
        <f>IF(DatiOriginali!C1726 &gt;= SogliaPicchi!$B$19,"",DatiOriginali!C1726)</f>
        <v>3407100</v>
      </c>
      <c r="D1726" s="4">
        <v>205645</v>
      </c>
      <c r="E1726" s="4">
        <f>IF(DatiOriginali!E1726 &gt;= SogliaPicchi!$B$19,"",DatiOriginali!E1726)</f>
        <v>716000</v>
      </c>
      <c r="F1726" s="4">
        <v>6169511</v>
      </c>
      <c r="G1726" s="4">
        <f>IF(DatiOriginali!G1726 &gt;= SogliaPicchi!$B$19,"",DatiOriginali!G1726)</f>
        <v>325600</v>
      </c>
      <c r="H1726" s="4">
        <v>7702569</v>
      </c>
      <c r="I1726" s="4">
        <f>IF(DatiOriginali!I1726 &gt;= SogliaPicchi!$B$19,"",DatiOriginali!I1726)</f>
        <v>110700</v>
      </c>
      <c r="J1726" s="4">
        <v>7692266</v>
      </c>
      <c r="K1726" s="4">
        <f>IF(DatiOriginali!K1726 &gt;= SogliaPicchi!$B$19,"",DatiOriginali!K1726)</f>
        <v>130800</v>
      </c>
    </row>
    <row r="1727" spans="1:11" x14ac:dyDescent="0.3">
      <c r="A1727" s="4" t="s">
        <v>1736</v>
      </c>
      <c r="B1727" s="4">
        <v>404550</v>
      </c>
      <c r="C1727" s="4">
        <f>IF(DatiOriginali!C1727 &gt;= SogliaPicchi!$B$19,"",DatiOriginali!C1727)</f>
        <v>3621900</v>
      </c>
      <c r="D1727" s="4">
        <v>203203</v>
      </c>
      <c r="E1727" s="4">
        <f>IF(DatiOriginali!E1727 &gt;= SogliaPicchi!$B$19,"",DatiOriginali!E1727)</f>
        <v>808600</v>
      </c>
      <c r="F1727" s="4">
        <v>6177220</v>
      </c>
      <c r="G1727" s="4">
        <f>IF(DatiOriginali!G1727 &gt;= SogliaPicchi!$B$19,"",DatiOriginali!G1727)</f>
        <v>329600</v>
      </c>
      <c r="H1727" s="4">
        <v>7713323</v>
      </c>
      <c r="I1727" s="4">
        <f>IF(DatiOriginali!I1727 &gt;= SogliaPicchi!$B$19,"",DatiOriginali!I1727)</f>
        <v>121100</v>
      </c>
      <c r="J1727" s="4">
        <v>7701980</v>
      </c>
      <c r="K1727" s="4">
        <f>IF(DatiOriginali!K1727 &gt;= SogliaPicchi!$B$19,"",DatiOriginali!K1727)</f>
        <v>125400</v>
      </c>
    </row>
    <row r="1728" spans="1:11" x14ac:dyDescent="0.3">
      <c r="A1728" s="4" t="s">
        <v>1737</v>
      </c>
      <c r="B1728" s="4">
        <v>404550</v>
      </c>
      <c r="C1728" s="4">
        <f>IF(DatiOriginali!C1728 &gt;= SogliaPicchi!$B$19,"",DatiOriginali!C1728)</f>
        <v>3233900</v>
      </c>
      <c r="D1728" s="4">
        <v>202647</v>
      </c>
      <c r="E1728" s="4">
        <f>IF(DatiOriginali!E1728 &gt;= SogliaPicchi!$B$19,"",DatiOriginali!E1728)</f>
        <v>702400</v>
      </c>
      <c r="F1728" s="4">
        <v>6184942</v>
      </c>
      <c r="G1728" s="4">
        <f>IF(DatiOriginali!G1728 &gt;= SogliaPicchi!$B$19,"",DatiOriginali!G1728)</f>
        <v>329800</v>
      </c>
      <c r="H1728" s="4">
        <v>7722454</v>
      </c>
      <c r="I1728" s="4">
        <f>IF(DatiOriginali!I1728 &gt;= SogliaPicchi!$B$19,"",DatiOriginali!I1728)</f>
        <v>113100</v>
      </c>
      <c r="J1728" s="4">
        <v>7712411</v>
      </c>
      <c r="K1728" s="4">
        <f>IF(DatiOriginali!K1728 &gt;= SogliaPicchi!$B$19,"",DatiOriginali!K1728)</f>
        <v>125600</v>
      </c>
    </row>
    <row r="1729" spans="1:11" x14ac:dyDescent="0.3">
      <c r="A1729" s="4" t="s">
        <v>1738</v>
      </c>
      <c r="B1729" s="4">
        <v>404550</v>
      </c>
      <c r="C1729" s="4">
        <f>IF(DatiOriginali!C1729 &gt;= SogliaPicchi!$B$19,"",DatiOriginali!C1729)</f>
        <v>3300400</v>
      </c>
      <c r="D1729" s="4">
        <v>203319</v>
      </c>
      <c r="E1729" s="4">
        <f>IF(DatiOriginali!E1729 &gt;= SogliaPicchi!$B$19,"",DatiOriginali!E1729)</f>
        <v>721500</v>
      </c>
      <c r="F1729" s="4">
        <v>6192632</v>
      </c>
      <c r="G1729" s="4">
        <f>IF(DatiOriginali!G1729 &gt;= SogliaPicchi!$B$19,"",DatiOriginali!G1729)</f>
        <v>326000</v>
      </c>
      <c r="H1729" s="4">
        <v>7731882</v>
      </c>
      <c r="I1729" s="4">
        <f>IF(DatiOriginali!I1729 &gt;= SogliaPicchi!$B$19,"",DatiOriginali!I1729)</f>
        <v>109200</v>
      </c>
      <c r="J1729" s="4">
        <v>7722433</v>
      </c>
      <c r="K1729" s="4">
        <f>IF(DatiOriginali!K1729 &gt;= SogliaPicchi!$B$19,"",DatiOriginali!K1729)</f>
        <v>123000</v>
      </c>
    </row>
    <row r="1730" spans="1:11" x14ac:dyDescent="0.3">
      <c r="A1730" s="4" t="s">
        <v>1739</v>
      </c>
      <c r="B1730" s="4">
        <v>404550</v>
      </c>
      <c r="C1730" s="4">
        <f>IF(DatiOriginali!C1730 &gt;= SogliaPicchi!$B$19,"",DatiOriginali!C1730)</f>
        <v>3349000</v>
      </c>
      <c r="D1730" s="4">
        <v>201019</v>
      </c>
      <c r="E1730" s="4">
        <f>IF(DatiOriginali!E1730 &gt;= SogliaPicchi!$B$19,"",DatiOriginali!E1730)</f>
        <v>695400</v>
      </c>
      <c r="F1730" s="4">
        <v>6200337</v>
      </c>
      <c r="G1730" s="4">
        <f>IF(DatiOriginali!G1730 &gt;= SogliaPicchi!$B$19,"",DatiOriginali!G1730)</f>
        <v>329600</v>
      </c>
      <c r="H1730" s="4">
        <v>7741039</v>
      </c>
      <c r="I1730" s="4">
        <f>IF(DatiOriginali!I1730 &gt;= SogliaPicchi!$B$19,"",DatiOriginali!I1730)</f>
        <v>112300</v>
      </c>
      <c r="J1730" s="4">
        <v>7731985</v>
      </c>
      <c r="K1730" s="4">
        <f>IF(DatiOriginali!K1730 &gt;= SogliaPicchi!$B$19,"",DatiOriginali!K1730)</f>
        <v>124300</v>
      </c>
    </row>
    <row r="1731" spans="1:11" x14ac:dyDescent="0.3">
      <c r="A1731" s="4" t="s">
        <v>1740</v>
      </c>
      <c r="B1731" s="4">
        <v>404550</v>
      </c>
      <c r="C1731" s="4">
        <f>IF(DatiOriginali!C1731 &gt;= SogliaPicchi!$B$19,"",DatiOriginali!C1731)</f>
        <v>3337300</v>
      </c>
      <c r="D1731" s="4">
        <v>205401</v>
      </c>
      <c r="E1731" s="4">
        <f>IF(DatiOriginali!E1731 &gt;= SogliaPicchi!$B$19,"",DatiOriginali!E1731)</f>
        <v>711700</v>
      </c>
      <c r="F1731" s="4">
        <v>6208047</v>
      </c>
      <c r="G1731" s="4">
        <f>IF(DatiOriginali!G1731 &gt;= SogliaPicchi!$B$19,"",DatiOriginali!G1731)</f>
        <v>367000</v>
      </c>
      <c r="H1731" s="4">
        <v>7751009</v>
      </c>
      <c r="I1731" s="4">
        <f>IF(DatiOriginali!I1731 &gt;= SogliaPicchi!$B$19,"",DatiOriginali!I1731)</f>
        <v>113100</v>
      </c>
      <c r="J1731" s="4">
        <v>7741369</v>
      </c>
      <c r="K1731" s="4">
        <f>IF(DatiOriginali!K1731 &gt;= SogliaPicchi!$B$19,"",DatiOriginali!K1731)</f>
        <v>125400</v>
      </c>
    </row>
    <row r="1732" spans="1:11" x14ac:dyDescent="0.3">
      <c r="A1732" s="4" t="s">
        <v>1741</v>
      </c>
      <c r="B1732" s="4">
        <v>404550</v>
      </c>
      <c r="C1732" s="4">
        <f>IF(DatiOriginali!C1732 &gt;= SogliaPicchi!$B$19,"",DatiOriginali!C1732)</f>
        <v>3306800</v>
      </c>
      <c r="D1732" s="4">
        <v>201737</v>
      </c>
      <c r="E1732" s="4">
        <f>IF(DatiOriginali!E1732 &gt;= SogliaPicchi!$B$19,"",DatiOriginali!E1732)</f>
        <v>715700</v>
      </c>
      <c r="F1732" s="4">
        <v>6215745</v>
      </c>
      <c r="G1732" s="4">
        <f>IF(DatiOriginali!G1732 &gt;= SogliaPicchi!$B$19,"",DatiOriginali!G1732)</f>
        <v>329400</v>
      </c>
      <c r="H1732" s="4">
        <v>7760290</v>
      </c>
      <c r="I1732" s="4">
        <f>IF(DatiOriginali!I1732 &gt;= SogliaPicchi!$B$19,"",DatiOriginali!I1732)</f>
        <v>112400</v>
      </c>
      <c r="J1732" s="4">
        <v>7750731</v>
      </c>
      <c r="K1732" s="4">
        <f>IF(DatiOriginali!K1732 &gt;= SogliaPicchi!$B$19,"",DatiOriginali!K1732)</f>
        <v>122000</v>
      </c>
    </row>
    <row r="1733" spans="1:11" x14ac:dyDescent="0.3">
      <c r="A1733" s="4" t="s">
        <v>1742</v>
      </c>
      <c r="B1733" s="4">
        <v>404550</v>
      </c>
      <c r="C1733" s="4">
        <f>IF(DatiOriginali!C1733 &gt;= SogliaPicchi!$B$19,"",DatiOriginali!C1733)</f>
        <v>3695400</v>
      </c>
      <c r="D1733" s="4">
        <v>209040</v>
      </c>
      <c r="E1733" s="4">
        <f>IF(DatiOriginali!E1733 &gt;= SogliaPicchi!$B$19,"",DatiOriginali!E1733)</f>
        <v>727300</v>
      </c>
      <c r="F1733" s="4">
        <v>6223449</v>
      </c>
      <c r="G1733" s="4">
        <f>IF(DatiOriginali!G1733 &gt;= SogliaPicchi!$B$19,"",DatiOriginali!G1733)</f>
        <v>327400</v>
      </c>
      <c r="H1733" s="4">
        <v>7770465</v>
      </c>
      <c r="I1733" s="4">
        <f>IF(DatiOriginali!I1733 &gt;= SogliaPicchi!$B$19,"",DatiOriginali!I1733)</f>
        <v>113800</v>
      </c>
      <c r="J1733" s="4">
        <v>7759860</v>
      </c>
      <c r="K1733" s="4">
        <f>IF(DatiOriginali!K1733 &gt;= SogliaPicchi!$B$19,"",DatiOriginali!K1733)</f>
        <v>126800</v>
      </c>
    </row>
    <row r="1734" spans="1:11" x14ac:dyDescent="0.3">
      <c r="A1734" s="4" t="s">
        <v>1743</v>
      </c>
      <c r="B1734" s="4">
        <v>404550</v>
      </c>
      <c r="C1734" s="4">
        <f>IF(DatiOriginali!C1734 &gt;= SogliaPicchi!$B$19,"",DatiOriginali!C1734)</f>
        <v>3352400</v>
      </c>
      <c r="D1734" s="4">
        <v>208712</v>
      </c>
      <c r="E1734" s="4">
        <f>IF(DatiOriginali!E1734 &gt;= SogliaPicchi!$B$19,"",DatiOriginali!E1734)</f>
        <v>720900</v>
      </c>
      <c r="F1734" s="4">
        <v>6231150</v>
      </c>
      <c r="G1734" s="4">
        <f>IF(DatiOriginali!G1734 &gt;= SogliaPicchi!$B$19,"",DatiOriginali!G1734)</f>
        <v>330200</v>
      </c>
      <c r="H1734" s="4">
        <v>7779568</v>
      </c>
      <c r="I1734" s="4">
        <f>IF(DatiOriginali!I1734 &gt;= SogliaPicchi!$B$19,"",DatiOriginali!I1734)</f>
        <v>116300</v>
      </c>
      <c r="J1734" s="4">
        <v>7769336</v>
      </c>
      <c r="K1734" s="4">
        <f>IF(DatiOriginali!K1734 &gt;= SogliaPicchi!$B$19,"",DatiOriginali!K1734)</f>
        <v>128100</v>
      </c>
    </row>
    <row r="1735" spans="1:11" x14ac:dyDescent="0.3">
      <c r="A1735" s="4" t="s">
        <v>1744</v>
      </c>
      <c r="B1735" s="4">
        <v>404550</v>
      </c>
      <c r="C1735" s="4">
        <f>IF(DatiOriginali!C1735 &gt;= SogliaPicchi!$B$19,"",DatiOriginali!C1735)</f>
        <v>3209700</v>
      </c>
      <c r="D1735" s="4">
        <v>199473</v>
      </c>
      <c r="E1735" s="4">
        <f>IF(DatiOriginali!E1735 &gt;= SogliaPicchi!$B$19,"",DatiOriginali!E1735)</f>
        <v>708300</v>
      </c>
      <c r="F1735" s="4">
        <v>6238867</v>
      </c>
      <c r="G1735" s="4">
        <f>IF(DatiOriginali!G1735 &gt;= SogliaPicchi!$B$19,"",DatiOriginali!G1735)</f>
        <v>327300</v>
      </c>
      <c r="H1735" s="4">
        <v>7789214</v>
      </c>
      <c r="I1735" s="4">
        <f>IF(DatiOriginali!I1735 &gt;= SogliaPicchi!$B$19,"",DatiOriginali!I1735)</f>
        <v>112500</v>
      </c>
      <c r="J1735" s="4">
        <v>7778742</v>
      </c>
      <c r="K1735" s="4">
        <f>IF(DatiOriginali!K1735 &gt;= SogliaPicchi!$B$19,"",DatiOriginali!K1735)</f>
        <v>123600</v>
      </c>
    </row>
    <row r="1736" spans="1:11" x14ac:dyDescent="0.3">
      <c r="A1736" s="4" t="s">
        <v>1745</v>
      </c>
      <c r="B1736" s="4">
        <v>404550</v>
      </c>
      <c r="C1736" s="4">
        <f>IF(DatiOriginali!C1736 &gt;= SogliaPicchi!$B$19,"",DatiOriginali!C1736)</f>
        <v>3418400</v>
      </c>
      <c r="D1736" s="4">
        <v>197337</v>
      </c>
      <c r="E1736" s="4">
        <f>IF(DatiOriginali!E1736 &gt;= SogliaPicchi!$B$19,"",DatiOriginali!E1736)</f>
        <v>707600</v>
      </c>
      <c r="F1736" s="4">
        <v>6246564</v>
      </c>
      <c r="G1736" s="4">
        <f>IF(DatiOriginali!G1736 &gt;= SogliaPicchi!$B$19,"",DatiOriginali!G1736)</f>
        <v>327600</v>
      </c>
      <c r="H1736" s="4">
        <v>7798958</v>
      </c>
      <c r="I1736" s="4">
        <f>IF(DatiOriginali!I1736 &gt;= SogliaPicchi!$B$19,"",DatiOriginali!I1736)</f>
        <v>109500</v>
      </c>
      <c r="J1736" s="4">
        <v>7788180</v>
      </c>
      <c r="K1736" s="4">
        <f>IF(DatiOriginali!K1736 &gt;= SogliaPicchi!$B$19,"",DatiOriginali!K1736)</f>
        <v>129100</v>
      </c>
    </row>
    <row r="1737" spans="1:11" x14ac:dyDescent="0.3">
      <c r="A1737" s="4" t="s">
        <v>1746</v>
      </c>
      <c r="B1737" s="4">
        <v>404550</v>
      </c>
      <c r="C1737" s="4">
        <f>IF(DatiOriginali!C1737 &gt;= SogliaPicchi!$B$19,"",DatiOriginali!C1737)</f>
        <v>3872800</v>
      </c>
      <c r="D1737" s="4">
        <v>207424</v>
      </c>
      <c r="E1737" s="4">
        <f>IF(DatiOriginali!E1737 &gt;= SogliaPicchi!$B$19,"",DatiOriginali!E1737)</f>
        <v>723400</v>
      </c>
      <c r="F1737" s="4">
        <v>6254259</v>
      </c>
      <c r="G1737" s="4">
        <f>IF(DatiOriginali!G1737 &gt;= SogliaPicchi!$B$19,"",DatiOriginali!G1737)</f>
        <v>326400</v>
      </c>
      <c r="H1737" s="4">
        <v>7808561</v>
      </c>
      <c r="I1737" s="4">
        <f>IF(DatiOriginali!I1737 &gt;= SogliaPicchi!$B$19,"",DatiOriginali!I1737)</f>
        <v>134000</v>
      </c>
      <c r="J1737" s="4">
        <v>7799283</v>
      </c>
      <c r="K1737" s="4">
        <f>IF(DatiOriginali!K1737 &gt;= SogliaPicchi!$B$19,"",DatiOriginali!K1737)</f>
        <v>198000</v>
      </c>
    </row>
    <row r="1738" spans="1:11" x14ac:dyDescent="0.3">
      <c r="A1738" s="4" t="s">
        <v>1747</v>
      </c>
      <c r="B1738" s="4">
        <v>404550</v>
      </c>
      <c r="C1738" s="4">
        <f>IF(DatiOriginali!C1738 &gt;= SogliaPicchi!$B$19,"",DatiOriginali!C1738)</f>
        <v>3386200</v>
      </c>
      <c r="D1738" s="4">
        <v>205165</v>
      </c>
      <c r="E1738" s="4">
        <f>IF(DatiOriginali!E1738 &gt;= SogliaPicchi!$B$19,"",DatiOriginali!E1738)</f>
        <v>735000</v>
      </c>
      <c r="F1738" s="4">
        <v>6261917</v>
      </c>
      <c r="G1738" s="4">
        <f>IF(DatiOriginali!G1738 &gt;= SogliaPicchi!$B$19,"",DatiOriginali!G1738)</f>
        <v>353200</v>
      </c>
      <c r="H1738" s="4">
        <v>7817597</v>
      </c>
      <c r="I1738" s="4">
        <f>IF(DatiOriginali!I1738 &gt;= SogliaPicchi!$B$19,"",DatiOriginali!I1738)</f>
        <v>112000</v>
      </c>
      <c r="J1738" s="4">
        <v>7809068</v>
      </c>
      <c r="K1738" s="4">
        <f>IF(DatiOriginali!K1738 &gt;= SogliaPicchi!$B$19,"",DatiOriginali!K1738)</f>
        <v>121700</v>
      </c>
    </row>
    <row r="1739" spans="1:11" x14ac:dyDescent="0.3">
      <c r="A1739" s="4" t="s">
        <v>1748</v>
      </c>
      <c r="B1739" s="4">
        <v>404550</v>
      </c>
      <c r="C1739" s="4">
        <f>IF(DatiOriginali!C1739 &gt;= SogliaPicchi!$B$19,"",DatiOriginali!C1739)</f>
        <v>3312600</v>
      </c>
      <c r="D1739" s="4">
        <v>200603</v>
      </c>
      <c r="E1739" s="4">
        <f>IF(DatiOriginali!E1739 &gt;= SogliaPicchi!$B$19,"",DatiOriginali!E1739)</f>
        <v>694100</v>
      </c>
      <c r="F1739" s="4">
        <v>6269641</v>
      </c>
      <c r="G1739" s="4">
        <f>IF(DatiOriginali!G1739 &gt;= SogliaPicchi!$B$19,"",DatiOriginali!G1739)</f>
        <v>326300</v>
      </c>
      <c r="H1739" s="4">
        <v>7826575</v>
      </c>
      <c r="I1739" s="4">
        <f>IF(DatiOriginali!I1739 &gt;= SogliaPicchi!$B$19,"",DatiOriginali!I1739)</f>
        <v>118700</v>
      </c>
      <c r="J1739" s="4">
        <v>7818932</v>
      </c>
      <c r="K1739" s="4">
        <f>IF(DatiOriginali!K1739 &gt;= SogliaPicchi!$B$19,"",DatiOriginali!K1739)</f>
        <v>125000</v>
      </c>
    </row>
    <row r="1740" spans="1:11" x14ac:dyDescent="0.3">
      <c r="A1740" s="4" t="s">
        <v>1749</v>
      </c>
      <c r="B1740" s="4">
        <v>404550</v>
      </c>
      <c r="C1740" s="4">
        <f>IF(DatiOriginali!C1740 &gt;= SogliaPicchi!$B$19,"",DatiOriginali!C1740)</f>
        <v>3303100</v>
      </c>
      <c r="D1740" s="4">
        <v>209067</v>
      </c>
      <c r="E1740" s="4">
        <f>IF(DatiOriginali!E1740 &gt;= SogliaPicchi!$B$19,"",DatiOriginali!E1740)</f>
        <v>720600</v>
      </c>
      <c r="F1740" s="4">
        <v>6277360</v>
      </c>
      <c r="G1740" s="4">
        <f>IF(DatiOriginali!G1740 &gt;= SogliaPicchi!$B$19,"",DatiOriginali!G1740)</f>
        <v>325700</v>
      </c>
      <c r="H1740" s="4">
        <v>7835926</v>
      </c>
      <c r="I1740" s="4">
        <f>IF(DatiOriginali!I1740 &gt;= SogliaPicchi!$B$19,"",DatiOriginali!I1740)</f>
        <v>115400</v>
      </c>
      <c r="J1740" s="4">
        <v>7829424</v>
      </c>
      <c r="K1740" s="4">
        <f>IF(DatiOriginali!K1740 &gt;= SogliaPicchi!$B$19,"",DatiOriginali!K1740)</f>
        <v>123000</v>
      </c>
    </row>
    <row r="1741" spans="1:11" x14ac:dyDescent="0.3">
      <c r="A1741" s="4" t="s">
        <v>1750</v>
      </c>
      <c r="B1741" s="4">
        <v>404550</v>
      </c>
      <c r="C1741" s="4">
        <f>IF(DatiOriginali!C1741 &gt;= SogliaPicchi!$B$19,"",DatiOriginali!C1741)</f>
        <v>3966700</v>
      </c>
      <c r="D1741" s="4">
        <v>203071</v>
      </c>
      <c r="E1741" s="4">
        <f>IF(DatiOriginali!E1741 &gt;= SogliaPicchi!$B$19,"",DatiOriginali!E1741)</f>
        <v>721200</v>
      </c>
      <c r="F1741" s="4">
        <v>6285047</v>
      </c>
      <c r="G1741" s="4">
        <f>IF(DatiOriginali!G1741 &gt;= SogliaPicchi!$B$19,"",DatiOriginali!G1741)</f>
        <v>345000</v>
      </c>
      <c r="H1741" s="4">
        <v>7846068</v>
      </c>
      <c r="I1741" s="4">
        <f>IF(DatiOriginali!I1741 &gt;= SogliaPicchi!$B$19,"",DatiOriginali!I1741)</f>
        <v>109100</v>
      </c>
      <c r="J1741" s="4">
        <v>7839330</v>
      </c>
      <c r="K1741" s="4">
        <f>IF(DatiOriginali!K1741 &gt;= SogliaPicchi!$B$19,"",DatiOriginali!K1741)</f>
        <v>125000</v>
      </c>
    </row>
    <row r="1742" spans="1:11" x14ac:dyDescent="0.3">
      <c r="A1742" s="4" t="s">
        <v>1751</v>
      </c>
      <c r="B1742" s="4">
        <v>404550</v>
      </c>
      <c r="C1742" s="4">
        <f>IF(DatiOriginali!C1742 &gt;= SogliaPicchi!$B$19,"",DatiOriginali!C1742)</f>
        <v>3208600</v>
      </c>
      <c r="D1742" s="4">
        <v>205335</v>
      </c>
      <c r="E1742" s="4">
        <f>IF(DatiOriginali!E1742 &gt;= SogliaPicchi!$B$19,"",DatiOriginali!E1742)</f>
        <v>712200</v>
      </c>
      <c r="F1742" s="4">
        <v>6292751</v>
      </c>
      <c r="G1742" s="4">
        <f>IF(DatiOriginali!G1742 &gt;= SogliaPicchi!$B$19,"",DatiOriginali!G1742)</f>
        <v>330100</v>
      </c>
      <c r="H1742" s="4">
        <v>7855329</v>
      </c>
      <c r="I1742" s="4">
        <f>IF(DatiOriginali!I1742 &gt;= SogliaPicchi!$B$19,"",DatiOriginali!I1742)</f>
        <v>110100</v>
      </c>
      <c r="J1742" s="4">
        <v>7849138</v>
      </c>
      <c r="K1742" s="4">
        <f>IF(DatiOriginali!K1742 &gt;= SogliaPicchi!$B$19,"",DatiOriginali!K1742)</f>
        <v>123200</v>
      </c>
    </row>
    <row r="1743" spans="1:11" x14ac:dyDescent="0.3">
      <c r="A1743" s="4" t="s">
        <v>1752</v>
      </c>
      <c r="B1743" s="4">
        <v>404550</v>
      </c>
      <c r="C1743" s="4">
        <f>IF(DatiOriginali!C1743 &gt;= SogliaPicchi!$B$19,"",DatiOriginali!C1743)</f>
        <v>3365500</v>
      </c>
      <c r="D1743" s="4">
        <v>194354</v>
      </c>
      <c r="E1743" s="4">
        <f>IF(DatiOriginali!E1743 &gt;= SogliaPicchi!$B$19,"",DatiOriginali!E1743)</f>
        <v>710300</v>
      </c>
      <c r="F1743" s="4">
        <v>6300453</v>
      </c>
      <c r="G1743" s="4">
        <f>IF(DatiOriginali!G1743 &gt;= SogliaPicchi!$B$19,"",DatiOriginali!G1743)</f>
        <v>325800</v>
      </c>
      <c r="H1743" s="4">
        <v>7864746</v>
      </c>
      <c r="I1743" s="4">
        <f>IF(DatiOriginali!I1743 &gt;= SogliaPicchi!$B$19,"",DatiOriginali!I1743)</f>
        <v>113000</v>
      </c>
      <c r="J1743" s="4">
        <v>7858814</v>
      </c>
      <c r="K1743" s="4">
        <f>IF(DatiOriginali!K1743 &gt;= SogliaPicchi!$B$19,"",DatiOriginali!K1743)</f>
        <v>125800</v>
      </c>
    </row>
    <row r="1744" spans="1:11" x14ac:dyDescent="0.3">
      <c r="A1744" s="4" t="s">
        <v>1753</v>
      </c>
      <c r="B1744" s="4">
        <v>404550</v>
      </c>
      <c r="C1744" s="4">
        <f>IF(DatiOriginali!C1744 &gt;= SogliaPicchi!$B$19,"",DatiOriginali!C1744)</f>
        <v>3463900</v>
      </c>
      <c r="D1744" s="4">
        <v>202700</v>
      </c>
      <c r="E1744" s="4">
        <f>IF(DatiOriginali!E1744 &gt;= SogliaPicchi!$B$19,"",DatiOriginali!E1744)</f>
        <v>703100</v>
      </c>
      <c r="F1744" s="4">
        <v>6308153</v>
      </c>
      <c r="G1744" s="4">
        <f>IF(DatiOriginali!G1744 &gt;= SogliaPicchi!$B$19,"",DatiOriginali!G1744)</f>
        <v>336300</v>
      </c>
      <c r="H1744" s="4">
        <v>7874257</v>
      </c>
      <c r="I1744" s="4">
        <f>IF(DatiOriginali!I1744 &gt;= SogliaPicchi!$B$19,"",DatiOriginali!I1744)</f>
        <v>114300</v>
      </c>
      <c r="J1744" s="4">
        <v>7868366</v>
      </c>
      <c r="K1744" s="4">
        <f>IF(DatiOriginali!K1744 &gt;= SogliaPicchi!$B$19,"",DatiOriginali!K1744)</f>
        <v>126700</v>
      </c>
    </row>
    <row r="1745" spans="1:11" x14ac:dyDescent="0.3">
      <c r="A1745" s="4" t="s">
        <v>1754</v>
      </c>
      <c r="B1745" s="4">
        <v>404550</v>
      </c>
      <c r="C1745" s="4">
        <f>IF(DatiOriginali!C1745 &gt;= SogliaPicchi!$B$19,"",DatiOriginali!C1745)</f>
        <v>3390000</v>
      </c>
      <c r="D1745" s="4">
        <v>197797</v>
      </c>
      <c r="E1745" s="4">
        <f>IF(DatiOriginali!E1745 &gt;= SogliaPicchi!$B$19,"",DatiOriginali!E1745)</f>
        <v>687000</v>
      </c>
      <c r="F1745" s="4">
        <v>6315866</v>
      </c>
      <c r="G1745" s="4">
        <f>IF(DatiOriginali!G1745 &gt;= SogliaPicchi!$B$19,"",DatiOriginali!G1745)</f>
        <v>328200</v>
      </c>
      <c r="H1745" s="4">
        <v>7884180</v>
      </c>
      <c r="I1745" s="4">
        <f>IF(DatiOriginali!I1745 &gt;= SogliaPicchi!$B$19,"",DatiOriginali!I1745)</f>
        <v>110800</v>
      </c>
      <c r="J1745" s="4">
        <v>7877335</v>
      </c>
      <c r="K1745" s="4">
        <f>IF(DatiOriginali!K1745 &gt;= SogliaPicchi!$B$19,"",DatiOriginali!K1745)</f>
        <v>124600</v>
      </c>
    </row>
    <row r="1746" spans="1:11" x14ac:dyDescent="0.3">
      <c r="A1746" s="4" t="s">
        <v>1755</v>
      </c>
      <c r="B1746" s="4">
        <v>404550</v>
      </c>
      <c r="C1746" s="4">
        <f>IF(DatiOriginali!C1746 &gt;= SogliaPicchi!$B$19,"",DatiOriginali!C1746)</f>
        <v>3245900</v>
      </c>
      <c r="D1746" s="4">
        <v>204015</v>
      </c>
      <c r="E1746" s="4">
        <f>IF(DatiOriginali!E1746 &gt;= SogliaPicchi!$B$19,"",DatiOriginali!E1746)</f>
        <v>714300</v>
      </c>
      <c r="F1746" s="4">
        <v>6323582</v>
      </c>
      <c r="G1746" s="4">
        <f>IF(DatiOriginali!G1746 &gt;= SogliaPicchi!$B$19,"",DatiOriginali!G1746)</f>
        <v>324200</v>
      </c>
      <c r="H1746" s="4">
        <v>7894922</v>
      </c>
      <c r="I1746" s="4">
        <f>IF(DatiOriginali!I1746 &gt;= SogliaPicchi!$B$19,"",DatiOriginali!I1746)</f>
        <v>115600</v>
      </c>
      <c r="J1746" s="4">
        <v>7887682</v>
      </c>
      <c r="K1746" s="4">
        <f>IF(DatiOriginali!K1746 &gt;= SogliaPicchi!$B$19,"",DatiOriginali!K1746)</f>
        <v>122700</v>
      </c>
    </row>
    <row r="1747" spans="1:11" x14ac:dyDescent="0.3">
      <c r="A1747" s="4" t="s">
        <v>1756</v>
      </c>
      <c r="B1747" s="4">
        <v>404550</v>
      </c>
      <c r="C1747" s="4">
        <f>IF(DatiOriginali!C1747 &gt;= SogliaPicchi!$B$19,"",DatiOriginali!C1747)</f>
        <v>3225500</v>
      </c>
      <c r="D1747" s="4">
        <v>197407</v>
      </c>
      <c r="E1747" s="4">
        <f>IF(DatiOriginali!E1747 &gt;= SogliaPicchi!$B$19,"",DatiOriginali!E1747)</f>
        <v>710200</v>
      </c>
      <c r="F1747" s="4">
        <v>6331307</v>
      </c>
      <c r="G1747" s="4">
        <f>IF(DatiOriginali!G1747 &gt;= SogliaPicchi!$B$19,"",DatiOriginali!G1747)</f>
        <v>323700</v>
      </c>
      <c r="H1747" s="4">
        <v>7905007</v>
      </c>
      <c r="I1747" s="4">
        <f>IF(DatiOriginali!I1747 &gt;= SogliaPicchi!$B$19,"",DatiOriginali!I1747)</f>
        <v>112400</v>
      </c>
      <c r="J1747" s="4">
        <v>7896722</v>
      </c>
      <c r="K1747" s="4">
        <f>IF(DatiOriginali!K1747 &gt;= SogliaPicchi!$B$19,"",DatiOriginali!K1747)</f>
        <v>123100</v>
      </c>
    </row>
    <row r="1748" spans="1:11" x14ac:dyDescent="0.3">
      <c r="A1748" s="4" t="s">
        <v>1757</v>
      </c>
      <c r="B1748" s="4">
        <v>404550</v>
      </c>
      <c r="C1748" s="4">
        <f>IF(DatiOriginali!C1748 &gt;= SogliaPicchi!$B$19,"",DatiOriginali!C1748)</f>
        <v>3771800</v>
      </c>
      <c r="D1748" s="4">
        <v>194760</v>
      </c>
      <c r="E1748" s="4">
        <f>IF(DatiOriginali!E1748 &gt;= SogliaPicchi!$B$19,"",DatiOriginali!E1748)</f>
        <v>695400</v>
      </c>
      <c r="F1748" s="4">
        <v>6339015</v>
      </c>
      <c r="G1748" s="4">
        <f>IF(DatiOriginali!G1748 &gt;= SogliaPicchi!$B$19,"",DatiOriginali!G1748)</f>
        <v>324000</v>
      </c>
      <c r="H1748" s="4">
        <v>7915284</v>
      </c>
      <c r="I1748" s="4">
        <f>IF(DatiOriginali!I1748 &gt;= SogliaPicchi!$B$19,"",DatiOriginali!I1748)</f>
        <v>111900</v>
      </c>
      <c r="J1748" s="4">
        <v>7907162</v>
      </c>
      <c r="K1748" s="4">
        <f>IF(DatiOriginali!K1748 &gt;= SogliaPicchi!$B$19,"",DatiOriginali!K1748)</f>
        <v>130000</v>
      </c>
    </row>
    <row r="1749" spans="1:11" x14ac:dyDescent="0.3">
      <c r="A1749" s="4" t="s">
        <v>1758</v>
      </c>
      <c r="B1749" s="4">
        <v>404550</v>
      </c>
      <c r="C1749" s="4">
        <f>IF(DatiOriginali!C1749 &gt;= SogliaPicchi!$B$19,"",DatiOriginali!C1749)</f>
        <v>3631100</v>
      </c>
      <c r="D1749" s="4">
        <v>208438</v>
      </c>
      <c r="E1749" s="4">
        <f>IF(DatiOriginali!E1749 &gt;= SogliaPicchi!$B$19,"",DatiOriginali!E1749)</f>
        <v>719500</v>
      </c>
      <c r="F1749" s="4">
        <v>6346707</v>
      </c>
      <c r="G1749" s="4">
        <f>IF(DatiOriginali!G1749 &gt;= SogliaPicchi!$B$19,"",DatiOriginali!G1749)</f>
        <v>327700</v>
      </c>
      <c r="H1749" s="4">
        <v>7924235</v>
      </c>
      <c r="I1749" s="4">
        <f>IF(DatiOriginali!I1749 &gt;= SogliaPicchi!$B$19,"",DatiOriginali!I1749)</f>
        <v>114400</v>
      </c>
      <c r="J1749" s="4">
        <v>7916349</v>
      </c>
      <c r="K1749" s="4">
        <f>IF(DatiOriginali!K1749 &gt;= SogliaPicchi!$B$19,"",DatiOriginali!K1749)</f>
        <v>124400</v>
      </c>
    </row>
    <row r="1750" spans="1:11" x14ac:dyDescent="0.3">
      <c r="A1750" s="4" t="s">
        <v>1759</v>
      </c>
      <c r="B1750" s="4">
        <v>404550</v>
      </c>
      <c r="C1750" s="4">
        <f>IF(DatiOriginali!C1750 &gt;= SogliaPicchi!$B$19,"",DatiOriginali!C1750)</f>
        <v>3383300</v>
      </c>
      <c r="D1750" s="4">
        <v>207345</v>
      </c>
      <c r="E1750" s="4">
        <f>IF(DatiOriginali!E1750 &gt;= SogliaPicchi!$B$19,"",DatiOriginali!E1750)</f>
        <v>738200</v>
      </c>
      <c r="F1750" s="4">
        <v>6354447</v>
      </c>
      <c r="G1750" s="4">
        <f>IF(DatiOriginali!G1750 &gt;= SogliaPicchi!$B$19,"",DatiOriginali!G1750)</f>
        <v>325600</v>
      </c>
      <c r="H1750" s="4">
        <v>7933307</v>
      </c>
      <c r="I1750" s="4">
        <f>IF(DatiOriginali!I1750 &gt;= SogliaPicchi!$B$19,"",DatiOriginali!I1750)</f>
        <v>114600</v>
      </c>
      <c r="J1750" s="4">
        <v>7926447</v>
      </c>
      <c r="K1750" s="4">
        <f>IF(DatiOriginali!K1750 &gt;= SogliaPicchi!$B$19,"",DatiOriginali!K1750)</f>
        <v>138700</v>
      </c>
    </row>
    <row r="1751" spans="1:11" x14ac:dyDescent="0.3">
      <c r="A1751" s="4" t="s">
        <v>1760</v>
      </c>
      <c r="B1751" s="4">
        <v>404550</v>
      </c>
      <c r="C1751" s="4">
        <f>IF(DatiOriginali!C1751 &gt;= SogliaPicchi!$B$19,"",DatiOriginali!C1751)</f>
        <v>3625200</v>
      </c>
      <c r="D1751" s="4">
        <v>198257</v>
      </c>
      <c r="E1751" s="4">
        <f>IF(DatiOriginali!E1751 &gt;= SogliaPicchi!$B$19,"",DatiOriginali!E1751)</f>
        <v>914900</v>
      </c>
      <c r="F1751" s="4">
        <v>6362134</v>
      </c>
      <c r="G1751" s="4">
        <f>IF(DatiOriginali!G1751 &gt;= SogliaPicchi!$B$19,"",DatiOriginali!G1751)</f>
        <v>396500</v>
      </c>
      <c r="H1751" s="4">
        <v>7943754</v>
      </c>
      <c r="I1751" s="4">
        <f>IF(DatiOriginali!I1751 &gt;= SogliaPicchi!$B$19,"",DatiOriginali!I1751)</f>
        <v>135300</v>
      </c>
      <c r="J1751" s="4">
        <v>7935557</v>
      </c>
      <c r="K1751" s="4">
        <f>IF(DatiOriginali!K1751 &gt;= SogliaPicchi!$B$19,"",DatiOriginali!K1751)</f>
        <v>146800</v>
      </c>
    </row>
    <row r="1752" spans="1:11" x14ac:dyDescent="0.3">
      <c r="A1752" s="4" t="s">
        <v>1761</v>
      </c>
      <c r="B1752" s="4">
        <v>404550</v>
      </c>
      <c r="C1752" s="4">
        <f>IF(DatiOriginali!C1752 &gt;= SogliaPicchi!$B$19,"",DatiOriginali!C1752)</f>
        <v>3649300</v>
      </c>
      <c r="D1752" s="4">
        <v>202784</v>
      </c>
      <c r="E1752" s="4">
        <f>IF(DatiOriginali!E1752 &gt;= SogliaPicchi!$B$19,"",DatiOriginali!E1752)</f>
        <v>704900</v>
      </c>
      <c r="F1752" s="4">
        <v>6369864</v>
      </c>
      <c r="G1752" s="4">
        <f>IF(DatiOriginali!G1752 &gt;= SogliaPicchi!$B$19,"",DatiOriginali!G1752)</f>
        <v>328100</v>
      </c>
      <c r="H1752" s="4">
        <v>7952584</v>
      </c>
      <c r="I1752" s="4">
        <f>IF(DatiOriginali!I1752 &gt;= SogliaPicchi!$B$19,"",DatiOriginali!I1752)</f>
        <v>114100</v>
      </c>
      <c r="J1752" s="4">
        <v>7945189</v>
      </c>
      <c r="K1752" s="4">
        <f>IF(DatiOriginali!K1752 &gt;= SogliaPicchi!$B$19,"",DatiOriginali!K1752)</f>
        <v>127900</v>
      </c>
    </row>
    <row r="1753" spans="1:11" x14ac:dyDescent="0.3">
      <c r="A1753" s="4" t="s">
        <v>1762</v>
      </c>
      <c r="B1753" s="4">
        <v>404550</v>
      </c>
      <c r="C1753" s="4">
        <f>IF(DatiOriginali!C1753 &gt;= SogliaPicchi!$B$19,"",DatiOriginali!C1753)</f>
        <v>3533700</v>
      </c>
      <c r="D1753" s="4">
        <v>195304</v>
      </c>
      <c r="E1753" s="4">
        <f>IF(DatiOriginali!E1753 &gt;= SogliaPicchi!$B$19,"",DatiOriginali!E1753)</f>
        <v>683600</v>
      </c>
      <c r="F1753" s="4">
        <v>6377554</v>
      </c>
      <c r="G1753" s="4">
        <f>IF(DatiOriginali!G1753 &gt;= SogliaPicchi!$B$19,"",DatiOriginali!G1753)</f>
        <v>327600</v>
      </c>
      <c r="H1753" s="4">
        <v>7961946</v>
      </c>
      <c r="I1753" s="4">
        <f>IF(DatiOriginali!I1753 &gt;= SogliaPicchi!$B$19,"",DatiOriginali!I1753)</f>
        <v>109600</v>
      </c>
      <c r="J1753" s="4">
        <v>7954746</v>
      </c>
      <c r="K1753" s="4">
        <f>IF(DatiOriginali!K1753 &gt;= SogliaPicchi!$B$19,"",DatiOriginali!K1753)</f>
        <v>129000</v>
      </c>
    </row>
    <row r="1754" spans="1:11" x14ac:dyDescent="0.3">
      <c r="A1754" s="4" t="s">
        <v>1763</v>
      </c>
      <c r="B1754" s="4">
        <v>404550</v>
      </c>
      <c r="C1754" s="4">
        <f>IF(DatiOriginali!C1754 &gt;= SogliaPicchi!$B$19,"",DatiOriginali!C1754)</f>
        <v>3392000</v>
      </c>
      <c r="D1754" s="4">
        <v>202495</v>
      </c>
      <c r="E1754" s="4">
        <f>IF(DatiOriginali!E1754 &gt;= SogliaPicchi!$B$19,"",DatiOriginali!E1754)</f>
        <v>698900</v>
      </c>
      <c r="F1754" s="4">
        <v>6385259</v>
      </c>
      <c r="G1754" s="4">
        <f>IF(DatiOriginali!G1754 &gt;= SogliaPicchi!$B$19,"",DatiOriginali!G1754)</f>
        <v>331800</v>
      </c>
      <c r="H1754" s="4">
        <v>7971737</v>
      </c>
      <c r="I1754" s="4">
        <f>IF(DatiOriginali!I1754 &gt;= SogliaPicchi!$B$19,"",DatiOriginali!I1754)</f>
        <v>115600</v>
      </c>
      <c r="J1754" s="4">
        <v>7964427</v>
      </c>
      <c r="K1754" s="4">
        <f>IF(DatiOriginali!K1754 &gt;= SogliaPicchi!$B$19,"",DatiOriginali!K1754)</f>
        <v>125100</v>
      </c>
    </row>
    <row r="1755" spans="1:11" x14ac:dyDescent="0.3">
      <c r="A1755" s="4" t="s">
        <v>1764</v>
      </c>
      <c r="B1755" s="4">
        <v>404550</v>
      </c>
      <c r="C1755" s="4">
        <f>IF(DatiOriginali!C1755 &gt;= SogliaPicchi!$B$19,"",DatiOriginali!C1755)</f>
        <v>3413500</v>
      </c>
      <c r="D1755" s="4">
        <v>207384</v>
      </c>
      <c r="E1755" s="4">
        <f>IF(DatiOriginali!E1755 &gt;= SogliaPicchi!$B$19,"",DatiOriginali!E1755)</f>
        <v>716800</v>
      </c>
      <c r="F1755" s="4">
        <v>6392979</v>
      </c>
      <c r="G1755" s="4">
        <f>IF(DatiOriginali!G1755 &gt;= SogliaPicchi!$B$19,"",DatiOriginali!G1755)</f>
        <v>326600</v>
      </c>
      <c r="H1755" s="4">
        <v>7981307</v>
      </c>
      <c r="I1755" s="4">
        <f>IF(DatiOriginali!I1755 &gt;= SogliaPicchi!$B$19,"",DatiOriginali!I1755)</f>
        <v>114200</v>
      </c>
      <c r="J1755" s="4">
        <v>7973815</v>
      </c>
      <c r="K1755" s="4">
        <f>IF(DatiOriginali!K1755 &gt;= SogliaPicchi!$B$19,"",DatiOriginali!K1755)</f>
        <v>126300</v>
      </c>
    </row>
    <row r="1756" spans="1:11" x14ac:dyDescent="0.3">
      <c r="A1756" s="4" t="s">
        <v>1765</v>
      </c>
      <c r="B1756" s="4">
        <v>404550</v>
      </c>
      <c r="C1756" s="4">
        <f>IF(DatiOriginali!C1756 &gt;= SogliaPicchi!$B$19,"",DatiOriginali!C1756)</f>
        <v>3262100</v>
      </c>
      <c r="D1756" s="4">
        <v>196475</v>
      </c>
      <c r="E1756" s="4">
        <f>IF(DatiOriginali!E1756 &gt;= SogliaPicchi!$B$19,"",DatiOriginali!E1756)</f>
        <v>981600</v>
      </c>
      <c r="F1756" s="4">
        <v>6400681</v>
      </c>
      <c r="G1756" s="4">
        <f>IF(DatiOriginali!G1756 &gt;= SogliaPicchi!$B$19,"",DatiOriginali!G1756)</f>
        <v>374600</v>
      </c>
      <c r="H1756" s="4">
        <v>7991209</v>
      </c>
      <c r="I1756" s="4">
        <f>IF(DatiOriginali!I1756 &gt;= SogliaPicchi!$B$19,"",DatiOriginali!I1756)</f>
        <v>111200</v>
      </c>
      <c r="J1756" s="4">
        <v>7983988</v>
      </c>
      <c r="K1756" s="4">
        <f>IF(DatiOriginali!K1756 &gt;= SogliaPicchi!$B$19,"",DatiOriginali!K1756)</f>
        <v>126900</v>
      </c>
    </row>
    <row r="1757" spans="1:11" x14ac:dyDescent="0.3">
      <c r="A1757" s="4" t="s">
        <v>1766</v>
      </c>
      <c r="B1757" s="4">
        <v>404550</v>
      </c>
      <c r="C1757" s="4">
        <f>IF(DatiOriginali!C1757 &gt;= SogliaPicchi!$B$19,"",DatiOriginali!C1757)</f>
        <v>3203300</v>
      </c>
      <c r="D1757" s="4">
        <v>200391</v>
      </c>
      <c r="E1757" s="4">
        <f>IF(DatiOriginali!E1757 &gt;= SogliaPicchi!$B$19,"",DatiOriginali!E1757)</f>
        <v>693700</v>
      </c>
      <c r="F1757" s="4">
        <v>6408382</v>
      </c>
      <c r="G1757" s="4">
        <f>IF(DatiOriginali!G1757 &gt;= SogliaPicchi!$B$19,"",DatiOriginali!G1757)</f>
        <v>324000</v>
      </c>
      <c r="H1757" s="4">
        <v>8000117</v>
      </c>
      <c r="I1757" s="4">
        <f>IF(DatiOriginali!I1757 &gt;= SogliaPicchi!$B$19,"",DatiOriginali!I1757)</f>
        <v>112100</v>
      </c>
      <c r="J1757" s="4">
        <v>7993027</v>
      </c>
      <c r="K1757" s="4">
        <f>IF(DatiOriginali!K1757 &gt;= SogliaPicchi!$B$19,"",DatiOriginali!K1757)</f>
        <v>121600</v>
      </c>
    </row>
    <row r="1758" spans="1:11" x14ac:dyDescent="0.3">
      <c r="A1758" s="4" t="s">
        <v>1767</v>
      </c>
      <c r="B1758" s="4">
        <v>404550</v>
      </c>
      <c r="C1758" s="4">
        <f>IF(DatiOriginali!C1758 &gt;= SogliaPicchi!$B$19,"",DatiOriginali!C1758)</f>
        <v>3265200</v>
      </c>
      <c r="D1758" s="4">
        <v>199014</v>
      </c>
      <c r="E1758" s="4">
        <f>IF(DatiOriginali!E1758 &gt;= SogliaPicchi!$B$19,"",DatiOriginali!E1758)</f>
        <v>691800</v>
      </c>
      <c r="F1758" s="4">
        <v>6416087</v>
      </c>
      <c r="G1758" s="4">
        <f>IF(DatiOriginali!G1758 &gt;= SogliaPicchi!$B$19,"",DatiOriginali!G1758)</f>
        <v>323100</v>
      </c>
      <c r="H1758" s="4">
        <v>8010019</v>
      </c>
      <c r="I1758" s="4">
        <f>IF(DatiOriginali!I1758 &gt;= SogliaPicchi!$B$19,"",DatiOriginali!I1758)</f>
        <v>113200</v>
      </c>
      <c r="J1758" s="4">
        <v>8002433</v>
      </c>
      <c r="K1758" s="4">
        <f>IF(DatiOriginali!K1758 &gt;= SogliaPicchi!$B$19,"",DatiOriginali!K1758)</f>
        <v>122000</v>
      </c>
    </row>
    <row r="1759" spans="1:11" x14ac:dyDescent="0.3">
      <c r="A1759" s="4" t="s">
        <v>1768</v>
      </c>
      <c r="B1759" s="4">
        <v>404550</v>
      </c>
      <c r="C1759" s="4">
        <f>IF(DatiOriginali!C1759 &gt;= SogliaPicchi!$B$19,"",DatiOriginali!C1759)</f>
        <v>3356400</v>
      </c>
      <c r="D1759" s="4">
        <v>198383</v>
      </c>
      <c r="E1759" s="4">
        <f>IF(DatiOriginali!E1759 &gt;= SogliaPicchi!$B$19,"",DatiOriginali!E1759)</f>
        <v>688700</v>
      </c>
      <c r="F1759" s="4">
        <v>6423800</v>
      </c>
      <c r="G1759" s="4">
        <f>IF(DatiOriginali!G1759 &gt;= SogliaPicchi!$B$19,"",DatiOriginali!G1759)</f>
        <v>325000</v>
      </c>
      <c r="H1759" s="4">
        <v>8019718</v>
      </c>
      <c r="I1759" s="4">
        <f>IF(DatiOriginali!I1759 &gt;= SogliaPicchi!$B$19,"",DatiOriginali!I1759)</f>
        <v>114500</v>
      </c>
      <c r="J1759" s="4">
        <v>8011991</v>
      </c>
      <c r="K1759" s="4">
        <f>IF(DatiOriginali!K1759 &gt;= SogliaPicchi!$B$19,"",DatiOriginali!K1759)</f>
        <v>127900</v>
      </c>
    </row>
    <row r="1760" spans="1:11" x14ac:dyDescent="0.3">
      <c r="A1760" s="4" t="s">
        <v>1769</v>
      </c>
      <c r="B1760" s="4">
        <v>404550</v>
      </c>
      <c r="C1760" s="4">
        <f>IF(DatiOriginali!C1760 &gt;= SogliaPicchi!$B$19,"",DatiOriginali!C1760)</f>
        <v>3478400</v>
      </c>
      <c r="D1760" s="4">
        <v>202447</v>
      </c>
      <c r="E1760" s="4">
        <f>IF(DatiOriginali!E1760 &gt;= SogliaPicchi!$B$19,"",DatiOriginali!E1760)</f>
        <v>729800</v>
      </c>
      <c r="F1760" s="4">
        <v>6431506</v>
      </c>
      <c r="G1760" s="4">
        <f>IF(DatiOriginali!G1760 &gt;= SogliaPicchi!$B$19,"",DatiOriginali!G1760)</f>
        <v>324700</v>
      </c>
      <c r="H1760" s="4">
        <v>8029761</v>
      </c>
      <c r="I1760" s="4">
        <f>IF(DatiOriginali!I1760 &gt;= SogliaPicchi!$B$19,"",DatiOriginali!I1760)</f>
        <v>113800</v>
      </c>
      <c r="J1760" s="4">
        <v>8022185</v>
      </c>
      <c r="K1760" s="4">
        <f>IF(DatiOriginali!K1760 &gt;= SogliaPicchi!$B$19,"",DatiOriginali!K1760)</f>
        <v>122600</v>
      </c>
    </row>
    <row r="1761" spans="1:11" x14ac:dyDescent="0.3">
      <c r="A1761" s="4" t="s">
        <v>1770</v>
      </c>
      <c r="B1761" s="4">
        <v>404550</v>
      </c>
      <c r="C1761" s="4">
        <f>IF(DatiOriginali!C1761 &gt;= SogliaPicchi!$B$19,"",DatiOriginali!C1761)</f>
        <v>3175400</v>
      </c>
      <c r="D1761" s="4">
        <v>207443</v>
      </c>
      <c r="E1761" s="4">
        <f>IF(DatiOriginali!E1761 &gt;= SogliaPicchi!$B$19,"",DatiOriginali!E1761)</f>
        <v>1075100</v>
      </c>
      <c r="F1761" s="4">
        <v>6439185</v>
      </c>
      <c r="G1761" s="4">
        <f>IF(DatiOriginali!G1761 &gt;= SogliaPicchi!$B$19,"",DatiOriginali!G1761)</f>
        <v>520500</v>
      </c>
      <c r="H1761" s="4">
        <v>8038759</v>
      </c>
      <c r="I1761" s="4">
        <f>IF(DatiOriginali!I1761 &gt;= SogliaPicchi!$B$19,"",DatiOriginali!I1761)</f>
        <v>132300</v>
      </c>
      <c r="J1761" s="4">
        <v>8032022</v>
      </c>
      <c r="K1761" s="4">
        <f>IF(DatiOriginali!K1761 &gt;= SogliaPicchi!$B$19,"",DatiOriginali!K1761)</f>
        <v>140700</v>
      </c>
    </row>
    <row r="1762" spans="1:11" x14ac:dyDescent="0.3">
      <c r="A1762" s="4" t="s">
        <v>1771</v>
      </c>
      <c r="B1762" s="4">
        <v>404550</v>
      </c>
      <c r="C1762" s="4" t="str">
        <f>IF(DatiOriginali!C1762 &gt;= SogliaPicchi!$B$19,"",DatiOriginali!C1762)</f>
        <v/>
      </c>
      <c r="D1762" s="4">
        <v>207998</v>
      </c>
      <c r="E1762" s="4">
        <f>IF(DatiOriginali!E1762 &gt;= SogliaPicchi!$B$19,"",DatiOriginali!E1762)</f>
        <v>720300</v>
      </c>
      <c r="F1762" s="4">
        <v>6446888</v>
      </c>
      <c r="G1762" s="4">
        <f>IF(DatiOriginali!G1762 &gt;= SogliaPicchi!$B$19,"",DatiOriginali!G1762)</f>
        <v>331100</v>
      </c>
      <c r="H1762" s="4">
        <v>8048552</v>
      </c>
      <c r="I1762" s="4">
        <f>IF(DatiOriginali!I1762 &gt;= SogliaPicchi!$B$19,"",DatiOriginali!I1762)</f>
        <v>112400</v>
      </c>
      <c r="J1762" s="4">
        <v>8042075</v>
      </c>
      <c r="K1762" s="4">
        <f>IF(DatiOriginali!K1762 &gt;= SogliaPicchi!$B$19,"",DatiOriginali!K1762)</f>
        <v>129900</v>
      </c>
    </row>
    <row r="1763" spans="1:11" x14ac:dyDescent="0.3">
      <c r="A1763" s="4" t="s">
        <v>1772</v>
      </c>
      <c r="B1763" s="4">
        <v>404550</v>
      </c>
      <c r="C1763" s="4">
        <f>IF(DatiOriginali!C1763 &gt;= SogliaPicchi!$B$19,"",DatiOriginali!C1763)</f>
        <v>3413600</v>
      </c>
      <c r="D1763" s="4">
        <v>206765</v>
      </c>
      <c r="E1763" s="4">
        <f>IF(DatiOriginali!E1763 &gt;= SogliaPicchi!$B$19,"",DatiOriginali!E1763)</f>
        <v>719700</v>
      </c>
      <c r="F1763" s="4">
        <v>6454626</v>
      </c>
      <c r="G1763" s="4">
        <f>IF(DatiOriginali!G1763 &gt;= SogliaPicchi!$B$19,"",DatiOriginali!G1763)</f>
        <v>322400</v>
      </c>
      <c r="H1763" s="4">
        <v>8057990</v>
      </c>
      <c r="I1763" s="4">
        <f>IF(DatiOriginali!I1763 &gt;= SogliaPicchi!$B$19,"",DatiOriginali!I1763)</f>
        <v>110200</v>
      </c>
      <c r="J1763" s="4">
        <v>8051722</v>
      </c>
      <c r="K1763" s="4">
        <f>IF(DatiOriginali!K1763 &gt;= SogliaPicchi!$B$19,"",DatiOriginali!K1763)</f>
        <v>124200</v>
      </c>
    </row>
    <row r="1764" spans="1:11" x14ac:dyDescent="0.3">
      <c r="A1764" s="4" t="s">
        <v>1773</v>
      </c>
      <c r="B1764" s="4">
        <v>404550</v>
      </c>
      <c r="C1764" s="4">
        <f>IF(DatiOriginali!C1764 &gt;= SogliaPicchi!$B$19,"",DatiOriginali!C1764)</f>
        <v>3143400</v>
      </c>
      <c r="D1764" s="4">
        <v>211797</v>
      </c>
      <c r="E1764" s="4">
        <f>IF(DatiOriginali!E1764 &gt;= SogliaPicchi!$B$19,"",DatiOriginali!E1764)</f>
        <v>732900</v>
      </c>
      <c r="F1764" s="4">
        <v>6462369</v>
      </c>
      <c r="G1764" s="4">
        <f>IF(DatiOriginali!G1764 &gt;= SogliaPicchi!$B$19,"",DatiOriginali!G1764)</f>
        <v>339800</v>
      </c>
      <c r="H1764" s="4">
        <v>8067805</v>
      </c>
      <c r="I1764" s="4">
        <f>IF(DatiOriginali!I1764 &gt;= SogliaPicchi!$B$19,"",DatiOriginali!I1764)</f>
        <v>107400</v>
      </c>
      <c r="J1764" s="4">
        <v>8061587</v>
      </c>
      <c r="K1764" s="4">
        <f>IF(DatiOriginali!K1764 &gt;= SogliaPicchi!$B$19,"",DatiOriginali!K1764)</f>
        <v>123400</v>
      </c>
    </row>
    <row r="1765" spans="1:11" x14ac:dyDescent="0.3">
      <c r="A1765" s="4" t="s">
        <v>1774</v>
      </c>
      <c r="B1765" s="4">
        <v>404550</v>
      </c>
      <c r="C1765" s="4">
        <f>IF(DatiOriginali!C1765 &gt;= SogliaPicchi!$B$19,"",DatiOriginali!C1765)</f>
        <v>3623900</v>
      </c>
      <c r="D1765" s="4">
        <v>202073</v>
      </c>
      <c r="E1765" s="4">
        <f>IF(DatiOriginali!E1765 &gt;= SogliaPicchi!$B$19,"",DatiOriginali!E1765)</f>
        <v>698300</v>
      </c>
      <c r="F1765" s="4">
        <v>6470088</v>
      </c>
      <c r="G1765" s="4">
        <f>IF(DatiOriginali!G1765 &gt;= SogliaPicchi!$B$19,"",DatiOriginali!G1765)</f>
        <v>329400</v>
      </c>
      <c r="H1765" s="4">
        <v>8077259</v>
      </c>
      <c r="I1765" s="4">
        <f>IF(DatiOriginali!I1765 &gt;= SogliaPicchi!$B$19,"",DatiOriginali!I1765)</f>
        <v>112900</v>
      </c>
      <c r="J1765" s="4">
        <v>8071603</v>
      </c>
      <c r="K1765" s="4">
        <f>IF(DatiOriginali!K1765 &gt;= SogliaPicchi!$B$19,"",DatiOriginali!K1765)</f>
        <v>130800</v>
      </c>
    </row>
    <row r="1766" spans="1:11" x14ac:dyDescent="0.3">
      <c r="A1766" s="4" t="s">
        <v>1775</v>
      </c>
      <c r="B1766" s="4">
        <v>404550</v>
      </c>
      <c r="C1766" s="4">
        <f>IF(DatiOriginali!C1766 &gt;= SogliaPicchi!$B$19,"",DatiOriginali!C1766)</f>
        <v>3551700</v>
      </c>
      <c r="D1766" s="4">
        <v>206518</v>
      </c>
      <c r="E1766" s="4">
        <f>IF(DatiOriginali!E1766 &gt;= SogliaPicchi!$B$19,"",DatiOriginali!E1766)</f>
        <v>734200</v>
      </c>
      <c r="F1766" s="4">
        <v>6477767</v>
      </c>
      <c r="G1766" s="4">
        <f>IF(DatiOriginali!G1766 &gt;= SogliaPicchi!$B$19,"",DatiOriginali!G1766)</f>
        <v>327800</v>
      </c>
      <c r="H1766" s="4">
        <v>8086568</v>
      </c>
      <c r="I1766" s="4">
        <f>IF(DatiOriginali!I1766 &gt;= SogliaPicchi!$B$19,"",DatiOriginali!I1766)</f>
        <v>111300</v>
      </c>
      <c r="J1766" s="4">
        <v>8082001</v>
      </c>
      <c r="K1766" s="4">
        <f>IF(DatiOriginali!K1766 &gt;= SogliaPicchi!$B$19,"",DatiOriginali!K1766)</f>
        <v>128500</v>
      </c>
    </row>
    <row r="1767" spans="1:11" x14ac:dyDescent="0.3">
      <c r="A1767" s="4" t="s">
        <v>1776</v>
      </c>
      <c r="B1767" s="4">
        <v>404550</v>
      </c>
      <c r="C1767" s="4">
        <f>IF(DatiOriginali!C1767 &gt;= SogliaPicchi!$B$19,"",DatiOriginali!C1767)</f>
        <v>3394200</v>
      </c>
      <c r="D1767" s="4">
        <v>194278</v>
      </c>
      <c r="E1767" s="4">
        <f>IF(DatiOriginali!E1767 &gt;= SogliaPicchi!$B$19,"",DatiOriginali!E1767)</f>
        <v>676300</v>
      </c>
      <c r="F1767" s="4">
        <v>6485464</v>
      </c>
      <c r="G1767" s="4">
        <f>IF(DatiOriginali!G1767 &gt;= SogliaPicchi!$B$19,"",DatiOriginali!G1767)</f>
        <v>328800</v>
      </c>
      <c r="H1767" s="4">
        <v>8096384</v>
      </c>
      <c r="I1767" s="4">
        <f>IF(DatiOriginali!I1767 &gt;= SogliaPicchi!$B$19,"",DatiOriginali!I1767)</f>
        <v>115700</v>
      </c>
      <c r="J1767" s="4">
        <v>8091779</v>
      </c>
      <c r="K1767" s="4">
        <f>IF(DatiOriginali!K1767 &gt;= SogliaPicchi!$B$19,"",DatiOriginali!K1767)</f>
        <v>124900</v>
      </c>
    </row>
    <row r="1768" spans="1:11" x14ac:dyDescent="0.3">
      <c r="A1768" s="4" t="s">
        <v>1777</v>
      </c>
      <c r="B1768" s="4">
        <v>404550</v>
      </c>
      <c r="C1768" s="4">
        <f>IF(DatiOriginali!C1768 &gt;= SogliaPicchi!$B$19,"",DatiOriginali!C1768)</f>
        <v>3318000</v>
      </c>
      <c r="D1768" s="4">
        <v>196894</v>
      </c>
      <c r="E1768" s="4">
        <f>IF(DatiOriginali!E1768 &gt;= SogliaPicchi!$B$19,"",DatiOriginali!E1768)</f>
        <v>682200</v>
      </c>
      <c r="F1768" s="4">
        <v>6493167</v>
      </c>
      <c r="G1768" s="4">
        <f>IF(DatiOriginali!G1768 &gt;= SogliaPicchi!$B$19,"",DatiOriginali!G1768)</f>
        <v>326100</v>
      </c>
      <c r="H1768" s="4">
        <v>8106011</v>
      </c>
      <c r="I1768" s="4">
        <f>IF(DatiOriginali!I1768 &gt;= SogliaPicchi!$B$19,"",DatiOriginali!I1768)</f>
        <v>107800</v>
      </c>
      <c r="J1768" s="4">
        <v>8102334</v>
      </c>
      <c r="K1768" s="4">
        <f>IF(DatiOriginali!K1768 &gt;= SogliaPicchi!$B$19,"",DatiOriginali!K1768)</f>
        <v>126700</v>
      </c>
    </row>
    <row r="1769" spans="1:11" x14ac:dyDescent="0.3">
      <c r="A1769" s="4" t="s">
        <v>1778</v>
      </c>
      <c r="B1769" s="4">
        <v>404550</v>
      </c>
      <c r="C1769" s="4">
        <f>IF(DatiOriginali!C1769 &gt;= SogliaPicchi!$B$19,"",DatiOriginali!C1769)</f>
        <v>3239000</v>
      </c>
      <c r="D1769" s="4">
        <v>204303</v>
      </c>
      <c r="E1769" s="4">
        <f>IF(DatiOriginali!E1769 &gt;= SogliaPicchi!$B$19,"",DatiOriginali!E1769)</f>
        <v>708300</v>
      </c>
      <c r="F1769" s="4">
        <v>6500856</v>
      </c>
      <c r="G1769" s="4">
        <f>IF(DatiOriginali!G1769 &gt;= SogliaPicchi!$B$19,"",DatiOriginali!G1769)</f>
        <v>324400</v>
      </c>
      <c r="H1769" s="4">
        <v>8115390</v>
      </c>
      <c r="I1769" s="4">
        <f>IF(DatiOriginali!I1769 &gt;= SogliaPicchi!$B$19,"",DatiOriginali!I1769)</f>
        <v>110800</v>
      </c>
      <c r="J1769" s="4">
        <v>8111516</v>
      </c>
      <c r="K1769" s="4">
        <f>IF(DatiOriginali!K1769 &gt;= SogliaPicchi!$B$19,"",DatiOriginali!K1769)</f>
        <v>123000</v>
      </c>
    </row>
    <row r="1770" spans="1:11" x14ac:dyDescent="0.3">
      <c r="A1770" s="4" t="s">
        <v>1779</v>
      </c>
      <c r="B1770" s="4">
        <v>404550</v>
      </c>
      <c r="C1770" s="4">
        <f>IF(DatiOriginali!C1770 &gt;= SogliaPicchi!$B$19,"",DatiOriginali!C1770)</f>
        <v>3473700</v>
      </c>
      <c r="D1770" s="4">
        <v>201163</v>
      </c>
      <c r="E1770" s="4">
        <f>IF(DatiOriginali!E1770 &gt;= SogliaPicchi!$B$19,"",DatiOriginali!E1770)</f>
        <v>695000</v>
      </c>
      <c r="F1770" s="4">
        <v>6508555</v>
      </c>
      <c r="G1770" s="4">
        <f>IF(DatiOriginali!G1770 &gt;= SogliaPicchi!$B$19,"",DatiOriginali!G1770)</f>
        <v>325900</v>
      </c>
      <c r="H1770" s="4">
        <v>8124815</v>
      </c>
      <c r="I1770" s="4">
        <f>IF(DatiOriginali!I1770 &gt;= SogliaPicchi!$B$19,"",DatiOriginali!I1770)</f>
        <v>114600</v>
      </c>
      <c r="J1770" s="4">
        <v>8120466</v>
      </c>
      <c r="K1770" s="4">
        <f>IF(DatiOriginali!K1770 &gt;= SogliaPicchi!$B$19,"",DatiOriginali!K1770)</f>
        <v>124600</v>
      </c>
    </row>
    <row r="1771" spans="1:11" x14ac:dyDescent="0.3">
      <c r="A1771" s="4" t="s">
        <v>1780</v>
      </c>
      <c r="B1771" s="4">
        <v>404550</v>
      </c>
      <c r="C1771" s="4">
        <f>IF(DatiOriginali!C1771 &gt;= SogliaPicchi!$B$19,"",DatiOriginali!C1771)</f>
        <v>3633500</v>
      </c>
      <c r="D1771" s="4">
        <v>204235</v>
      </c>
      <c r="E1771" s="4">
        <f>IF(DatiOriginali!E1771 &gt;= SogliaPicchi!$B$19,"",DatiOriginali!E1771)</f>
        <v>757500</v>
      </c>
      <c r="F1771" s="4">
        <v>6516262</v>
      </c>
      <c r="G1771" s="4">
        <f>IF(DatiOriginali!G1771 &gt;= SogliaPicchi!$B$19,"",DatiOriginali!G1771)</f>
        <v>440500</v>
      </c>
      <c r="H1771" s="4">
        <v>8133858</v>
      </c>
      <c r="I1771" s="4">
        <f>IF(DatiOriginali!I1771 &gt;= SogliaPicchi!$B$19,"",DatiOriginali!I1771)</f>
        <v>136300</v>
      </c>
      <c r="J1771" s="4">
        <v>8129979</v>
      </c>
      <c r="K1771" s="4">
        <f>IF(DatiOriginali!K1771 &gt;= SogliaPicchi!$B$19,"",DatiOriginali!K1771)</f>
        <v>151100</v>
      </c>
    </row>
    <row r="1772" spans="1:11" x14ac:dyDescent="0.3">
      <c r="A1772" s="4" t="s">
        <v>1781</v>
      </c>
      <c r="B1772" s="4">
        <v>404550</v>
      </c>
      <c r="C1772" s="4">
        <f>IF(DatiOriginali!C1772 &gt;= SogliaPicchi!$B$19,"",DatiOriginali!C1772)</f>
        <v>3269700</v>
      </c>
      <c r="D1772" s="4">
        <v>205339</v>
      </c>
      <c r="E1772" s="4">
        <f>IF(DatiOriginali!E1772 &gt;= SogliaPicchi!$B$19,"",DatiOriginali!E1772)</f>
        <v>714500</v>
      </c>
      <c r="F1772" s="4">
        <v>6523933</v>
      </c>
      <c r="G1772" s="4">
        <f>IF(DatiOriginali!G1772 &gt;= SogliaPicchi!$B$19,"",DatiOriginali!G1772)</f>
        <v>331900</v>
      </c>
      <c r="H1772" s="4">
        <v>8143502</v>
      </c>
      <c r="I1772" s="4">
        <f>IF(DatiOriginali!I1772 &gt;= SogliaPicchi!$B$19,"",DatiOriginali!I1772)</f>
        <v>114800</v>
      </c>
      <c r="J1772" s="4">
        <v>8139718</v>
      </c>
      <c r="K1772" s="4">
        <f>IF(DatiOriginali!K1772 &gt;= SogliaPicchi!$B$19,"",DatiOriginali!K1772)</f>
        <v>124600</v>
      </c>
    </row>
    <row r="1773" spans="1:11" x14ac:dyDescent="0.3">
      <c r="A1773" s="4" t="s">
        <v>1782</v>
      </c>
      <c r="B1773" s="4">
        <v>404550</v>
      </c>
      <c r="C1773" s="4">
        <f>IF(DatiOriginali!C1773 &gt;= SogliaPicchi!$B$19,"",DatiOriginali!C1773)</f>
        <v>3219600</v>
      </c>
      <c r="D1773" s="4">
        <v>193118</v>
      </c>
      <c r="E1773" s="4">
        <f>IF(DatiOriginali!E1773 &gt;= SogliaPicchi!$B$19,"",DatiOriginali!E1773)</f>
        <v>668500</v>
      </c>
      <c r="F1773" s="4">
        <v>6531661</v>
      </c>
      <c r="G1773" s="4">
        <f>IF(DatiOriginali!G1773 &gt;= SogliaPicchi!$B$19,"",DatiOriginali!G1773)</f>
        <v>327000</v>
      </c>
      <c r="H1773" s="4">
        <v>8152866</v>
      </c>
      <c r="I1773" s="4">
        <f>IF(DatiOriginali!I1773 &gt;= SogliaPicchi!$B$19,"",DatiOriginali!I1773)</f>
        <v>112300</v>
      </c>
      <c r="J1773" s="4">
        <v>8149138</v>
      </c>
      <c r="K1773" s="4">
        <f>IF(DatiOriginali!K1773 &gt;= SogliaPicchi!$B$19,"",DatiOriginali!K1773)</f>
        <v>122400</v>
      </c>
    </row>
    <row r="1774" spans="1:11" x14ac:dyDescent="0.3">
      <c r="A1774" s="4" t="s">
        <v>1783</v>
      </c>
      <c r="B1774" s="4">
        <v>404550</v>
      </c>
      <c r="C1774" s="4">
        <f>IF(DatiOriginali!C1774 &gt;= SogliaPicchi!$B$19,"",DatiOriginali!C1774)</f>
        <v>3522800</v>
      </c>
      <c r="D1774" s="4">
        <v>203115</v>
      </c>
      <c r="E1774" s="4">
        <f>IF(DatiOriginali!E1774 &gt;= SogliaPicchi!$B$19,"",DatiOriginali!E1774)</f>
        <v>736200</v>
      </c>
      <c r="F1774" s="4">
        <v>6539336</v>
      </c>
      <c r="G1774" s="4">
        <f>IF(DatiOriginali!G1774 &gt;= SogliaPicchi!$B$19,"",DatiOriginali!G1774)</f>
        <v>326500</v>
      </c>
      <c r="H1774" s="4">
        <v>8161631</v>
      </c>
      <c r="I1774" s="4">
        <f>IF(DatiOriginali!I1774 &gt;= SogliaPicchi!$B$19,"",DatiOriginali!I1774)</f>
        <v>115600</v>
      </c>
      <c r="J1774" s="4">
        <v>8158321</v>
      </c>
      <c r="K1774" s="4">
        <f>IF(DatiOriginali!K1774 &gt;= SogliaPicchi!$B$19,"",DatiOriginali!K1774)</f>
        <v>127000</v>
      </c>
    </row>
    <row r="1775" spans="1:11" x14ac:dyDescent="0.3">
      <c r="A1775" s="4" t="s">
        <v>1784</v>
      </c>
      <c r="B1775" s="4">
        <v>404550</v>
      </c>
      <c r="C1775" s="4">
        <f>IF(DatiOriginali!C1775 &gt;= SogliaPicchi!$B$19,"",DatiOriginali!C1775)</f>
        <v>3228600</v>
      </c>
      <c r="D1775" s="4">
        <v>202340</v>
      </c>
      <c r="E1775" s="4">
        <f>IF(DatiOriginali!E1775 &gt;= SogliaPicchi!$B$19,"",DatiOriginali!E1775)</f>
        <v>702900</v>
      </c>
      <c r="F1775" s="4">
        <v>6547068</v>
      </c>
      <c r="G1775" s="4">
        <f>IF(DatiOriginali!G1775 &gt;= SogliaPicchi!$B$19,"",DatiOriginali!G1775)</f>
        <v>326200</v>
      </c>
      <c r="H1775" s="4">
        <v>8171183</v>
      </c>
      <c r="I1775" s="4">
        <f>IF(DatiOriginali!I1775 &gt;= SogliaPicchi!$B$19,"",DatiOriginali!I1775)</f>
        <v>112600</v>
      </c>
      <c r="J1775" s="4">
        <v>8168381</v>
      </c>
      <c r="K1775" s="4">
        <f>IF(DatiOriginali!K1775 &gt;= SogliaPicchi!$B$19,"",DatiOriginali!K1775)</f>
        <v>122900</v>
      </c>
    </row>
    <row r="1776" spans="1:11" x14ac:dyDescent="0.3">
      <c r="A1776" s="4" t="s">
        <v>1785</v>
      </c>
      <c r="B1776" s="4">
        <v>404550</v>
      </c>
      <c r="C1776" s="4">
        <f>IF(DatiOriginali!C1776 &gt;= SogliaPicchi!$B$19,"",DatiOriginali!C1776)</f>
        <v>3211800</v>
      </c>
      <c r="D1776" s="4">
        <v>205722</v>
      </c>
      <c r="E1776" s="4">
        <f>IF(DatiOriginali!E1776 &gt;= SogliaPicchi!$B$19,"",DatiOriginali!E1776)</f>
        <v>729600</v>
      </c>
      <c r="F1776" s="4">
        <v>6554782</v>
      </c>
      <c r="G1776" s="4">
        <f>IF(DatiOriginali!G1776 &gt;= SogliaPicchi!$B$19,"",DatiOriginali!G1776)</f>
        <v>329100</v>
      </c>
      <c r="H1776" s="4">
        <v>8180693</v>
      </c>
      <c r="I1776" s="4">
        <f>IF(DatiOriginali!I1776 &gt;= SogliaPicchi!$B$19,"",DatiOriginali!I1776)</f>
        <v>113400</v>
      </c>
      <c r="J1776" s="4">
        <v>8178281</v>
      </c>
      <c r="K1776" s="4">
        <f>IF(DatiOriginali!K1776 &gt;= SogliaPicchi!$B$19,"",DatiOriginali!K1776)</f>
        <v>124500</v>
      </c>
    </row>
    <row r="1777" spans="1:11" x14ac:dyDescent="0.3">
      <c r="A1777" s="4" t="s">
        <v>1786</v>
      </c>
      <c r="B1777" s="4">
        <v>404550</v>
      </c>
      <c r="C1777" s="4">
        <f>IF(DatiOriginali!C1777 &gt;= SogliaPicchi!$B$19,"",DatiOriginali!C1777)</f>
        <v>3203700</v>
      </c>
      <c r="D1777" s="4">
        <v>206499</v>
      </c>
      <c r="E1777" s="4">
        <f>IF(DatiOriginali!E1777 &gt;= SogliaPicchi!$B$19,"",DatiOriginali!E1777)</f>
        <v>717500</v>
      </c>
      <c r="F1777" s="4">
        <v>6562468</v>
      </c>
      <c r="G1777" s="4">
        <f>IF(DatiOriginali!G1777 &gt;= SogliaPicchi!$B$19,"",DatiOriginali!G1777)</f>
        <v>331100</v>
      </c>
      <c r="H1777" s="4">
        <v>8190716</v>
      </c>
      <c r="I1777" s="4">
        <f>IF(DatiOriginali!I1777 &gt;= SogliaPicchi!$B$19,"",DatiOriginali!I1777)</f>
        <v>112900</v>
      </c>
      <c r="J1777" s="4">
        <v>8188777</v>
      </c>
      <c r="K1777" s="4">
        <f>IF(DatiOriginali!K1777 &gt;= SogliaPicchi!$B$19,"",DatiOriginali!K1777)</f>
        <v>121800</v>
      </c>
    </row>
    <row r="1778" spans="1:11" x14ac:dyDescent="0.3">
      <c r="A1778" s="4" t="s">
        <v>1787</v>
      </c>
      <c r="B1778" s="4">
        <v>404550</v>
      </c>
      <c r="C1778" s="4">
        <f>IF(DatiOriginali!C1778 &gt;= SogliaPicchi!$B$19,"",DatiOriginali!C1778)</f>
        <v>3406300</v>
      </c>
      <c r="D1778" s="4">
        <v>200301</v>
      </c>
      <c r="E1778" s="4">
        <f>IF(DatiOriginali!E1778 &gt;= SogliaPicchi!$B$19,"",DatiOriginali!E1778)</f>
        <v>702100</v>
      </c>
      <c r="F1778" s="4">
        <v>6570167</v>
      </c>
      <c r="G1778" s="4">
        <f>IF(DatiOriginali!G1778 &gt;= SogliaPicchi!$B$19,"",DatiOriginali!G1778)</f>
        <v>330800</v>
      </c>
      <c r="H1778" s="4">
        <v>8200579</v>
      </c>
      <c r="I1778" s="4">
        <f>IF(DatiOriginali!I1778 &gt;= SogliaPicchi!$B$19,"",DatiOriginali!I1778)</f>
        <v>116900</v>
      </c>
      <c r="J1778" s="4">
        <v>8197737</v>
      </c>
      <c r="K1778" s="4">
        <f>IF(DatiOriginali!K1778 &gt;= SogliaPicchi!$B$19,"",DatiOriginali!K1778)</f>
        <v>126400</v>
      </c>
    </row>
    <row r="1779" spans="1:11" x14ac:dyDescent="0.3">
      <c r="A1779" s="4" t="s">
        <v>1788</v>
      </c>
      <c r="B1779" s="4">
        <v>404550</v>
      </c>
      <c r="C1779" s="4">
        <f>IF(DatiOriginali!C1779 &gt;= SogliaPicchi!$B$19,"",DatiOriginali!C1779)</f>
        <v>3258600</v>
      </c>
      <c r="D1779" s="4">
        <v>200261</v>
      </c>
      <c r="E1779" s="4">
        <f>IF(DatiOriginali!E1779 &gt;= SogliaPicchi!$B$19,"",DatiOriginali!E1779)</f>
        <v>697200</v>
      </c>
      <c r="F1779" s="4">
        <v>6577871</v>
      </c>
      <c r="G1779" s="4">
        <f>IF(DatiOriginali!G1779 &gt;= SogliaPicchi!$B$19,"",DatiOriginali!G1779)</f>
        <v>328100</v>
      </c>
      <c r="H1779" s="4">
        <v>8209904</v>
      </c>
      <c r="I1779" s="4">
        <f>IF(DatiOriginali!I1779 &gt;= SogliaPicchi!$B$19,"",DatiOriginali!I1779)</f>
        <v>112300</v>
      </c>
      <c r="J1779" s="4">
        <v>8207828</v>
      </c>
      <c r="K1779" s="4">
        <f>IF(DatiOriginali!K1779 &gt;= SogliaPicchi!$B$19,"",DatiOriginali!K1779)</f>
        <v>127400</v>
      </c>
    </row>
    <row r="1780" spans="1:11" x14ac:dyDescent="0.3">
      <c r="A1780" s="4" t="s">
        <v>1789</v>
      </c>
      <c r="B1780" s="4">
        <v>404550</v>
      </c>
      <c r="C1780" s="4">
        <f>IF(DatiOriginali!C1780 &gt;= SogliaPicchi!$B$19,"",DatiOriginali!C1780)</f>
        <v>3421100</v>
      </c>
      <c r="D1780" s="4">
        <v>209469</v>
      </c>
      <c r="E1780" s="4">
        <f>IF(DatiOriginali!E1780 &gt;= SogliaPicchi!$B$19,"",DatiOriginali!E1780)</f>
        <v>750600</v>
      </c>
      <c r="F1780" s="4">
        <v>6585579</v>
      </c>
      <c r="G1780" s="4">
        <f>IF(DatiOriginali!G1780 &gt;= SogliaPicchi!$B$19,"",DatiOriginali!G1780)</f>
        <v>324900</v>
      </c>
      <c r="H1780" s="4">
        <v>8219636</v>
      </c>
      <c r="I1780" s="4">
        <f>IF(DatiOriginali!I1780 &gt;= SogliaPicchi!$B$19,"",DatiOriginali!I1780)</f>
        <v>110100</v>
      </c>
      <c r="J1780" s="4">
        <v>8217994</v>
      </c>
      <c r="K1780" s="4">
        <f>IF(DatiOriginali!K1780 &gt;= SogliaPicchi!$B$19,"",DatiOriginali!K1780)</f>
        <v>130300</v>
      </c>
    </row>
    <row r="1781" spans="1:11" x14ac:dyDescent="0.3">
      <c r="A1781" s="4" t="s">
        <v>1790</v>
      </c>
      <c r="B1781" s="4">
        <v>404550</v>
      </c>
      <c r="C1781" s="4">
        <f>IF(DatiOriginali!C1781 &gt;= SogliaPicchi!$B$19,"",DatiOriginali!C1781)</f>
        <v>3293800</v>
      </c>
      <c r="D1781" s="4">
        <v>206080</v>
      </c>
      <c r="E1781" s="4">
        <f>IF(DatiOriginali!E1781 &gt;= SogliaPicchi!$B$19,"",DatiOriginali!E1781)</f>
        <v>719500</v>
      </c>
      <c r="F1781" s="4">
        <v>6593300</v>
      </c>
      <c r="G1781" s="4">
        <f>IF(DatiOriginali!G1781 &gt;= SogliaPicchi!$B$19,"",DatiOriginali!G1781)</f>
        <v>330700</v>
      </c>
      <c r="H1781" s="4">
        <v>8228648</v>
      </c>
      <c r="I1781" s="4">
        <f>IF(DatiOriginali!I1781 &gt;= SogliaPicchi!$B$19,"",DatiOriginali!I1781)</f>
        <v>111200</v>
      </c>
      <c r="J1781" s="4">
        <v>8228396</v>
      </c>
      <c r="K1781" s="4">
        <f>IF(DatiOriginali!K1781 &gt;= SogliaPicchi!$B$19,"",DatiOriginali!K1781)</f>
        <v>128500</v>
      </c>
    </row>
    <row r="1782" spans="1:11" x14ac:dyDescent="0.3">
      <c r="A1782" s="4" t="s">
        <v>1791</v>
      </c>
      <c r="B1782" s="4">
        <v>404550</v>
      </c>
      <c r="C1782" s="4">
        <f>IF(DatiOriginali!C1782 &gt;= SogliaPicchi!$B$19,"",DatiOriginali!C1782)</f>
        <v>3118300</v>
      </c>
      <c r="D1782" s="4">
        <v>203848</v>
      </c>
      <c r="E1782" s="4">
        <f>IF(DatiOriginali!E1782 &gt;= SogliaPicchi!$B$19,"",DatiOriginali!E1782)</f>
        <v>706600</v>
      </c>
      <c r="F1782" s="4">
        <v>6600998</v>
      </c>
      <c r="G1782" s="4">
        <f>IF(DatiOriginali!G1782 &gt;= SogliaPicchi!$B$19,"",DatiOriginali!G1782)</f>
        <v>328500</v>
      </c>
      <c r="H1782" s="4">
        <v>8237980</v>
      </c>
      <c r="I1782" s="4">
        <f>IF(DatiOriginali!I1782 &gt;= SogliaPicchi!$B$19,"",DatiOriginali!I1782)</f>
        <v>110600</v>
      </c>
      <c r="J1782" s="4">
        <v>8237964</v>
      </c>
      <c r="K1782" s="4">
        <f>IF(DatiOriginali!K1782 &gt;= SogliaPicchi!$B$19,"",DatiOriginali!K1782)</f>
        <v>123500</v>
      </c>
    </row>
    <row r="1783" spans="1:11" x14ac:dyDescent="0.3">
      <c r="A1783" s="4" t="s">
        <v>1792</v>
      </c>
      <c r="B1783" s="4">
        <v>404550</v>
      </c>
      <c r="C1783" s="4">
        <f>IF(DatiOriginali!C1783 &gt;= SogliaPicchi!$B$19,"",DatiOriginali!C1783)</f>
        <v>3389400</v>
      </c>
      <c r="D1783" s="4">
        <v>198564</v>
      </c>
      <c r="E1783" s="4">
        <f>IF(DatiOriginali!E1783 &gt;= SogliaPicchi!$B$19,"",DatiOriginali!E1783)</f>
        <v>689600</v>
      </c>
      <c r="F1783" s="4">
        <v>6608722</v>
      </c>
      <c r="G1783" s="4">
        <f>IF(DatiOriginali!G1783 &gt;= SogliaPicchi!$B$19,"",DatiOriginali!G1783)</f>
        <v>327400</v>
      </c>
      <c r="H1783" s="4">
        <v>8247901</v>
      </c>
      <c r="I1783" s="4">
        <f>IF(DatiOriginali!I1783 &gt;= SogliaPicchi!$B$19,"",DatiOriginali!I1783)</f>
        <v>114800</v>
      </c>
      <c r="J1783" s="4">
        <v>8247103</v>
      </c>
      <c r="K1783" s="4">
        <f>IF(DatiOriginali!K1783 &gt;= SogliaPicchi!$B$19,"",DatiOriginali!K1783)</f>
        <v>122400</v>
      </c>
    </row>
    <row r="1784" spans="1:11" x14ac:dyDescent="0.3">
      <c r="A1784" s="4" t="s">
        <v>1793</v>
      </c>
      <c r="B1784" s="4">
        <v>404550</v>
      </c>
      <c r="C1784" s="4">
        <f>IF(DatiOriginali!C1784 &gt;= SogliaPicchi!$B$19,"",DatiOriginali!C1784)</f>
        <v>3367800</v>
      </c>
      <c r="D1784" s="4">
        <v>199803</v>
      </c>
      <c r="E1784" s="4">
        <f>IF(DatiOriginali!E1784 &gt;= SogliaPicchi!$B$19,"",DatiOriginali!E1784)</f>
        <v>690800</v>
      </c>
      <c r="F1784" s="4">
        <v>6616412</v>
      </c>
      <c r="G1784" s="4">
        <f>IF(DatiOriginali!G1784 &gt;= SogliaPicchi!$B$19,"",DatiOriginali!G1784)</f>
        <v>325800</v>
      </c>
      <c r="H1784" s="4">
        <v>8258772</v>
      </c>
      <c r="I1784" s="4">
        <f>IF(DatiOriginali!I1784 &gt;= SogliaPicchi!$B$19,"",DatiOriginali!I1784)</f>
        <v>115500</v>
      </c>
      <c r="J1784" s="4">
        <v>8257067</v>
      </c>
      <c r="K1784" s="4">
        <f>IF(DatiOriginali!K1784 &gt;= SogliaPicchi!$B$19,"",DatiOriginali!K1784)</f>
        <v>122000</v>
      </c>
    </row>
    <row r="1785" spans="1:11" x14ac:dyDescent="0.3">
      <c r="A1785" s="4" t="s">
        <v>1794</v>
      </c>
      <c r="B1785" s="4">
        <v>404550</v>
      </c>
      <c r="C1785" s="4">
        <f>IF(DatiOriginali!C1785 &gt;= SogliaPicchi!$B$19,"",DatiOriginali!C1785)</f>
        <v>3413400</v>
      </c>
      <c r="D1785" s="4">
        <v>207443</v>
      </c>
      <c r="E1785" s="4">
        <f>IF(DatiOriginali!E1785 &gt;= SogliaPicchi!$B$19,"",DatiOriginali!E1785)</f>
        <v>732500</v>
      </c>
      <c r="F1785" s="4">
        <v>6624113</v>
      </c>
      <c r="G1785" s="4">
        <f>IF(DatiOriginali!G1785 &gt;= SogliaPicchi!$B$19,"",DatiOriginali!G1785)</f>
        <v>326700</v>
      </c>
      <c r="H1785" s="4">
        <v>8269337</v>
      </c>
      <c r="I1785" s="4">
        <f>IF(DatiOriginali!I1785 &gt;= SogliaPicchi!$B$19,"",DatiOriginali!I1785)</f>
        <v>111800</v>
      </c>
      <c r="J1785" s="4">
        <v>8266810</v>
      </c>
      <c r="K1785" s="4">
        <f>IF(DatiOriginali!K1785 &gt;= SogliaPicchi!$B$19,"",DatiOriginali!K1785)</f>
        <v>126800</v>
      </c>
    </row>
    <row r="1786" spans="1:11" x14ac:dyDescent="0.3">
      <c r="A1786" s="4" t="s">
        <v>1795</v>
      </c>
      <c r="B1786" s="4">
        <v>404550</v>
      </c>
      <c r="C1786" s="4">
        <f>IF(DatiOriginali!C1786 &gt;= SogliaPicchi!$B$19,"",DatiOriginali!C1786)</f>
        <v>3291900</v>
      </c>
      <c r="D1786" s="4">
        <v>207138</v>
      </c>
      <c r="E1786" s="4">
        <f>IF(DatiOriginali!E1786 &gt;= SogliaPicchi!$B$19,"",DatiOriginali!E1786)</f>
        <v>883500</v>
      </c>
      <c r="F1786" s="4">
        <v>6631822</v>
      </c>
      <c r="G1786" s="4">
        <f>IF(DatiOriginali!G1786 &gt;= SogliaPicchi!$B$19,"",DatiOriginali!G1786)</f>
        <v>332700</v>
      </c>
      <c r="H1786" s="4">
        <v>8279445</v>
      </c>
      <c r="I1786" s="4">
        <f>IF(DatiOriginali!I1786 &gt;= SogliaPicchi!$B$19,"",DatiOriginali!I1786)</f>
        <v>114800</v>
      </c>
      <c r="J1786" s="4">
        <v>8276184</v>
      </c>
      <c r="K1786" s="4">
        <f>IF(DatiOriginali!K1786 &gt;= SogliaPicchi!$B$19,"",DatiOriginali!K1786)</f>
        <v>124300</v>
      </c>
    </row>
    <row r="1787" spans="1:11" x14ac:dyDescent="0.3">
      <c r="A1787" s="4" t="s">
        <v>1796</v>
      </c>
      <c r="B1787" s="4">
        <v>404550</v>
      </c>
      <c r="C1787" s="4">
        <f>IF(DatiOriginali!C1787 &gt;= SogliaPicchi!$B$19,"",DatiOriginali!C1787)</f>
        <v>3356300</v>
      </c>
      <c r="D1787" s="4">
        <v>195139</v>
      </c>
      <c r="E1787" s="4">
        <f>IF(DatiOriginali!E1787 &gt;= SogliaPicchi!$B$19,"",DatiOriginali!E1787)</f>
        <v>694600</v>
      </c>
      <c r="F1787" s="4">
        <v>6639501</v>
      </c>
      <c r="G1787" s="4">
        <f>IF(DatiOriginali!G1787 &gt;= SogliaPicchi!$B$19,"",DatiOriginali!G1787)</f>
        <v>335900</v>
      </c>
      <c r="H1787" s="4">
        <v>8288741</v>
      </c>
      <c r="I1787" s="4">
        <f>IF(DatiOriginali!I1787 &gt;= SogliaPicchi!$B$19,"",DatiOriginali!I1787)</f>
        <v>108700</v>
      </c>
      <c r="J1787" s="4">
        <v>8286164</v>
      </c>
      <c r="K1787" s="4">
        <f>IF(DatiOriginali!K1787 &gt;= SogliaPicchi!$B$19,"",DatiOriginali!K1787)</f>
        <v>125100</v>
      </c>
    </row>
    <row r="1788" spans="1:11" x14ac:dyDescent="0.3">
      <c r="A1788" s="4" t="s">
        <v>1797</v>
      </c>
      <c r="B1788" s="4">
        <v>404550</v>
      </c>
      <c r="C1788" s="4">
        <f>IF(DatiOriginali!C1788 &gt;= SogliaPicchi!$B$19,"",DatiOriginali!C1788)</f>
        <v>3097600</v>
      </c>
      <c r="D1788" s="4">
        <v>204581</v>
      </c>
      <c r="E1788" s="4">
        <f>IF(DatiOriginali!E1788 &gt;= SogliaPicchi!$B$19,"",DatiOriginali!E1788)</f>
        <v>712700</v>
      </c>
      <c r="F1788" s="4">
        <v>6647219</v>
      </c>
      <c r="G1788" s="4">
        <f>IF(DatiOriginali!G1788 &gt;= SogliaPicchi!$B$19,"",DatiOriginali!G1788)</f>
        <v>332400</v>
      </c>
      <c r="H1788" s="4">
        <v>8298400</v>
      </c>
      <c r="I1788" s="4">
        <f>IF(DatiOriginali!I1788 &gt;= SogliaPicchi!$B$19,"",DatiOriginali!I1788)</f>
        <v>113800</v>
      </c>
      <c r="J1788" s="4">
        <v>8295157</v>
      </c>
      <c r="K1788" s="4">
        <f>IF(DatiOriginali!K1788 &gt;= SogliaPicchi!$B$19,"",DatiOriginali!K1788)</f>
        <v>122000</v>
      </c>
    </row>
    <row r="1789" spans="1:11" x14ac:dyDescent="0.3">
      <c r="A1789" s="4" t="s">
        <v>1798</v>
      </c>
      <c r="B1789" s="4">
        <v>404550</v>
      </c>
      <c r="C1789" s="4">
        <f>IF(DatiOriginali!C1789 &gt;= SogliaPicchi!$B$19,"",DatiOriginali!C1789)</f>
        <v>3282100</v>
      </c>
      <c r="D1789" s="4">
        <v>202925</v>
      </c>
      <c r="E1789" s="4">
        <f>IF(DatiOriginali!E1789 &gt;= SogliaPicchi!$B$19,"",DatiOriginali!E1789)</f>
        <v>724900</v>
      </c>
      <c r="F1789" s="4">
        <v>6654953</v>
      </c>
      <c r="G1789" s="4">
        <f>IF(DatiOriginali!G1789 &gt;= SogliaPicchi!$B$19,"",DatiOriginali!G1789)</f>
        <v>329200</v>
      </c>
      <c r="H1789" s="4">
        <v>8308030</v>
      </c>
      <c r="I1789" s="4">
        <f>IF(DatiOriginali!I1789 &gt;= SogliaPicchi!$B$19,"",DatiOriginali!I1789)</f>
        <v>107600</v>
      </c>
      <c r="J1789" s="4">
        <v>8304778</v>
      </c>
      <c r="K1789" s="4">
        <f>IF(DatiOriginali!K1789 &gt;= SogliaPicchi!$B$19,"",DatiOriginali!K1789)</f>
        <v>122000</v>
      </c>
    </row>
    <row r="1790" spans="1:11" x14ac:dyDescent="0.3">
      <c r="A1790" s="4" t="s">
        <v>1799</v>
      </c>
      <c r="B1790" s="4">
        <v>404550</v>
      </c>
      <c r="C1790" s="4">
        <f>IF(DatiOriginali!C1790 &gt;= SogliaPicchi!$B$19,"",DatiOriginali!C1790)</f>
        <v>3292100</v>
      </c>
      <c r="D1790" s="4">
        <v>201309</v>
      </c>
      <c r="E1790" s="4">
        <f>IF(DatiOriginali!E1790 &gt;= SogliaPicchi!$B$19,"",DatiOriginali!E1790)</f>
        <v>699400</v>
      </c>
      <c r="F1790" s="4">
        <v>6662681</v>
      </c>
      <c r="G1790" s="4">
        <f>IF(DatiOriginali!G1790 &gt;= SogliaPicchi!$B$19,"",DatiOriginali!G1790)</f>
        <v>343400</v>
      </c>
      <c r="H1790" s="4">
        <v>8317333</v>
      </c>
      <c r="I1790" s="4">
        <f>IF(DatiOriginali!I1790 &gt;= SogliaPicchi!$B$19,"",DatiOriginali!I1790)</f>
        <v>112100</v>
      </c>
      <c r="J1790" s="4">
        <v>8313788</v>
      </c>
      <c r="K1790" s="4">
        <f>IF(DatiOriginali!K1790 &gt;= SogliaPicchi!$B$19,"",DatiOriginali!K1790)</f>
        <v>121100</v>
      </c>
    </row>
    <row r="1791" spans="1:11" x14ac:dyDescent="0.3">
      <c r="A1791" s="4" t="s">
        <v>1800</v>
      </c>
      <c r="B1791" s="4">
        <v>404550</v>
      </c>
      <c r="C1791" s="4">
        <f>IF(DatiOriginali!C1791 &gt;= SogliaPicchi!$B$19,"",DatiOriginali!C1791)</f>
        <v>3257200</v>
      </c>
      <c r="D1791" s="4">
        <v>198955</v>
      </c>
      <c r="E1791" s="4">
        <f>IF(DatiOriginali!E1791 &gt;= SogliaPicchi!$B$19,"",DatiOriginali!E1791)</f>
        <v>688000</v>
      </c>
      <c r="F1791" s="4">
        <v>6670406</v>
      </c>
      <c r="G1791" s="4">
        <f>IF(DatiOriginali!G1791 &gt;= SogliaPicchi!$B$19,"",DatiOriginali!G1791)</f>
        <v>330800</v>
      </c>
      <c r="H1791" s="4">
        <v>8328164</v>
      </c>
      <c r="I1791" s="4">
        <f>IF(DatiOriginali!I1791 &gt;= SogliaPicchi!$B$19,"",DatiOriginali!I1791)</f>
        <v>113600</v>
      </c>
      <c r="J1791" s="4">
        <v>8322776</v>
      </c>
      <c r="K1791" s="4">
        <f>IF(DatiOriginali!K1791 &gt;= SogliaPicchi!$B$19,"",DatiOriginali!K1791)</f>
        <v>127300</v>
      </c>
    </row>
    <row r="1792" spans="1:11" x14ac:dyDescent="0.3">
      <c r="A1792" s="4" t="s">
        <v>1801</v>
      </c>
      <c r="B1792" s="4">
        <v>404550</v>
      </c>
      <c r="C1792" s="4">
        <f>IF(DatiOriginali!C1792 &gt;= SogliaPicchi!$B$19,"",DatiOriginali!C1792)</f>
        <v>3103400</v>
      </c>
      <c r="D1792" s="4">
        <v>208165</v>
      </c>
      <c r="E1792" s="4">
        <f>IF(DatiOriginali!E1792 &gt;= SogliaPicchi!$B$19,"",DatiOriginali!E1792)</f>
        <v>721400</v>
      </c>
      <c r="F1792" s="4">
        <v>6678126</v>
      </c>
      <c r="G1792" s="4">
        <f>IF(DatiOriginali!G1792 &gt;= SogliaPicchi!$B$19,"",DatiOriginali!G1792)</f>
        <v>420900</v>
      </c>
      <c r="H1792" s="4">
        <v>8337584</v>
      </c>
      <c r="I1792" s="4">
        <f>IF(DatiOriginali!I1792 &gt;= SogliaPicchi!$B$19,"",DatiOriginali!I1792)</f>
        <v>140400</v>
      </c>
      <c r="J1792" s="4">
        <v>8331743</v>
      </c>
      <c r="K1792" s="4">
        <f>IF(DatiOriginali!K1792 &gt;= SogliaPicchi!$B$19,"",DatiOriginali!K1792)</f>
        <v>163300</v>
      </c>
    </row>
    <row r="1793" spans="1:11" x14ac:dyDescent="0.3">
      <c r="A1793" s="4" t="s">
        <v>1802</v>
      </c>
      <c r="B1793" s="4">
        <v>404550</v>
      </c>
      <c r="C1793" s="4">
        <f>IF(DatiOriginali!C1793 &gt;= SogliaPicchi!$B$19,"",DatiOriginali!C1793)</f>
        <v>3430700</v>
      </c>
      <c r="D1793" s="4">
        <v>201676</v>
      </c>
      <c r="E1793" s="4">
        <f>IF(DatiOriginali!E1793 &gt;= SogliaPicchi!$B$19,"",DatiOriginali!E1793)</f>
        <v>696200</v>
      </c>
      <c r="F1793" s="4">
        <v>6685855</v>
      </c>
      <c r="G1793" s="4">
        <f>IF(DatiOriginali!G1793 &gt;= SogliaPicchi!$B$19,"",DatiOriginali!G1793)</f>
        <v>327200</v>
      </c>
      <c r="H1793" s="4">
        <v>8346563</v>
      </c>
      <c r="I1793" s="4">
        <f>IF(DatiOriginali!I1793 &gt;= SogliaPicchi!$B$19,"",DatiOriginali!I1793)</f>
        <v>112200</v>
      </c>
      <c r="J1793" s="4">
        <v>8341415</v>
      </c>
      <c r="K1793" s="4">
        <f>IF(DatiOriginali!K1793 &gt;= SogliaPicchi!$B$19,"",DatiOriginali!K1793)</f>
        <v>124400</v>
      </c>
    </row>
    <row r="1794" spans="1:11" x14ac:dyDescent="0.3">
      <c r="A1794" s="4" t="s">
        <v>1803</v>
      </c>
      <c r="B1794" s="4">
        <v>404550</v>
      </c>
      <c r="C1794" s="4">
        <f>IF(DatiOriginali!C1794 &gt;= SogliaPicchi!$B$19,"",DatiOriginali!C1794)</f>
        <v>3341200</v>
      </c>
      <c r="D1794" s="4">
        <v>202534</v>
      </c>
      <c r="E1794" s="4">
        <f>IF(DatiOriginali!E1794 &gt;= SogliaPicchi!$B$19,"",DatiOriginali!E1794)</f>
        <v>786900</v>
      </c>
      <c r="F1794" s="4">
        <v>6693556</v>
      </c>
      <c r="G1794" s="4">
        <f>IF(DatiOriginali!G1794 &gt;= SogliaPicchi!$B$19,"",DatiOriginali!G1794)</f>
        <v>333300</v>
      </c>
      <c r="H1794" s="4">
        <v>8356292</v>
      </c>
      <c r="I1794" s="4">
        <f>IF(DatiOriginali!I1794 &gt;= SogliaPicchi!$B$19,"",DatiOriginali!I1794)</f>
        <v>116700</v>
      </c>
      <c r="J1794" s="4">
        <v>8350701</v>
      </c>
      <c r="K1794" s="4">
        <f>IF(DatiOriginali!K1794 &gt;= SogliaPicchi!$B$19,"",DatiOriginali!K1794)</f>
        <v>122300</v>
      </c>
    </row>
    <row r="1795" spans="1:11" x14ac:dyDescent="0.3">
      <c r="A1795" s="4" t="s">
        <v>1804</v>
      </c>
      <c r="B1795" s="4">
        <v>404550</v>
      </c>
      <c r="C1795" s="4">
        <f>IF(DatiOriginali!C1795 &gt;= SogliaPicchi!$B$19,"",DatiOriginali!C1795)</f>
        <v>3135600</v>
      </c>
      <c r="D1795" s="4">
        <v>209205</v>
      </c>
      <c r="E1795" s="4">
        <f>IF(DatiOriginali!E1795 &gt;= SogliaPicchi!$B$19,"",DatiOriginali!E1795)</f>
        <v>753300</v>
      </c>
      <c r="F1795" s="4">
        <v>6701254</v>
      </c>
      <c r="G1795" s="4">
        <f>IF(DatiOriginali!G1795 &gt;= SogliaPicchi!$B$19,"",DatiOriginali!G1795)</f>
        <v>330000</v>
      </c>
      <c r="H1795" s="4">
        <v>8365545</v>
      </c>
      <c r="I1795" s="4">
        <f>IF(DatiOriginali!I1795 &gt;= SogliaPicchi!$B$19,"",DatiOriginali!I1795)</f>
        <v>110300</v>
      </c>
      <c r="J1795" s="4">
        <v>8359864</v>
      </c>
      <c r="K1795" s="4">
        <f>IF(DatiOriginali!K1795 &gt;= SogliaPicchi!$B$19,"",DatiOriginali!K1795)</f>
        <v>122000</v>
      </c>
    </row>
    <row r="1796" spans="1:11" x14ac:dyDescent="0.3">
      <c r="A1796" s="4" t="s">
        <v>1805</v>
      </c>
      <c r="B1796" s="4">
        <v>404550</v>
      </c>
      <c r="C1796" s="4">
        <f>IF(DatiOriginali!C1796 &gt;= SogliaPicchi!$B$19,"",DatiOriginali!C1796)</f>
        <v>3303100</v>
      </c>
      <c r="D1796" s="4">
        <v>203802</v>
      </c>
      <c r="E1796" s="4">
        <f>IF(DatiOriginali!E1796 &gt;= SogliaPicchi!$B$19,"",DatiOriginali!E1796)</f>
        <v>701600</v>
      </c>
      <c r="F1796" s="4">
        <v>6708970</v>
      </c>
      <c r="G1796" s="4">
        <f>IF(DatiOriginali!G1796 &gt;= SogliaPicchi!$B$19,"",DatiOriginali!G1796)</f>
        <v>327000</v>
      </c>
      <c r="H1796" s="4">
        <v>8374718</v>
      </c>
      <c r="I1796" s="4">
        <f>IF(DatiOriginali!I1796 &gt;= SogliaPicchi!$B$19,"",DatiOriginali!I1796)</f>
        <v>111100</v>
      </c>
      <c r="J1796" s="4">
        <v>8369108</v>
      </c>
      <c r="K1796" s="4">
        <f>IF(DatiOriginali!K1796 &gt;= SogliaPicchi!$B$19,"",DatiOriginali!K1796)</f>
        <v>129100</v>
      </c>
    </row>
    <row r="1797" spans="1:11" x14ac:dyDescent="0.3">
      <c r="A1797" s="4" t="s">
        <v>1806</v>
      </c>
      <c r="B1797" s="4">
        <v>404550</v>
      </c>
      <c r="C1797" s="4">
        <f>IF(DatiOriginali!C1797 &gt;= SogliaPicchi!$B$19,"",DatiOriginali!C1797)</f>
        <v>3318300</v>
      </c>
      <c r="D1797" s="4">
        <v>206470</v>
      </c>
      <c r="E1797" s="4">
        <f>IF(DatiOriginali!E1797 &gt;= SogliaPicchi!$B$19,"",DatiOriginali!E1797)</f>
        <v>720500</v>
      </c>
      <c r="F1797" s="4">
        <v>6716666</v>
      </c>
      <c r="G1797" s="4">
        <f>IF(DatiOriginali!G1797 &gt;= SogliaPicchi!$B$19,"",DatiOriginali!G1797)</f>
        <v>331200</v>
      </c>
      <c r="H1797" s="4">
        <v>8384545</v>
      </c>
      <c r="I1797" s="4">
        <f>IF(DatiOriginali!I1797 &gt;= SogliaPicchi!$B$19,"",DatiOriginali!I1797)</f>
        <v>111000</v>
      </c>
      <c r="J1797" s="4">
        <v>8378665</v>
      </c>
      <c r="K1797" s="4">
        <f>IF(DatiOriginali!K1797 &gt;= SogliaPicchi!$B$19,"",DatiOriginali!K1797)</f>
        <v>120900</v>
      </c>
    </row>
    <row r="1798" spans="1:11" x14ac:dyDescent="0.3">
      <c r="A1798" s="4" t="s">
        <v>1807</v>
      </c>
      <c r="B1798" s="4">
        <v>404550</v>
      </c>
      <c r="C1798" s="4">
        <f>IF(DatiOriginali!C1798 &gt;= SogliaPicchi!$B$19,"",DatiOriginali!C1798)</f>
        <v>3955900</v>
      </c>
      <c r="D1798" s="4">
        <v>211078</v>
      </c>
      <c r="E1798" s="4">
        <f>IF(DatiOriginali!E1798 &gt;= SogliaPicchi!$B$19,"",DatiOriginali!E1798)</f>
        <v>735600</v>
      </c>
      <c r="F1798" s="4">
        <v>6724361</v>
      </c>
      <c r="G1798" s="4">
        <f>IF(DatiOriginali!G1798 &gt;= SogliaPicchi!$B$19,"",DatiOriginali!G1798)</f>
        <v>329200</v>
      </c>
      <c r="H1798" s="4">
        <v>8394641</v>
      </c>
      <c r="I1798" s="4">
        <f>IF(DatiOriginali!I1798 &gt;= SogliaPicchi!$B$19,"",DatiOriginali!I1798)</f>
        <v>111600</v>
      </c>
      <c r="J1798" s="4">
        <v>8388158</v>
      </c>
      <c r="K1798" s="4">
        <f>IF(DatiOriginali!K1798 &gt;= SogliaPicchi!$B$19,"",DatiOriginali!K1798)</f>
        <v>126400</v>
      </c>
    </row>
    <row r="1799" spans="1:11" x14ac:dyDescent="0.3">
      <c r="A1799" s="4" t="s">
        <v>1808</v>
      </c>
      <c r="B1799" s="4">
        <v>404550</v>
      </c>
      <c r="C1799" s="4">
        <f>IF(DatiOriginali!C1799 &gt;= SogliaPicchi!$B$19,"",DatiOriginali!C1799)</f>
        <v>3418200</v>
      </c>
      <c r="D1799" s="4">
        <v>202867</v>
      </c>
      <c r="E1799" s="4">
        <f>IF(DatiOriginali!E1799 &gt;= SogliaPicchi!$B$19,"",DatiOriginali!E1799)</f>
        <v>716300</v>
      </c>
      <c r="F1799" s="4">
        <v>6732057</v>
      </c>
      <c r="G1799" s="4">
        <f>IF(DatiOriginali!G1799 &gt;= SogliaPicchi!$B$19,"",DatiOriginali!G1799)</f>
        <v>333900</v>
      </c>
      <c r="H1799" s="4">
        <v>8403794</v>
      </c>
      <c r="I1799" s="4">
        <f>IF(DatiOriginali!I1799 &gt;= SogliaPicchi!$B$19,"",DatiOriginali!I1799)</f>
        <v>114700</v>
      </c>
      <c r="J1799" s="4">
        <v>8398193</v>
      </c>
      <c r="K1799" s="4">
        <f>IF(DatiOriginali!K1799 &gt;= SogliaPicchi!$B$19,"",DatiOriginali!K1799)</f>
        <v>132100</v>
      </c>
    </row>
    <row r="1800" spans="1:11" x14ac:dyDescent="0.3">
      <c r="A1800" s="4" t="s">
        <v>1809</v>
      </c>
      <c r="B1800" s="4">
        <v>404550</v>
      </c>
      <c r="C1800" s="4">
        <f>IF(DatiOriginali!C1800 &gt;= SogliaPicchi!$B$19,"",DatiOriginali!C1800)</f>
        <v>3284000</v>
      </c>
      <c r="D1800" s="4">
        <v>204653</v>
      </c>
      <c r="E1800" s="4">
        <f>IF(DatiOriginali!E1800 &gt;= SogliaPicchi!$B$19,"",DatiOriginali!E1800)</f>
        <v>713900</v>
      </c>
      <c r="F1800" s="4">
        <v>6739758</v>
      </c>
      <c r="G1800" s="4">
        <f>IF(DatiOriginali!G1800 &gt;= SogliaPicchi!$B$19,"",DatiOriginali!G1800)</f>
        <v>337400</v>
      </c>
      <c r="H1800" s="4">
        <v>8413575</v>
      </c>
      <c r="I1800" s="4">
        <f>IF(DatiOriginali!I1800 &gt;= SogliaPicchi!$B$19,"",DatiOriginali!I1800)</f>
        <v>112500</v>
      </c>
      <c r="J1800" s="4">
        <v>8408209</v>
      </c>
      <c r="K1800" s="4">
        <f>IF(DatiOriginali!K1800 &gt;= SogliaPicchi!$B$19,"",DatiOriginali!K1800)</f>
        <v>125100</v>
      </c>
    </row>
    <row r="1801" spans="1:11" x14ac:dyDescent="0.3">
      <c r="A1801" s="4" t="s">
        <v>1810</v>
      </c>
      <c r="B1801" s="4">
        <v>404550</v>
      </c>
      <c r="C1801" s="4">
        <f>IF(DatiOriginali!C1801 &gt;= SogliaPicchi!$B$19,"",DatiOriginali!C1801)</f>
        <v>3186200</v>
      </c>
      <c r="D1801" s="4">
        <v>202868</v>
      </c>
      <c r="E1801" s="4">
        <f>IF(DatiOriginali!E1801 &gt;= SogliaPicchi!$B$19,"",DatiOriginali!E1801)</f>
        <v>701100</v>
      </c>
      <c r="F1801" s="4">
        <v>6747479</v>
      </c>
      <c r="G1801" s="4">
        <f>IF(DatiOriginali!G1801 &gt;= SogliaPicchi!$B$20,"",DatiOriginali!G1801)</f>
        <v>329000</v>
      </c>
      <c r="H1801" s="4">
        <v>8422494</v>
      </c>
      <c r="I1801" s="4">
        <f>IF(DatiOriginali!I1801 &gt;= SogliaPicchi!$B$20,"",DatiOriginali!I1801)</f>
        <v>112600</v>
      </c>
      <c r="J1801" s="4">
        <v>8418253</v>
      </c>
      <c r="K1801" s="4">
        <f>IF(DatiOriginali!K1801 &gt;= SogliaPicchi!$B$20,"",DatiOriginali!K1801)</f>
        <v>125300</v>
      </c>
    </row>
    <row r="1802" spans="1:11" x14ac:dyDescent="0.3">
      <c r="A1802" s="4" t="s">
        <v>1811</v>
      </c>
      <c r="B1802" s="4">
        <v>450775</v>
      </c>
      <c r="C1802" s="4">
        <f>IF(DatiOriginali!C1802 &gt;= SogliaPicchi!$B$20,"",DatiOriginali!C1802)</f>
        <v>3673300</v>
      </c>
      <c r="D1802" s="4">
        <v>221542</v>
      </c>
      <c r="E1802" s="4">
        <f>IF(DatiOriginali!E1802 &gt;= SogliaPicchi!$B$20,"",DatiOriginali!E1802)</f>
        <v>764100</v>
      </c>
      <c r="F1802" s="4">
        <v>6755660</v>
      </c>
      <c r="G1802" s="4">
        <f>IF(DatiOriginali!G1802 &gt;= SogliaPicchi!$B$20,"",DatiOriginali!G1802)</f>
        <v>354400</v>
      </c>
      <c r="H1802" s="4">
        <v>8432250</v>
      </c>
      <c r="I1802" s="4">
        <f>IF(DatiOriginali!I1802 &gt;= SogliaPicchi!$B$20,"",DatiOriginali!I1802)</f>
        <v>119000</v>
      </c>
      <c r="J1802" s="4">
        <v>8428667</v>
      </c>
      <c r="K1802" s="4">
        <f>IF(DatiOriginali!K1802 &gt;= SogliaPicchi!$B$20,"",DatiOriginali!K1802)</f>
        <v>128700</v>
      </c>
    </row>
    <row r="1803" spans="1:11" x14ac:dyDescent="0.3">
      <c r="A1803" s="4" t="s">
        <v>1812</v>
      </c>
      <c r="B1803" s="4">
        <v>450775</v>
      </c>
      <c r="C1803" s="4">
        <f>IF(DatiOriginali!C1803 &gt;= SogliaPicchi!$B$20,"",DatiOriginali!C1803)</f>
        <v>4019100</v>
      </c>
      <c r="D1803" s="4">
        <v>228122</v>
      </c>
      <c r="E1803" s="4">
        <f>IF(DatiOriginali!E1803 &gt;= SogliaPicchi!$B$20,"",DatiOriginali!E1803)</f>
        <v>816300</v>
      </c>
      <c r="F1803" s="4">
        <v>6763842</v>
      </c>
      <c r="G1803" s="4">
        <f>IF(DatiOriginali!G1803 &gt;= SogliaPicchi!$B$20,"",DatiOriginali!G1803)</f>
        <v>355100</v>
      </c>
      <c r="H1803" s="4">
        <v>8442784</v>
      </c>
      <c r="I1803" s="4">
        <f>IF(DatiOriginali!I1803 &gt;= SogliaPicchi!$B$20,"",DatiOriginali!I1803)</f>
        <v>119300</v>
      </c>
      <c r="J1803" s="4">
        <v>8438324</v>
      </c>
      <c r="K1803" s="4">
        <f>IF(DatiOriginali!K1803 &gt;= SogliaPicchi!$B$20,"",DatiOriginali!K1803)</f>
        <v>133200</v>
      </c>
    </row>
    <row r="1804" spans="1:11" x14ac:dyDescent="0.3">
      <c r="A1804" s="4" t="s">
        <v>1813</v>
      </c>
      <c r="B1804" s="4">
        <v>450775</v>
      </c>
      <c r="C1804" s="4">
        <f>IF(DatiOriginali!C1804 &gt;= SogliaPicchi!$B$20,"",DatiOriginali!C1804)</f>
        <v>3682600</v>
      </c>
      <c r="D1804" s="4">
        <v>237151</v>
      </c>
      <c r="E1804" s="4">
        <f>IF(DatiOriginali!E1804 &gt;= SogliaPicchi!$B$20,"",DatiOriginali!E1804)</f>
        <v>934900</v>
      </c>
      <c r="F1804" s="4">
        <v>6772065</v>
      </c>
      <c r="G1804" s="4">
        <f>IF(DatiOriginali!G1804 &gt;= SogliaPicchi!$B$20,"",DatiOriginali!G1804)</f>
        <v>350100</v>
      </c>
      <c r="H1804" s="4">
        <v>8453346</v>
      </c>
      <c r="I1804" s="4">
        <f>IF(DatiOriginali!I1804 &gt;= SogliaPicchi!$B$20,"",DatiOriginali!I1804)</f>
        <v>118800</v>
      </c>
      <c r="J1804" s="4">
        <v>8448939</v>
      </c>
      <c r="K1804" s="4">
        <f>IF(DatiOriginali!K1804 &gt;= SogliaPicchi!$B$20,"",DatiOriginali!K1804)</f>
        <v>137600</v>
      </c>
    </row>
    <row r="1805" spans="1:11" x14ac:dyDescent="0.3">
      <c r="A1805" s="4" t="s">
        <v>1814</v>
      </c>
      <c r="B1805" s="4">
        <v>450775</v>
      </c>
      <c r="C1805" s="4">
        <f>IF(DatiOriginali!C1805 &gt;= SogliaPicchi!$B$20,"",DatiOriginali!C1805)</f>
        <v>3667200</v>
      </c>
      <c r="D1805" s="4">
        <v>224507</v>
      </c>
      <c r="E1805" s="4">
        <f>IF(DatiOriginali!E1805 &gt;= SogliaPicchi!$B$20,"",DatiOriginali!E1805)</f>
        <v>807200</v>
      </c>
      <c r="F1805" s="4">
        <v>6780262</v>
      </c>
      <c r="G1805" s="4">
        <f>IF(DatiOriginali!G1805 &gt;= SogliaPicchi!$B$20,"",DatiOriginali!G1805)</f>
        <v>350400</v>
      </c>
      <c r="H1805" s="4">
        <v>8464209</v>
      </c>
      <c r="I1805" s="4">
        <f>IF(DatiOriginali!I1805 &gt;= SogliaPicchi!$B$20,"",DatiOriginali!I1805)</f>
        <v>129200</v>
      </c>
      <c r="J1805" s="4">
        <v>8459515</v>
      </c>
      <c r="K1805" s="4">
        <f>IF(DatiOriginali!K1805 &gt;= SogliaPicchi!$B$20,"",DatiOriginali!K1805)</f>
        <v>155600</v>
      </c>
    </row>
    <row r="1806" spans="1:11" x14ac:dyDescent="0.3">
      <c r="A1806" s="4" t="s">
        <v>1815</v>
      </c>
      <c r="B1806" s="4">
        <v>450775</v>
      </c>
      <c r="C1806" s="4">
        <f>IF(DatiOriginali!C1806 &gt;= SogliaPicchi!$B$20,"",DatiOriginali!C1806)</f>
        <v>3618300</v>
      </c>
      <c r="D1806" s="4">
        <v>232977</v>
      </c>
      <c r="E1806" s="4">
        <f>IF(DatiOriginali!E1806 &gt;= SogliaPicchi!$B$20,"",DatiOriginali!E1806)</f>
        <v>807500</v>
      </c>
      <c r="F1806" s="4">
        <v>6788449</v>
      </c>
      <c r="G1806" s="4">
        <f>IF(DatiOriginali!G1806 &gt;= SogliaPicchi!$B$20,"",DatiOriginali!G1806)</f>
        <v>357100</v>
      </c>
      <c r="H1806" s="4">
        <v>8473802</v>
      </c>
      <c r="I1806" s="4">
        <f>IF(DatiOriginali!I1806 &gt;= SogliaPicchi!$B$20,"",DatiOriginali!I1806)</f>
        <v>118700</v>
      </c>
      <c r="J1806" s="4">
        <v>8469230</v>
      </c>
      <c r="K1806" s="4">
        <f>IF(DatiOriginali!K1806 &gt;= SogliaPicchi!$B$20,"",DatiOriginali!K1806)</f>
        <v>130200</v>
      </c>
    </row>
    <row r="1807" spans="1:11" x14ac:dyDescent="0.3">
      <c r="A1807" s="4" t="s">
        <v>1816</v>
      </c>
      <c r="B1807" s="4">
        <v>450775</v>
      </c>
      <c r="C1807" s="4">
        <f>IF(DatiOriginali!C1807 &gt;= SogliaPicchi!$B$20,"",DatiOriginali!C1807)</f>
        <v>3583100</v>
      </c>
      <c r="D1807" s="4">
        <v>233301</v>
      </c>
      <c r="E1807" s="4">
        <f>IF(DatiOriginali!E1807 &gt;= SogliaPicchi!$B$20,"",DatiOriginali!E1807)</f>
        <v>809800</v>
      </c>
      <c r="F1807" s="4">
        <v>6796662</v>
      </c>
      <c r="G1807" s="4">
        <f>IF(DatiOriginali!G1807 &gt;= SogliaPicchi!$B$20,"",DatiOriginali!G1807)</f>
        <v>346800</v>
      </c>
      <c r="H1807" s="4">
        <v>8484003</v>
      </c>
      <c r="I1807" s="4">
        <f>IF(DatiOriginali!I1807 &gt;= SogliaPicchi!$B$20,"",DatiOriginali!I1807)</f>
        <v>114800</v>
      </c>
      <c r="J1807" s="4">
        <v>8479458</v>
      </c>
      <c r="K1807" s="4">
        <f>IF(DatiOriginali!K1807 &gt;= SogliaPicchi!$B$20,"",DatiOriginali!K1807)</f>
        <v>130300</v>
      </c>
    </row>
    <row r="1808" spans="1:11" x14ac:dyDescent="0.3">
      <c r="A1808" s="4" t="s">
        <v>1817</v>
      </c>
      <c r="B1808" s="4">
        <v>450775</v>
      </c>
      <c r="C1808" s="4">
        <f>IF(DatiOriginali!C1808 &gt;= SogliaPicchi!$B$20,"",DatiOriginali!C1808)</f>
        <v>3602100</v>
      </c>
      <c r="D1808" s="4">
        <v>230314</v>
      </c>
      <c r="E1808" s="4">
        <f>IF(DatiOriginali!E1808 &gt;= SogliaPicchi!$B$20,"",DatiOriginali!E1808)</f>
        <v>793900</v>
      </c>
      <c r="F1808" s="4">
        <v>6804884</v>
      </c>
      <c r="G1808" s="4">
        <f>IF(DatiOriginali!G1808 &gt;= SogliaPicchi!$B$20,"",DatiOriginali!G1808)</f>
        <v>351600</v>
      </c>
      <c r="H1808" s="4">
        <v>8494835</v>
      </c>
      <c r="I1808" s="4">
        <f>IF(DatiOriginali!I1808 &gt;= SogliaPicchi!$B$20,"",DatiOriginali!I1808)</f>
        <v>118300</v>
      </c>
      <c r="J1808" s="4">
        <v>8489008</v>
      </c>
      <c r="K1808" s="4">
        <f>IF(DatiOriginali!K1808 &gt;= SogliaPicchi!$B$20,"",DatiOriginali!K1808)</f>
        <v>130700</v>
      </c>
    </row>
    <row r="1809" spans="1:11" x14ac:dyDescent="0.3">
      <c r="A1809" s="4" t="s">
        <v>1818</v>
      </c>
      <c r="B1809" s="4">
        <v>450775</v>
      </c>
      <c r="C1809" s="4">
        <f>IF(DatiOriginali!C1809 &gt;= SogliaPicchi!$B$20,"",DatiOriginali!C1809)</f>
        <v>3777800</v>
      </c>
      <c r="D1809" s="4">
        <v>217818</v>
      </c>
      <c r="E1809" s="4">
        <f>IF(DatiOriginali!E1809 &gt;= SogliaPicchi!$B$20,"",DatiOriginali!E1809)</f>
        <v>773700</v>
      </c>
      <c r="F1809" s="4">
        <v>6813099</v>
      </c>
      <c r="G1809" s="4">
        <f>IF(DatiOriginali!G1809 &gt;= SogliaPicchi!$B$20,"",DatiOriginali!G1809)</f>
        <v>354700</v>
      </c>
      <c r="H1809" s="4">
        <v>8504753</v>
      </c>
      <c r="I1809" s="4">
        <f>IF(DatiOriginali!I1809 &gt;= SogliaPicchi!$B$20,"",DatiOriginali!I1809)</f>
        <v>120200</v>
      </c>
      <c r="J1809" s="4">
        <v>8500076</v>
      </c>
      <c r="K1809" s="4">
        <f>IF(DatiOriginali!K1809 &gt;= SogliaPicchi!$B$20,"",DatiOriginali!K1809)</f>
        <v>136300</v>
      </c>
    </row>
    <row r="1810" spans="1:11" x14ac:dyDescent="0.3">
      <c r="A1810" s="4" t="s">
        <v>1819</v>
      </c>
      <c r="B1810" s="4">
        <v>450775</v>
      </c>
      <c r="C1810" s="4">
        <f>IF(DatiOriginali!C1810 &gt;= SogliaPicchi!$B$20,"",DatiOriginali!C1810)</f>
        <v>3766900</v>
      </c>
      <c r="D1810" s="4">
        <v>229921</v>
      </c>
      <c r="E1810" s="4">
        <f>IF(DatiOriginali!E1810 &gt;= SogliaPicchi!$B$20,"",DatiOriginali!E1810)</f>
        <v>798300</v>
      </c>
      <c r="F1810" s="4">
        <v>6821302</v>
      </c>
      <c r="G1810" s="4">
        <f>IF(DatiOriginali!G1810 &gt;= SogliaPicchi!$B$20,"",DatiOriginali!G1810)</f>
        <v>355400</v>
      </c>
      <c r="H1810" s="4">
        <v>8514330</v>
      </c>
      <c r="I1810" s="4">
        <f>IF(DatiOriginali!I1810 &gt;= SogliaPicchi!$B$20,"",DatiOriginali!I1810)</f>
        <v>124600</v>
      </c>
      <c r="J1810" s="4">
        <v>8509763</v>
      </c>
      <c r="K1810" s="4">
        <f>IF(DatiOriginali!K1810 &gt;= SogliaPicchi!$B$20,"",DatiOriginali!K1810)</f>
        <v>137400</v>
      </c>
    </row>
    <row r="1811" spans="1:11" x14ac:dyDescent="0.3">
      <c r="A1811" s="4" t="s">
        <v>1820</v>
      </c>
      <c r="B1811" s="4">
        <v>450775</v>
      </c>
      <c r="C1811" s="4">
        <f>IF(DatiOriginali!C1811 &gt;= SogliaPicchi!$B$20,"",DatiOriginali!C1811)</f>
        <v>3990000</v>
      </c>
      <c r="D1811" s="4">
        <v>219721</v>
      </c>
      <c r="E1811" s="4">
        <f>IF(DatiOriginali!E1811 &gt;= SogliaPicchi!$B$20,"",DatiOriginali!E1811)</f>
        <v>773100</v>
      </c>
      <c r="F1811" s="4">
        <v>6829536</v>
      </c>
      <c r="G1811" s="4">
        <f>IF(DatiOriginali!G1811 &gt;= SogliaPicchi!$B$20,"",DatiOriginali!G1811)</f>
        <v>348100</v>
      </c>
      <c r="H1811" s="4">
        <v>8524250</v>
      </c>
      <c r="I1811" s="4">
        <f>IF(DatiOriginali!I1811 &gt;= SogliaPicchi!$B$20,"",DatiOriginali!I1811)</f>
        <v>120800</v>
      </c>
      <c r="J1811" s="4">
        <v>8519020</v>
      </c>
      <c r="K1811" s="4">
        <f>IF(DatiOriginali!K1811 &gt;= SogliaPicchi!$B$20,"",DatiOriginali!K1811)</f>
        <v>130100</v>
      </c>
    </row>
    <row r="1812" spans="1:11" x14ac:dyDescent="0.3">
      <c r="A1812" s="4" t="s">
        <v>1821</v>
      </c>
      <c r="B1812" s="4">
        <v>450775</v>
      </c>
      <c r="C1812" s="4">
        <f>IF(DatiOriginali!C1812 &gt;= SogliaPicchi!$B$20,"",DatiOriginali!C1812)</f>
        <v>3654400</v>
      </c>
      <c r="D1812" s="4">
        <v>224197</v>
      </c>
      <c r="E1812" s="4">
        <f>IF(DatiOriginali!E1812 &gt;= SogliaPicchi!$B$20,"",DatiOriginali!E1812)</f>
        <v>788800</v>
      </c>
      <c r="F1812" s="4">
        <v>6837738</v>
      </c>
      <c r="G1812" s="4">
        <f>IF(DatiOriginali!G1812 &gt;= SogliaPicchi!$B$20,"",DatiOriginali!G1812)</f>
        <v>348800</v>
      </c>
      <c r="H1812" s="4">
        <v>8534020</v>
      </c>
      <c r="I1812" s="4">
        <f>IF(DatiOriginali!I1812 &gt;= SogliaPicchi!$B$20,"",DatiOriginali!I1812)</f>
        <v>118900</v>
      </c>
      <c r="J1812" s="4">
        <v>8528634</v>
      </c>
      <c r="K1812" s="4">
        <f>IF(DatiOriginali!K1812 &gt;= SogliaPicchi!$B$20,"",DatiOriginali!K1812)</f>
        <v>132300</v>
      </c>
    </row>
    <row r="1813" spans="1:11" x14ac:dyDescent="0.3">
      <c r="A1813" s="4" t="s">
        <v>1822</v>
      </c>
      <c r="B1813" s="4">
        <v>450775</v>
      </c>
      <c r="C1813" s="4">
        <f>IF(DatiOriginali!C1813 &gt;= SogliaPicchi!$B$20,"",DatiOriginali!C1813)</f>
        <v>3906400</v>
      </c>
      <c r="D1813" s="4">
        <v>215136</v>
      </c>
      <c r="E1813" s="4">
        <f>IF(DatiOriginali!E1813 &gt;= SogliaPicchi!$B$20,"",DatiOriginali!E1813)</f>
        <v>743300</v>
      </c>
      <c r="F1813" s="4">
        <v>6845942</v>
      </c>
      <c r="G1813" s="4">
        <f>IF(DatiOriginali!G1813 &gt;= SogliaPicchi!$B$20,"",DatiOriginali!G1813)</f>
        <v>350800</v>
      </c>
      <c r="H1813" s="4">
        <v>8544871</v>
      </c>
      <c r="I1813" s="4">
        <f>IF(DatiOriginali!I1813 &gt;= SogliaPicchi!$B$20,"",DatiOriginali!I1813)</f>
        <v>158600</v>
      </c>
      <c r="J1813" s="4">
        <v>8538319</v>
      </c>
      <c r="K1813" s="4">
        <f>IF(DatiOriginali!K1813 &gt;= SogliaPicchi!$B$20,"",DatiOriginali!K1813)</f>
        <v>159100</v>
      </c>
    </row>
    <row r="1814" spans="1:11" x14ac:dyDescent="0.3">
      <c r="A1814" s="4" t="s">
        <v>1823</v>
      </c>
      <c r="B1814" s="4">
        <v>450775</v>
      </c>
      <c r="C1814" s="4">
        <f>IF(DatiOriginali!C1814 &gt;= SogliaPicchi!$B$20,"",DatiOriginali!C1814)</f>
        <v>3566900</v>
      </c>
      <c r="D1814" s="4">
        <v>230798</v>
      </c>
      <c r="E1814" s="4">
        <f>IF(DatiOriginali!E1814 &gt;= SogliaPicchi!$B$20,"",DatiOriginali!E1814)</f>
        <v>819400</v>
      </c>
      <c r="F1814" s="4">
        <v>6854154</v>
      </c>
      <c r="G1814" s="4">
        <f>IF(DatiOriginali!G1814 &gt;= SogliaPicchi!$B$20,"",DatiOriginali!G1814)</f>
        <v>349700</v>
      </c>
      <c r="H1814" s="4">
        <v>8554701</v>
      </c>
      <c r="I1814" s="4">
        <f>IF(DatiOriginali!I1814 &gt;= SogliaPicchi!$B$20,"",DatiOriginali!I1814)</f>
        <v>120400</v>
      </c>
      <c r="J1814" s="4">
        <v>8547468</v>
      </c>
      <c r="K1814" s="4">
        <f>IF(DatiOriginali!K1814 &gt;= SogliaPicchi!$B$20,"",DatiOriginali!K1814)</f>
        <v>129600</v>
      </c>
    </row>
    <row r="1815" spans="1:11" x14ac:dyDescent="0.3">
      <c r="A1815" s="4" t="s">
        <v>1824</v>
      </c>
      <c r="B1815" s="4">
        <v>450775</v>
      </c>
      <c r="C1815" s="4">
        <f>IF(DatiOriginali!C1815 &gt;= SogliaPicchi!$B$20,"",DatiOriginali!C1815)</f>
        <v>4158900</v>
      </c>
      <c r="D1815" s="4">
        <v>226351</v>
      </c>
      <c r="E1815" s="4">
        <f>IF(DatiOriginali!E1815 &gt;= SogliaPicchi!$B$20,"",DatiOriginali!E1815)</f>
        <v>783800</v>
      </c>
      <c r="F1815" s="4">
        <v>6862340</v>
      </c>
      <c r="G1815" s="4">
        <f>IF(DatiOriginali!G1815 &gt;= SogliaPicchi!$B$20,"",DatiOriginali!G1815)</f>
        <v>351400</v>
      </c>
      <c r="H1815" s="4">
        <v>8565190</v>
      </c>
      <c r="I1815" s="4">
        <f>IF(DatiOriginali!I1815 &gt;= SogliaPicchi!$B$20,"",DatiOriginali!I1815)</f>
        <v>121100</v>
      </c>
      <c r="J1815" s="4">
        <v>8556649</v>
      </c>
      <c r="K1815" s="4">
        <f>IF(DatiOriginali!K1815 &gt;= SogliaPicchi!$B$20,"",DatiOriginali!K1815)</f>
        <v>132800</v>
      </c>
    </row>
    <row r="1816" spans="1:11" x14ac:dyDescent="0.3">
      <c r="A1816" s="4" t="s">
        <v>1825</v>
      </c>
      <c r="B1816" s="4">
        <v>450775</v>
      </c>
      <c r="C1816" s="4">
        <f>IF(DatiOriginali!C1816 &gt;= SogliaPicchi!$B$20,"",DatiOriginali!C1816)</f>
        <v>3863200</v>
      </c>
      <c r="D1816" s="4">
        <v>230221</v>
      </c>
      <c r="E1816" s="4">
        <f>IF(DatiOriginali!E1816 &gt;= SogliaPicchi!$B$20,"",DatiOriginali!E1816)</f>
        <v>810900</v>
      </c>
      <c r="F1816" s="4">
        <v>6870547</v>
      </c>
      <c r="G1816" s="4">
        <f>IF(DatiOriginali!G1816 &gt;= SogliaPicchi!$B$20,"",DatiOriginali!G1816)</f>
        <v>349500</v>
      </c>
      <c r="H1816" s="4">
        <v>8574934</v>
      </c>
      <c r="I1816" s="4">
        <f>IF(DatiOriginali!I1816 &gt;= SogliaPicchi!$B$20,"",DatiOriginali!I1816)</f>
        <v>116000</v>
      </c>
      <c r="J1816" s="4">
        <v>8566536</v>
      </c>
      <c r="K1816" s="4">
        <f>IF(DatiOriginali!K1816 &gt;= SogliaPicchi!$B$20,"",DatiOriginali!K1816)</f>
        <v>129600</v>
      </c>
    </row>
    <row r="1817" spans="1:11" x14ac:dyDescent="0.3">
      <c r="A1817" s="4" t="s">
        <v>1826</v>
      </c>
      <c r="B1817" s="4">
        <v>450775</v>
      </c>
      <c r="C1817" s="4">
        <f>IF(DatiOriginali!C1817 &gt;= SogliaPicchi!$B$20,"",DatiOriginali!C1817)</f>
        <v>3687700</v>
      </c>
      <c r="D1817" s="4">
        <v>239952</v>
      </c>
      <c r="E1817" s="4">
        <f>IF(DatiOriginali!E1817 &gt;= SogliaPicchi!$B$20,"",DatiOriginali!E1817)</f>
        <v>836900</v>
      </c>
      <c r="F1817" s="4">
        <v>6878745</v>
      </c>
      <c r="G1817" s="4">
        <f>IF(DatiOriginali!G1817 &gt;= SogliaPicchi!$B$20,"",DatiOriginali!G1817)</f>
        <v>348400</v>
      </c>
      <c r="H1817" s="4">
        <v>8585521</v>
      </c>
      <c r="I1817" s="4">
        <f>IF(DatiOriginali!I1817 &gt;= SogliaPicchi!$B$20,"",DatiOriginali!I1817)</f>
        <v>116800</v>
      </c>
      <c r="J1817" s="4">
        <v>8576773</v>
      </c>
      <c r="K1817" s="4">
        <f>IF(DatiOriginali!K1817 &gt;= SogliaPicchi!$B$20,"",DatiOriginali!K1817)</f>
        <v>144500</v>
      </c>
    </row>
    <row r="1818" spans="1:11" x14ac:dyDescent="0.3">
      <c r="A1818" s="4" t="s">
        <v>1827</v>
      </c>
      <c r="B1818" s="4">
        <v>450775</v>
      </c>
      <c r="C1818" s="4">
        <f>IF(DatiOriginali!C1818 &gt;= SogliaPicchi!$B$20,"",DatiOriginali!C1818)</f>
        <v>3800500</v>
      </c>
      <c r="D1818" s="4">
        <v>231926</v>
      </c>
      <c r="E1818" s="4">
        <f>IF(DatiOriginali!E1818 &gt;= SogliaPicchi!$B$20,"",DatiOriginali!E1818)</f>
        <v>806500</v>
      </c>
      <c r="F1818" s="4">
        <v>6886976</v>
      </c>
      <c r="G1818" s="4">
        <f>IF(DatiOriginali!G1818 &gt;= SogliaPicchi!$B$20,"",DatiOriginali!G1818)</f>
        <v>357100</v>
      </c>
      <c r="H1818" s="4">
        <v>8594946</v>
      </c>
      <c r="I1818" s="4">
        <f>IF(DatiOriginali!I1818 &gt;= SogliaPicchi!$B$20,"",DatiOriginali!I1818)</f>
        <v>121400</v>
      </c>
      <c r="J1818" s="4">
        <v>8586399</v>
      </c>
      <c r="K1818" s="4">
        <f>IF(DatiOriginali!K1818 &gt;= SogliaPicchi!$B$20,"",DatiOriginali!K1818)</f>
        <v>133900</v>
      </c>
    </row>
    <row r="1819" spans="1:11" x14ac:dyDescent="0.3">
      <c r="A1819" s="4" t="s">
        <v>1828</v>
      </c>
      <c r="B1819" s="4">
        <v>450775</v>
      </c>
      <c r="C1819" s="4">
        <f>IF(DatiOriginali!C1819 &gt;= SogliaPicchi!$B$20,"",DatiOriginali!C1819)</f>
        <v>3786600</v>
      </c>
      <c r="D1819" s="4">
        <v>229521</v>
      </c>
      <c r="E1819" s="4">
        <f>IF(DatiOriginali!E1819 &gt;= SogliaPicchi!$B$20,"",DatiOriginali!E1819)</f>
        <v>790800</v>
      </c>
      <c r="F1819" s="4">
        <v>6895210</v>
      </c>
      <c r="G1819" s="4">
        <f>IF(DatiOriginali!G1819 &gt;= SogliaPicchi!$B$20,"",DatiOriginali!G1819)</f>
        <v>351400</v>
      </c>
      <c r="H1819" s="4">
        <v>8604680</v>
      </c>
      <c r="I1819" s="4">
        <f>IF(DatiOriginali!I1819 &gt;= SogliaPicchi!$B$20,"",DatiOriginali!I1819)</f>
        <v>118100</v>
      </c>
      <c r="J1819" s="4">
        <v>8596447</v>
      </c>
      <c r="K1819" s="4">
        <f>IF(DatiOriginali!K1819 &gt;= SogliaPicchi!$B$20,"",DatiOriginali!K1819)</f>
        <v>134200</v>
      </c>
    </row>
    <row r="1820" spans="1:11" x14ac:dyDescent="0.3">
      <c r="A1820" s="4" t="s">
        <v>1829</v>
      </c>
      <c r="B1820" s="4">
        <v>450775</v>
      </c>
      <c r="C1820" s="4">
        <f>IF(DatiOriginali!C1820 &gt;= SogliaPicchi!$B$20,"",DatiOriginali!C1820)</f>
        <v>4159300</v>
      </c>
      <c r="D1820" s="4">
        <v>220327</v>
      </c>
      <c r="E1820" s="4">
        <f>IF(DatiOriginali!E1820 &gt;= SogliaPicchi!$B$20,"",DatiOriginali!E1820)</f>
        <v>781900</v>
      </c>
      <c r="F1820" s="4">
        <v>6903445</v>
      </c>
      <c r="G1820" s="4">
        <f>IF(DatiOriginali!G1820 &gt;= SogliaPicchi!$B$20,"",DatiOriginali!G1820)</f>
        <v>349500</v>
      </c>
      <c r="H1820" s="4">
        <v>8614855</v>
      </c>
      <c r="I1820" s="4">
        <f>IF(DatiOriginali!I1820 &gt;= SogliaPicchi!$B$20,"",DatiOriginali!I1820)</f>
        <v>118300</v>
      </c>
      <c r="J1820" s="4">
        <v>8607491</v>
      </c>
      <c r="K1820" s="4">
        <f>IF(DatiOriginali!K1820 &gt;= SogliaPicchi!$B$20,"",DatiOriginali!K1820)</f>
        <v>133400</v>
      </c>
    </row>
    <row r="1821" spans="1:11" x14ac:dyDescent="0.3">
      <c r="A1821" s="4" t="s">
        <v>1830</v>
      </c>
      <c r="B1821" s="4">
        <v>450775</v>
      </c>
      <c r="C1821" s="4">
        <f>IF(DatiOriginali!C1821 &gt;= SogliaPicchi!$B$20,"",DatiOriginali!C1821)</f>
        <v>4066700</v>
      </c>
      <c r="D1821" s="4">
        <v>224749</v>
      </c>
      <c r="E1821" s="4">
        <f>IF(DatiOriginali!E1821 &gt;= SogliaPicchi!$B$20,"",DatiOriginali!E1821)</f>
        <v>775800</v>
      </c>
      <c r="F1821" s="4">
        <v>6911650</v>
      </c>
      <c r="G1821" s="4">
        <f>IF(DatiOriginali!G1821 &gt;= SogliaPicchi!$B$20,"",DatiOriginali!G1821)</f>
        <v>350900</v>
      </c>
      <c r="H1821" s="4">
        <v>8626954</v>
      </c>
      <c r="I1821" s="4">
        <f>IF(DatiOriginali!I1821 &gt;= SogliaPicchi!$B$20,"",DatiOriginali!I1821)</f>
        <v>120100</v>
      </c>
      <c r="J1821" s="4">
        <v>8617693</v>
      </c>
      <c r="K1821" s="4">
        <f>IF(DatiOriginali!K1821 &gt;= SogliaPicchi!$B$20,"",DatiOriginali!K1821)</f>
        <v>138900</v>
      </c>
    </row>
    <row r="1822" spans="1:11" x14ac:dyDescent="0.3">
      <c r="A1822" s="4" t="s">
        <v>1831</v>
      </c>
      <c r="B1822" s="4">
        <v>450775</v>
      </c>
      <c r="C1822" s="4">
        <f>IF(DatiOriginali!C1822 &gt;= SogliaPicchi!$B$20,"",DatiOriginali!C1822)</f>
        <v>3890700</v>
      </c>
      <c r="D1822" s="4">
        <v>221412</v>
      </c>
      <c r="E1822" s="4">
        <f>IF(DatiOriginali!E1822 &gt;= SogliaPicchi!$B$20,"",DatiOriginali!E1822)</f>
        <v>774400</v>
      </c>
      <c r="F1822" s="4">
        <v>6919873</v>
      </c>
      <c r="G1822" s="4">
        <f>IF(DatiOriginali!G1822 &gt;= SogliaPicchi!$B$20,"",DatiOriginali!G1822)</f>
        <v>354900</v>
      </c>
      <c r="H1822" s="4">
        <v>8637215</v>
      </c>
      <c r="I1822" s="4">
        <f>IF(DatiOriginali!I1822 &gt;= SogliaPicchi!$B$20,"",DatiOriginali!I1822)</f>
        <v>120100</v>
      </c>
      <c r="J1822" s="4">
        <v>8627833</v>
      </c>
      <c r="K1822" s="4">
        <f>IF(DatiOriginali!K1822 &gt;= SogliaPicchi!$B$20,"",DatiOriginali!K1822)</f>
        <v>127300</v>
      </c>
    </row>
    <row r="1823" spans="1:11" x14ac:dyDescent="0.3">
      <c r="A1823" s="4" t="s">
        <v>1832</v>
      </c>
      <c r="B1823" s="4">
        <v>450775</v>
      </c>
      <c r="C1823" s="4">
        <f>IF(DatiOriginali!C1823 &gt;= SogliaPicchi!$B$20,"",DatiOriginali!C1823)</f>
        <v>3973700</v>
      </c>
      <c r="D1823" s="4">
        <v>228065</v>
      </c>
      <c r="E1823" s="4">
        <f>IF(DatiOriginali!E1823 &gt;= SogliaPicchi!$B$20,"",DatiOriginali!E1823)</f>
        <v>847100</v>
      </c>
      <c r="F1823" s="4">
        <v>6928099</v>
      </c>
      <c r="G1823" s="4">
        <f>IF(DatiOriginali!G1823 &gt;= SogliaPicchi!$B$20,"",DatiOriginali!G1823)</f>
        <v>345700</v>
      </c>
      <c r="H1823" s="4">
        <v>8647272</v>
      </c>
      <c r="I1823" s="4">
        <f>IF(DatiOriginali!I1823 &gt;= SogliaPicchi!$B$20,"",DatiOriginali!I1823)</f>
        <v>117700</v>
      </c>
      <c r="J1823" s="4">
        <v>8637874</v>
      </c>
      <c r="K1823" s="4">
        <f>IF(DatiOriginali!K1823 &gt;= SogliaPicchi!$B$20,"",DatiOriginali!K1823)</f>
        <v>147200</v>
      </c>
    </row>
    <row r="1824" spans="1:11" x14ac:dyDescent="0.3">
      <c r="A1824" s="4" t="s">
        <v>1833</v>
      </c>
      <c r="B1824" s="4">
        <v>450775</v>
      </c>
      <c r="C1824" s="4">
        <f>IF(DatiOriginali!C1824 &gt;= SogliaPicchi!$B$20,"",DatiOriginali!C1824)</f>
        <v>4033000</v>
      </c>
      <c r="D1824" s="4">
        <v>237199</v>
      </c>
      <c r="E1824" s="4">
        <f>IF(DatiOriginali!E1824 &gt;= SogliaPicchi!$B$20,"",DatiOriginali!E1824)</f>
        <v>817100</v>
      </c>
      <c r="F1824" s="4">
        <v>6936294</v>
      </c>
      <c r="G1824" s="4">
        <f>IF(DatiOriginali!G1824 &gt;= SogliaPicchi!$B$20,"",DatiOriginali!G1824)</f>
        <v>352700</v>
      </c>
      <c r="H1824" s="4">
        <v>8657700</v>
      </c>
      <c r="I1824" s="4">
        <f>IF(DatiOriginali!I1824 &gt;= SogliaPicchi!$B$20,"",DatiOriginali!I1824)</f>
        <v>122000</v>
      </c>
      <c r="J1824" s="4">
        <v>8647884</v>
      </c>
      <c r="K1824" s="4">
        <f>IF(DatiOriginali!K1824 &gt;= SogliaPicchi!$B$20,"",DatiOriginali!K1824)</f>
        <v>137800</v>
      </c>
    </row>
    <row r="1825" spans="1:11" x14ac:dyDescent="0.3">
      <c r="A1825" s="4" t="s">
        <v>1834</v>
      </c>
      <c r="B1825" s="4">
        <v>450775</v>
      </c>
      <c r="C1825" s="4">
        <f>IF(DatiOriginali!C1825 &gt;= SogliaPicchi!$B$20,"",DatiOriginali!C1825)</f>
        <v>3628100</v>
      </c>
      <c r="D1825" s="4">
        <v>222566</v>
      </c>
      <c r="E1825" s="4">
        <f>IF(DatiOriginali!E1825 &gt;= SogliaPicchi!$B$20,"",DatiOriginali!E1825)</f>
        <v>786100</v>
      </c>
      <c r="F1825" s="4">
        <v>6944518</v>
      </c>
      <c r="G1825" s="4">
        <f>IF(DatiOriginali!G1825 &gt;= SogliaPicchi!$B$20,"",DatiOriginali!G1825)</f>
        <v>352300</v>
      </c>
      <c r="H1825" s="4">
        <v>8668266</v>
      </c>
      <c r="I1825" s="4">
        <f>IF(DatiOriginali!I1825 &gt;= SogliaPicchi!$B$20,"",DatiOriginali!I1825)</f>
        <v>122200</v>
      </c>
      <c r="J1825" s="4">
        <v>8657409</v>
      </c>
      <c r="K1825" s="4">
        <f>IF(DatiOriginali!K1825 &gt;= SogliaPicchi!$B$20,"",DatiOriginali!K1825)</f>
        <v>131000</v>
      </c>
    </row>
    <row r="1826" spans="1:11" x14ac:dyDescent="0.3">
      <c r="A1826" s="4" t="s">
        <v>1835</v>
      </c>
      <c r="B1826" s="4">
        <v>450775</v>
      </c>
      <c r="C1826" s="4">
        <f>IF(DatiOriginali!C1826 &gt;= SogliaPicchi!$B$20,"",DatiOriginali!C1826)</f>
        <v>3579700</v>
      </c>
      <c r="D1826" s="4">
        <v>229534</v>
      </c>
      <c r="E1826" s="4">
        <f>IF(DatiOriginali!E1826 &gt;= SogliaPicchi!$B$20,"",DatiOriginali!E1826)</f>
        <v>802500</v>
      </c>
      <c r="F1826" s="4">
        <v>6952716</v>
      </c>
      <c r="G1826" s="4">
        <f>IF(DatiOriginali!G1826 &gt;= SogliaPicchi!$B$20,"",DatiOriginali!G1826)</f>
        <v>350900</v>
      </c>
      <c r="H1826" s="4">
        <v>8680331</v>
      </c>
      <c r="I1826" s="4">
        <f>IF(DatiOriginali!I1826 &gt;= SogliaPicchi!$B$20,"",DatiOriginali!I1826)</f>
        <v>124700</v>
      </c>
      <c r="J1826" s="4">
        <v>8667469</v>
      </c>
      <c r="K1826" s="4">
        <f>IF(DatiOriginali!K1826 &gt;= SogliaPicchi!$B$20,"",DatiOriginali!K1826)</f>
        <v>127700</v>
      </c>
    </row>
    <row r="1827" spans="1:11" x14ac:dyDescent="0.3">
      <c r="A1827" s="4" t="s">
        <v>1836</v>
      </c>
      <c r="B1827" s="4">
        <v>450775</v>
      </c>
      <c r="C1827" s="4">
        <f>IF(DatiOriginali!C1827 &gt;= SogliaPicchi!$B$20,"",DatiOriginali!C1827)</f>
        <v>3694600</v>
      </c>
      <c r="D1827" s="4">
        <v>224745</v>
      </c>
      <c r="E1827" s="4">
        <f>IF(DatiOriginali!E1827 &gt;= SogliaPicchi!$B$20,"",DatiOriginali!E1827)</f>
        <v>775300</v>
      </c>
      <c r="F1827" s="4">
        <v>6960908</v>
      </c>
      <c r="G1827" s="4">
        <f>IF(DatiOriginali!G1827 &gt;= SogliaPicchi!$B$20,"",DatiOriginali!G1827)</f>
        <v>354700</v>
      </c>
      <c r="H1827" s="4">
        <v>8690464</v>
      </c>
      <c r="I1827" s="4">
        <f>IF(DatiOriginali!I1827 &gt;= SogliaPicchi!$B$20,"",DatiOriginali!I1827)</f>
        <v>123800</v>
      </c>
      <c r="J1827" s="4">
        <v>8677507</v>
      </c>
      <c r="K1827" s="4">
        <f>IF(DatiOriginali!K1827 &gt;= SogliaPicchi!$B$20,"",DatiOriginali!K1827)</f>
        <v>133300</v>
      </c>
    </row>
    <row r="1828" spans="1:11" x14ac:dyDescent="0.3">
      <c r="A1828" s="4" t="s">
        <v>1837</v>
      </c>
      <c r="B1828" s="4">
        <v>450775</v>
      </c>
      <c r="C1828" s="4">
        <f>IF(DatiOriginali!C1828 &gt;= SogliaPicchi!$B$20,"",DatiOriginali!C1828)</f>
        <v>3898000</v>
      </c>
      <c r="D1828" s="4">
        <v>226647</v>
      </c>
      <c r="E1828" s="4">
        <f>IF(DatiOriginali!E1828 &gt;= SogliaPicchi!$B$20,"",DatiOriginali!E1828)</f>
        <v>784600</v>
      </c>
      <c r="F1828" s="4">
        <v>6969118</v>
      </c>
      <c r="G1828" s="4">
        <f>IF(DatiOriginali!G1828 &gt;= SogliaPicchi!$B$20,"",DatiOriginali!G1828)</f>
        <v>360300</v>
      </c>
      <c r="H1828" s="4">
        <v>8703133</v>
      </c>
      <c r="I1828" s="4">
        <f>IF(DatiOriginali!I1828 &gt;= SogliaPicchi!$B$20,"",DatiOriginali!I1828)</f>
        <v>132500</v>
      </c>
      <c r="J1828" s="4">
        <v>8689377</v>
      </c>
      <c r="K1828" s="4">
        <f>IF(DatiOriginali!K1828 &gt;= SogliaPicchi!$B$20,"",DatiOriginali!K1828)</f>
        <v>139400</v>
      </c>
    </row>
    <row r="1829" spans="1:11" x14ac:dyDescent="0.3">
      <c r="A1829" s="4" t="s">
        <v>1838</v>
      </c>
      <c r="B1829" s="4">
        <v>450775</v>
      </c>
      <c r="C1829" s="4">
        <f>IF(DatiOriginali!C1829 &gt;= SogliaPicchi!$B$20,"",DatiOriginali!C1829)</f>
        <v>3822400</v>
      </c>
      <c r="D1829" s="4">
        <v>225978</v>
      </c>
      <c r="E1829" s="4">
        <f>IF(DatiOriginali!E1829 &gt;= SogliaPicchi!$B$20,"",DatiOriginali!E1829)</f>
        <v>782300</v>
      </c>
      <c r="F1829" s="4">
        <v>6977310</v>
      </c>
      <c r="G1829" s="4">
        <f>IF(DatiOriginali!G1829 &gt;= SogliaPicchi!$B$20,"",DatiOriginali!G1829)</f>
        <v>356000</v>
      </c>
      <c r="H1829" s="4">
        <v>8713501</v>
      </c>
      <c r="I1829" s="4">
        <f>IF(DatiOriginali!I1829 &gt;= SogliaPicchi!$B$20,"",DatiOriginali!I1829)</f>
        <v>123000</v>
      </c>
      <c r="J1829" s="4">
        <v>8699775</v>
      </c>
      <c r="K1829" s="4">
        <f>IF(DatiOriginali!K1829 &gt;= SogliaPicchi!$B$20,"",DatiOriginali!K1829)</f>
        <v>136300</v>
      </c>
    </row>
    <row r="1830" spans="1:11" x14ac:dyDescent="0.3">
      <c r="A1830" s="4" t="s">
        <v>1839</v>
      </c>
      <c r="B1830" s="4">
        <v>450775</v>
      </c>
      <c r="C1830" s="4">
        <f>IF(DatiOriginali!C1830 &gt;= SogliaPicchi!$B$20,"",DatiOriginali!C1830)</f>
        <v>3717000</v>
      </c>
      <c r="D1830" s="4">
        <v>229758</v>
      </c>
      <c r="E1830" s="4">
        <f>IF(DatiOriginali!E1830 &gt;= SogliaPicchi!$B$20,"",DatiOriginali!E1830)</f>
        <v>850200</v>
      </c>
      <c r="F1830" s="4">
        <v>6985494</v>
      </c>
      <c r="G1830" s="4">
        <f>IF(DatiOriginali!G1830 &gt;= SogliaPicchi!$B$20,"",DatiOriginali!G1830)</f>
        <v>355400</v>
      </c>
      <c r="H1830" s="4">
        <v>8723123</v>
      </c>
      <c r="I1830" s="4">
        <f>IF(DatiOriginali!I1830 &gt;= SogliaPicchi!$B$20,"",DatiOriginali!I1830)</f>
        <v>120000</v>
      </c>
      <c r="J1830" s="4">
        <v>8709711</v>
      </c>
      <c r="K1830" s="4">
        <f>IF(DatiOriginali!K1830 &gt;= SogliaPicchi!$B$20,"",DatiOriginali!K1830)</f>
        <v>132500</v>
      </c>
    </row>
    <row r="1831" spans="1:11" x14ac:dyDescent="0.3">
      <c r="A1831" s="4" t="s">
        <v>1840</v>
      </c>
      <c r="B1831" s="4">
        <v>450775</v>
      </c>
      <c r="C1831" s="4">
        <f>IF(DatiOriginali!C1831 &gt;= SogliaPicchi!$B$20,"",DatiOriginali!C1831)</f>
        <v>3694700</v>
      </c>
      <c r="D1831" s="4">
        <v>225517</v>
      </c>
      <c r="E1831" s="4">
        <f>IF(DatiOriginali!E1831 &gt;= SogliaPicchi!$B$20,"",DatiOriginali!E1831)</f>
        <v>778000</v>
      </c>
      <c r="F1831" s="4">
        <v>6993692</v>
      </c>
      <c r="G1831" s="4">
        <f>IF(DatiOriginali!G1831 &gt;= SogliaPicchi!$B$20,"",DatiOriginali!G1831)</f>
        <v>359300</v>
      </c>
      <c r="H1831" s="4">
        <v>8733126</v>
      </c>
      <c r="I1831" s="4">
        <f>IF(DatiOriginali!I1831 &gt;= SogliaPicchi!$B$20,"",DatiOriginali!I1831)</f>
        <v>121500</v>
      </c>
      <c r="J1831" s="4">
        <v>8719834</v>
      </c>
      <c r="K1831" s="4">
        <f>IF(DatiOriginali!K1831 &gt;= SogliaPicchi!$B$20,"",DatiOriginali!K1831)</f>
        <v>130000</v>
      </c>
    </row>
    <row r="1832" spans="1:11" x14ac:dyDescent="0.3">
      <c r="A1832" s="4" t="s">
        <v>1841</v>
      </c>
      <c r="B1832" s="4">
        <v>450775</v>
      </c>
      <c r="C1832" s="4">
        <f>IF(DatiOriginali!C1832 &gt;= SogliaPicchi!$B$20,"",DatiOriginali!C1832)</f>
        <v>3553100</v>
      </c>
      <c r="D1832" s="4">
        <v>226011</v>
      </c>
      <c r="E1832" s="4">
        <f>IF(DatiOriginali!E1832 &gt;= SogliaPicchi!$B$20,"",DatiOriginali!E1832)</f>
        <v>783600</v>
      </c>
      <c r="F1832" s="4">
        <v>7001892</v>
      </c>
      <c r="G1832" s="4">
        <f>IF(DatiOriginali!G1832 &gt;= SogliaPicchi!$B$20,"",DatiOriginali!G1832)</f>
        <v>350100</v>
      </c>
      <c r="H1832" s="4">
        <v>8742166</v>
      </c>
      <c r="I1832" s="4">
        <f>IF(DatiOriginali!I1832 &gt;= SogliaPicchi!$B$20,"",DatiOriginali!I1832)</f>
        <v>118800</v>
      </c>
      <c r="J1832" s="4">
        <v>8729718</v>
      </c>
      <c r="K1832" s="4">
        <f>IF(DatiOriginali!K1832 &gt;= SogliaPicchi!$B$20,"",DatiOriginali!K1832)</f>
        <v>130300</v>
      </c>
    </row>
    <row r="1833" spans="1:11" x14ac:dyDescent="0.3">
      <c r="A1833" s="4" t="s">
        <v>1842</v>
      </c>
      <c r="B1833" s="4">
        <v>450775</v>
      </c>
      <c r="C1833" s="4">
        <f>IF(DatiOriginali!C1833 &gt;= SogliaPicchi!$B$20,"",DatiOriginali!C1833)</f>
        <v>3609800</v>
      </c>
      <c r="D1833" s="4">
        <v>225856</v>
      </c>
      <c r="E1833" s="4">
        <f>IF(DatiOriginali!E1833 &gt;= SogliaPicchi!$B$20,"",DatiOriginali!E1833)</f>
        <v>783200</v>
      </c>
      <c r="F1833" s="4">
        <v>7010139</v>
      </c>
      <c r="G1833" s="4">
        <f>IF(DatiOriginali!G1833 &gt;= SogliaPicchi!$B$20,"",DatiOriginali!G1833)</f>
        <v>350200</v>
      </c>
      <c r="H1833" s="4">
        <v>8752853</v>
      </c>
      <c r="I1833" s="4">
        <f>IF(DatiOriginali!I1833 &gt;= SogliaPicchi!$B$20,"",DatiOriginali!I1833)</f>
        <v>122700</v>
      </c>
      <c r="J1833" s="4">
        <v>8742753</v>
      </c>
      <c r="K1833" s="4">
        <f>IF(DatiOriginali!K1833 &gt;= SogliaPicchi!$B$20,"",DatiOriginali!K1833)</f>
        <v>142100</v>
      </c>
    </row>
    <row r="1834" spans="1:11" x14ac:dyDescent="0.3">
      <c r="A1834" s="4" t="s">
        <v>1843</v>
      </c>
      <c r="B1834" s="4">
        <v>450775</v>
      </c>
      <c r="C1834" s="4">
        <f>IF(DatiOriginali!C1834 &gt;= SogliaPicchi!$B$20,"",DatiOriginali!C1834)</f>
        <v>4040400</v>
      </c>
      <c r="D1834" s="4">
        <v>224357</v>
      </c>
      <c r="E1834" s="4">
        <f>IF(DatiOriginali!E1834 &gt;= SogliaPicchi!$B$20,"",DatiOriginali!E1834)</f>
        <v>774800</v>
      </c>
      <c r="F1834" s="4">
        <v>7018367</v>
      </c>
      <c r="G1834" s="4">
        <f>IF(DatiOriginali!G1834 &gt;= SogliaPicchi!$B$20,"",DatiOriginali!G1834)</f>
        <v>348100</v>
      </c>
      <c r="H1834" s="4">
        <v>8762438</v>
      </c>
      <c r="I1834" s="4">
        <f>IF(DatiOriginali!I1834 &gt;= SogliaPicchi!$B$20,"",DatiOriginali!I1834)</f>
        <v>118600</v>
      </c>
      <c r="J1834" s="4">
        <v>8752943</v>
      </c>
      <c r="K1834" s="4">
        <f>IF(DatiOriginali!K1834 &gt;= SogliaPicchi!$B$20,"",DatiOriginali!K1834)</f>
        <v>131400</v>
      </c>
    </row>
    <row r="1835" spans="1:11" x14ac:dyDescent="0.3">
      <c r="A1835" s="4" t="s">
        <v>1844</v>
      </c>
      <c r="B1835" s="4">
        <v>450775</v>
      </c>
      <c r="C1835" s="4">
        <f>IF(DatiOriginali!C1835 &gt;= SogliaPicchi!$B$20,"",DatiOriginali!C1835)</f>
        <v>3717100</v>
      </c>
      <c r="D1835" s="4">
        <v>222569</v>
      </c>
      <c r="E1835" s="4">
        <f>IF(DatiOriginali!E1835 &gt;= SogliaPicchi!$B$20,"",DatiOriginali!E1835)</f>
        <v>770800</v>
      </c>
      <c r="F1835" s="4">
        <v>7026589</v>
      </c>
      <c r="G1835" s="4">
        <f>IF(DatiOriginali!G1835 &gt;= SogliaPicchi!$B$20,"",DatiOriginali!G1835)</f>
        <v>356400</v>
      </c>
      <c r="H1835" s="4">
        <v>8772124</v>
      </c>
      <c r="I1835" s="4">
        <f>IF(DatiOriginali!I1835 &gt;= SogliaPicchi!$B$20,"",DatiOriginali!I1835)</f>
        <v>117300</v>
      </c>
      <c r="J1835" s="4">
        <v>8763976</v>
      </c>
      <c r="K1835" s="4">
        <f>IF(DatiOriginali!K1835 &gt;= SogliaPicchi!$B$20,"",DatiOriginali!K1835)</f>
        <v>135800</v>
      </c>
    </row>
    <row r="1836" spans="1:11" x14ac:dyDescent="0.3">
      <c r="A1836" s="4" t="s">
        <v>1845</v>
      </c>
      <c r="B1836" s="4">
        <v>450775</v>
      </c>
      <c r="C1836" s="4">
        <f>IF(DatiOriginali!C1836 &gt;= SogliaPicchi!$B$20,"",DatiOriginali!C1836)</f>
        <v>3801500</v>
      </c>
      <c r="D1836" s="4">
        <v>227945</v>
      </c>
      <c r="E1836" s="4">
        <f>IF(DatiOriginali!E1836 &gt;= SogliaPicchi!$B$20,"",DatiOriginali!E1836)</f>
        <v>791900</v>
      </c>
      <c r="F1836" s="4">
        <v>7034783</v>
      </c>
      <c r="G1836" s="4">
        <f>IF(DatiOriginali!G1836 &gt;= SogliaPicchi!$B$20,"",DatiOriginali!G1836)</f>
        <v>355200</v>
      </c>
      <c r="H1836" s="4">
        <v>8782011</v>
      </c>
      <c r="I1836" s="4">
        <f>IF(DatiOriginali!I1836 &gt;= SogliaPicchi!$B$20,"",DatiOriginali!I1836)</f>
        <v>117500</v>
      </c>
      <c r="J1836" s="4">
        <v>8774208</v>
      </c>
      <c r="K1836" s="4">
        <f>IF(DatiOriginali!K1836 &gt;= SogliaPicchi!$B$20,"",DatiOriginali!K1836)</f>
        <v>132200</v>
      </c>
    </row>
    <row r="1837" spans="1:11" x14ac:dyDescent="0.3">
      <c r="A1837" s="4" t="s">
        <v>1846</v>
      </c>
      <c r="B1837" s="4">
        <v>450775</v>
      </c>
      <c r="C1837" s="4">
        <f>IF(DatiOriginali!C1837 &gt;= SogliaPicchi!$B$20,"",DatiOriginali!C1837)</f>
        <v>3795900</v>
      </c>
      <c r="D1837" s="4">
        <v>231970</v>
      </c>
      <c r="E1837" s="4">
        <f>IF(DatiOriginali!E1837 &gt;= SogliaPicchi!$B$20,"",DatiOriginali!E1837)</f>
        <v>805700</v>
      </c>
      <c r="F1837" s="4">
        <v>7042984</v>
      </c>
      <c r="G1837" s="4">
        <f>IF(DatiOriginali!G1837 &gt;= SogliaPicchi!$B$20,"",DatiOriginali!G1837)</f>
        <v>351200</v>
      </c>
      <c r="H1837" s="4">
        <v>8792518</v>
      </c>
      <c r="I1837" s="4">
        <f>IF(DatiOriginali!I1837 &gt;= SogliaPicchi!$B$20,"",DatiOriginali!I1837)</f>
        <v>118500</v>
      </c>
      <c r="J1837" s="4">
        <v>8785197</v>
      </c>
      <c r="K1837" s="4">
        <f>IF(DatiOriginali!K1837 &gt;= SogliaPicchi!$B$20,"",DatiOriginali!K1837)</f>
        <v>134300</v>
      </c>
    </row>
    <row r="1838" spans="1:11" x14ac:dyDescent="0.3">
      <c r="A1838" s="4" t="s">
        <v>1847</v>
      </c>
      <c r="B1838" s="4">
        <v>450775</v>
      </c>
      <c r="C1838" s="4">
        <f>IF(DatiOriginali!C1838 &gt;= SogliaPicchi!$B$20,"",DatiOriginali!C1838)</f>
        <v>3700700</v>
      </c>
      <c r="D1838" s="4">
        <v>232672</v>
      </c>
      <c r="E1838" s="4">
        <f>IF(DatiOriginali!E1838 &gt;= SogliaPicchi!$B$20,"",DatiOriginali!E1838)</f>
        <v>807200</v>
      </c>
      <c r="F1838" s="4">
        <v>7051163</v>
      </c>
      <c r="G1838" s="4">
        <f>IF(DatiOriginali!G1838 &gt;= SogliaPicchi!$B$20,"",DatiOriginali!G1838)</f>
        <v>352100</v>
      </c>
      <c r="H1838" s="4">
        <v>8802738</v>
      </c>
      <c r="I1838" s="4">
        <f>IF(DatiOriginali!I1838 &gt;= SogliaPicchi!$B$20,"",DatiOriginali!I1838)</f>
        <v>116400</v>
      </c>
      <c r="J1838" s="4">
        <v>8794819</v>
      </c>
      <c r="K1838" s="4">
        <f>IF(DatiOriginali!K1838 &gt;= SogliaPicchi!$B$20,"",DatiOriginali!K1838)</f>
        <v>129100</v>
      </c>
    </row>
    <row r="1839" spans="1:11" x14ac:dyDescent="0.3">
      <c r="A1839" s="4" t="s">
        <v>1848</v>
      </c>
      <c r="B1839" s="4">
        <v>450775</v>
      </c>
      <c r="C1839" s="4">
        <f>IF(DatiOriginali!C1839 &gt;= SogliaPicchi!$B$20,"",DatiOriginali!C1839)</f>
        <v>3697800</v>
      </c>
      <c r="D1839" s="4">
        <v>228752</v>
      </c>
      <c r="E1839" s="4">
        <f>IF(DatiOriginali!E1839 &gt;= SogliaPicchi!$B$20,"",DatiOriginali!E1839)</f>
        <v>787700</v>
      </c>
      <c r="F1839" s="4">
        <v>7059389</v>
      </c>
      <c r="G1839" s="4">
        <f>IF(DatiOriginali!G1839 &gt;= SogliaPicchi!$B$20,"",DatiOriginali!G1839)</f>
        <v>348100</v>
      </c>
      <c r="H1839" s="4">
        <v>8813301</v>
      </c>
      <c r="I1839" s="4">
        <f>IF(DatiOriginali!I1839 &gt;= SogliaPicchi!$B$20,"",DatiOriginali!I1839)</f>
        <v>122100</v>
      </c>
      <c r="J1839" s="4">
        <v>8804118</v>
      </c>
      <c r="K1839" s="4">
        <f>IF(DatiOriginali!K1839 &gt;= SogliaPicchi!$B$20,"",DatiOriginali!K1839)</f>
        <v>130300</v>
      </c>
    </row>
    <row r="1840" spans="1:11" x14ac:dyDescent="0.3">
      <c r="A1840" s="4" t="s">
        <v>1849</v>
      </c>
      <c r="B1840" s="4">
        <v>450775</v>
      </c>
      <c r="C1840" s="4">
        <f>IF(DatiOriginali!C1840 &gt;= SogliaPicchi!$B$20,"",DatiOriginali!C1840)</f>
        <v>3814900</v>
      </c>
      <c r="D1840" s="4">
        <v>222496</v>
      </c>
      <c r="E1840" s="4">
        <f>IF(DatiOriginali!E1840 &gt;= SogliaPicchi!$B$20,"",DatiOriginali!E1840)</f>
        <v>770100</v>
      </c>
      <c r="F1840" s="4">
        <v>7067586</v>
      </c>
      <c r="G1840" s="4">
        <f>IF(DatiOriginali!G1840 &gt;= SogliaPicchi!$B$20,"",DatiOriginali!G1840)</f>
        <v>345100</v>
      </c>
      <c r="H1840" s="4">
        <v>8823767</v>
      </c>
      <c r="I1840" s="4">
        <f>IF(DatiOriginali!I1840 &gt;= SogliaPicchi!$B$20,"",DatiOriginali!I1840)</f>
        <v>120000</v>
      </c>
      <c r="J1840" s="4">
        <v>8815243</v>
      </c>
      <c r="K1840" s="4">
        <f>IF(DatiOriginali!K1840 &gt;= SogliaPicchi!$B$20,"",DatiOriginali!K1840)</f>
        <v>126000</v>
      </c>
    </row>
    <row r="1841" spans="1:11" x14ac:dyDescent="0.3">
      <c r="A1841" s="4" t="s">
        <v>1850</v>
      </c>
      <c r="B1841" s="4">
        <v>450775</v>
      </c>
      <c r="C1841" s="4">
        <f>IF(DatiOriginali!C1841 &gt;= SogliaPicchi!$B$20,"",DatiOriginali!C1841)</f>
        <v>4184400</v>
      </c>
      <c r="D1841" s="4">
        <v>222183</v>
      </c>
      <c r="E1841" s="4">
        <f>IF(DatiOriginali!E1841 &gt;= SogliaPicchi!$B$20,"",DatiOriginali!E1841)</f>
        <v>801300</v>
      </c>
      <c r="F1841" s="4">
        <v>7075770</v>
      </c>
      <c r="G1841" s="4">
        <f>IF(DatiOriginali!G1841 &gt;= SogliaPicchi!$B$20,"",DatiOriginali!G1841)</f>
        <v>350700</v>
      </c>
      <c r="H1841" s="4">
        <v>8833505</v>
      </c>
      <c r="I1841" s="4">
        <f>IF(DatiOriginali!I1841 &gt;= SogliaPicchi!$B$20,"",DatiOriginali!I1841)</f>
        <v>120900</v>
      </c>
      <c r="J1841" s="4">
        <v>8825194</v>
      </c>
      <c r="K1841" s="4">
        <f>IF(DatiOriginali!K1841 &gt;= SogliaPicchi!$B$20,"",DatiOriginali!K1841)</f>
        <v>132200</v>
      </c>
    </row>
    <row r="1842" spans="1:11" x14ac:dyDescent="0.3">
      <c r="A1842" s="4" t="s">
        <v>1851</v>
      </c>
      <c r="B1842" s="4">
        <v>450775</v>
      </c>
      <c r="C1842" s="4">
        <f>IF(DatiOriginali!C1842 &gt;= SogliaPicchi!$B$20,"",DatiOriginali!C1842)</f>
        <v>3736500</v>
      </c>
      <c r="D1842" s="4">
        <v>233992</v>
      </c>
      <c r="E1842" s="4">
        <f>IF(DatiOriginali!E1842 &gt;= SogliaPicchi!$B$20,"",DatiOriginali!E1842)</f>
        <v>810700</v>
      </c>
      <c r="F1842" s="4">
        <v>7083964</v>
      </c>
      <c r="G1842" s="4">
        <f>IF(DatiOriginali!G1842 &gt;= SogliaPicchi!$B$20,"",DatiOriginali!G1842)</f>
        <v>353200</v>
      </c>
      <c r="H1842" s="4">
        <v>8843499</v>
      </c>
      <c r="I1842" s="4">
        <f>IF(DatiOriginali!I1842 &gt;= SogliaPicchi!$B$20,"",DatiOriginali!I1842)</f>
        <v>141900</v>
      </c>
      <c r="J1842" s="4">
        <v>8835498</v>
      </c>
      <c r="K1842" s="4">
        <f>IF(DatiOriginali!K1842 &gt;= SogliaPicchi!$B$20,"",DatiOriginali!K1842)</f>
        <v>186400</v>
      </c>
    </row>
    <row r="1843" spans="1:11" x14ac:dyDescent="0.3">
      <c r="A1843" s="4" t="s">
        <v>1852</v>
      </c>
      <c r="B1843" s="4">
        <v>450775</v>
      </c>
      <c r="C1843" s="4">
        <f>IF(DatiOriginali!C1843 &gt;= SogliaPicchi!$B$20,"",DatiOriginali!C1843)</f>
        <v>3743000</v>
      </c>
      <c r="D1843" s="4">
        <v>222847</v>
      </c>
      <c r="E1843" s="4">
        <f>IF(DatiOriginali!E1843 &gt;= SogliaPicchi!$B$20,"",DatiOriginali!E1843)</f>
        <v>794700</v>
      </c>
      <c r="F1843" s="4">
        <v>7092168</v>
      </c>
      <c r="G1843" s="4">
        <f>IF(DatiOriginali!G1843 &gt;= SogliaPicchi!$B$20,"",DatiOriginali!G1843)</f>
        <v>355000</v>
      </c>
      <c r="H1843" s="4">
        <v>8854848</v>
      </c>
      <c r="I1843" s="4">
        <f>IF(DatiOriginali!I1843 &gt;= SogliaPicchi!$B$20,"",DatiOriginali!I1843)</f>
        <v>124800</v>
      </c>
      <c r="J1843" s="4">
        <v>8846993</v>
      </c>
      <c r="K1843" s="4">
        <f>IF(DatiOriginali!K1843 &gt;= SogliaPicchi!$B$20,"",DatiOriginali!K1843)</f>
        <v>133200</v>
      </c>
    </row>
    <row r="1844" spans="1:11" x14ac:dyDescent="0.3">
      <c r="A1844" s="4" t="s">
        <v>1853</v>
      </c>
      <c r="B1844" s="4">
        <v>450775</v>
      </c>
      <c r="C1844" s="4">
        <f>IF(DatiOriginali!C1844 &gt;= SogliaPicchi!$B$20,"",DatiOriginali!C1844)</f>
        <v>3555600</v>
      </c>
      <c r="D1844" s="4">
        <v>224846</v>
      </c>
      <c r="E1844" s="4">
        <f>IF(DatiOriginali!E1844 &gt;= SogliaPicchi!$B$20,"",DatiOriginali!E1844)</f>
        <v>778700</v>
      </c>
      <c r="F1844" s="4">
        <v>7100381</v>
      </c>
      <c r="G1844" s="4">
        <f>IF(DatiOriginali!G1844 &gt;= SogliaPicchi!$B$20,"",DatiOriginali!G1844)</f>
        <v>358100</v>
      </c>
      <c r="H1844" s="4">
        <v>8866241</v>
      </c>
      <c r="I1844" s="4">
        <f>IF(DatiOriginali!I1844 &gt;= SogliaPicchi!$B$20,"",DatiOriginali!I1844)</f>
        <v>118900</v>
      </c>
      <c r="J1844" s="4">
        <v>8857787</v>
      </c>
      <c r="K1844" s="4">
        <f>IF(DatiOriginali!K1844 &gt;= SogliaPicchi!$B$20,"",DatiOriginali!K1844)</f>
        <v>134100</v>
      </c>
    </row>
    <row r="1845" spans="1:11" x14ac:dyDescent="0.3">
      <c r="A1845" s="4" t="s">
        <v>1854</v>
      </c>
      <c r="B1845" s="4">
        <v>450775</v>
      </c>
      <c r="C1845" s="4">
        <f>IF(DatiOriginali!C1845 &gt;= SogliaPicchi!$B$20,"",DatiOriginali!C1845)</f>
        <v>3807700</v>
      </c>
      <c r="D1845" s="4">
        <v>223274</v>
      </c>
      <c r="E1845" s="4">
        <f>IF(DatiOriginali!E1845 &gt;= SogliaPicchi!$B$20,"",DatiOriginali!E1845)</f>
        <v>791000</v>
      </c>
      <c r="F1845" s="4">
        <v>7108529</v>
      </c>
      <c r="G1845" s="4">
        <f>IF(DatiOriginali!G1845 &gt;= SogliaPicchi!$B$20,"",DatiOriginali!G1845)</f>
        <v>355400</v>
      </c>
      <c r="H1845" s="4">
        <v>8875869</v>
      </c>
      <c r="I1845" s="4">
        <f>IF(DatiOriginali!I1845 &gt;= SogliaPicchi!$B$20,"",DatiOriginali!I1845)</f>
        <v>116200</v>
      </c>
      <c r="J1845" s="4">
        <v>8866990</v>
      </c>
      <c r="K1845" s="4">
        <f>IF(DatiOriginali!K1845 &gt;= SogliaPicchi!$B$20,"",DatiOriginali!K1845)</f>
        <v>130100</v>
      </c>
    </row>
    <row r="1846" spans="1:11" x14ac:dyDescent="0.3">
      <c r="A1846" s="4" t="s">
        <v>1855</v>
      </c>
      <c r="B1846" s="4">
        <v>450775</v>
      </c>
      <c r="C1846" s="4">
        <f>IF(DatiOriginali!C1846 &gt;= SogliaPicchi!$B$20,"",DatiOriginali!C1846)</f>
        <v>4174100</v>
      </c>
      <c r="D1846" s="4">
        <v>220056</v>
      </c>
      <c r="E1846" s="4">
        <f>IF(DatiOriginali!E1846 &gt;= SogliaPicchi!$B$20,"",DatiOriginali!E1846)</f>
        <v>768600</v>
      </c>
      <c r="F1846" s="4">
        <v>7116729</v>
      </c>
      <c r="G1846" s="4">
        <f>IF(DatiOriginali!G1846 &gt;= SogliaPicchi!$B$20,"",DatiOriginali!G1846)</f>
        <v>348700</v>
      </c>
      <c r="H1846" s="4">
        <v>8885840</v>
      </c>
      <c r="I1846" s="4">
        <f>IF(DatiOriginali!I1846 &gt;= SogliaPicchi!$B$20,"",DatiOriginali!I1846)</f>
        <v>121000</v>
      </c>
      <c r="J1846" s="4">
        <v>8877092</v>
      </c>
      <c r="K1846" s="4">
        <f>IF(DatiOriginali!K1846 &gt;= SogliaPicchi!$B$20,"",DatiOriginali!K1846)</f>
        <v>130700</v>
      </c>
    </row>
    <row r="1847" spans="1:11" x14ac:dyDescent="0.3">
      <c r="A1847" s="4" t="s">
        <v>1856</v>
      </c>
      <c r="B1847" s="4">
        <v>450775</v>
      </c>
      <c r="C1847" s="4">
        <f>IF(DatiOriginali!C1847 &gt;= SogliaPicchi!$B$20,"",DatiOriginali!C1847)</f>
        <v>4106400</v>
      </c>
      <c r="D1847" s="4">
        <v>225384</v>
      </c>
      <c r="E1847" s="4">
        <f>IF(DatiOriginali!E1847 &gt;= SogliaPicchi!$B$20,"",DatiOriginali!E1847)</f>
        <v>787400</v>
      </c>
      <c r="F1847" s="4">
        <v>7124931</v>
      </c>
      <c r="G1847" s="4">
        <f>IF(DatiOriginali!G1847 &gt;= SogliaPicchi!$B$20,"",DatiOriginali!G1847)</f>
        <v>470600</v>
      </c>
      <c r="H1847" s="4">
        <v>8896503</v>
      </c>
      <c r="I1847" s="4">
        <f>IF(DatiOriginali!I1847 &gt;= SogliaPicchi!$B$20,"",DatiOriginali!I1847)</f>
        <v>117100</v>
      </c>
      <c r="J1847" s="4">
        <v>8887919</v>
      </c>
      <c r="K1847" s="4">
        <f>IF(DatiOriginali!K1847 &gt;= SogliaPicchi!$B$20,"",DatiOriginali!K1847)</f>
        <v>128900</v>
      </c>
    </row>
    <row r="1848" spans="1:11" x14ac:dyDescent="0.3">
      <c r="A1848" s="4" t="s">
        <v>1857</v>
      </c>
      <c r="B1848" s="4">
        <v>450775</v>
      </c>
      <c r="C1848" s="4">
        <f>IF(DatiOriginali!C1848 &gt;= SogliaPicchi!$B$20,"",DatiOriginali!C1848)</f>
        <v>4082200</v>
      </c>
      <c r="D1848" s="4">
        <v>226567</v>
      </c>
      <c r="E1848" s="4">
        <f>IF(DatiOriginali!E1848 &gt;= SogliaPicchi!$B$20,"",DatiOriginali!E1848)</f>
        <v>916400</v>
      </c>
      <c r="F1848" s="4">
        <v>7133134</v>
      </c>
      <c r="G1848" s="4">
        <f>IF(DatiOriginali!G1848 &gt;= SogliaPicchi!$B$20,"",DatiOriginali!G1848)</f>
        <v>349200</v>
      </c>
      <c r="H1848" s="4">
        <v>8906754</v>
      </c>
      <c r="I1848" s="4">
        <f>IF(DatiOriginali!I1848 &gt;= SogliaPicchi!$B$20,"",DatiOriginali!I1848)</f>
        <v>130200</v>
      </c>
      <c r="J1848" s="4">
        <v>8898239</v>
      </c>
      <c r="K1848" s="4">
        <f>IF(DatiOriginali!K1848 &gt;= SogliaPicchi!$B$20,"",DatiOriginali!K1848)</f>
        <v>136700</v>
      </c>
    </row>
    <row r="1849" spans="1:11" x14ac:dyDescent="0.3">
      <c r="A1849" s="4" t="s">
        <v>1858</v>
      </c>
      <c r="B1849" s="4">
        <v>450775</v>
      </c>
      <c r="C1849" s="4">
        <f>IF(DatiOriginali!C1849 &gt;= SogliaPicchi!$B$20,"",DatiOriginali!C1849)</f>
        <v>3485700</v>
      </c>
      <c r="D1849" s="4">
        <v>238115</v>
      </c>
      <c r="E1849" s="4">
        <f>IF(DatiOriginali!E1849 &gt;= SogliaPicchi!$B$20,"",DatiOriginali!E1849)</f>
        <v>857200</v>
      </c>
      <c r="F1849" s="4">
        <v>7141341</v>
      </c>
      <c r="G1849" s="4">
        <f>IF(DatiOriginali!G1849 &gt;= SogliaPicchi!$B$20,"",DatiOriginali!G1849)</f>
        <v>352100</v>
      </c>
      <c r="H1849" s="4">
        <v>8917158</v>
      </c>
      <c r="I1849" s="4">
        <f>IF(DatiOriginali!I1849 &gt;= SogliaPicchi!$B$20,"",DatiOriginali!I1849)</f>
        <v>118300</v>
      </c>
      <c r="J1849" s="4">
        <v>8907963</v>
      </c>
      <c r="K1849" s="4">
        <f>IF(DatiOriginali!K1849 &gt;= SogliaPicchi!$B$20,"",DatiOriginali!K1849)</f>
        <v>129700</v>
      </c>
    </row>
    <row r="1850" spans="1:11" x14ac:dyDescent="0.3">
      <c r="A1850" s="4" t="s">
        <v>1859</v>
      </c>
      <c r="B1850" s="4">
        <v>450775</v>
      </c>
      <c r="C1850" s="4">
        <f>IF(DatiOriginali!C1850 &gt;= SogliaPicchi!$B$20,"",DatiOriginali!C1850)</f>
        <v>3617800</v>
      </c>
      <c r="D1850" s="4">
        <v>226786</v>
      </c>
      <c r="E1850" s="4">
        <f>IF(DatiOriginali!E1850 &gt;= SogliaPicchi!$B$20,"",DatiOriginali!E1850)</f>
        <v>785800</v>
      </c>
      <c r="F1850" s="4">
        <v>7149547</v>
      </c>
      <c r="G1850" s="4">
        <f>IF(DatiOriginali!G1850 &gt;= SogliaPicchi!$B$20,"",DatiOriginali!G1850)</f>
        <v>350000</v>
      </c>
      <c r="H1850" s="4">
        <v>8927778</v>
      </c>
      <c r="I1850" s="4">
        <f>IF(DatiOriginali!I1850 &gt;= SogliaPicchi!$B$20,"",DatiOriginali!I1850)</f>
        <v>120600</v>
      </c>
      <c r="J1850" s="4">
        <v>8918549</v>
      </c>
      <c r="K1850" s="4">
        <f>IF(DatiOriginali!K1850 &gt;= SogliaPicchi!$B$20,"",DatiOriginali!K1850)</f>
        <v>132100</v>
      </c>
    </row>
    <row r="1851" spans="1:11" x14ac:dyDescent="0.3">
      <c r="A1851" s="4" t="s">
        <v>1860</v>
      </c>
      <c r="B1851" s="4">
        <v>450775</v>
      </c>
      <c r="C1851" s="4">
        <f>IF(DatiOriginali!C1851 &gt;= SogliaPicchi!$B$20,"",DatiOriginali!C1851)</f>
        <v>3609100</v>
      </c>
      <c r="D1851" s="4">
        <v>231417</v>
      </c>
      <c r="E1851" s="4">
        <f>IF(DatiOriginali!E1851 &gt;= SogliaPicchi!$B$20,"",DatiOriginali!E1851)</f>
        <v>799400</v>
      </c>
      <c r="F1851" s="4">
        <v>7157771</v>
      </c>
      <c r="G1851" s="4">
        <f>IF(DatiOriginali!G1851 &gt;= SogliaPicchi!$B$20,"",DatiOriginali!G1851)</f>
        <v>348500</v>
      </c>
      <c r="H1851" s="4">
        <v>8938124</v>
      </c>
      <c r="I1851" s="4">
        <f>IF(DatiOriginali!I1851 &gt;= SogliaPicchi!$B$20,"",DatiOriginali!I1851)</f>
        <v>123300</v>
      </c>
      <c r="J1851" s="4">
        <v>8928781</v>
      </c>
      <c r="K1851" s="4">
        <f>IF(DatiOriginali!K1851 &gt;= SogliaPicchi!$B$20,"",DatiOriginali!K1851)</f>
        <v>131400</v>
      </c>
    </row>
    <row r="1852" spans="1:11" x14ac:dyDescent="0.3">
      <c r="A1852" s="4" t="s">
        <v>1861</v>
      </c>
      <c r="B1852" s="4">
        <v>450775</v>
      </c>
      <c r="C1852" s="4">
        <f>IF(DatiOriginali!C1852 &gt;= SogliaPicchi!$B$20,"",DatiOriginali!C1852)</f>
        <v>3508800</v>
      </c>
      <c r="D1852" s="4">
        <v>233022</v>
      </c>
      <c r="E1852" s="4">
        <f>IF(DatiOriginali!E1852 &gt;= SogliaPicchi!$B$20,"",DatiOriginali!E1852)</f>
        <v>823700</v>
      </c>
      <c r="F1852" s="4">
        <v>7165986</v>
      </c>
      <c r="G1852" s="4">
        <f>IF(DatiOriginali!G1852 &gt;= SogliaPicchi!$B$20,"",DatiOriginali!G1852)</f>
        <v>349400</v>
      </c>
      <c r="H1852" s="4">
        <v>8949651</v>
      </c>
      <c r="I1852" s="4">
        <f>IF(DatiOriginali!I1852 &gt;= SogliaPicchi!$B$20,"",DatiOriginali!I1852)</f>
        <v>123700</v>
      </c>
      <c r="J1852" s="4">
        <v>8939570</v>
      </c>
      <c r="K1852" s="4">
        <f>IF(DatiOriginali!K1852 &gt;= SogliaPicchi!$B$20,"",DatiOriginali!K1852)</f>
        <v>135900</v>
      </c>
    </row>
    <row r="1853" spans="1:11" x14ac:dyDescent="0.3">
      <c r="A1853" s="4" t="s">
        <v>1862</v>
      </c>
      <c r="B1853" s="4">
        <v>450775</v>
      </c>
      <c r="C1853" s="4">
        <f>IF(DatiOriginali!C1853 &gt;= SogliaPicchi!$B$20,"",DatiOriginali!C1853)</f>
        <v>3926900</v>
      </c>
      <c r="D1853" s="4">
        <v>229823</v>
      </c>
      <c r="E1853" s="4">
        <f>IF(DatiOriginali!E1853 &gt;= SogliaPicchi!$B$20,"",DatiOriginali!E1853)</f>
        <v>793300</v>
      </c>
      <c r="F1853" s="4">
        <v>7174207</v>
      </c>
      <c r="G1853" s="4">
        <f>IF(DatiOriginali!G1853 &gt;= SogliaPicchi!$B$20,"",DatiOriginali!G1853)</f>
        <v>355600</v>
      </c>
      <c r="H1853" s="4">
        <v>8959631</v>
      </c>
      <c r="I1853" s="4">
        <f>IF(DatiOriginali!I1853 &gt;= SogliaPicchi!$B$20,"",DatiOriginali!I1853)</f>
        <v>114700</v>
      </c>
      <c r="J1853" s="4">
        <v>8950218</v>
      </c>
      <c r="K1853" s="4">
        <f>IF(DatiOriginali!K1853 &gt;= SogliaPicchi!$B$20,"",DatiOriginali!K1853)</f>
        <v>134400</v>
      </c>
    </row>
    <row r="1854" spans="1:11" x14ac:dyDescent="0.3">
      <c r="A1854" s="4" t="s">
        <v>1863</v>
      </c>
      <c r="B1854" s="4">
        <v>450775</v>
      </c>
      <c r="C1854" s="4">
        <f>IF(DatiOriginali!C1854 &gt;= SogliaPicchi!$B$20,"",DatiOriginali!C1854)</f>
        <v>4047600</v>
      </c>
      <c r="D1854" s="4">
        <v>221790</v>
      </c>
      <c r="E1854" s="4">
        <f>IF(DatiOriginali!E1854 &gt;= SogliaPicchi!$B$20,"",DatiOriginali!E1854)</f>
        <v>773500</v>
      </c>
      <c r="F1854" s="4">
        <v>7182386</v>
      </c>
      <c r="G1854" s="4">
        <f>IF(DatiOriginali!G1854 &gt;= SogliaPicchi!$B$20,"",DatiOriginali!G1854)</f>
        <v>345300</v>
      </c>
      <c r="H1854" s="4">
        <v>8969466</v>
      </c>
      <c r="I1854" s="4">
        <f>IF(DatiOriginali!I1854 &gt;= SogliaPicchi!$B$20,"",DatiOriginali!I1854)</f>
        <v>118100</v>
      </c>
      <c r="J1854" s="4">
        <v>8960584</v>
      </c>
      <c r="K1854" s="4">
        <f>IF(DatiOriginali!K1854 &gt;= SogliaPicchi!$B$20,"",DatiOriginali!K1854)</f>
        <v>144600</v>
      </c>
    </row>
    <row r="1855" spans="1:11" x14ac:dyDescent="0.3">
      <c r="A1855" s="4" t="s">
        <v>1864</v>
      </c>
      <c r="B1855" s="4">
        <v>450775</v>
      </c>
      <c r="C1855" s="4">
        <f>IF(DatiOriginali!C1855 &gt;= SogliaPicchi!$B$20,"",DatiOriginali!C1855)</f>
        <v>3962400</v>
      </c>
      <c r="D1855" s="4">
        <v>234633</v>
      </c>
      <c r="E1855" s="4">
        <f>IF(DatiOriginali!E1855 &gt;= SogliaPicchi!$B$20,"",DatiOriginali!E1855)</f>
        <v>968400</v>
      </c>
      <c r="F1855" s="4">
        <v>7190566</v>
      </c>
      <c r="G1855" s="4">
        <f>IF(DatiOriginali!G1855 &gt;= SogliaPicchi!$B$20,"",DatiOriginali!G1855)</f>
        <v>352800</v>
      </c>
      <c r="H1855" s="4">
        <v>8979066</v>
      </c>
      <c r="I1855" s="4">
        <f>IF(DatiOriginali!I1855 &gt;= SogliaPicchi!$B$20,"",DatiOriginali!I1855)</f>
        <v>119500</v>
      </c>
      <c r="J1855" s="4">
        <v>8971038</v>
      </c>
      <c r="K1855" s="4">
        <f>IF(DatiOriginali!K1855 &gt;= SogliaPicchi!$B$20,"",DatiOriginali!K1855)</f>
        <v>137800</v>
      </c>
    </row>
    <row r="1856" spans="1:11" x14ac:dyDescent="0.3">
      <c r="A1856" s="4" t="s">
        <v>1865</v>
      </c>
      <c r="B1856" s="4">
        <v>450775</v>
      </c>
      <c r="C1856" s="4">
        <f>IF(DatiOriginali!C1856 &gt;= SogliaPicchi!$B$20,"",DatiOriginali!C1856)</f>
        <v>3655400</v>
      </c>
      <c r="D1856" s="4">
        <v>218313</v>
      </c>
      <c r="E1856" s="4">
        <f>IF(DatiOriginali!E1856 &gt;= SogliaPicchi!$B$20,"",DatiOriginali!E1856)</f>
        <v>763500</v>
      </c>
      <c r="F1856" s="4">
        <v>7198759</v>
      </c>
      <c r="G1856" s="4">
        <f>IF(DatiOriginali!G1856 &gt;= SogliaPicchi!$B$20,"",DatiOriginali!G1856)</f>
        <v>350200</v>
      </c>
      <c r="H1856" s="4">
        <v>8988758</v>
      </c>
      <c r="I1856" s="4">
        <f>IF(DatiOriginali!I1856 &gt;= SogliaPicchi!$B$20,"",DatiOriginali!I1856)</f>
        <v>120800</v>
      </c>
      <c r="J1856" s="4">
        <v>8981005</v>
      </c>
      <c r="K1856" s="4">
        <f>IF(DatiOriginali!K1856 &gt;= SogliaPicchi!$B$20,"",DatiOriginali!K1856)</f>
        <v>132000</v>
      </c>
    </row>
    <row r="1857" spans="1:11" x14ac:dyDescent="0.3">
      <c r="A1857" s="4" t="s">
        <v>1866</v>
      </c>
      <c r="B1857" s="4">
        <v>450775</v>
      </c>
      <c r="C1857" s="4">
        <f>IF(DatiOriginali!C1857 &gt;= SogliaPicchi!$B$20,"",DatiOriginali!C1857)</f>
        <v>3934200</v>
      </c>
      <c r="D1857" s="4">
        <v>221782</v>
      </c>
      <c r="E1857" s="4">
        <f>IF(DatiOriginali!E1857 &gt;= SogliaPicchi!$B$20,"",DatiOriginali!E1857)</f>
        <v>766100</v>
      </c>
      <c r="F1857" s="4">
        <v>7206984</v>
      </c>
      <c r="G1857" s="4">
        <f>IF(DatiOriginali!G1857 &gt;= SogliaPicchi!$B$20,"",DatiOriginali!G1857)</f>
        <v>351100</v>
      </c>
      <c r="H1857" s="4">
        <v>8998314</v>
      </c>
      <c r="I1857" s="4">
        <f>IF(DatiOriginali!I1857 &gt;= SogliaPicchi!$B$20,"",DatiOriginali!I1857)</f>
        <v>120300</v>
      </c>
      <c r="J1857" s="4">
        <v>8991234</v>
      </c>
      <c r="K1857" s="4">
        <f>IF(DatiOriginali!K1857 &gt;= SogliaPicchi!$B$20,"",DatiOriginali!K1857)</f>
        <v>132900</v>
      </c>
    </row>
    <row r="1858" spans="1:11" x14ac:dyDescent="0.3">
      <c r="A1858" s="4" t="s">
        <v>1867</v>
      </c>
      <c r="B1858" s="4">
        <v>450775</v>
      </c>
      <c r="C1858" s="4">
        <f>IF(DatiOriginali!C1858 &gt;= SogliaPicchi!$B$20,"",DatiOriginali!C1858)</f>
        <v>3601100</v>
      </c>
      <c r="D1858" s="4">
        <v>230715</v>
      </c>
      <c r="E1858" s="4">
        <f>IF(DatiOriginali!E1858 &gt;= SogliaPicchi!$B$20,"",DatiOriginali!E1858)</f>
        <v>809900</v>
      </c>
      <c r="F1858" s="4">
        <v>7215181</v>
      </c>
      <c r="G1858" s="4">
        <f>IF(DatiOriginali!G1858 &gt;= SogliaPicchi!$B$20,"",DatiOriginali!G1858)</f>
        <v>345400</v>
      </c>
      <c r="H1858" s="4">
        <v>9007630</v>
      </c>
      <c r="I1858" s="4">
        <f>IF(DatiOriginali!I1858 &gt;= SogliaPicchi!$B$20,"",DatiOriginali!I1858)</f>
        <v>123100</v>
      </c>
      <c r="J1858" s="4">
        <v>9002817</v>
      </c>
      <c r="K1858" s="4">
        <f>IF(DatiOriginali!K1858 &gt;= SogliaPicchi!$B$20,"",DatiOriginali!K1858)</f>
        <v>134900</v>
      </c>
    </row>
    <row r="1859" spans="1:11" x14ac:dyDescent="0.3">
      <c r="A1859" s="4" t="s">
        <v>1868</v>
      </c>
      <c r="B1859" s="4">
        <v>450775</v>
      </c>
      <c r="C1859" s="4">
        <f>IF(DatiOriginali!C1859 &gt;= SogliaPicchi!$B$20,"",DatiOriginali!C1859)</f>
        <v>3930700</v>
      </c>
      <c r="D1859" s="4">
        <v>224203</v>
      </c>
      <c r="E1859" s="4">
        <f>IF(DatiOriginali!E1859 &gt;= SogliaPicchi!$B$20,"",DatiOriginali!E1859)</f>
        <v>795800</v>
      </c>
      <c r="F1859" s="4">
        <v>7223386</v>
      </c>
      <c r="G1859" s="4">
        <f>IF(DatiOriginali!G1859 &gt;= SogliaPicchi!$B$20,"",DatiOriginali!G1859)</f>
        <v>365000</v>
      </c>
      <c r="H1859" s="4">
        <v>9018327</v>
      </c>
      <c r="I1859" s="4">
        <f>IF(DatiOriginali!I1859 &gt;= SogliaPicchi!$B$20,"",DatiOriginali!I1859)</f>
        <v>125000</v>
      </c>
      <c r="J1859" s="4">
        <v>9013584</v>
      </c>
      <c r="K1859" s="4">
        <f>IF(DatiOriginali!K1859 &gt;= SogliaPicchi!$B$20,"",DatiOriginali!K1859)</f>
        <v>135100</v>
      </c>
    </row>
    <row r="1860" spans="1:11" x14ac:dyDescent="0.3">
      <c r="A1860" s="4" t="s">
        <v>1869</v>
      </c>
      <c r="B1860" s="4">
        <v>450775</v>
      </c>
      <c r="C1860" s="4">
        <f>IF(DatiOriginali!C1860 &gt;= SogliaPicchi!$B$20,"",DatiOriginali!C1860)</f>
        <v>3582000</v>
      </c>
      <c r="D1860" s="4">
        <v>229914</v>
      </c>
      <c r="E1860" s="4">
        <f>IF(DatiOriginali!E1860 &gt;= SogliaPicchi!$B$20,"",DatiOriginali!E1860)</f>
        <v>793900</v>
      </c>
      <c r="F1860" s="4">
        <v>7231612</v>
      </c>
      <c r="G1860" s="4">
        <f>IF(DatiOriginali!G1860 &gt;= SogliaPicchi!$B$20,"",DatiOriginali!G1860)</f>
        <v>352000</v>
      </c>
      <c r="H1860" s="4">
        <v>9029111</v>
      </c>
      <c r="I1860" s="4">
        <f>IF(DatiOriginali!I1860 &gt;= SogliaPicchi!$B$20,"",DatiOriginali!I1860)</f>
        <v>123700</v>
      </c>
      <c r="J1860" s="4">
        <v>9023112</v>
      </c>
      <c r="K1860" s="4">
        <f>IF(DatiOriginali!K1860 &gt;= SogliaPicchi!$B$20,"",DatiOriginali!K1860)</f>
        <v>131600</v>
      </c>
    </row>
    <row r="1861" spans="1:11" x14ac:dyDescent="0.3">
      <c r="A1861" s="4" t="s">
        <v>1870</v>
      </c>
      <c r="B1861" s="4">
        <v>450775</v>
      </c>
      <c r="C1861" s="4">
        <f>IF(DatiOriginali!C1861 &gt;= SogliaPicchi!$B$20,"",DatiOriginali!C1861)</f>
        <v>4076000</v>
      </c>
      <c r="D1861" s="4">
        <v>223219</v>
      </c>
      <c r="E1861" s="4">
        <f>IF(DatiOriginali!E1861 &gt;= SogliaPicchi!$B$20,"",DatiOriginali!E1861)</f>
        <v>770500</v>
      </c>
      <c r="F1861" s="4">
        <v>7239834</v>
      </c>
      <c r="G1861" s="4">
        <f>IF(DatiOriginali!G1861 &gt;= SogliaPicchi!$B$20,"",DatiOriginali!G1861)</f>
        <v>362700</v>
      </c>
      <c r="H1861" s="4">
        <v>9039518</v>
      </c>
      <c r="I1861" s="4">
        <f>IF(DatiOriginali!I1861 &gt;= SogliaPicchi!$B$20,"",DatiOriginali!I1861)</f>
        <v>123000</v>
      </c>
      <c r="J1861" s="4">
        <v>9033949</v>
      </c>
      <c r="K1861" s="4">
        <f>IF(DatiOriginali!K1861 &gt;= SogliaPicchi!$B$20,"",DatiOriginali!K1861)</f>
        <v>135000</v>
      </c>
    </row>
    <row r="1862" spans="1:11" x14ac:dyDescent="0.3">
      <c r="A1862" s="4" t="s">
        <v>1871</v>
      </c>
      <c r="B1862" s="4">
        <v>450775</v>
      </c>
      <c r="C1862" s="4">
        <f>IF(DatiOriginali!C1862 &gt;= SogliaPicchi!$B$20,"",DatiOriginali!C1862)</f>
        <v>3767200</v>
      </c>
      <c r="D1862" s="4">
        <v>229822</v>
      </c>
      <c r="E1862" s="4">
        <f>IF(DatiOriginali!E1862 &gt;= SogliaPicchi!$B$20,"",DatiOriginali!E1862)</f>
        <v>825100</v>
      </c>
      <c r="F1862" s="4">
        <v>7248041</v>
      </c>
      <c r="G1862" s="4">
        <f>IF(DatiOriginali!G1862 &gt;= SogliaPicchi!$B$20,"",DatiOriginali!G1862)</f>
        <v>401400</v>
      </c>
      <c r="H1862" s="4">
        <v>9049965</v>
      </c>
      <c r="I1862" s="4">
        <f>IF(DatiOriginali!I1862 &gt;= SogliaPicchi!$B$20,"",DatiOriginali!I1862)</f>
        <v>133100</v>
      </c>
      <c r="J1862" s="4">
        <v>9044406</v>
      </c>
      <c r="K1862" s="4">
        <f>IF(DatiOriginali!K1862 &gt;= SogliaPicchi!$B$20,"",DatiOriginali!K1862)</f>
        <v>137800</v>
      </c>
    </row>
    <row r="1863" spans="1:11" x14ac:dyDescent="0.3">
      <c r="A1863" s="4" t="s">
        <v>1872</v>
      </c>
      <c r="B1863" s="4">
        <v>450775</v>
      </c>
      <c r="C1863" s="4">
        <f>IF(DatiOriginali!C1863 &gt;= SogliaPicchi!$B$20,"",DatiOriginali!C1863)</f>
        <v>4039500</v>
      </c>
      <c r="D1863" s="4">
        <v>225283</v>
      </c>
      <c r="E1863" s="4">
        <f>IF(DatiOriginali!E1863 &gt;= SogliaPicchi!$B$20,"",DatiOriginali!E1863)</f>
        <v>776600</v>
      </c>
      <c r="F1863" s="4">
        <v>7256248</v>
      </c>
      <c r="G1863" s="4">
        <f>IF(DatiOriginali!G1863 &gt;= SogliaPicchi!$B$20,"",DatiOriginali!G1863)</f>
        <v>353700</v>
      </c>
      <c r="H1863" s="4">
        <v>9060024</v>
      </c>
      <c r="I1863" s="4">
        <f>IF(DatiOriginali!I1863 &gt;= SogliaPicchi!$B$20,"",DatiOriginali!I1863)</f>
        <v>119600</v>
      </c>
      <c r="J1863" s="4">
        <v>9055796</v>
      </c>
      <c r="K1863" s="4">
        <f>IF(DatiOriginali!K1863 &gt;= SogliaPicchi!$B$20,"",DatiOriginali!K1863)</f>
        <v>133000</v>
      </c>
    </row>
    <row r="1864" spans="1:11" x14ac:dyDescent="0.3">
      <c r="A1864" s="4" t="s">
        <v>1873</v>
      </c>
      <c r="B1864" s="4">
        <v>450775</v>
      </c>
      <c r="C1864" s="4">
        <f>IF(DatiOriginali!C1864 &gt;= SogliaPicchi!$B$20,"",DatiOriginali!C1864)</f>
        <v>3844000</v>
      </c>
      <c r="D1864" s="4">
        <v>221555</v>
      </c>
      <c r="E1864" s="4">
        <f>IF(DatiOriginali!E1864 &gt;= SogliaPicchi!$B$20,"",DatiOriginali!E1864)</f>
        <v>772000</v>
      </c>
      <c r="F1864" s="4">
        <v>7264466</v>
      </c>
      <c r="G1864" s="4">
        <f>IF(DatiOriginali!G1864 &gt;= SogliaPicchi!$B$20,"",DatiOriginali!G1864)</f>
        <v>348400</v>
      </c>
      <c r="H1864" s="4">
        <v>9071099</v>
      </c>
      <c r="I1864" s="4">
        <f>IF(DatiOriginali!I1864 &gt;= SogliaPicchi!$B$20,"",DatiOriginali!I1864)</f>
        <v>121000</v>
      </c>
      <c r="J1864" s="4">
        <v>9065501</v>
      </c>
      <c r="K1864" s="4">
        <f>IF(DatiOriginali!K1864 &gt;= SogliaPicchi!$B$20,"",DatiOriginali!K1864)</f>
        <v>134000</v>
      </c>
    </row>
    <row r="1865" spans="1:11" x14ac:dyDescent="0.3">
      <c r="A1865" s="4" t="s">
        <v>1874</v>
      </c>
      <c r="B1865" s="4">
        <v>450775</v>
      </c>
      <c r="C1865" s="4">
        <f>IF(DatiOriginali!C1865 &gt;= SogliaPicchi!$B$20,"",DatiOriginali!C1865)</f>
        <v>3757700</v>
      </c>
      <c r="D1865" s="4">
        <v>228005</v>
      </c>
      <c r="E1865" s="4">
        <f>IF(DatiOriginali!E1865 &gt;= SogliaPicchi!$B$20,"",DatiOriginali!E1865)</f>
        <v>788800</v>
      </c>
      <c r="F1865" s="4">
        <v>7272683</v>
      </c>
      <c r="G1865" s="4">
        <f>IF(DatiOriginali!G1865 &gt;= SogliaPicchi!$B$20,"",DatiOriginali!G1865)</f>
        <v>348800</v>
      </c>
      <c r="H1865" s="4">
        <v>9080734</v>
      </c>
      <c r="I1865" s="4">
        <f>IF(DatiOriginali!I1865 &gt;= SogliaPicchi!$B$20,"",DatiOriginali!I1865)</f>
        <v>120000</v>
      </c>
      <c r="J1865" s="4">
        <v>9076538</v>
      </c>
      <c r="K1865" s="4">
        <f>IF(DatiOriginali!K1865 &gt;= SogliaPicchi!$B$20,"",DatiOriginali!K1865)</f>
        <v>140400</v>
      </c>
    </row>
    <row r="1866" spans="1:11" x14ac:dyDescent="0.3">
      <c r="A1866" s="4" t="s">
        <v>1875</v>
      </c>
      <c r="B1866" s="4">
        <v>450775</v>
      </c>
      <c r="C1866" s="4">
        <f>IF(DatiOriginali!C1866 &gt;= SogliaPicchi!$B$20,"",DatiOriginali!C1866)</f>
        <v>3786600</v>
      </c>
      <c r="D1866" s="4">
        <v>227638</v>
      </c>
      <c r="E1866" s="4">
        <f>IF(DatiOriginali!E1866 &gt;= SogliaPicchi!$B$20,"",DatiOriginali!E1866)</f>
        <v>835800</v>
      </c>
      <c r="F1866" s="4">
        <v>7280866</v>
      </c>
      <c r="G1866" s="4">
        <f>IF(DatiOriginali!G1866 &gt;= SogliaPicchi!$B$20,"",DatiOriginali!G1866)</f>
        <v>348100</v>
      </c>
      <c r="H1866" s="4">
        <v>9090547</v>
      </c>
      <c r="I1866" s="4">
        <f>IF(DatiOriginali!I1866 &gt;= SogliaPicchi!$B$20,"",DatiOriginali!I1866)</f>
        <v>115700</v>
      </c>
      <c r="J1866" s="4">
        <v>9086391</v>
      </c>
      <c r="K1866" s="4">
        <f>IF(DatiOriginali!K1866 &gt;= SogliaPicchi!$B$20,"",DatiOriginali!K1866)</f>
        <v>128900</v>
      </c>
    </row>
    <row r="1867" spans="1:11" x14ac:dyDescent="0.3">
      <c r="A1867" s="4" t="s">
        <v>1876</v>
      </c>
      <c r="B1867" s="4">
        <v>450775</v>
      </c>
      <c r="C1867" s="4">
        <f>IF(DatiOriginali!C1867 &gt;= SogliaPicchi!$B$20,"",DatiOriginali!C1867)</f>
        <v>3733500</v>
      </c>
      <c r="D1867" s="4">
        <v>227427</v>
      </c>
      <c r="E1867" s="4">
        <f>IF(DatiOriginali!E1867 &gt;= SogliaPicchi!$B$20,"",DatiOriginali!E1867)</f>
        <v>786300</v>
      </c>
      <c r="F1867" s="4">
        <v>7289076</v>
      </c>
      <c r="G1867" s="4">
        <f>IF(DatiOriginali!G1867 &gt;= SogliaPicchi!$B$20,"",DatiOriginali!G1867)</f>
        <v>345100</v>
      </c>
      <c r="H1867" s="4">
        <v>9100190</v>
      </c>
      <c r="I1867" s="4">
        <f>IF(DatiOriginali!I1867 &gt;= SogliaPicchi!$B$20,"",DatiOriginali!I1867)</f>
        <v>120900</v>
      </c>
      <c r="J1867" s="4">
        <v>9096904</v>
      </c>
      <c r="K1867" s="4">
        <f>IF(DatiOriginali!K1867 &gt;= SogliaPicchi!$B$20,"",DatiOriginali!K1867)</f>
        <v>133200</v>
      </c>
    </row>
    <row r="1868" spans="1:11" x14ac:dyDescent="0.3">
      <c r="A1868" s="4" t="s">
        <v>1877</v>
      </c>
      <c r="B1868" s="4">
        <v>450775</v>
      </c>
      <c r="C1868" s="4">
        <f>IF(DatiOriginali!C1868 &gt;= SogliaPicchi!$B$20,"",DatiOriginali!C1868)</f>
        <v>3903800</v>
      </c>
      <c r="D1868" s="4">
        <v>230797</v>
      </c>
      <c r="E1868" s="4">
        <f>IF(DatiOriginali!E1868 &gt;= SogliaPicchi!$B$20,"",DatiOriginali!E1868)</f>
        <v>817500</v>
      </c>
      <c r="F1868" s="4">
        <v>7297281</v>
      </c>
      <c r="G1868" s="4">
        <f>IF(DatiOriginali!G1868 &gt;= SogliaPicchi!$B$20,"",DatiOriginali!G1868)</f>
        <v>357600</v>
      </c>
      <c r="H1868" s="4">
        <v>9110272</v>
      </c>
      <c r="I1868" s="4">
        <f>IF(DatiOriginali!I1868 &gt;= SogliaPicchi!$B$20,"",DatiOriginali!I1868)</f>
        <v>118500</v>
      </c>
      <c r="J1868" s="4">
        <v>9106508</v>
      </c>
      <c r="K1868" s="4">
        <f>IF(DatiOriginali!K1868 &gt;= SogliaPicchi!$B$20,"",DatiOriginali!K1868)</f>
        <v>132900</v>
      </c>
    </row>
    <row r="1869" spans="1:11" x14ac:dyDescent="0.3">
      <c r="A1869" s="4" t="s">
        <v>1878</v>
      </c>
      <c r="B1869" s="4">
        <v>450775</v>
      </c>
      <c r="C1869" s="4">
        <f>IF(DatiOriginali!C1869 &gt;= SogliaPicchi!$B$20,"",DatiOriginali!C1869)</f>
        <v>4094300</v>
      </c>
      <c r="D1869" s="4">
        <v>222163</v>
      </c>
      <c r="E1869" s="4">
        <f>IF(DatiOriginali!E1869 &gt;= SogliaPicchi!$B$20,"",DatiOriginali!E1869)</f>
        <v>1070900</v>
      </c>
      <c r="F1869" s="4">
        <v>7305488</v>
      </c>
      <c r="G1869" s="4">
        <f>IF(DatiOriginali!G1869 &gt;= SogliaPicchi!$B$20,"",DatiOriginali!G1869)</f>
        <v>417100</v>
      </c>
      <c r="H1869" s="4">
        <v>9120785</v>
      </c>
      <c r="I1869" s="4">
        <f>IF(DatiOriginali!I1869 &gt;= SogliaPicchi!$B$20,"",DatiOriginali!I1869)</f>
        <v>145600</v>
      </c>
      <c r="J1869" s="4">
        <v>9116537</v>
      </c>
      <c r="K1869" s="4">
        <f>IF(DatiOriginali!K1869 &gt;= SogliaPicchi!$B$20,"",DatiOriginali!K1869)</f>
        <v>165000</v>
      </c>
    </row>
    <row r="1870" spans="1:11" x14ac:dyDescent="0.3">
      <c r="A1870" s="4" t="s">
        <v>1879</v>
      </c>
      <c r="B1870" s="4">
        <v>450775</v>
      </c>
      <c r="C1870" s="4">
        <f>IF(DatiOriginali!C1870 &gt;= SogliaPicchi!$B$20,"",DatiOriginali!C1870)</f>
        <v>3637900</v>
      </c>
      <c r="D1870" s="4">
        <v>224432</v>
      </c>
      <c r="E1870" s="4">
        <f>IF(DatiOriginali!E1870 &gt;= SogliaPicchi!$B$20,"",DatiOriginali!E1870)</f>
        <v>780200</v>
      </c>
      <c r="F1870" s="4">
        <v>7313689</v>
      </c>
      <c r="G1870" s="4">
        <f>IF(DatiOriginali!G1870 &gt;= SogliaPicchi!$B$20,"",DatiOriginali!G1870)</f>
        <v>350000</v>
      </c>
      <c r="H1870" s="4">
        <v>9130501</v>
      </c>
      <c r="I1870" s="4">
        <f>IF(DatiOriginali!I1870 &gt;= SogliaPicchi!$B$20,"",DatiOriginali!I1870)</f>
        <v>121300</v>
      </c>
      <c r="J1870" s="4">
        <v>9126660</v>
      </c>
      <c r="K1870" s="4">
        <f>IF(DatiOriginali!K1870 &gt;= SogliaPicchi!$B$20,"",DatiOriginali!K1870)</f>
        <v>133900</v>
      </c>
    </row>
    <row r="1871" spans="1:11" x14ac:dyDescent="0.3">
      <c r="A1871" s="4" t="s">
        <v>1880</v>
      </c>
      <c r="B1871" s="4">
        <v>450775</v>
      </c>
      <c r="C1871" s="4">
        <f>IF(DatiOriginali!C1871 &gt;= SogliaPicchi!$B$20,"",DatiOriginali!C1871)</f>
        <v>4254000</v>
      </c>
      <c r="D1871" s="4">
        <v>221471</v>
      </c>
      <c r="E1871" s="4">
        <f>IF(DatiOriginali!E1871 &gt;= SogliaPicchi!$B$20,"",DatiOriginali!E1871)</f>
        <v>768200</v>
      </c>
      <c r="F1871" s="4">
        <v>7321911</v>
      </c>
      <c r="G1871" s="4">
        <f>IF(DatiOriginali!G1871 &gt;= SogliaPicchi!$B$20,"",DatiOriginali!G1871)</f>
        <v>356600</v>
      </c>
      <c r="H1871" s="4">
        <v>9141225</v>
      </c>
      <c r="I1871" s="4">
        <f>IF(DatiOriginali!I1871 &gt;= SogliaPicchi!$B$20,"",DatiOriginali!I1871)</f>
        <v>124800</v>
      </c>
      <c r="J1871" s="4">
        <v>9136726</v>
      </c>
      <c r="K1871" s="4">
        <f>IF(DatiOriginali!K1871 &gt;= SogliaPicchi!$B$20,"",DatiOriginali!K1871)</f>
        <v>138100</v>
      </c>
    </row>
    <row r="1872" spans="1:11" x14ac:dyDescent="0.3">
      <c r="A1872" s="4" t="s">
        <v>1881</v>
      </c>
      <c r="B1872" s="4">
        <v>450775</v>
      </c>
      <c r="C1872" s="4">
        <f>IF(DatiOriginali!C1872 &gt;= SogliaPicchi!$B$20,"",DatiOriginali!C1872)</f>
        <v>3567200</v>
      </c>
      <c r="D1872" s="4">
        <v>223165</v>
      </c>
      <c r="E1872" s="4">
        <f>IF(DatiOriginali!E1872 &gt;= SogliaPicchi!$B$20,"",DatiOriginali!E1872)</f>
        <v>789600</v>
      </c>
      <c r="F1872" s="4">
        <v>7330112</v>
      </c>
      <c r="G1872" s="4">
        <f>IF(DatiOriginali!G1872 &gt;= SogliaPicchi!$B$20,"",DatiOriginali!G1872)</f>
        <v>356700</v>
      </c>
      <c r="H1872" s="4">
        <v>9151355</v>
      </c>
      <c r="I1872" s="4">
        <f>IF(DatiOriginali!I1872 &gt;= SogliaPicchi!$B$20,"",DatiOriginali!I1872)</f>
        <v>120300</v>
      </c>
      <c r="J1872" s="4">
        <v>9147199</v>
      </c>
      <c r="K1872" s="4">
        <f>IF(DatiOriginali!K1872 &gt;= SogliaPicchi!$B$20,"",DatiOriginali!K1872)</f>
        <v>131500</v>
      </c>
    </row>
    <row r="1873" spans="1:11" x14ac:dyDescent="0.3">
      <c r="A1873" s="4" t="s">
        <v>1882</v>
      </c>
      <c r="B1873" s="4">
        <v>450775</v>
      </c>
      <c r="C1873" s="4">
        <f>IF(DatiOriginali!C1873 &gt;= SogliaPicchi!$B$20,"",DatiOriginali!C1873)</f>
        <v>3619600</v>
      </c>
      <c r="D1873" s="4">
        <v>222759</v>
      </c>
      <c r="E1873" s="4">
        <f>IF(DatiOriginali!E1873 &gt;= SogliaPicchi!$B$20,"",DatiOriginali!E1873)</f>
        <v>773100</v>
      </c>
      <c r="F1873" s="4">
        <v>7338294</v>
      </c>
      <c r="G1873" s="4">
        <f>IF(DatiOriginali!G1873 &gt;= SogliaPicchi!$B$20,"",DatiOriginali!G1873)</f>
        <v>351800</v>
      </c>
      <c r="H1873" s="4">
        <v>9162791</v>
      </c>
      <c r="I1873" s="4">
        <f>IF(DatiOriginali!I1873 &gt;= SogliaPicchi!$B$20,"",DatiOriginali!I1873)</f>
        <v>124300</v>
      </c>
      <c r="J1873" s="4">
        <v>9157490</v>
      </c>
      <c r="K1873" s="4">
        <f>IF(DatiOriginali!K1873 &gt;= SogliaPicchi!$B$20,"",DatiOriginali!K1873)</f>
        <v>130600</v>
      </c>
    </row>
    <row r="1874" spans="1:11" x14ac:dyDescent="0.3">
      <c r="A1874" s="4" t="s">
        <v>1883</v>
      </c>
      <c r="B1874" s="4">
        <v>450775</v>
      </c>
      <c r="C1874" s="4">
        <f>IF(DatiOriginali!C1874 &gt;= SogliaPicchi!$B$20,"",DatiOriginali!C1874)</f>
        <v>4313700</v>
      </c>
      <c r="D1874" s="4">
        <v>232370</v>
      </c>
      <c r="E1874" s="4">
        <f>IF(DatiOriginali!E1874 &gt;= SogliaPicchi!$B$20,"",DatiOriginali!E1874)</f>
        <v>803000</v>
      </c>
      <c r="F1874" s="4">
        <v>7346513</v>
      </c>
      <c r="G1874" s="4">
        <f>IF(DatiOriginali!G1874 &gt;= SogliaPicchi!$B$20,"",DatiOriginali!G1874)</f>
        <v>346200</v>
      </c>
      <c r="H1874" s="4">
        <v>9172572</v>
      </c>
      <c r="I1874" s="4">
        <f>IF(DatiOriginali!I1874 &gt;= SogliaPicchi!$B$20,"",DatiOriginali!I1874)</f>
        <v>120900</v>
      </c>
      <c r="J1874" s="4">
        <v>9167779</v>
      </c>
      <c r="K1874" s="4">
        <f>IF(DatiOriginali!K1874 &gt;= SogliaPicchi!$B$20,"",DatiOriginali!K1874)</f>
        <v>129900</v>
      </c>
    </row>
    <row r="1875" spans="1:11" x14ac:dyDescent="0.3">
      <c r="A1875" s="4" t="s">
        <v>1884</v>
      </c>
      <c r="B1875" s="4">
        <v>450775</v>
      </c>
      <c r="C1875" s="4">
        <f>IF(DatiOriginali!C1875 &gt;= SogliaPicchi!$B$20,"",DatiOriginali!C1875)</f>
        <v>4154200</v>
      </c>
      <c r="D1875" s="4">
        <v>221403</v>
      </c>
      <c r="E1875" s="4">
        <f>IF(DatiOriginali!E1875 &gt;= SogliaPicchi!$B$20,"",DatiOriginali!E1875)</f>
        <v>808200</v>
      </c>
      <c r="F1875" s="4">
        <v>7354704</v>
      </c>
      <c r="G1875" s="4">
        <f>IF(DatiOriginali!G1875 &gt;= SogliaPicchi!$B$20,"",DatiOriginali!G1875)</f>
        <v>355700</v>
      </c>
      <c r="H1875" s="4">
        <v>9182260</v>
      </c>
      <c r="I1875" s="4">
        <f>IF(DatiOriginali!I1875 &gt;= SogliaPicchi!$B$20,"",DatiOriginali!I1875)</f>
        <v>117700</v>
      </c>
      <c r="J1875" s="4">
        <v>9178248</v>
      </c>
      <c r="K1875" s="4">
        <f>IF(DatiOriginali!K1875 &gt;= SogliaPicchi!$B$20,"",DatiOriginali!K1875)</f>
        <v>132000</v>
      </c>
    </row>
    <row r="1876" spans="1:11" x14ac:dyDescent="0.3">
      <c r="A1876" s="4" t="s">
        <v>1885</v>
      </c>
      <c r="B1876" s="4">
        <v>450775</v>
      </c>
      <c r="C1876" s="4">
        <f>IF(DatiOriginali!C1876 &gt;= SogliaPicchi!$B$20,"",DatiOriginali!C1876)</f>
        <v>4110900</v>
      </c>
      <c r="D1876" s="4">
        <v>218045</v>
      </c>
      <c r="E1876" s="4">
        <f>IF(DatiOriginali!E1876 &gt;= SogliaPicchi!$B$20,"",DatiOriginali!E1876)</f>
        <v>815600</v>
      </c>
      <c r="F1876" s="4">
        <v>7362923</v>
      </c>
      <c r="G1876" s="4">
        <f>IF(DatiOriginali!G1876 &gt;= SogliaPicchi!$B$20,"",DatiOriginali!G1876)</f>
        <v>462200</v>
      </c>
      <c r="H1876" s="4">
        <v>9192074</v>
      </c>
      <c r="I1876" s="4">
        <f>IF(DatiOriginali!I1876 &gt;= SogliaPicchi!$B$20,"",DatiOriginali!I1876)</f>
        <v>207900</v>
      </c>
      <c r="J1876" s="4">
        <v>9188526</v>
      </c>
      <c r="K1876" s="4">
        <f>IF(DatiOriginali!K1876 &gt;= SogliaPicchi!$B$20,"",DatiOriginali!K1876)</f>
        <v>165800</v>
      </c>
    </row>
    <row r="1877" spans="1:11" x14ac:dyDescent="0.3">
      <c r="A1877" s="4" t="s">
        <v>1886</v>
      </c>
      <c r="B1877" s="4">
        <v>450775</v>
      </c>
      <c r="C1877" s="4">
        <f>IF(DatiOriginali!C1877 &gt;= SogliaPicchi!$B$20,"",DatiOriginali!C1877)</f>
        <v>3717800</v>
      </c>
      <c r="D1877" s="4">
        <v>227914</v>
      </c>
      <c r="E1877" s="4">
        <f>IF(DatiOriginali!E1877 &gt;= SogliaPicchi!$B$20,"",DatiOriginali!E1877)</f>
        <v>791800</v>
      </c>
      <c r="F1877" s="4">
        <v>7371132</v>
      </c>
      <c r="G1877" s="4">
        <f>IF(DatiOriginali!G1877 &gt;= SogliaPicchi!$B$20,"",DatiOriginali!G1877)</f>
        <v>354100</v>
      </c>
      <c r="H1877" s="4">
        <v>9201441</v>
      </c>
      <c r="I1877" s="4">
        <f>IF(DatiOriginali!I1877 &gt;= SogliaPicchi!$B$20,"",DatiOriginali!I1877)</f>
        <v>118700</v>
      </c>
      <c r="J1877" s="4">
        <v>9199496</v>
      </c>
      <c r="K1877" s="4">
        <f>IF(DatiOriginali!K1877 &gt;= SogliaPicchi!$B$20,"",DatiOriginali!K1877)</f>
        <v>140700</v>
      </c>
    </row>
    <row r="1878" spans="1:11" x14ac:dyDescent="0.3">
      <c r="A1878" s="4" t="s">
        <v>1887</v>
      </c>
      <c r="B1878" s="4">
        <v>450775</v>
      </c>
      <c r="C1878" s="4">
        <f>IF(DatiOriginali!C1878 &gt;= SogliaPicchi!$B$20,"",DatiOriginali!C1878)</f>
        <v>3543500</v>
      </c>
      <c r="D1878" s="4">
        <v>225182</v>
      </c>
      <c r="E1878" s="4">
        <f>IF(DatiOriginali!E1878 &gt;= SogliaPicchi!$B$20,"",DatiOriginali!E1878)</f>
        <v>780400</v>
      </c>
      <c r="F1878" s="4">
        <v>7379333</v>
      </c>
      <c r="G1878" s="4">
        <f>IF(DatiOriginali!G1878 &gt;= SogliaPicchi!$B$20,"",DatiOriginali!G1878)</f>
        <v>357400</v>
      </c>
      <c r="H1878" s="4">
        <v>9211237</v>
      </c>
      <c r="I1878" s="4">
        <f>IF(DatiOriginali!I1878 &gt;= SogliaPicchi!$B$20,"",DatiOriginali!I1878)</f>
        <v>117600</v>
      </c>
      <c r="J1878" s="4">
        <v>9209329</v>
      </c>
      <c r="K1878" s="4">
        <f>IF(DatiOriginali!K1878 &gt;= SogliaPicchi!$B$20,"",DatiOriginali!K1878)</f>
        <v>131500</v>
      </c>
    </row>
    <row r="1879" spans="1:11" x14ac:dyDescent="0.3">
      <c r="A1879" s="4" t="s">
        <v>1888</v>
      </c>
      <c r="B1879" s="4">
        <v>450775</v>
      </c>
      <c r="C1879" s="4">
        <f>IF(DatiOriginali!C1879 &gt;= SogliaPicchi!$B$20,"",DatiOriginali!C1879)</f>
        <v>3697300</v>
      </c>
      <c r="D1879" s="4">
        <v>227767</v>
      </c>
      <c r="E1879" s="4">
        <f>IF(DatiOriginali!E1879 &gt;= SogliaPicchi!$B$20,"",DatiOriginali!E1879)</f>
        <v>786400</v>
      </c>
      <c r="F1879" s="4">
        <v>7387553</v>
      </c>
      <c r="G1879" s="4">
        <f>IF(DatiOriginali!G1879 &gt;= SogliaPicchi!$B$20,"",DatiOriginali!G1879)</f>
        <v>347800</v>
      </c>
      <c r="H1879" s="4">
        <v>9221827</v>
      </c>
      <c r="I1879" s="4">
        <f>IF(DatiOriginali!I1879 &gt;= SogliaPicchi!$B$20,"",DatiOriginali!I1879)</f>
        <v>125900</v>
      </c>
      <c r="J1879" s="4">
        <v>9218826</v>
      </c>
      <c r="K1879" s="4">
        <f>IF(DatiOriginali!K1879 &gt;= SogliaPicchi!$B$20,"",DatiOriginali!K1879)</f>
        <v>129700</v>
      </c>
    </row>
    <row r="1880" spans="1:11" x14ac:dyDescent="0.3">
      <c r="A1880" s="4" t="s">
        <v>1889</v>
      </c>
      <c r="B1880" s="4">
        <v>450775</v>
      </c>
      <c r="C1880" s="4">
        <f>IF(DatiOriginali!C1880 &gt;= SogliaPicchi!$B$20,"",DatiOriginali!C1880)</f>
        <v>3841500</v>
      </c>
      <c r="D1880" s="4">
        <v>227845</v>
      </c>
      <c r="E1880" s="4">
        <f>IF(DatiOriginali!E1880 &gt;= SogliaPicchi!$B$20,"",DatiOriginali!E1880)</f>
        <v>786800</v>
      </c>
      <c r="F1880" s="4">
        <v>7395780</v>
      </c>
      <c r="G1880" s="4">
        <f>IF(DatiOriginali!G1880 &gt;= SogliaPicchi!$B$20,"",DatiOriginali!G1880)</f>
        <v>351600</v>
      </c>
      <c r="H1880" s="4">
        <v>9232147</v>
      </c>
      <c r="I1880" s="4">
        <f>IF(DatiOriginali!I1880 &gt;= SogliaPicchi!$B$20,"",DatiOriginali!I1880)</f>
        <v>118200</v>
      </c>
      <c r="J1880" s="4">
        <v>9229919</v>
      </c>
      <c r="K1880" s="4">
        <f>IF(DatiOriginali!K1880 &gt;= SogliaPicchi!$B$20,"",DatiOriginali!K1880)</f>
        <v>136800</v>
      </c>
    </row>
    <row r="1881" spans="1:11" x14ac:dyDescent="0.3">
      <c r="A1881" s="4" t="s">
        <v>1890</v>
      </c>
      <c r="B1881" s="4">
        <v>450775</v>
      </c>
      <c r="C1881" s="4">
        <f>IF(DatiOriginali!C1881 &gt;= SogliaPicchi!$B$20,"",DatiOriginali!C1881)</f>
        <v>3717200</v>
      </c>
      <c r="D1881" s="4">
        <v>227522</v>
      </c>
      <c r="E1881" s="4">
        <f>IF(DatiOriginali!E1881 &gt;= SogliaPicchi!$B$20,"",DatiOriginali!E1881)</f>
        <v>805200</v>
      </c>
      <c r="F1881" s="4">
        <v>7404020</v>
      </c>
      <c r="G1881" s="4">
        <f>IF(DatiOriginali!G1881 &gt;= SogliaPicchi!$B$20,"",DatiOriginali!G1881)</f>
        <v>350000</v>
      </c>
      <c r="H1881" s="4">
        <v>9243234</v>
      </c>
      <c r="I1881" s="4">
        <f>IF(DatiOriginali!I1881 &gt;= SogliaPicchi!$B$20,"",DatiOriginali!I1881)</f>
        <v>122700</v>
      </c>
      <c r="J1881" s="4">
        <v>9239804</v>
      </c>
      <c r="K1881" s="4">
        <f>IF(DatiOriginali!K1881 &gt;= SogliaPicchi!$B$20,"",DatiOriginali!K1881)</f>
        <v>131100</v>
      </c>
    </row>
    <row r="1882" spans="1:11" x14ac:dyDescent="0.3">
      <c r="A1882" s="4" t="s">
        <v>1891</v>
      </c>
      <c r="B1882" s="4">
        <v>450775</v>
      </c>
      <c r="C1882" s="4">
        <f>IF(DatiOriginali!C1882 &gt;= SogliaPicchi!$B$20,"",DatiOriginali!C1882)</f>
        <v>3423000</v>
      </c>
      <c r="D1882" s="4">
        <v>224959</v>
      </c>
      <c r="E1882" s="4">
        <f>IF(DatiOriginali!E1882 &gt;= SogliaPicchi!$B$20,"",DatiOriginali!E1882)</f>
        <v>926700</v>
      </c>
      <c r="F1882" s="4">
        <v>7412195</v>
      </c>
      <c r="G1882" s="4">
        <f>IF(DatiOriginali!G1882 &gt;= SogliaPicchi!$B$20,"",DatiOriginali!G1882)</f>
        <v>417900</v>
      </c>
      <c r="H1882" s="4">
        <v>9253084</v>
      </c>
      <c r="I1882" s="4">
        <f>IF(DatiOriginali!I1882 &gt;= SogliaPicchi!$B$20,"",DatiOriginali!I1882)</f>
        <v>120200</v>
      </c>
      <c r="J1882" s="4">
        <v>9249907</v>
      </c>
      <c r="K1882" s="4">
        <f>IF(DatiOriginali!K1882 &gt;= SogliaPicchi!$B$20,"",DatiOriginali!K1882)</f>
        <v>133400</v>
      </c>
    </row>
    <row r="1883" spans="1:11" x14ac:dyDescent="0.3">
      <c r="A1883" s="4" t="s">
        <v>1892</v>
      </c>
      <c r="B1883" s="4">
        <v>450775</v>
      </c>
      <c r="C1883" s="4">
        <f>IF(DatiOriginali!C1883 &gt;= SogliaPicchi!$B$20,"",DatiOriginali!C1883)</f>
        <v>3926600</v>
      </c>
      <c r="D1883" s="4">
        <v>230912</v>
      </c>
      <c r="E1883" s="4">
        <f>IF(DatiOriginali!E1883 &gt;= SogliaPicchi!$B$20,"",DatiOriginali!E1883)</f>
        <v>816800</v>
      </c>
      <c r="F1883" s="4">
        <v>7420424</v>
      </c>
      <c r="G1883" s="4">
        <f>IF(DatiOriginali!G1883 &gt;= SogliaPicchi!$B$20,"",DatiOriginali!G1883)</f>
        <v>346900</v>
      </c>
      <c r="H1883" s="4">
        <v>9262802</v>
      </c>
      <c r="I1883" s="4">
        <f>IF(DatiOriginali!I1883 &gt;= SogliaPicchi!$B$20,"",DatiOriginali!I1883)</f>
        <v>117300</v>
      </c>
      <c r="J1883" s="4">
        <v>9260377</v>
      </c>
      <c r="K1883" s="4">
        <f>IF(DatiOriginali!K1883 &gt;= SogliaPicchi!$B$20,"",DatiOriginali!K1883)</f>
        <v>137700</v>
      </c>
    </row>
    <row r="1884" spans="1:11" x14ac:dyDescent="0.3">
      <c r="A1884" s="4" t="s">
        <v>1893</v>
      </c>
      <c r="B1884" s="4">
        <v>450775</v>
      </c>
      <c r="C1884" s="4">
        <f>IF(DatiOriginali!C1884 &gt;= SogliaPicchi!$B$20,"",DatiOriginali!C1884)</f>
        <v>3768000</v>
      </c>
      <c r="D1884" s="4">
        <v>224686</v>
      </c>
      <c r="E1884" s="4">
        <f>IF(DatiOriginali!E1884 &gt;= SogliaPicchi!$B$20,"",DatiOriginali!E1884)</f>
        <v>780000</v>
      </c>
      <c r="F1884" s="4">
        <v>7428633</v>
      </c>
      <c r="G1884" s="4">
        <f>IF(DatiOriginali!G1884 &gt;= SogliaPicchi!$B$20,"",DatiOriginali!G1884)</f>
        <v>357700</v>
      </c>
      <c r="H1884" s="4">
        <v>9272830</v>
      </c>
      <c r="I1884" s="4">
        <f>IF(DatiOriginali!I1884 &gt;= SogliaPicchi!$B$20,"",DatiOriginali!I1884)</f>
        <v>122700</v>
      </c>
      <c r="J1884" s="4">
        <v>9269824</v>
      </c>
      <c r="K1884" s="4">
        <f>IF(DatiOriginali!K1884 &gt;= SogliaPicchi!$B$20,"",DatiOriginali!K1884)</f>
        <v>131300</v>
      </c>
    </row>
    <row r="1885" spans="1:11" x14ac:dyDescent="0.3">
      <c r="A1885" s="4" t="s">
        <v>1894</v>
      </c>
      <c r="B1885" s="4">
        <v>450775</v>
      </c>
      <c r="C1885" s="4">
        <f>IF(DatiOriginali!C1885 &gt;= SogliaPicchi!$B$20,"",DatiOriginali!C1885)</f>
        <v>3699400</v>
      </c>
      <c r="D1885" s="4">
        <v>224139</v>
      </c>
      <c r="E1885" s="4">
        <f>IF(DatiOriginali!E1885 &gt;= SogliaPicchi!$B$20,"",DatiOriginali!E1885)</f>
        <v>981700</v>
      </c>
      <c r="F1885" s="4">
        <v>7436859</v>
      </c>
      <c r="G1885" s="4">
        <f>IF(DatiOriginali!G1885 &gt;= SogliaPicchi!$B$20,"",DatiOriginali!G1885)</f>
        <v>416400</v>
      </c>
      <c r="H1885" s="4">
        <v>9283772</v>
      </c>
      <c r="I1885" s="4">
        <f>IF(DatiOriginali!I1885 &gt;= SogliaPicchi!$B$20,"",DatiOriginali!I1885)</f>
        <v>150200</v>
      </c>
      <c r="J1885" s="4">
        <v>9281360</v>
      </c>
      <c r="K1885" s="4">
        <f>IF(DatiOriginali!K1885 &gt;= SogliaPicchi!$B$20,"",DatiOriginali!K1885)</f>
        <v>165800</v>
      </c>
    </row>
    <row r="1886" spans="1:11" x14ac:dyDescent="0.3">
      <c r="A1886" s="4" t="s">
        <v>1895</v>
      </c>
      <c r="B1886" s="4">
        <v>450775</v>
      </c>
      <c r="C1886" s="4">
        <f>IF(DatiOriginali!C1886 &gt;= SogliaPicchi!$B$20,"",DatiOriginali!C1886)</f>
        <v>3636800</v>
      </c>
      <c r="D1886" s="4">
        <v>232518</v>
      </c>
      <c r="E1886" s="4">
        <f>IF(DatiOriginali!E1886 &gt;= SogliaPicchi!$B$20,"",DatiOriginali!E1886)</f>
        <v>802800</v>
      </c>
      <c r="F1886" s="4">
        <v>7445066</v>
      </c>
      <c r="G1886" s="4">
        <f>IF(DatiOriginali!G1886 &gt;= SogliaPicchi!$B$20,"",DatiOriginali!G1886)</f>
        <v>349400</v>
      </c>
      <c r="H1886" s="4">
        <v>9293594</v>
      </c>
      <c r="I1886" s="4">
        <f>IF(DatiOriginali!I1886 &gt;= SogliaPicchi!$B$20,"",DatiOriginali!I1886)</f>
        <v>127000</v>
      </c>
      <c r="J1886" s="4">
        <v>9291527</v>
      </c>
      <c r="K1886" s="4">
        <f>IF(DatiOriginali!K1886 &gt;= SogliaPicchi!$B$20,"",DatiOriginali!K1886)</f>
        <v>135200</v>
      </c>
    </row>
    <row r="1887" spans="1:11" x14ac:dyDescent="0.3">
      <c r="A1887" s="4" t="s">
        <v>1896</v>
      </c>
      <c r="B1887" s="4">
        <v>450775</v>
      </c>
      <c r="C1887" s="4">
        <f>IF(DatiOriginali!C1887 &gt;= SogliaPicchi!$B$20,"",DatiOriginali!C1887)</f>
        <v>4303500</v>
      </c>
      <c r="D1887" s="4">
        <v>231799</v>
      </c>
      <c r="E1887" s="4">
        <f>IF(DatiOriginali!E1887 &gt;= SogliaPicchi!$B$20,"",DatiOriginali!E1887)</f>
        <v>802000</v>
      </c>
      <c r="F1887" s="4">
        <v>7453288</v>
      </c>
      <c r="G1887" s="4">
        <f>IF(DatiOriginali!G1887 &gt;= SogliaPicchi!$B$20,"",DatiOriginali!G1887)</f>
        <v>353400</v>
      </c>
      <c r="H1887" s="4">
        <v>9302867</v>
      </c>
      <c r="I1887" s="4">
        <f>IF(DatiOriginali!I1887 &gt;= SogliaPicchi!$B$20,"",DatiOriginali!I1887)</f>
        <v>121200</v>
      </c>
      <c r="J1887" s="4">
        <v>9301179</v>
      </c>
      <c r="K1887" s="4">
        <f>IF(DatiOriginali!K1887 &gt;= SogliaPicchi!$B$20,"",DatiOriginali!K1887)</f>
        <v>131300</v>
      </c>
    </row>
    <row r="1888" spans="1:11" x14ac:dyDescent="0.3">
      <c r="A1888" s="4" t="s">
        <v>1897</v>
      </c>
      <c r="B1888" s="4">
        <v>450775</v>
      </c>
      <c r="C1888" s="4">
        <f>IF(DatiOriginali!C1888 &gt;= SogliaPicchi!$B$20,"",DatiOriginali!C1888)</f>
        <v>3744900</v>
      </c>
      <c r="D1888" s="4">
        <v>227051</v>
      </c>
      <c r="E1888" s="4">
        <f>IF(DatiOriginali!E1888 &gt;= SogliaPicchi!$B$20,"",DatiOriginali!E1888)</f>
        <v>846700</v>
      </c>
      <c r="F1888" s="4">
        <v>7461494</v>
      </c>
      <c r="G1888" s="4">
        <f>IF(DatiOriginali!G1888 &gt;= SogliaPicchi!$B$20,"",DatiOriginali!G1888)</f>
        <v>369600</v>
      </c>
      <c r="H1888" s="4">
        <v>9312764</v>
      </c>
      <c r="I1888" s="4">
        <f>IF(DatiOriginali!I1888 &gt;= SogliaPicchi!$B$20,"",DatiOriginali!I1888)</f>
        <v>114900</v>
      </c>
      <c r="J1888" s="4">
        <v>9312160</v>
      </c>
      <c r="K1888" s="4">
        <f>IF(DatiOriginali!K1888 &gt;= SogliaPicchi!$B$20,"",DatiOriginali!K1888)</f>
        <v>129700</v>
      </c>
    </row>
    <row r="1889" spans="1:11" x14ac:dyDescent="0.3">
      <c r="A1889" s="4" t="s">
        <v>1898</v>
      </c>
      <c r="B1889" s="4">
        <v>450775</v>
      </c>
      <c r="C1889" s="4">
        <f>IF(DatiOriginali!C1889 &gt;= SogliaPicchi!$B$20,"",DatiOriginali!C1889)</f>
        <v>3627200</v>
      </c>
      <c r="D1889" s="4">
        <v>224529</v>
      </c>
      <c r="E1889" s="4">
        <f>IF(DatiOriginali!E1889 &gt;= SogliaPicchi!$B$20,"",DatiOriginali!E1889)</f>
        <v>782000</v>
      </c>
      <c r="F1889" s="4">
        <v>7469723</v>
      </c>
      <c r="G1889" s="4">
        <f>IF(DatiOriginali!G1889 &gt;= SogliaPicchi!$B$20,"",DatiOriginali!G1889)</f>
        <v>352400</v>
      </c>
      <c r="H1889" s="4">
        <v>9322773</v>
      </c>
      <c r="I1889" s="4">
        <f>IF(DatiOriginali!I1889 &gt;= SogliaPicchi!$B$20,"",DatiOriginali!I1889)</f>
        <v>117800</v>
      </c>
      <c r="J1889" s="4">
        <v>9321694</v>
      </c>
      <c r="K1889" s="4">
        <f>IF(DatiOriginali!K1889 &gt;= SogliaPicchi!$B$20,"",DatiOriginali!K1889)</f>
        <v>134200</v>
      </c>
    </row>
    <row r="1890" spans="1:11" x14ac:dyDescent="0.3">
      <c r="A1890" s="4" t="s">
        <v>1899</v>
      </c>
      <c r="B1890" s="4">
        <v>450775</v>
      </c>
      <c r="C1890" s="4">
        <f>IF(DatiOriginali!C1890 &gt;= SogliaPicchi!$B$20,"",DatiOriginali!C1890)</f>
        <v>3909800</v>
      </c>
      <c r="D1890" s="4">
        <v>225302</v>
      </c>
      <c r="E1890" s="4">
        <f>IF(DatiOriginali!E1890 &gt;= SogliaPicchi!$B$20,"",DatiOriginali!E1890)</f>
        <v>783800</v>
      </c>
      <c r="F1890" s="4">
        <v>7477930</v>
      </c>
      <c r="G1890" s="4">
        <f>IF(DatiOriginali!G1890 &gt;= SogliaPicchi!$B$20,"",DatiOriginali!G1890)</f>
        <v>356600</v>
      </c>
      <c r="H1890" s="4">
        <v>9332876</v>
      </c>
      <c r="I1890" s="4">
        <f>IF(DatiOriginali!I1890 &gt;= SogliaPicchi!$B$20,"",DatiOriginali!I1890)</f>
        <v>121700</v>
      </c>
      <c r="J1890" s="4">
        <v>9332044</v>
      </c>
      <c r="K1890" s="4">
        <f>IF(DatiOriginali!K1890 &gt;= SogliaPicchi!$B$20,"",DatiOriginali!K1890)</f>
        <v>131000</v>
      </c>
    </row>
    <row r="1891" spans="1:11" x14ac:dyDescent="0.3">
      <c r="A1891" s="4" t="s">
        <v>1900</v>
      </c>
      <c r="B1891" s="4">
        <v>450775</v>
      </c>
      <c r="C1891" s="4">
        <f>IF(DatiOriginali!C1891 &gt;= SogliaPicchi!$B$20,"",DatiOriginali!C1891)</f>
        <v>3887400</v>
      </c>
      <c r="D1891" s="4">
        <v>221370</v>
      </c>
      <c r="E1891" s="4">
        <f>IF(DatiOriginali!E1891 &gt;= SogliaPicchi!$B$20,"",DatiOriginali!E1891)</f>
        <v>765000</v>
      </c>
      <c r="F1891" s="4">
        <v>7486116</v>
      </c>
      <c r="G1891" s="4">
        <f>IF(DatiOriginali!G1891 &gt;= SogliaPicchi!$B$20,"",DatiOriginali!G1891)</f>
        <v>353800</v>
      </c>
      <c r="H1891" s="4">
        <v>9344088</v>
      </c>
      <c r="I1891" s="4">
        <f>IF(DatiOriginali!I1891 &gt;= SogliaPicchi!$B$20,"",DatiOriginali!I1891)</f>
        <v>118000</v>
      </c>
      <c r="J1891" s="4">
        <v>9341862</v>
      </c>
      <c r="K1891" s="4">
        <f>IF(DatiOriginali!K1891 &gt;= SogliaPicchi!$B$20,"",DatiOriginali!K1891)</f>
        <v>134100</v>
      </c>
    </row>
    <row r="1892" spans="1:11" x14ac:dyDescent="0.3">
      <c r="A1892" s="4" t="s">
        <v>1901</v>
      </c>
      <c r="B1892" s="4">
        <v>450775</v>
      </c>
      <c r="C1892" s="4">
        <f>IF(DatiOriginali!C1892 &gt;= SogliaPicchi!$B$20,"",DatiOriginali!C1892)</f>
        <v>3741200</v>
      </c>
      <c r="D1892" s="4">
        <v>229397</v>
      </c>
      <c r="E1892" s="4">
        <f>IF(DatiOriginali!E1892 &gt;= SogliaPicchi!$B$20,"",DatiOriginali!E1892)</f>
        <v>795600</v>
      </c>
      <c r="F1892" s="4">
        <v>7494337</v>
      </c>
      <c r="G1892" s="4">
        <f>IF(DatiOriginali!G1892 &gt;= SogliaPicchi!$B$20,"",DatiOriginali!G1892)</f>
        <v>350600</v>
      </c>
      <c r="H1892" s="4">
        <v>9353800</v>
      </c>
      <c r="I1892" s="4">
        <f>IF(DatiOriginali!I1892 &gt;= SogliaPicchi!$B$20,"",DatiOriginali!I1892)</f>
        <v>119600</v>
      </c>
      <c r="J1892" s="4">
        <v>9352465</v>
      </c>
      <c r="K1892" s="4">
        <f>IF(DatiOriginali!K1892 &gt;= SogliaPicchi!$B$20,"",DatiOriginali!K1892)</f>
        <v>131400</v>
      </c>
    </row>
    <row r="1893" spans="1:11" x14ac:dyDescent="0.3">
      <c r="A1893" s="4" t="s">
        <v>1902</v>
      </c>
      <c r="B1893" s="4">
        <v>450775</v>
      </c>
      <c r="C1893" s="4">
        <f>IF(DatiOriginali!C1893 &gt;= SogliaPicchi!$B$20,"",DatiOriginali!C1893)</f>
        <v>3860300</v>
      </c>
      <c r="D1893" s="4">
        <v>224120</v>
      </c>
      <c r="E1893" s="4">
        <f>IF(DatiOriginali!E1893 &gt;= SogliaPicchi!$B$20,"",DatiOriginali!E1893)</f>
        <v>775700</v>
      </c>
      <c r="F1893" s="4">
        <v>7502559</v>
      </c>
      <c r="G1893" s="4">
        <f>IF(DatiOriginali!G1893 &gt;= SogliaPicchi!$B$20,"",DatiOriginali!G1893)</f>
        <v>348800</v>
      </c>
      <c r="H1893" s="4">
        <v>9363857</v>
      </c>
      <c r="I1893" s="4">
        <f>IF(DatiOriginali!I1893 &gt;= SogliaPicchi!$B$20,"",DatiOriginali!I1893)</f>
        <v>119800</v>
      </c>
      <c r="J1893" s="4">
        <v>9362266</v>
      </c>
      <c r="K1893" s="4">
        <f>IF(DatiOriginali!K1893 &gt;= SogliaPicchi!$B$20,"",DatiOriginali!K1893)</f>
        <v>131300</v>
      </c>
    </row>
    <row r="1894" spans="1:11" x14ac:dyDescent="0.3">
      <c r="A1894" s="4" t="s">
        <v>1903</v>
      </c>
      <c r="B1894" s="4">
        <v>450775</v>
      </c>
      <c r="C1894" s="4">
        <f>IF(DatiOriginali!C1894 &gt;= SogliaPicchi!$B$20,"",DatiOriginali!C1894)</f>
        <v>4110500</v>
      </c>
      <c r="D1894" s="4">
        <v>224074</v>
      </c>
      <c r="E1894" s="4">
        <f>IF(DatiOriginali!E1894 &gt;= SogliaPicchi!$B$20,"",DatiOriginali!E1894)</f>
        <v>889400</v>
      </c>
      <c r="F1894" s="4">
        <v>7510781</v>
      </c>
      <c r="G1894" s="4">
        <f>IF(DatiOriginali!G1894 &gt;= SogliaPicchi!$B$20,"",DatiOriginali!G1894)</f>
        <v>358400</v>
      </c>
      <c r="H1894" s="4">
        <v>9374246</v>
      </c>
      <c r="I1894" s="4">
        <f>IF(DatiOriginali!I1894 &gt;= SogliaPicchi!$B$20,"",DatiOriginali!I1894)</f>
        <v>121800</v>
      </c>
      <c r="J1894" s="4">
        <v>9372639</v>
      </c>
      <c r="K1894" s="4">
        <f>IF(DatiOriginali!K1894 &gt;= SogliaPicchi!$B$20,"",DatiOriginali!K1894)</f>
        <v>137700</v>
      </c>
    </row>
    <row r="1895" spans="1:11" x14ac:dyDescent="0.3">
      <c r="A1895" s="4" t="s">
        <v>1904</v>
      </c>
      <c r="B1895" s="4">
        <v>450775</v>
      </c>
      <c r="C1895" s="4">
        <f>IF(DatiOriginali!C1895 &gt;= SogliaPicchi!$B$20,"",DatiOriginali!C1895)</f>
        <v>4139400</v>
      </c>
      <c r="D1895" s="4">
        <v>226401</v>
      </c>
      <c r="E1895" s="4">
        <f>IF(DatiOriginali!E1895 &gt;= SogliaPicchi!$B$20,"",DatiOriginali!E1895)</f>
        <v>784700</v>
      </c>
      <c r="F1895" s="4">
        <v>7518966</v>
      </c>
      <c r="G1895" s="4">
        <f>IF(DatiOriginali!G1895 &gt;= SogliaPicchi!$B$20,"",DatiOriginali!G1895)</f>
        <v>354400</v>
      </c>
      <c r="H1895" s="4">
        <v>9384219</v>
      </c>
      <c r="I1895" s="4">
        <f>IF(DatiOriginali!I1895 &gt;= SogliaPicchi!$B$20,"",DatiOriginali!I1895)</f>
        <v>121500</v>
      </c>
      <c r="J1895" s="4">
        <v>9383582</v>
      </c>
      <c r="K1895" s="4">
        <f>IF(DatiOriginali!K1895 &gt;= SogliaPicchi!$B$20,"",DatiOriginali!K1895)</f>
        <v>138300</v>
      </c>
    </row>
    <row r="1896" spans="1:11" x14ac:dyDescent="0.3">
      <c r="A1896" s="4" t="s">
        <v>1905</v>
      </c>
      <c r="B1896" s="4">
        <v>450775</v>
      </c>
      <c r="C1896" s="4">
        <f>IF(DatiOriginali!C1896 &gt;= SogliaPicchi!$B$20,"",DatiOriginali!C1896)</f>
        <v>3614500</v>
      </c>
      <c r="D1896" s="4">
        <v>224728</v>
      </c>
      <c r="E1896" s="4">
        <f>IF(DatiOriginali!E1896 &gt;= SogliaPicchi!$B$20,"",DatiOriginali!E1896)</f>
        <v>788900</v>
      </c>
      <c r="F1896" s="4">
        <v>7527161</v>
      </c>
      <c r="G1896" s="4">
        <f>IF(DatiOriginali!G1896 &gt;= SogliaPicchi!$B$20,"",DatiOriginali!G1896)</f>
        <v>349800</v>
      </c>
      <c r="H1896" s="4">
        <v>9394721</v>
      </c>
      <c r="I1896" s="4">
        <f>IF(DatiOriginali!I1896 &gt;= SogliaPicchi!$B$20,"",DatiOriginali!I1896)</f>
        <v>118500</v>
      </c>
      <c r="J1896" s="4">
        <v>9393845</v>
      </c>
      <c r="K1896" s="4">
        <f>IF(DatiOriginali!K1896 &gt;= SogliaPicchi!$B$20,"",DatiOriginali!K1896)</f>
        <v>135000</v>
      </c>
    </row>
    <row r="1897" spans="1:11" x14ac:dyDescent="0.3">
      <c r="A1897" s="4" t="s">
        <v>1906</v>
      </c>
      <c r="B1897" s="4">
        <v>450775</v>
      </c>
      <c r="C1897" s="4">
        <f>IF(DatiOriginali!C1897 &gt;= SogliaPicchi!$B$20,"",DatiOriginali!C1897)</f>
        <v>3741400</v>
      </c>
      <c r="D1897" s="4">
        <v>233632</v>
      </c>
      <c r="E1897" s="4">
        <f>IF(DatiOriginali!E1897 &gt;= SogliaPicchi!$B$20,"",DatiOriginali!E1897)</f>
        <v>810300</v>
      </c>
      <c r="F1897" s="4">
        <v>7535363</v>
      </c>
      <c r="G1897" s="4">
        <f>IF(DatiOriginali!G1897 &gt;= SogliaPicchi!$B$20,"",DatiOriginali!G1897)</f>
        <v>353200</v>
      </c>
      <c r="H1897" s="4">
        <v>9405727</v>
      </c>
      <c r="I1897" s="4">
        <f>IF(DatiOriginali!I1897 &gt;= SogliaPicchi!$B$20,"",DatiOriginali!I1897)</f>
        <v>120100</v>
      </c>
      <c r="J1897" s="4">
        <v>9403703</v>
      </c>
      <c r="K1897" s="4">
        <f>IF(DatiOriginali!K1897 &gt;= SogliaPicchi!$B$20,"",DatiOriginali!K1897)</f>
        <v>131700</v>
      </c>
    </row>
    <row r="1898" spans="1:11" x14ac:dyDescent="0.3">
      <c r="A1898" s="4" t="s">
        <v>1907</v>
      </c>
      <c r="B1898" s="4">
        <v>450775</v>
      </c>
      <c r="C1898" s="4">
        <f>IF(DatiOriginali!C1898 &gt;= SogliaPicchi!$B$20,"",DatiOriginali!C1898)</f>
        <v>3747200</v>
      </c>
      <c r="D1898" s="4">
        <v>222702</v>
      </c>
      <c r="E1898" s="4">
        <f>IF(DatiOriginali!E1898 &gt;= SogliaPicchi!$B$20,"",DatiOriginali!E1898)</f>
        <v>793800</v>
      </c>
      <c r="F1898" s="4">
        <v>7543579</v>
      </c>
      <c r="G1898" s="4">
        <f>IF(DatiOriginali!G1898 &gt;= SogliaPicchi!$B$20,"",DatiOriginali!G1898)</f>
        <v>351100</v>
      </c>
      <c r="H1898" s="4">
        <v>9415693</v>
      </c>
      <c r="I1898" s="4">
        <f>IF(DatiOriginali!I1898 &gt;= SogliaPicchi!$B$20,"",DatiOriginali!I1898)</f>
        <v>118600</v>
      </c>
      <c r="J1898" s="4">
        <v>9413774</v>
      </c>
      <c r="K1898" s="4">
        <f>IF(DatiOriginali!K1898 &gt;= SogliaPicchi!$B$20,"",DatiOriginali!K1898)</f>
        <v>130300</v>
      </c>
    </row>
    <row r="1899" spans="1:11" x14ac:dyDescent="0.3">
      <c r="A1899" s="4" t="s">
        <v>1908</v>
      </c>
      <c r="B1899" s="4">
        <v>450775</v>
      </c>
      <c r="C1899" s="4">
        <f>IF(DatiOriginali!C1899 &gt;= SogliaPicchi!$B$20,"",DatiOriginali!C1899)</f>
        <v>3750400</v>
      </c>
      <c r="D1899" s="4">
        <v>220557</v>
      </c>
      <c r="E1899" s="4">
        <f>IF(DatiOriginali!E1899 &gt;= SogliaPicchi!$B$20,"",DatiOriginali!E1899)</f>
        <v>764500</v>
      </c>
      <c r="F1899" s="4">
        <v>7551798</v>
      </c>
      <c r="G1899" s="4">
        <f>IF(DatiOriginali!G1899 &gt;= SogliaPicchi!$B$20,"",DatiOriginali!G1899)</f>
        <v>353100</v>
      </c>
      <c r="H1899" s="4">
        <v>9425982</v>
      </c>
      <c r="I1899" s="4">
        <f>IF(DatiOriginali!I1899 &gt;= SogliaPicchi!$B$20,"",DatiOriginali!I1899)</f>
        <v>117800</v>
      </c>
      <c r="J1899" s="4">
        <v>9423498</v>
      </c>
      <c r="K1899" s="4">
        <f>IF(DatiOriginali!K1899 &gt;= SogliaPicchi!$B$20,"",DatiOriginali!K1899)</f>
        <v>131000</v>
      </c>
    </row>
    <row r="1900" spans="1:11" x14ac:dyDescent="0.3">
      <c r="A1900" s="4" t="s">
        <v>1909</v>
      </c>
      <c r="B1900" s="4">
        <v>450775</v>
      </c>
      <c r="C1900" s="4">
        <f>IF(DatiOriginali!C1900 &gt;= SogliaPicchi!$B$20,"",DatiOriginali!C1900)</f>
        <v>4077500</v>
      </c>
      <c r="D1900" s="4">
        <v>237324</v>
      </c>
      <c r="E1900" s="4">
        <f>IF(DatiOriginali!E1900 &gt;= SogliaPicchi!$B$20,"",DatiOriginali!E1900)</f>
        <v>850900</v>
      </c>
      <c r="F1900" s="4">
        <v>7559983</v>
      </c>
      <c r="G1900" s="4">
        <f>IF(DatiOriginali!G1900 &gt;= SogliaPicchi!$B$20,"",DatiOriginali!G1900)</f>
        <v>356500</v>
      </c>
      <c r="H1900" s="4">
        <v>9435755</v>
      </c>
      <c r="I1900" s="4">
        <f>IF(DatiOriginali!I1900 &gt;= SogliaPicchi!$B$20,"",DatiOriginali!I1900)</f>
        <v>122800</v>
      </c>
      <c r="J1900" s="4">
        <v>9433466</v>
      </c>
      <c r="K1900" s="4">
        <f>IF(DatiOriginali!K1900 &gt;= SogliaPicchi!$B$20,"",DatiOriginali!K1900)</f>
        <v>131800</v>
      </c>
    </row>
    <row r="1901" spans="1:11" x14ac:dyDescent="0.3">
      <c r="A1901" s="4" t="s">
        <v>1910</v>
      </c>
      <c r="B1901" s="4">
        <v>450775</v>
      </c>
      <c r="C1901" s="4">
        <f>IF(DatiOriginali!C1901 &gt;= SogliaPicchi!$B$20,"",DatiOriginali!C1901)</f>
        <v>4222800</v>
      </c>
      <c r="D1901" s="4">
        <v>231263</v>
      </c>
      <c r="E1901" s="4">
        <f>IF(DatiOriginali!E1901 &gt;= SogliaPicchi!$B$20,"",DatiOriginali!E1901)</f>
        <v>827100</v>
      </c>
      <c r="F1901" s="4">
        <v>7568190</v>
      </c>
      <c r="G1901" s="4">
        <f>IF(DatiOriginali!G1901 &gt;= SogliaPicchi!$B$21,"",DatiOriginali!G1901)</f>
        <v>353400</v>
      </c>
      <c r="H1901" s="4">
        <v>9445917</v>
      </c>
      <c r="I1901" s="4">
        <f>IF(DatiOriginali!I1901 &gt;= SogliaPicchi!$B$21,"",DatiOriginali!I1901)</f>
        <v>122600</v>
      </c>
      <c r="J1901" s="4">
        <v>9444324</v>
      </c>
      <c r="K1901" s="4">
        <f>IF(DatiOriginali!K1901 &gt;= SogliaPicchi!$B$21,"",DatiOriginali!K1901)</f>
        <v>133000</v>
      </c>
    </row>
    <row r="1902" spans="1:11" x14ac:dyDescent="0.3">
      <c r="A1902" s="4" t="s">
        <v>1911</v>
      </c>
      <c r="B1902" s="4">
        <v>499500</v>
      </c>
      <c r="C1902" s="4">
        <f>IF(DatiOriginali!C1902 &gt;= SogliaPicchi!$B$21,"",DatiOriginali!C1902)</f>
        <v>4534000</v>
      </c>
      <c r="D1902" s="4">
        <v>248018</v>
      </c>
      <c r="E1902" s="4">
        <f>IF(DatiOriginali!E1902 &gt;= SogliaPicchi!$B$21,"",DatiOriginali!E1902)</f>
        <v>1108400</v>
      </c>
      <c r="F1902" s="4">
        <v>7576926</v>
      </c>
      <c r="G1902" s="4">
        <f>IF(DatiOriginali!G1902 &gt;= SogliaPicchi!$B$21,"",DatiOriginali!G1902)</f>
        <v>387000</v>
      </c>
      <c r="H1902" s="4">
        <v>9456648</v>
      </c>
      <c r="I1902" s="4">
        <f>IF(DatiOriginali!I1902 &gt;= SogliaPicchi!$B$21,"",DatiOriginali!I1902)</f>
        <v>136700</v>
      </c>
      <c r="J1902" s="4">
        <v>9455526</v>
      </c>
      <c r="K1902" s="4">
        <f>IF(DatiOriginali!K1902 &gt;= SogliaPicchi!$B$21,"",DatiOriginali!K1902)</f>
        <v>157200</v>
      </c>
    </row>
    <row r="1903" spans="1:11" x14ac:dyDescent="0.3">
      <c r="A1903" s="4" t="s">
        <v>1912</v>
      </c>
      <c r="B1903" s="4">
        <v>499500</v>
      </c>
      <c r="C1903" s="4">
        <f>IF(DatiOriginali!C1903 &gt;= SogliaPicchi!$B$21,"",DatiOriginali!C1903)</f>
        <v>4504600</v>
      </c>
      <c r="D1903" s="4">
        <v>249822</v>
      </c>
      <c r="E1903" s="4">
        <f>IF(DatiOriginali!E1903 &gt;= SogliaPicchi!$B$21,"",DatiOriginali!E1903)</f>
        <v>872800</v>
      </c>
      <c r="F1903" s="4">
        <v>7585609</v>
      </c>
      <c r="G1903" s="4">
        <f>IF(DatiOriginali!G1903 &gt;= SogliaPicchi!$B$21,"",DatiOriginali!G1903)</f>
        <v>403200</v>
      </c>
      <c r="H1903" s="4">
        <v>9467536</v>
      </c>
      <c r="I1903" s="4">
        <f>IF(DatiOriginali!I1903 &gt;= SogliaPicchi!$B$21,"",DatiOriginali!I1903)</f>
        <v>168100</v>
      </c>
      <c r="J1903" s="4">
        <v>9465950</v>
      </c>
      <c r="K1903" s="4">
        <f>IF(DatiOriginali!K1903 &gt;= SogliaPicchi!$B$21,"",DatiOriginali!K1903)</f>
        <v>171800</v>
      </c>
    </row>
    <row r="1904" spans="1:11" x14ac:dyDescent="0.3">
      <c r="A1904" s="4" t="s">
        <v>1913</v>
      </c>
      <c r="B1904" s="4">
        <v>499500</v>
      </c>
      <c r="C1904" s="4">
        <f>IF(DatiOriginali!C1904 &gt;= SogliaPicchi!$B$21,"",DatiOriginali!C1904)</f>
        <v>4422900</v>
      </c>
      <c r="D1904" s="4">
        <v>256900</v>
      </c>
      <c r="E1904" s="4">
        <f>IF(DatiOriginali!E1904 &gt;= SogliaPicchi!$B$21,"",DatiOriginali!E1904)</f>
        <v>1047600</v>
      </c>
      <c r="F1904" s="4">
        <v>7594296</v>
      </c>
      <c r="G1904" s="4">
        <f>IF(DatiOriginali!G1904 &gt;= SogliaPicchi!$B$21,"",DatiOriginali!G1904)</f>
        <v>373800</v>
      </c>
      <c r="H1904" s="4">
        <v>9478877</v>
      </c>
      <c r="I1904" s="4">
        <f>IF(DatiOriginali!I1904 &gt;= SogliaPicchi!$B$21,"",DatiOriginali!I1904)</f>
        <v>124600</v>
      </c>
      <c r="J1904" s="4">
        <v>9475839</v>
      </c>
      <c r="K1904" s="4">
        <f>IF(DatiOriginali!K1904 &gt;= SogliaPicchi!$B$21,"",DatiOriginali!K1904)</f>
        <v>141000</v>
      </c>
    </row>
    <row r="1905" spans="1:11" x14ac:dyDescent="0.3">
      <c r="A1905" s="4" t="s">
        <v>1914</v>
      </c>
      <c r="B1905" s="4">
        <v>499500</v>
      </c>
      <c r="C1905" s="4">
        <f>IF(DatiOriginali!C1905 &gt;= SogliaPicchi!$B$21,"",DatiOriginali!C1905)</f>
        <v>4418500</v>
      </c>
      <c r="D1905" s="4">
        <v>244337</v>
      </c>
      <c r="E1905" s="4">
        <f>IF(DatiOriginali!E1905 &gt;= SogliaPicchi!$B$21,"",DatiOriginali!E1905)</f>
        <v>859800</v>
      </c>
      <c r="F1905" s="4">
        <v>7603000</v>
      </c>
      <c r="G1905" s="4">
        <f>IF(DatiOriginali!G1905 &gt;= SogliaPicchi!$B$21,"",DatiOriginali!G1905)</f>
        <v>372800</v>
      </c>
      <c r="H1905" s="4">
        <v>9490178</v>
      </c>
      <c r="I1905" s="4">
        <f>IF(DatiOriginali!I1905 &gt;= SogliaPicchi!$B$21,"",DatiOriginali!I1905)</f>
        <v>134400</v>
      </c>
      <c r="J1905" s="4">
        <v>9486793</v>
      </c>
      <c r="K1905" s="4">
        <f>IF(DatiOriginali!K1905 &gt;= SogliaPicchi!$B$21,"",DatiOriginali!K1905)</f>
        <v>143800</v>
      </c>
    </row>
    <row r="1906" spans="1:11" x14ac:dyDescent="0.3">
      <c r="A1906" s="4" t="s">
        <v>1915</v>
      </c>
      <c r="B1906" s="4">
        <v>499500</v>
      </c>
      <c r="C1906" s="4">
        <f>IF(DatiOriginali!C1906 &gt;= SogliaPicchi!$B$21,"",DatiOriginali!C1906)</f>
        <v>4490000</v>
      </c>
      <c r="D1906" s="4">
        <v>244522</v>
      </c>
      <c r="E1906" s="4">
        <f>IF(DatiOriginali!E1906 &gt;= SogliaPicchi!$B$21,"",DatiOriginali!E1906)</f>
        <v>1030900</v>
      </c>
      <c r="F1906" s="4">
        <v>7611697</v>
      </c>
      <c r="G1906" s="4">
        <f>IF(DatiOriginali!G1906 &gt;= SogliaPicchi!$B$21,"",DatiOriginali!G1906)</f>
        <v>458800</v>
      </c>
      <c r="H1906" s="4">
        <v>9502390</v>
      </c>
      <c r="I1906" s="4">
        <f>IF(DatiOriginali!I1906 &gt;= SogliaPicchi!$B$21,"",DatiOriginali!I1906)</f>
        <v>177800</v>
      </c>
      <c r="J1906" s="4">
        <v>9497254</v>
      </c>
      <c r="K1906" s="4">
        <f>IF(DatiOriginali!K1906 &gt;= SogliaPicchi!$B$21,"",DatiOriginali!K1906)</f>
        <v>151400</v>
      </c>
    </row>
    <row r="1907" spans="1:11" x14ac:dyDescent="0.3">
      <c r="A1907" s="4" t="s">
        <v>1916</v>
      </c>
      <c r="B1907" s="4">
        <v>499500</v>
      </c>
      <c r="C1907" s="4">
        <f>IF(DatiOriginali!C1907 &gt;= SogliaPicchi!$B$21,"",DatiOriginali!C1907)</f>
        <v>4156000</v>
      </c>
      <c r="D1907" s="4">
        <v>239293</v>
      </c>
      <c r="E1907" s="4">
        <f>IF(DatiOriginali!E1907 &gt;= SogliaPicchi!$B$21,"",DatiOriginali!E1907)</f>
        <v>928000</v>
      </c>
      <c r="F1907" s="4">
        <v>7620412</v>
      </c>
      <c r="G1907" s="4">
        <f>IF(DatiOriginali!G1907 &gt;= SogliaPicchi!$B$21,"",DatiOriginali!G1907)</f>
        <v>374000</v>
      </c>
      <c r="H1907" s="4">
        <v>9514051</v>
      </c>
      <c r="I1907" s="4">
        <f>IF(DatiOriginali!I1907 &gt;= SogliaPicchi!$B$21,"",DatiOriginali!I1907)</f>
        <v>130800</v>
      </c>
      <c r="J1907" s="4">
        <v>9507424</v>
      </c>
      <c r="K1907" s="4">
        <f>IF(DatiOriginali!K1907 &gt;= SogliaPicchi!$B$21,"",DatiOriginali!K1907)</f>
        <v>138700</v>
      </c>
    </row>
    <row r="1908" spans="1:11" x14ac:dyDescent="0.3">
      <c r="A1908" s="4" t="s">
        <v>1917</v>
      </c>
      <c r="B1908" s="4">
        <v>499500</v>
      </c>
      <c r="C1908" s="4">
        <f>IF(DatiOriginali!C1908 &gt;= SogliaPicchi!$B$21,"",DatiOriginali!C1908)</f>
        <v>4007300</v>
      </c>
      <c r="D1908" s="4">
        <v>247930</v>
      </c>
      <c r="E1908" s="4">
        <f>IF(DatiOriginali!E1908 &gt;= SogliaPicchi!$B$21,"",DatiOriginali!E1908)</f>
        <v>854800</v>
      </c>
      <c r="F1908" s="4">
        <v>7629133</v>
      </c>
      <c r="G1908" s="4">
        <f>IF(DatiOriginali!G1908 &gt;= SogliaPicchi!$B$21,"",DatiOriginali!G1908)</f>
        <v>380700</v>
      </c>
      <c r="H1908" s="4">
        <v>9524340</v>
      </c>
      <c r="I1908" s="4">
        <f>IF(DatiOriginali!I1908 &gt;= SogliaPicchi!$B$21,"",DatiOriginali!I1908)</f>
        <v>125300</v>
      </c>
      <c r="J1908" s="4">
        <v>9517939</v>
      </c>
      <c r="K1908" s="4">
        <f>IF(DatiOriginali!K1908 &gt;= SogliaPicchi!$B$21,"",DatiOriginali!K1908)</f>
        <v>183800</v>
      </c>
    </row>
    <row r="1909" spans="1:11" x14ac:dyDescent="0.3">
      <c r="A1909" s="4" t="s">
        <v>1918</v>
      </c>
      <c r="B1909" s="4">
        <v>499500</v>
      </c>
      <c r="C1909" s="4">
        <f>IF(DatiOriginali!C1909 &gt;= SogliaPicchi!$B$21,"",DatiOriginali!C1909)</f>
        <v>4160100</v>
      </c>
      <c r="D1909" s="4">
        <v>258812</v>
      </c>
      <c r="E1909" s="4">
        <f>IF(DatiOriginali!E1909 &gt;= SogliaPicchi!$B$21,"",DatiOriginali!E1909)</f>
        <v>896100</v>
      </c>
      <c r="F1909" s="4">
        <v>7637837</v>
      </c>
      <c r="G1909" s="4">
        <f>IF(DatiOriginali!G1909 &gt;= SogliaPicchi!$B$21,"",DatiOriginali!G1909)</f>
        <v>369800</v>
      </c>
      <c r="H1909" s="4">
        <v>9534865</v>
      </c>
      <c r="I1909" s="4">
        <f>IF(DatiOriginali!I1909 &gt;= SogliaPicchi!$B$21,"",DatiOriginali!I1909)</f>
        <v>126600</v>
      </c>
      <c r="J1909" s="4">
        <v>9528653</v>
      </c>
      <c r="K1909" s="4">
        <f>IF(DatiOriginali!K1909 &gt;= SogliaPicchi!$B$21,"",DatiOriginali!K1909)</f>
        <v>135200</v>
      </c>
    </row>
    <row r="1910" spans="1:11" x14ac:dyDescent="0.3">
      <c r="A1910" s="4" t="s">
        <v>1919</v>
      </c>
      <c r="B1910" s="4">
        <v>499500</v>
      </c>
      <c r="C1910" s="4">
        <f>IF(DatiOriginali!C1910 &gt;= SogliaPicchi!$B$21,"",DatiOriginali!C1910)</f>
        <v>4170000</v>
      </c>
      <c r="D1910" s="4">
        <v>244427</v>
      </c>
      <c r="E1910" s="4">
        <f>IF(DatiOriginali!E1910 &gt;= SogliaPicchi!$B$21,"",DatiOriginali!E1910)</f>
        <v>876300</v>
      </c>
      <c r="F1910" s="4">
        <v>7646523</v>
      </c>
      <c r="G1910" s="4">
        <f>IF(DatiOriginali!G1910 &gt;= SogliaPicchi!$B$21,"",DatiOriginali!G1910)</f>
        <v>369100</v>
      </c>
      <c r="H1910" s="4">
        <v>9546647</v>
      </c>
      <c r="I1910" s="4">
        <f>IF(DatiOriginali!I1910 &gt;= SogliaPicchi!$B$21,"",DatiOriginali!I1910)</f>
        <v>129100</v>
      </c>
      <c r="J1910" s="4">
        <v>9540439</v>
      </c>
      <c r="K1910" s="4">
        <f>IF(DatiOriginali!K1910 &gt;= SogliaPicchi!$B$21,"",DatiOriginali!K1910)</f>
        <v>140200</v>
      </c>
    </row>
    <row r="1911" spans="1:11" x14ac:dyDescent="0.3">
      <c r="A1911" s="4" t="s">
        <v>1920</v>
      </c>
      <c r="B1911" s="4">
        <v>499500</v>
      </c>
      <c r="C1911" s="4">
        <f>IF(DatiOriginali!C1911 &gt;= SogliaPicchi!$B$21,"",DatiOriginali!C1911)</f>
        <v>4251800</v>
      </c>
      <c r="D1911" s="4">
        <v>259066</v>
      </c>
      <c r="E1911" s="4">
        <f>IF(DatiOriginali!E1911 &gt;= SogliaPicchi!$B$21,"",DatiOriginali!E1911)</f>
        <v>892200</v>
      </c>
      <c r="F1911" s="4">
        <v>7655248</v>
      </c>
      <c r="G1911" s="4">
        <f>IF(DatiOriginali!G1911 &gt;= SogliaPicchi!$B$21,"",DatiOriginali!G1911)</f>
        <v>373300</v>
      </c>
      <c r="H1911" s="4">
        <v>9557776</v>
      </c>
      <c r="I1911" s="4">
        <f>IF(DatiOriginali!I1911 &gt;= SogliaPicchi!$B$21,"",DatiOriginali!I1911)</f>
        <v>132400</v>
      </c>
      <c r="J1911" s="4">
        <v>9550757</v>
      </c>
      <c r="K1911" s="4">
        <f>IF(DatiOriginali!K1911 &gt;= SogliaPicchi!$B$21,"",DatiOriginali!K1911)</f>
        <v>140300</v>
      </c>
    </row>
    <row r="1912" spans="1:11" x14ac:dyDescent="0.3">
      <c r="A1912" s="4" t="s">
        <v>1921</v>
      </c>
      <c r="B1912" s="4">
        <v>499500</v>
      </c>
      <c r="C1912" s="4">
        <f>IF(DatiOriginali!C1912 &gt;= SogliaPicchi!$B$21,"",DatiOriginali!C1912)</f>
        <v>4038000</v>
      </c>
      <c r="D1912" s="4">
        <v>254343</v>
      </c>
      <c r="E1912" s="4">
        <f>IF(DatiOriginali!E1912 &gt;= SogliaPicchi!$B$21,"",DatiOriginali!E1912)</f>
        <v>905700</v>
      </c>
      <c r="F1912" s="4">
        <v>7663929</v>
      </c>
      <c r="G1912" s="4">
        <f>IF(DatiOriginali!G1912 &gt;= SogliaPicchi!$B$21,"",DatiOriginali!G1912)</f>
        <v>368000</v>
      </c>
      <c r="H1912" s="4">
        <v>9568892</v>
      </c>
      <c r="I1912" s="4">
        <f>IF(DatiOriginali!I1912 &gt;= SogliaPicchi!$B$21,"",DatiOriginali!I1912)</f>
        <v>127900</v>
      </c>
      <c r="J1912" s="4">
        <v>9562182</v>
      </c>
      <c r="K1912" s="4">
        <f>IF(DatiOriginali!K1912 &gt;= SogliaPicchi!$B$21,"",DatiOriginali!K1912)</f>
        <v>142300</v>
      </c>
    </row>
    <row r="1913" spans="1:11" x14ac:dyDescent="0.3">
      <c r="A1913" s="4" t="s">
        <v>1922</v>
      </c>
      <c r="B1913" s="4">
        <v>499500</v>
      </c>
      <c r="C1913" s="4">
        <f>IF(DatiOriginali!C1913 &gt;= SogliaPicchi!$B$21,"",DatiOriginali!C1913)</f>
        <v>4245900</v>
      </c>
      <c r="D1913" s="4">
        <v>251848</v>
      </c>
      <c r="E1913" s="4">
        <f>IF(DatiOriginali!E1913 &gt;= SogliaPicchi!$B$21,"",DatiOriginali!E1913)</f>
        <v>1030600</v>
      </c>
      <c r="F1913" s="4">
        <v>7672658</v>
      </c>
      <c r="G1913" s="4">
        <f>IF(DatiOriginali!G1913 &gt;= SogliaPicchi!$B$21,"",DatiOriginali!G1913)</f>
        <v>376000</v>
      </c>
      <c r="H1913" s="4">
        <v>9579996</v>
      </c>
      <c r="I1913" s="4">
        <f>IF(DatiOriginali!I1913 &gt;= SogliaPicchi!$B$21,"",DatiOriginali!I1913)</f>
        <v>136300</v>
      </c>
      <c r="J1913" s="4">
        <v>9573155</v>
      </c>
      <c r="K1913" s="4">
        <f>IF(DatiOriginali!K1913 &gt;= SogliaPicchi!$B$21,"",DatiOriginali!K1913)</f>
        <v>138700</v>
      </c>
    </row>
    <row r="1914" spans="1:11" x14ac:dyDescent="0.3">
      <c r="A1914" s="4" t="s">
        <v>1923</v>
      </c>
      <c r="B1914" s="4">
        <v>499500</v>
      </c>
      <c r="C1914" s="4">
        <f>IF(DatiOriginali!C1914 &gt;= SogliaPicchi!$B$21,"",DatiOriginali!C1914)</f>
        <v>3977900</v>
      </c>
      <c r="D1914" s="4">
        <v>263662</v>
      </c>
      <c r="E1914" s="4">
        <f>IF(DatiOriginali!E1914 &gt;= SogliaPicchi!$B$21,"",DatiOriginali!E1914)</f>
        <v>926100</v>
      </c>
      <c r="F1914" s="4">
        <v>7681352</v>
      </c>
      <c r="G1914" s="4">
        <f>IF(DatiOriginali!G1914 &gt;= SogliaPicchi!$B$21,"",DatiOriginali!G1914)</f>
        <v>380300</v>
      </c>
      <c r="H1914" s="4">
        <v>9589948</v>
      </c>
      <c r="I1914" s="4">
        <f>IF(DatiOriginali!I1914 &gt;= SogliaPicchi!$B$21,"",DatiOriginali!I1914)</f>
        <v>122400</v>
      </c>
      <c r="J1914" s="4">
        <v>9583730</v>
      </c>
      <c r="K1914" s="4">
        <f>IF(DatiOriginali!K1914 &gt;= SogliaPicchi!$B$21,"",DatiOriginali!K1914)</f>
        <v>152800</v>
      </c>
    </row>
    <row r="1915" spans="1:11" x14ac:dyDescent="0.3">
      <c r="A1915" s="4" t="s">
        <v>1924</v>
      </c>
      <c r="B1915" s="4">
        <v>499500</v>
      </c>
      <c r="C1915" s="4">
        <f>IF(DatiOriginali!C1915 &gt;= SogliaPicchi!$B$21,"",DatiOriginali!C1915)</f>
        <v>4197200</v>
      </c>
      <c r="D1915" s="4">
        <v>248077</v>
      </c>
      <c r="E1915" s="4">
        <f>IF(DatiOriginali!E1915 &gt;= SogliaPicchi!$B$21,"",DatiOriginali!E1915)</f>
        <v>864700</v>
      </c>
      <c r="F1915" s="4">
        <v>7690056</v>
      </c>
      <c r="G1915" s="4">
        <f>IF(DatiOriginali!G1915 &gt;= SogliaPicchi!$B$21,"",DatiOriginali!G1915)</f>
        <v>368300</v>
      </c>
      <c r="H1915" s="4">
        <v>9601329</v>
      </c>
      <c r="I1915" s="4">
        <f>IF(DatiOriginali!I1915 &gt;= SogliaPicchi!$B$21,"",DatiOriginali!I1915)</f>
        <v>128900</v>
      </c>
      <c r="J1915" s="4">
        <v>9594239</v>
      </c>
      <c r="K1915" s="4">
        <f>IF(DatiOriginali!K1915 &gt;= SogliaPicchi!$B$21,"",DatiOriginali!K1915)</f>
        <v>145400</v>
      </c>
    </row>
    <row r="1916" spans="1:11" x14ac:dyDescent="0.3">
      <c r="A1916" s="4" t="s">
        <v>1925</v>
      </c>
      <c r="B1916" s="4">
        <v>499500</v>
      </c>
      <c r="C1916" s="4">
        <f>IF(DatiOriginali!C1916 &gt;= SogliaPicchi!$B$21,"",DatiOriginali!C1916)</f>
        <v>4168600</v>
      </c>
      <c r="D1916" s="4">
        <v>258764</v>
      </c>
      <c r="E1916" s="4">
        <f>IF(DatiOriginali!E1916 &gt;= SogliaPicchi!$B$21,"",DatiOriginali!E1916)</f>
        <v>900100</v>
      </c>
      <c r="F1916" s="4">
        <v>7698773</v>
      </c>
      <c r="G1916" s="4">
        <f>IF(DatiOriginali!G1916 &gt;= SogliaPicchi!$B$21,"",DatiOriginali!G1916)</f>
        <v>372100</v>
      </c>
      <c r="H1916" s="4">
        <v>9612625</v>
      </c>
      <c r="I1916" s="4">
        <f>IF(DatiOriginali!I1916 &gt;= SogliaPicchi!$B$21,"",DatiOriginali!I1916)</f>
        <v>127700</v>
      </c>
      <c r="J1916" s="4">
        <v>9604925</v>
      </c>
      <c r="K1916" s="4">
        <f>IF(DatiOriginali!K1916 &gt;= SogliaPicchi!$B$21,"",DatiOriginali!K1916)</f>
        <v>140400</v>
      </c>
    </row>
    <row r="1917" spans="1:11" x14ac:dyDescent="0.3">
      <c r="A1917" s="4" t="s">
        <v>1926</v>
      </c>
      <c r="B1917" s="4">
        <v>499500</v>
      </c>
      <c r="C1917" s="4">
        <f>IF(DatiOriginali!C1917 &gt;= SogliaPicchi!$B$21,"",DatiOriginali!C1917)</f>
        <v>4244100</v>
      </c>
      <c r="D1917" s="4">
        <v>253080</v>
      </c>
      <c r="E1917" s="4">
        <f>IF(DatiOriginali!E1917 &gt;= SogliaPicchi!$B$21,"",DatiOriginali!E1917)</f>
        <v>898500</v>
      </c>
      <c r="F1917" s="4">
        <v>7707454</v>
      </c>
      <c r="G1917" s="4">
        <f>IF(DatiOriginali!G1917 &gt;= SogliaPicchi!$B$21,"",DatiOriginali!G1917)</f>
        <v>375500</v>
      </c>
      <c r="H1917" s="4">
        <v>9622977</v>
      </c>
      <c r="I1917" s="4">
        <f>IF(DatiOriginali!I1917 &gt;= SogliaPicchi!$B$21,"",DatiOriginali!I1917)</f>
        <v>126400</v>
      </c>
      <c r="J1917" s="4">
        <v>9615800</v>
      </c>
      <c r="K1917" s="4">
        <f>IF(DatiOriginali!K1917 &gt;= SogliaPicchi!$B$21,"",DatiOriginali!K1917)</f>
        <v>138000</v>
      </c>
    </row>
    <row r="1918" spans="1:11" x14ac:dyDescent="0.3">
      <c r="A1918" s="4" t="s">
        <v>1927</v>
      </c>
      <c r="B1918" s="4">
        <v>499500</v>
      </c>
      <c r="C1918" s="4">
        <f>IF(DatiOriginali!C1918 &gt;= SogliaPicchi!$B$21,"",DatiOriginali!C1918)</f>
        <v>3958400</v>
      </c>
      <c r="D1918" s="4">
        <v>241664</v>
      </c>
      <c r="E1918" s="4">
        <f>IF(DatiOriginali!E1918 &gt;= SogliaPicchi!$B$21,"",DatiOriginali!E1918)</f>
        <v>839200</v>
      </c>
      <c r="F1918" s="4">
        <v>7716172</v>
      </c>
      <c r="G1918" s="4">
        <f>IF(DatiOriginali!G1918 &gt;= SogliaPicchi!$B$21,"",DatiOriginali!G1918)</f>
        <v>370200</v>
      </c>
      <c r="H1918" s="4">
        <v>9633509</v>
      </c>
      <c r="I1918" s="4">
        <f>IF(DatiOriginali!I1918 &gt;= SogliaPicchi!$B$21,"",DatiOriginali!I1918)</f>
        <v>128800</v>
      </c>
      <c r="J1918" s="4">
        <v>9626648</v>
      </c>
      <c r="K1918" s="4">
        <f>IF(DatiOriginali!K1918 &gt;= SogliaPicchi!$B$21,"",DatiOriginali!K1918)</f>
        <v>139500</v>
      </c>
    </row>
    <row r="1919" spans="1:11" x14ac:dyDescent="0.3">
      <c r="A1919" s="4" t="s">
        <v>1928</v>
      </c>
      <c r="B1919" s="4">
        <v>499500</v>
      </c>
      <c r="C1919" s="4">
        <f>IF(DatiOriginali!C1919 &gt;= SogliaPicchi!$B$21,"",DatiOriginali!C1919)</f>
        <v>4153900</v>
      </c>
      <c r="D1919" s="4">
        <v>248766</v>
      </c>
      <c r="E1919" s="4">
        <f>IF(DatiOriginali!E1919 &gt;= SogliaPicchi!$B$21,"",DatiOriginali!E1919)</f>
        <v>865600</v>
      </c>
      <c r="F1919" s="4">
        <v>7724875</v>
      </c>
      <c r="G1919" s="4">
        <f>IF(DatiOriginali!G1919 &gt;= SogliaPicchi!$B$21,"",DatiOriginali!G1919)</f>
        <v>369900</v>
      </c>
      <c r="H1919" s="4">
        <v>9644012</v>
      </c>
      <c r="I1919" s="4">
        <f>IF(DatiOriginali!I1919 &gt;= SogliaPicchi!$B$21,"",DatiOriginali!I1919)</f>
        <v>124800</v>
      </c>
      <c r="J1919" s="4">
        <v>9638344</v>
      </c>
      <c r="K1919" s="4">
        <f>IF(DatiOriginali!K1919 &gt;= SogliaPicchi!$B$21,"",DatiOriginali!K1919)</f>
        <v>138700</v>
      </c>
    </row>
    <row r="1920" spans="1:11" x14ac:dyDescent="0.3">
      <c r="A1920" s="4" t="s">
        <v>1929</v>
      </c>
      <c r="B1920" s="4">
        <v>499500</v>
      </c>
      <c r="C1920" s="4" t="str">
        <f>IF(DatiOriginali!C1920 &gt;= SogliaPicchi!$B$21,"",DatiOriginali!C1920)</f>
        <v/>
      </c>
      <c r="D1920" s="4">
        <v>254485</v>
      </c>
      <c r="E1920" s="4">
        <f>IF(DatiOriginali!E1920 &gt;= SogliaPicchi!$B$21,"",DatiOriginali!E1920)</f>
        <v>992400</v>
      </c>
      <c r="F1920" s="4">
        <v>7733600</v>
      </c>
      <c r="G1920" s="4">
        <f>IF(DatiOriginali!G1920 &gt;= SogliaPicchi!$B$21,"",DatiOriginali!G1920)</f>
        <v>366700</v>
      </c>
      <c r="H1920" s="4">
        <v>9654885</v>
      </c>
      <c r="I1920" s="4">
        <f>IF(DatiOriginali!I1920 &gt;= SogliaPicchi!$B$21,"",DatiOriginali!I1920)</f>
        <v>127800</v>
      </c>
      <c r="J1920" s="4">
        <v>9649024</v>
      </c>
      <c r="K1920" s="4">
        <f>IF(DatiOriginali!K1920 &gt;= SogliaPicchi!$B$21,"",DatiOriginali!K1920)</f>
        <v>137100</v>
      </c>
    </row>
    <row r="1921" spans="1:11" x14ac:dyDescent="0.3">
      <c r="A1921" s="4" t="s">
        <v>1930</v>
      </c>
      <c r="B1921" s="4">
        <v>499500</v>
      </c>
      <c r="C1921" s="4">
        <f>IF(DatiOriginali!C1921 &gt;= SogliaPicchi!$B$21,"",DatiOriginali!C1921)</f>
        <v>4029800</v>
      </c>
      <c r="D1921" s="4">
        <v>250683</v>
      </c>
      <c r="E1921" s="4">
        <f>IF(DatiOriginali!E1921 &gt;= SogliaPicchi!$B$21,"",DatiOriginali!E1921)</f>
        <v>864000</v>
      </c>
      <c r="F1921" s="4">
        <v>7742344</v>
      </c>
      <c r="G1921" s="4">
        <f>IF(DatiOriginali!G1921 &gt;= SogliaPicchi!$B$21,"",DatiOriginali!G1921)</f>
        <v>374900</v>
      </c>
      <c r="H1921" s="4">
        <v>9665585</v>
      </c>
      <c r="I1921" s="4">
        <f>IF(DatiOriginali!I1921 &gt;= SogliaPicchi!$B$21,"",DatiOriginali!I1921)</f>
        <v>128200</v>
      </c>
      <c r="J1921" s="4">
        <v>9660360</v>
      </c>
      <c r="K1921" s="4">
        <f>IF(DatiOriginali!K1921 &gt;= SogliaPicchi!$B$21,"",DatiOriginali!K1921)</f>
        <v>142100</v>
      </c>
    </row>
    <row r="1922" spans="1:11" x14ac:dyDescent="0.3">
      <c r="A1922" s="4" t="s">
        <v>1931</v>
      </c>
      <c r="B1922" s="4">
        <v>499500</v>
      </c>
      <c r="C1922" s="4">
        <f>IF(DatiOriginali!C1922 &gt;= SogliaPicchi!$B$21,"",DatiOriginali!C1922)</f>
        <v>4418700</v>
      </c>
      <c r="D1922" s="4">
        <v>250874</v>
      </c>
      <c r="E1922" s="4">
        <f>IF(DatiOriginali!E1922 &gt;= SogliaPicchi!$B$21,"",DatiOriginali!E1922)</f>
        <v>868200</v>
      </c>
      <c r="F1922" s="4">
        <v>7751056</v>
      </c>
      <c r="G1922" s="4">
        <f>IF(DatiOriginali!G1922 &gt;= SogliaPicchi!$B$21,"",DatiOriginali!G1922)</f>
        <v>368800</v>
      </c>
      <c r="H1922" s="4">
        <v>9677291</v>
      </c>
      <c r="I1922" s="4">
        <f>IF(DatiOriginali!I1922 &gt;= SogliaPicchi!$B$21,"",DatiOriginali!I1922)</f>
        <v>125200</v>
      </c>
      <c r="J1922" s="4">
        <v>9671414</v>
      </c>
      <c r="K1922" s="4">
        <f>IF(DatiOriginali!K1922 &gt;= SogliaPicchi!$B$21,"",DatiOriginali!K1922)</f>
        <v>136500</v>
      </c>
    </row>
    <row r="1923" spans="1:11" x14ac:dyDescent="0.3">
      <c r="A1923" s="4" t="s">
        <v>1932</v>
      </c>
      <c r="B1923" s="4">
        <v>499500</v>
      </c>
      <c r="C1923" s="4">
        <f>IF(DatiOriginali!C1923 &gt;= SogliaPicchi!$B$21,"",DatiOriginali!C1923)</f>
        <v>4342800</v>
      </c>
      <c r="D1923" s="4">
        <v>251972</v>
      </c>
      <c r="E1923" s="4">
        <f>IF(DatiOriginali!E1923 &gt;= SogliaPicchi!$B$21,"",DatiOriginali!E1923)</f>
        <v>923100</v>
      </c>
      <c r="F1923" s="4">
        <v>7759771</v>
      </c>
      <c r="G1923" s="4">
        <f>IF(DatiOriginali!G1923 &gt;= SogliaPicchi!$B$21,"",DatiOriginali!G1923)</f>
        <v>368000</v>
      </c>
      <c r="H1923" s="4">
        <v>9689572</v>
      </c>
      <c r="I1923" s="4">
        <f>IF(DatiOriginali!I1923 &gt;= SogliaPicchi!$B$21,"",DatiOriginali!I1923)</f>
        <v>139000</v>
      </c>
      <c r="J1923" s="4">
        <v>9682339</v>
      </c>
      <c r="K1923" s="4">
        <f>IF(DatiOriginali!K1923 &gt;= SogliaPicchi!$B$21,"",DatiOriginali!K1923)</f>
        <v>140900</v>
      </c>
    </row>
    <row r="1924" spans="1:11" x14ac:dyDescent="0.3">
      <c r="A1924" s="4" t="s">
        <v>1933</v>
      </c>
      <c r="B1924" s="4">
        <v>499500</v>
      </c>
      <c r="C1924" s="4">
        <f>IF(DatiOriginali!C1924 &gt;= SogliaPicchi!$B$21,"",DatiOriginali!C1924)</f>
        <v>4241600</v>
      </c>
      <c r="D1924" s="4">
        <v>260776</v>
      </c>
      <c r="E1924" s="4">
        <f>IF(DatiOriginali!E1924 &gt;= SogliaPicchi!$B$21,"",DatiOriginali!E1924)</f>
        <v>1181600</v>
      </c>
      <c r="F1924" s="4">
        <v>7768472</v>
      </c>
      <c r="G1924" s="4">
        <f>IF(DatiOriginali!G1924 &gt;= SogliaPicchi!$B$21,"",DatiOriginali!G1924)</f>
        <v>441700</v>
      </c>
      <c r="H1924" s="4">
        <v>9700206</v>
      </c>
      <c r="I1924" s="4">
        <f>IF(DatiOriginali!I1924 &gt;= SogliaPicchi!$B$21,"",DatiOriginali!I1924)</f>
        <v>150500</v>
      </c>
      <c r="J1924" s="4">
        <v>9693367</v>
      </c>
      <c r="K1924" s="4">
        <f>IF(DatiOriginali!K1924 &gt;= SogliaPicchi!$B$21,"",DatiOriginali!K1924)</f>
        <v>147400</v>
      </c>
    </row>
    <row r="1925" spans="1:11" x14ac:dyDescent="0.3">
      <c r="A1925" s="4" t="s">
        <v>1934</v>
      </c>
      <c r="B1925" s="4">
        <v>499500</v>
      </c>
      <c r="C1925" s="4">
        <f>IF(DatiOriginali!C1925 &gt;= SogliaPicchi!$B$21,"",DatiOriginali!C1925)</f>
        <v>4068100</v>
      </c>
      <c r="D1925" s="4">
        <v>246937</v>
      </c>
      <c r="E1925" s="4">
        <f>IF(DatiOriginali!E1925 &gt;= SogliaPicchi!$B$21,"",DatiOriginali!E1925)</f>
        <v>859300</v>
      </c>
      <c r="F1925" s="4">
        <v>7777190</v>
      </c>
      <c r="G1925" s="4">
        <f>IF(DatiOriginali!G1925 &gt;= SogliaPicchi!$B$21,"",DatiOriginali!G1925)</f>
        <v>371400</v>
      </c>
      <c r="H1925" s="4">
        <v>9712395</v>
      </c>
      <c r="I1925" s="4">
        <f>IF(DatiOriginali!I1925 &gt;= SogliaPicchi!$B$21,"",DatiOriginali!I1925)</f>
        <v>132100</v>
      </c>
      <c r="J1925" s="4">
        <v>9705378</v>
      </c>
      <c r="K1925" s="4">
        <f>IF(DatiOriginali!K1925 &gt;= SogliaPicchi!$B$21,"",DatiOriginali!K1925)</f>
        <v>142800</v>
      </c>
    </row>
    <row r="1926" spans="1:11" x14ac:dyDescent="0.3">
      <c r="A1926" s="4" t="s">
        <v>1935</v>
      </c>
      <c r="B1926" s="4">
        <v>499500</v>
      </c>
      <c r="C1926" s="4">
        <f>IF(DatiOriginali!C1926 &gt;= SogliaPicchi!$B$21,"",DatiOriginali!C1926)</f>
        <v>4018400</v>
      </c>
      <c r="D1926" s="4">
        <v>239726</v>
      </c>
      <c r="E1926" s="4">
        <f>IF(DatiOriginali!E1926 &gt;= SogliaPicchi!$B$21,"",DatiOriginali!E1926)</f>
        <v>983800</v>
      </c>
      <c r="F1926" s="4">
        <v>7785880</v>
      </c>
      <c r="G1926" s="4">
        <f>IF(DatiOriginali!G1926 &gt;= SogliaPicchi!$B$21,"",DatiOriginali!G1926)</f>
        <v>388600</v>
      </c>
      <c r="H1926" s="4">
        <v>9722694</v>
      </c>
      <c r="I1926" s="4">
        <f>IF(DatiOriginali!I1926 &gt;= SogliaPicchi!$B$21,"",DatiOriginali!I1926)</f>
        <v>126400</v>
      </c>
      <c r="J1926" s="4">
        <v>9716753</v>
      </c>
      <c r="K1926" s="4">
        <f>IF(DatiOriginali!K1926 &gt;= SogliaPicchi!$B$21,"",DatiOriginali!K1926)</f>
        <v>141500</v>
      </c>
    </row>
    <row r="1927" spans="1:11" x14ac:dyDescent="0.3">
      <c r="A1927" s="4" t="s">
        <v>1936</v>
      </c>
      <c r="B1927" s="4">
        <v>499500</v>
      </c>
      <c r="C1927" s="4">
        <f>IF(DatiOriginali!C1927 &gt;= SogliaPicchi!$B$21,"",DatiOriginali!C1927)</f>
        <v>4605800</v>
      </c>
      <c r="D1927" s="4">
        <v>241330</v>
      </c>
      <c r="E1927" s="4">
        <f>IF(DatiOriginali!E1927 &gt;= SogliaPicchi!$B$21,"",DatiOriginali!E1927)</f>
        <v>835800</v>
      </c>
      <c r="F1927" s="4">
        <v>7794617</v>
      </c>
      <c r="G1927" s="4">
        <f>IF(DatiOriginali!G1927 &gt;= SogliaPicchi!$B$21,"",DatiOriginali!G1927)</f>
        <v>430700</v>
      </c>
      <c r="H1927" s="4">
        <v>9733495</v>
      </c>
      <c r="I1927" s="4">
        <f>IF(DatiOriginali!I1927 &gt;= SogliaPicchi!$B$21,"",DatiOriginali!I1927)</f>
        <v>157200</v>
      </c>
      <c r="J1927" s="4">
        <v>9726984</v>
      </c>
      <c r="K1927" s="4">
        <f>IF(DatiOriginali!K1927 &gt;= SogliaPicchi!$B$21,"",DatiOriginali!K1927)</f>
        <v>136500</v>
      </c>
    </row>
    <row r="1928" spans="1:11" x14ac:dyDescent="0.3">
      <c r="A1928" s="4" t="s">
        <v>1937</v>
      </c>
      <c r="B1928" s="4">
        <v>499500</v>
      </c>
      <c r="C1928" s="4">
        <f>IF(DatiOriginali!C1928 &gt;= SogliaPicchi!$B$21,"",DatiOriginali!C1928)</f>
        <v>4114500</v>
      </c>
      <c r="D1928" s="4">
        <v>256965</v>
      </c>
      <c r="E1928" s="4">
        <f>IF(DatiOriginali!E1928 &gt;= SogliaPicchi!$B$21,"",DatiOriginali!E1928)</f>
        <v>889000</v>
      </c>
      <c r="F1928" s="4">
        <v>7803312</v>
      </c>
      <c r="G1928" s="4">
        <f>IF(DatiOriginali!G1928 &gt;= SogliaPicchi!$B$21,"",DatiOriginali!G1928)</f>
        <v>379600</v>
      </c>
      <c r="H1928" s="4">
        <v>9744465</v>
      </c>
      <c r="I1928" s="4">
        <f>IF(DatiOriginali!I1928 &gt;= SogliaPicchi!$B$21,"",DatiOriginali!I1928)</f>
        <v>129500</v>
      </c>
      <c r="J1928" s="4">
        <v>9737487</v>
      </c>
      <c r="K1928" s="4">
        <f>IF(DatiOriginali!K1928 &gt;= SogliaPicchi!$B$21,"",DatiOriginali!K1928)</f>
        <v>142100</v>
      </c>
    </row>
    <row r="1929" spans="1:11" x14ac:dyDescent="0.3">
      <c r="A1929" s="4" t="s">
        <v>1938</v>
      </c>
      <c r="B1929" s="4">
        <v>499500</v>
      </c>
      <c r="C1929" s="4">
        <f>IF(DatiOriginali!C1929 &gt;= SogliaPicchi!$B$21,"",DatiOriginali!C1929)</f>
        <v>4204700</v>
      </c>
      <c r="D1929" s="4">
        <v>251959</v>
      </c>
      <c r="E1929" s="4">
        <f>IF(DatiOriginali!E1929 &gt;= SogliaPicchi!$B$21,"",DatiOriginali!E1929)</f>
        <v>873900</v>
      </c>
      <c r="F1929" s="4">
        <v>7811988</v>
      </c>
      <c r="G1929" s="4">
        <f>IF(DatiOriginali!G1929 &gt;= SogliaPicchi!$B$21,"",DatiOriginali!G1929)</f>
        <v>369200</v>
      </c>
      <c r="H1929" s="4">
        <v>9756571</v>
      </c>
      <c r="I1929" s="4">
        <f>IF(DatiOriginali!I1929 &gt;= SogliaPicchi!$B$21,"",DatiOriginali!I1929)</f>
        <v>134300</v>
      </c>
      <c r="J1929" s="4">
        <v>9748999</v>
      </c>
      <c r="K1929" s="4">
        <f>IF(DatiOriginali!K1929 &gt;= SogliaPicchi!$B$21,"",DatiOriginali!K1929)</f>
        <v>139100</v>
      </c>
    </row>
    <row r="1930" spans="1:11" x14ac:dyDescent="0.3">
      <c r="A1930" s="4" t="s">
        <v>1939</v>
      </c>
      <c r="B1930" s="4">
        <v>499500</v>
      </c>
      <c r="C1930" s="4">
        <f>IF(DatiOriginali!C1930 &gt;= SogliaPicchi!$B$21,"",DatiOriginali!C1930)</f>
        <v>4113100</v>
      </c>
      <c r="D1930" s="4">
        <v>256972</v>
      </c>
      <c r="E1930" s="4">
        <f>IF(DatiOriginali!E1930 &gt;= SogliaPicchi!$B$21,"",DatiOriginali!E1930)</f>
        <v>888900</v>
      </c>
      <c r="F1930" s="4">
        <v>7820668</v>
      </c>
      <c r="G1930" s="4">
        <f>IF(DatiOriginali!G1930 &gt;= SogliaPicchi!$B$21,"",DatiOriginali!G1930)</f>
        <v>375900</v>
      </c>
      <c r="H1930" s="4">
        <v>9768600</v>
      </c>
      <c r="I1930" s="4">
        <f>IF(DatiOriginali!I1930 &gt;= SogliaPicchi!$B$21,"",DatiOriginali!I1930)</f>
        <v>130800</v>
      </c>
      <c r="J1930" s="4">
        <v>9761342</v>
      </c>
      <c r="K1930" s="4">
        <f>IF(DatiOriginali!K1930 &gt;= SogliaPicchi!$B$21,"",DatiOriginali!K1930)</f>
        <v>143500</v>
      </c>
    </row>
    <row r="1931" spans="1:11" x14ac:dyDescent="0.3">
      <c r="A1931" s="4" t="s">
        <v>1940</v>
      </c>
      <c r="B1931" s="4">
        <v>499500</v>
      </c>
      <c r="C1931" s="4">
        <f>IF(DatiOriginali!C1931 &gt;= SogliaPicchi!$B$21,"",DatiOriginali!C1931)</f>
        <v>4054800</v>
      </c>
      <c r="D1931" s="4">
        <v>252810</v>
      </c>
      <c r="E1931" s="4">
        <f>IF(DatiOriginali!E1931 &gt;= SogliaPicchi!$B$21,"",DatiOriginali!E1931)</f>
        <v>894800</v>
      </c>
      <c r="F1931" s="4">
        <v>7829392</v>
      </c>
      <c r="G1931" s="4">
        <f>IF(DatiOriginali!G1931 &gt;= SogliaPicchi!$B$21,"",DatiOriginali!G1931)</f>
        <v>375800</v>
      </c>
      <c r="H1931" s="4">
        <v>9780450</v>
      </c>
      <c r="I1931" s="4">
        <f>IF(DatiOriginali!I1931 &gt;= SogliaPicchi!$B$21,"",DatiOriginali!I1931)</f>
        <v>126200</v>
      </c>
      <c r="J1931" s="4">
        <v>9771678</v>
      </c>
      <c r="K1931" s="4">
        <f>IF(DatiOriginali!K1931 &gt;= SogliaPicchi!$B$21,"",DatiOriginali!K1931)</f>
        <v>139500</v>
      </c>
    </row>
    <row r="1932" spans="1:11" x14ac:dyDescent="0.3">
      <c r="A1932" s="4" t="s">
        <v>1941</v>
      </c>
      <c r="B1932" s="4">
        <v>499500</v>
      </c>
      <c r="C1932" s="4">
        <f>IF(DatiOriginali!C1932 &gt;= SogliaPicchi!$B$21,"",DatiOriginali!C1932)</f>
        <v>4134500</v>
      </c>
      <c r="D1932" s="4">
        <v>255583</v>
      </c>
      <c r="E1932" s="4">
        <f>IF(DatiOriginali!E1932 &gt;= SogliaPicchi!$B$21,"",DatiOriginali!E1932)</f>
        <v>899300</v>
      </c>
      <c r="F1932" s="4">
        <v>7838115</v>
      </c>
      <c r="G1932" s="4">
        <f>IF(DatiOriginali!G1932 &gt;= SogliaPicchi!$B$21,"",DatiOriginali!G1932)</f>
        <v>369900</v>
      </c>
      <c r="H1932" s="4">
        <v>9792119</v>
      </c>
      <c r="I1932" s="4">
        <f>IF(DatiOriginali!I1932 &gt;= SogliaPicchi!$B$21,"",DatiOriginali!I1932)</f>
        <v>125200</v>
      </c>
      <c r="J1932" s="4">
        <v>9783601</v>
      </c>
      <c r="K1932" s="4">
        <f>IF(DatiOriginali!K1932 &gt;= SogliaPicchi!$B$21,"",DatiOriginali!K1932)</f>
        <v>138700</v>
      </c>
    </row>
    <row r="1933" spans="1:11" x14ac:dyDescent="0.3">
      <c r="A1933" s="4" t="s">
        <v>1942</v>
      </c>
      <c r="B1933" s="4">
        <v>499500</v>
      </c>
      <c r="C1933" s="4">
        <f>IF(DatiOriginali!C1933 &gt;= SogliaPicchi!$B$21,"",DatiOriginali!C1933)</f>
        <v>4337500</v>
      </c>
      <c r="D1933" s="4">
        <v>248292</v>
      </c>
      <c r="E1933" s="4">
        <f>IF(DatiOriginali!E1933 &gt;= SogliaPicchi!$B$21,"",DatiOriginali!E1933)</f>
        <v>856800</v>
      </c>
      <c r="F1933" s="4">
        <v>7846816</v>
      </c>
      <c r="G1933" s="4">
        <f>IF(DatiOriginali!G1933 &gt;= SogliaPicchi!$B$21,"",DatiOriginali!G1933)</f>
        <v>374400</v>
      </c>
      <c r="H1933" s="4">
        <v>9803535</v>
      </c>
      <c r="I1933" s="4">
        <f>IF(DatiOriginali!I1933 &gt;= SogliaPicchi!$B$21,"",DatiOriginali!I1933)</f>
        <v>131500</v>
      </c>
      <c r="J1933" s="4">
        <v>9793822</v>
      </c>
      <c r="K1933" s="4">
        <f>IF(DatiOriginali!K1933 &gt;= SogliaPicchi!$B$21,"",DatiOriginali!K1933)</f>
        <v>142700</v>
      </c>
    </row>
    <row r="1934" spans="1:11" x14ac:dyDescent="0.3">
      <c r="A1934" s="4" t="s">
        <v>1943</v>
      </c>
      <c r="B1934" s="4">
        <v>499500</v>
      </c>
      <c r="C1934" s="4">
        <f>IF(DatiOriginali!C1934 &gt;= SogliaPicchi!$B$21,"",DatiOriginali!C1934)</f>
        <v>4359800</v>
      </c>
      <c r="D1934" s="4">
        <v>248580</v>
      </c>
      <c r="E1934" s="4">
        <f>IF(DatiOriginali!E1934 &gt;= SogliaPicchi!$B$21,"",DatiOriginali!E1934)</f>
        <v>881100</v>
      </c>
      <c r="F1934" s="4">
        <v>7855551</v>
      </c>
      <c r="G1934" s="4">
        <f>IF(DatiOriginali!G1934 &gt;= SogliaPicchi!$B$21,"",DatiOriginali!G1934)</f>
        <v>381000</v>
      </c>
      <c r="H1934" s="4">
        <v>9814748</v>
      </c>
      <c r="I1934" s="4">
        <f>IF(DatiOriginali!I1934 &gt;= SogliaPicchi!$B$21,"",DatiOriginali!I1934)</f>
        <v>135700</v>
      </c>
      <c r="J1934" s="4">
        <v>9804837</v>
      </c>
      <c r="K1934" s="4">
        <f>IF(DatiOriginali!K1934 &gt;= SogliaPicchi!$B$21,"",DatiOriginali!K1934)</f>
        <v>142100</v>
      </c>
    </row>
    <row r="1935" spans="1:11" x14ac:dyDescent="0.3">
      <c r="A1935" s="4" t="s">
        <v>1944</v>
      </c>
      <c r="B1935" s="4">
        <v>499500</v>
      </c>
      <c r="C1935" s="4">
        <f>IF(DatiOriginali!C1935 &gt;= SogliaPicchi!$B$21,"",DatiOriginali!C1935)</f>
        <v>4202800</v>
      </c>
      <c r="D1935" s="4">
        <v>250125</v>
      </c>
      <c r="E1935" s="4">
        <f>IF(DatiOriginali!E1935 &gt;= SogliaPicchi!$B$21,"",DatiOriginali!E1935)</f>
        <v>950500</v>
      </c>
      <c r="F1935" s="4">
        <v>7864270</v>
      </c>
      <c r="G1935" s="4">
        <f>IF(DatiOriginali!G1935 &gt;= SogliaPicchi!$B$21,"",DatiOriginali!G1935)</f>
        <v>371600</v>
      </c>
      <c r="H1935" s="4">
        <v>9825815</v>
      </c>
      <c r="I1935" s="4">
        <f>IF(DatiOriginali!I1935 &gt;= SogliaPicchi!$B$21,"",DatiOriginali!I1935)</f>
        <v>138000</v>
      </c>
      <c r="J1935" s="4">
        <v>9815442</v>
      </c>
      <c r="K1935" s="4">
        <f>IF(DatiOriginali!K1935 &gt;= SogliaPicchi!$B$21,"",DatiOriginali!K1935)</f>
        <v>144000</v>
      </c>
    </row>
    <row r="1936" spans="1:11" x14ac:dyDescent="0.3">
      <c r="A1936" s="4" t="s">
        <v>1945</v>
      </c>
      <c r="B1936" s="4">
        <v>499500</v>
      </c>
      <c r="C1936" s="4">
        <f>IF(DatiOriginali!C1936 &gt;= SogliaPicchi!$B$21,"",DatiOriginali!C1936)</f>
        <v>4270300</v>
      </c>
      <c r="D1936" s="4">
        <v>251720</v>
      </c>
      <c r="E1936" s="4">
        <f>IF(DatiOriginali!E1936 &gt;= SogliaPicchi!$B$21,"",DatiOriginali!E1936)</f>
        <v>874000</v>
      </c>
      <c r="F1936" s="4">
        <v>7872978</v>
      </c>
      <c r="G1936" s="4">
        <f>IF(DatiOriginali!G1936 &gt;= SogliaPicchi!$B$21,"",DatiOriginali!G1936)</f>
        <v>377900</v>
      </c>
      <c r="H1936" s="4">
        <v>9835801</v>
      </c>
      <c r="I1936" s="4">
        <f>IF(DatiOriginali!I1936 &gt;= SogliaPicchi!$B$21,"",DatiOriginali!I1936)</f>
        <v>175300</v>
      </c>
      <c r="J1936" s="4">
        <v>9826822</v>
      </c>
      <c r="K1936" s="4">
        <f>IF(DatiOriginali!K1936 &gt;= SogliaPicchi!$B$21,"",DatiOriginali!K1936)</f>
        <v>200400</v>
      </c>
    </row>
    <row r="1937" spans="1:11" x14ac:dyDescent="0.3">
      <c r="A1937" s="4" t="s">
        <v>1946</v>
      </c>
      <c r="B1937" s="4">
        <v>499500</v>
      </c>
      <c r="C1937" s="4">
        <f>IF(DatiOriginali!C1937 &gt;= SogliaPicchi!$B$21,"",DatiOriginali!C1937)</f>
        <v>3953400</v>
      </c>
      <c r="D1937" s="4">
        <v>247279</v>
      </c>
      <c r="E1937" s="4">
        <f>IF(DatiOriginali!E1937 &gt;= SogliaPicchi!$B$21,"",DatiOriginali!E1937)</f>
        <v>857400</v>
      </c>
      <c r="F1937" s="4">
        <v>7881687</v>
      </c>
      <c r="G1937" s="4">
        <f>IF(DatiOriginali!G1937 &gt;= SogliaPicchi!$B$21,"",DatiOriginali!G1937)</f>
        <v>379500</v>
      </c>
      <c r="H1937" s="4">
        <v>9846524</v>
      </c>
      <c r="I1937" s="4">
        <f>IF(DatiOriginali!I1937 &gt;= SogliaPicchi!$B$21,"",DatiOriginali!I1937)</f>
        <v>123700</v>
      </c>
      <c r="J1937" s="4">
        <v>9837086</v>
      </c>
      <c r="K1937" s="4">
        <f>IF(DatiOriginali!K1937 &gt;= SogliaPicchi!$B$21,"",DatiOriginali!K1937)</f>
        <v>141600</v>
      </c>
    </row>
    <row r="1938" spans="1:11" x14ac:dyDescent="0.3">
      <c r="A1938" s="4" t="s">
        <v>1947</v>
      </c>
      <c r="B1938" s="4">
        <v>499500</v>
      </c>
      <c r="C1938" s="4">
        <f>IF(DatiOriginali!C1938 &gt;= SogliaPicchi!$B$21,"",DatiOriginali!C1938)</f>
        <v>3972900</v>
      </c>
      <c r="D1938" s="4">
        <v>241802</v>
      </c>
      <c r="E1938" s="4">
        <f>IF(DatiOriginali!E1938 &gt;= SogliaPicchi!$B$21,"",DatiOriginali!E1938)</f>
        <v>836500</v>
      </c>
      <c r="F1938" s="4">
        <v>7890383</v>
      </c>
      <c r="G1938" s="4">
        <f>IF(DatiOriginali!G1938 &gt;= SogliaPicchi!$B$21,"",DatiOriginali!G1938)</f>
        <v>378200</v>
      </c>
      <c r="H1938" s="4">
        <v>9858038</v>
      </c>
      <c r="I1938" s="4">
        <f>IF(DatiOriginali!I1938 &gt;= SogliaPicchi!$B$21,"",DatiOriginali!I1938)</f>
        <v>127400</v>
      </c>
      <c r="J1938" s="4">
        <v>9847197</v>
      </c>
      <c r="K1938" s="4">
        <f>IF(DatiOriginali!K1938 &gt;= SogliaPicchi!$B$21,"",DatiOriginali!K1938)</f>
        <v>140400</v>
      </c>
    </row>
    <row r="1939" spans="1:11" x14ac:dyDescent="0.3">
      <c r="A1939" s="4" t="s">
        <v>1948</v>
      </c>
      <c r="B1939" s="4">
        <v>499500</v>
      </c>
      <c r="C1939" s="4">
        <f>IF(DatiOriginali!C1939 &gt;= SogliaPicchi!$B$21,"",DatiOriginali!C1939)</f>
        <v>4329400</v>
      </c>
      <c r="D1939" s="4">
        <v>251439</v>
      </c>
      <c r="E1939" s="4">
        <f>IF(DatiOriginali!E1939 &gt;= SogliaPicchi!$B$21,"",DatiOriginali!E1939)</f>
        <v>867600</v>
      </c>
      <c r="F1939" s="4">
        <v>7899092</v>
      </c>
      <c r="G1939" s="4">
        <f>IF(DatiOriginali!G1939 &gt;= SogliaPicchi!$B$21,"",DatiOriginali!G1939)</f>
        <v>370900</v>
      </c>
      <c r="H1939" s="4">
        <v>9869204</v>
      </c>
      <c r="I1939" s="4">
        <f>IF(DatiOriginali!I1939 &gt;= SogliaPicchi!$B$21,"",DatiOriginali!I1939)</f>
        <v>125000</v>
      </c>
      <c r="J1939" s="4">
        <v>9858223</v>
      </c>
      <c r="K1939" s="4">
        <f>IF(DatiOriginali!K1939 &gt;= SogliaPicchi!$B$21,"",DatiOriginali!K1939)</f>
        <v>141500</v>
      </c>
    </row>
    <row r="1940" spans="1:11" x14ac:dyDescent="0.3">
      <c r="A1940" s="4" t="s">
        <v>1949</v>
      </c>
      <c r="B1940" s="4">
        <v>499500</v>
      </c>
      <c r="C1940" s="4">
        <f>IF(DatiOriginali!C1940 &gt;= SogliaPicchi!$B$21,"",DatiOriginali!C1940)</f>
        <v>4149100</v>
      </c>
      <c r="D1940" s="4">
        <v>253956</v>
      </c>
      <c r="E1940" s="4">
        <f>IF(DatiOriginali!E1940 &gt;= SogliaPicchi!$B$21,"",DatiOriginali!E1940)</f>
        <v>883400</v>
      </c>
      <c r="F1940" s="4">
        <v>7907833</v>
      </c>
      <c r="G1940" s="4">
        <f>IF(DatiOriginali!G1940 &gt;= SogliaPicchi!$B$21,"",DatiOriginali!G1940)</f>
        <v>369100</v>
      </c>
      <c r="H1940" s="4">
        <v>9879512</v>
      </c>
      <c r="I1940" s="4">
        <f>IF(DatiOriginali!I1940 &gt;= SogliaPicchi!$B$21,"",DatiOriginali!I1940)</f>
        <v>128700</v>
      </c>
      <c r="J1940" s="4">
        <v>9869238</v>
      </c>
      <c r="K1940" s="4">
        <f>IF(DatiOriginali!K1940 &gt;= SogliaPicchi!$B$21,"",DatiOriginali!K1940)</f>
        <v>143300</v>
      </c>
    </row>
    <row r="1941" spans="1:11" x14ac:dyDescent="0.3">
      <c r="A1941" s="4" t="s">
        <v>1950</v>
      </c>
      <c r="B1941" s="4">
        <v>499500</v>
      </c>
      <c r="C1941" s="4">
        <f>IF(DatiOriginali!C1941 &gt;= SogliaPicchi!$B$21,"",DatiOriginali!C1941)</f>
        <v>4123900</v>
      </c>
      <c r="D1941" s="4">
        <v>252069</v>
      </c>
      <c r="E1941" s="4">
        <f>IF(DatiOriginali!E1941 &gt;= SogliaPicchi!$B$21,"",DatiOriginali!E1941)</f>
        <v>869100</v>
      </c>
      <c r="F1941" s="4">
        <v>7916530</v>
      </c>
      <c r="G1941" s="4">
        <f>IF(DatiOriginali!G1941 &gt;= SogliaPicchi!$B$21,"",DatiOriginali!G1941)</f>
        <v>372000</v>
      </c>
      <c r="H1941" s="4">
        <v>9890988</v>
      </c>
      <c r="I1941" s="4">
        <f>IF(DatiOriginali!I1941 &gt;= SogliaPicchi!$B$21,"",DatiOriginali!I1941)</f>
        <v>127900</v>
      </c>
      <c r="J1941" s="4">
        <v>9881098</v>
      </c>
      <c r="K1941" s="4">
        <f>IF(DatiOriginali!K1941 &gt;= SogliaPicchi!$B$21,"",DatiOriginali!K1941)</f>
        <v>145600</v>
      </c>
    </row>
    <row r="1942" spans="1:11" x14ac:dyDescent="0.3">
      <c r="A1942" s="4" t="s">
        <v>1951</v>
      </c>
      <c r="B1942" s="4">
        <v>499500</v>
      </c>
      <c r="C1942" s="4">
        <f>IF(DatiOriginali!C1942 &gt;= SogliaPicchi!$B$21,"",DatiOriginali!C1942)</f>
        <v>4123800</v>
      </c>
      <c r="D1942" s="4">
        <v>250480</v>
      </c>
      <c r="E1942" s="4">
        <f>IF(DatiOriginali!E1942 &gt;= SogliaPicchi!$B$21,"",DatiOriginali!E1942)</f>
        <v>865600</v>
      </c>
      <c r="F1942" s="4">
        <v>7925227</v>
      </c>
      <c r="G1942" s="4">
        <f>IF(DatiOriginali!G1942 &gt;= SogliaPicchi!$B$21,"",DatiOriginali!G1942)</f>
        <v>370300</v>
      </c>
      <c r="H1942" s="4">
        <v>9901960</v>
      </c>
      <c r="I1942" s="4">
        <f>IF(DatiOriginali!I1942 &gt;= SogliaPicchi!$B$21,"",DatiOriginali!I1942)</f>
        <v>125400</v>
      </c>
      <c r="J1942" s="4">
        <v>9891768</v>
      </c>
      <c r="K1942" s="4">
        <f>IF(DatiOriginali!K1942 &gt;= SogliaPicchi!$B$21,"",DatiOriginali!K1942)</f>
        <v>138800</v>
      </c>
    </row>
    <row r="1943" spans="1:11" x14ac:dyDescent="0.3">
      <c r="A1943" s="4" t="s">
        <v>1952</v>
      </c>
      <c r="B1943" s="4">
        <v>499500</v>
      </c>
      <c r="C1943" s="4">
        <f>IF(DatiOriginali!C1943 &gt;= SogliaPicchi!$B$21,"",DatiOriginali!C1943)</f>
        <v>4267900</v>
      </c>
      <c r="D1943" s="4">
        <v>250717</v>
      </c>
      <c r="E1943" s="4">
        <f>IF(DatiOriginali!E1943 &gt;= SogliaPicchi!$B$21,"",DatiOriginali!E1943)</f>
        <v>869100</v>
      </c>
      <c r="F1943" s="4">
        <v>7933918</v>
      </c>
      <c r="G1943" s="4">
        <f>IF(DatiOriginali!G1943 &gt;= SogliaPicchi!$B$21,"",DatiOriginali!G1943)</f>
        <v>372600</v>
      </c>
      <c r="H1943" s="4">
        <v>9912512</v>
      </c>
      <c r="I1943" s="4">
        <f>IF(DatiOriginali!I1943 &gt;= SogliaPicchi!$B$21,"",DatiOriginali!I1943)</f>
        <v>126300</v>
      </c>
      <c r="J1943" s="4">
        <v>9902315</v>
      </c>
      <c r="K1943" s="4">
        <f>IF(DatiOriginali!K1943 &gt;= SogliaPicchi!$B$21,"",DatiOriginali!K1943)</f>
        <v>141300</v>
      </c>
    </row>
    <row r="1944" spans="1:11" x14ac:dyDescent="0.3">
      <c r="A1944" s="4" t="s">
        <v>1953</v>
      </c>
      <c r="B1944" s="4">
        <v>499500</v>
      </c>
      <c r="C1944" s="4">
        <f>IF(DatiOriginali!C1944 &gt;= SogliaPicchi!$B$21,"",DatiOriginali!C1944)</f>
        <v>4374400</v>
      </c>
      <c r="D1944" s="4">
        <v>248380</v>
      </c>
      <c r="E1944" s="4">
        <f>IF(DatiOriginali!E1944 &gt;= SogliaPicchi!$B$21,"",DatiOriginali!E1944)</f>
        <v>867500</v>
      </c>
      <c r="F1944" s="4">
        <v>7942585</v>
      </c>
      <c r="G1944" s="4">
        <f>IF(DatiOriginali!G1944 &gt;= SogliaPicchi!$B$21,"",DatiOriginali!G1944)</f>
        <v>367500</v>
      </c>
      <c r="H1944" s="4">
        <v>9923716</v>
      </c>
      <c r="I1944" s="4">
        <f>IF(DatiOriginali!I1944 &gt;= SogliaPicchi!$B$21,"",DatiOriginali!I1944)</f>
        <v>128300</v>
      </c>
      <c r="J1944" s="4">
        <v>9912585</v>
      </c>
      <c r="K1944" s="4">
        <f>IF(DatiOriginali!K1944 &gt;= SogliaPicchi!$B$21,"",DatiOriginali!K1944)</f>
        <v>140700</v>
      </c>
    </row>
    <row r="1945" spans="1:11" x14ac:dyDescent="0.3">
      <c r="A1945" s="4" t="s">
        <v>1954</v>
      </c>
      <c r="B1945" s="4">
        <v>499500</v>
      </c>
      <c r="C1945" s="4">
        <f>IF(DatiOriginali!C1945 &gt;= SogliaPicchi!$B$21,"",DatiOriginali!C1945)</f>
        <v>4425300</v>
      </c>
      <c r="D1945" s="4">
        <v>249007</v>
      </c>
      <c r="E1945" s="4">
        <f>IF(DatiOriginali!E1945 &gt;= SogliaPicchi!$B$21,"",DatiOriginali!E1945)</f>
        <v>914100</v>
      </c>
      <c r="F1945" s="4">
        <v>7951291</v>
      </c>
      <c r="G1945" s="4">
        <f>IF(DatiOriginali!G1945 &gt;= SogliaPicchi!$B$21,"",DatiOriginali!G1945)</f>
        <v>407500</v>
      </c>
      <c r="H1945" s="4">
        <v>9935890</v>
      </c>
      <c r="I1945" s="4">
        <f>IF(DatiOriginali!I1945 &gt;= SogliaPicchi!$B$21,"",DatiOriginali!I1945)</f>
        <v>130200</v>
      </c>
      <c r="J1945" s="4">
        <v>9923266</v>
      </c>
      <c r="K1945" s="4">
        <f>IF(DatiOriginali!K1945 &gt;= SogliaPicchi!$B$21,"",DatiOriginali!K1945)</f>
        <v>142500</v>
      </c>
    </row>
    <row r="1946" spans="1:11" x14ac:dyDescent="0.3">
      <c r="A1946" s="4" t="s">
        <v>1955</v>
      </c>
      <c r="B1946" s="4">
        <v>499500</v>
      </c>
      <c r="C1946" s="4">
        <f>IF(DatiOriginali!C1946 &gt;= SogliaPicchi!$B$21,"",DatiOriginali!C1946)</f>
        <v>4286100</v>
      </c>
      <c r="D1946" s="4">
        <v>252664</v>
      </c>
      <c r="E1946" s="4">
        <f>IF(DatiOriginali!E1946 &gt;= SogliaPicchi!$B$21,"",DatiOriginali!E1946)</f>
        <v>900500</v>
      </c>
      <c r="F1946" s="4">
        <v>7959991</v>
      </c>
      <c r="G1946" s="4">
        <f>IF(DatiOriginali!G1946 &gt;= SogliaPicchi!$B$21,"",DatiOriginali!G1946)</f>
        <v>567300</v>
      </c>
      <c r="H1946" s="4">
        <v>9946967</v>
      </c>
      <c r="I1946" s="4">
        <f>IF(DatiOriginali!I1946 &gt;= SogliaPicchi!$B$21,"",DatiOriginali!I1946)</f>
        <v>131300</v>
      </c>
      <c r="J1946" s="4">
        <v>9933618</v>
      </c>
      <c r="K1946" s="4">
        <f>IF(DatiOriginali!K1946 &gt;= SogliaPicchi!$B$21,"",DatiOriginali!K1946)</f>
        <v>138000</v>
      </c>
    </row>
    <row r="1947" spans="1:11" x14ac:dyDescent="0.3">
      <c r="A1947" s="4" t="s">
        <v>1956</v>
      </c>
      <c r="B1947" s="4">
        <v>499500</v>
      </c>
      <c r="C1947" s="4">
        <f>IF(DatiOriginali!C1947 &gt;= SogliaPicchi!$B$21,"",DatiOriginali!C1947)</f>
        <v>4261100</v>
      </c>
      <c r="D1947" s="4">
        <v>247016</v>
      </c>
      <c r="E1947" s="4">
        <f>IF(DatiOriginali!E1947 &gt;= SogliaPicchi!$B$21,"",DatiOriginali!E1947)</f>
        <v>859400</v>
      </c>
      <c r="F1947" s="4">
        <v>7968661</v>
      </c>
      <c r="G1947" s="4">
        <f>IF(DatiOriginali!G1947 &gt;= SogliaPicchi!$B$21,"",DatiOriginali!G1947)</f>
        <v>379600</v>
      </c>
      <c r="H1947" s="4">
        <v>9957376</v>
      </c>
      <c r="I1947" s="4">
        <f>IF(DatiOriginali!I1947 &gt;= SogliaPicchi!$B$21,"",DatiOriginali!I1947)</f>
        <v>124000</v>
      </c>
      <c r="J1947" s="4">
        <v>9944440</v>
      </c>
      <c r="K1947" s="4">
        <f>IF(DatiOriginali!K1947 &gt;= SogliaPicchi!$B$21,"",DatiOriginali!K1947)</f>
        <v>139200</v>
      </c>
    </row>
    <row r="1948" spans="1:11" x14ac:dyDescent="0.3">
      <c r="A1948" s="4" t="s">
        <v>1957</v>
      </c>
      <c r="B1948" s="4">
        <v>499500</v>
      </c>
      <c r="C1948" s="4">
        <f>IF(DatiOriginali!C1948 &gt;= SogliaPicchi!$B$21,"",DatiOriginali!C1948)</f>
        <v>4441600</v>
      </c>
      <c r="D1948" s="4">
        <v>250482</v>
      </c>
      <c r="E1948" s="4">
        <f>IF(DatiOriginali!E1948 &gt;= SogliaPicchi!$B$21,"",DatiOriginali!E1948)</f>
        <v>1104200</v>
      </c>
      <c r="F1948" s="4">
        <v>7977376</v>
      </c>
      <c r="G1948" s="4">
        <f>IF(DatiOriginali!G1948 &gt;= SogliaPicchi!$B$21,"",DatiOriginali!G1948)</f>
        <v>458500</v>
      </c>
      <c r="H1948" s="4">
        <v>9971523</v>
      </c>
      <c r="I1948" s="4">
        <f>IF(DatiOriginali!I1948 &gt;= SogliaPicchi!$B$21,"",DatiOriginali!I1948)</f>
        <v>161700</v>
      </c>
      <c r="J1948" s="4">
        <v>9955221</v>
      </c>
      <c r="K1948" s="4">
        <f>IF(DatiOriginali!K1948 &gt;= SogliaPicchi!$B$21,"",DatiOriginali!K1948)</f>
        <v>174000</v>
      </c>
    </row>
    <row r="1949" spans="1:11" x14ac:dyDescent="0.3">
      <c r="A1949" s="4" t="s">
        <v>1958</v>
      </c>
      <c r="B1949" s="4">
        <v>499500</v>
      </c>
      <c r="C1949" s="4">
        <f>IF(DatiOriginali!C1949 &gt;= SogliaPicchi!$B$21,"",DatiOriginali!C1949)</f>
        <v>4071600</v>
      </c>
      <c r="D1949" s="4">
        <v>253215</v>
      </c>
      <c r="E1949" s="4">
        <f>IF(DatiOriginali!E1949 &gt;= SogliaPicchi!$B$21,"",DatiOriginali!E1949)</f>
        <v>922300</v>
      </c>
      <c r="F1949" s="4">
        <v>7986086</v>
      </c>
      <c r="G1949" s="4">
        <f>IF(DatiOriginali!G1949 &gt;= SogliaPicchi!$B$21,"",DatiOriginali!G1949)</f>
        <v>373200</v>
      </c>
      <c r="H1949" s="4">
        <v>9982102</v>
      </c>
      <c r="I1949" s="4">
        <f>IF(DatiOriginali!I1949 &gt;= SogliaPicchi!$B$21,"",DatiOriginali!I1949)</f>
        <v>125700</v>
      </c>
      <c r="J1949" s="4">
        <v>9966332</v>
      </c>
      <c r="K1949" s="4">
        <f>IF(DatiOriginali!K1949 &gt;= SogliaPicchi!$B$21,"",DatiOriginali!K1949)</f>
        <v>139800</v>
      </c>
    </row>
    <row r="1950" spans="1:11" x14ac:dyDescent="0.3">
      <c r="A1950" s="4" t="s">
        <v>1959</v>
      </c>
      <c r="B1950" s="4">
        <v>499500</v>
      </c>
      <c r="C1950" s="4">
        <f>IF(DatiOriginali!C1950 &gt;= SogliaPicchi!$B$21,"",DatiOriginali!C1950)</f>
        <v>4291800</v>
      </c>
      <c r="D1950" s="4">
        <v>244722</v>
      </c>
      <c r="E1950" s="4">
        <f>IF(DatiOriginali!E1950 &gt;= SogliaPicchi!$B$21,"",DatiOriginali!E1950)</f>
        <v>847200</v>
      </c>
      <c r="F1950" s="4">
        <v>7994810</v>
      </c>
      <c r="G1950" s="4">
        <f>IF(DatiOriginali!G1950 &gt;= SogliaPicchi!$B$21,"",DatiOriginali!G1950)</f>
        <v>394100</v>
      </c>
      <c r="H1950" s="4">
        <v>9992967</v>
      </c>
      <c r="I1950" s="4">
        <f>IF(DatiOriginali!I1950 &gt;= SogliaPicchi!$B$21,"",DatiOriginali!I1950)</f>
        <v>203800</v>
      </c>
      <c r="J1950" s="4">
        <v>9976675</v>
      </c>
      <c r="K1950" s="4">
        <f>IF(DatiOriginali!K1950 &gt;= SogliaPicchi!$B$21,"",DatiOriginali!K1950)</f>
        <v>208800</v>
      </c>
    </row>
    <row r="1951" spans="1:11" x14ac:dyDescent="0.3">
      <c r="A1951" s="4" t="s">
        <v>1960</v>
      </c>
      <c r="B1951" s="4">
        <v>499500</v>
      </c>
      <c r="C1951" s="4">
        <f>IF(DatiOriginali!C1951 &gt;= SogliaPicchi!$B$21,"",DatiOriginali!C1951)</f>
        <v>4927600</v>
      </c>
      <c r="D1951" s="4">
        <v>252071</v>
      </c>
      <c r="E1951" s="4">
        <f>IF(DatiOriginali!E1951 &gt;= SogliaPicchi!$B$21,"",DatiOriginali!E1951)</f>
        <v>1028200</v>
      </c>
      <c r="F1951" s="4">
        <v>8003511</v>
      </c>
      <c r="G1951" s="4">
        <f>IF(DatiOriginali!G1951 &gt;= SogliaPicchi!$B$21,"",DatiOriginali!G1951)</f>
        <v>375300</v>
      </c>
      <c r="H1951" s="4">
        <v>10004288</v>
      </c>
      <c r="I1951" s="4">
        <f>IF(DatiOriginali!I1951 &gt;= SogliaPicchi!$B$21,"",DatiOriginali!I1951)</f>
        <v>130600</v>
      </c>
      <c r="J1951" s="4">
        <v>9988220</v>
      </c>
      <c r="K1951" s="4">
        <f>IF(DatiOriginali!K1951 &gt;= SogliaPicchi!$B$21,"",DatiOriginali!K1951)</f>
        <v>141600</v>
      </c>
    </row>
    <row r="1952" spans="1:11" x14ac:dyDescent="0.3">
      <c r="A1952" s="4" t="s">
        <v>1961</v>
      </c>
      <c r="B1952" s="4">
        <v>499500</v>
      </c>
      <c r="C1952" s="4">
        <f>IF(DatiOriginali!C1952 &gt;= SogliaPicchi!$B$21,"",DatiOriginali!C1952)</f>
        <v>4184000</v>
      </c>
      <c r="D1952" s="4">
        <v>251972</v>
      </c>
      <c r="E1952" s="4">
        <f>IF(DatiOriginali!E1952 &gt;= SogliaPicchi!$B$21,"",DatiOriginali!E1952)</f>
        <v>869100</v>
      </c>
      <c r="F1952" s="4">
        <v>8012247</v>
      </c>
      <c r="G1952" s="4">
        <f>IF(DatiOriginali!G1952 &gt;= SogliaPicchi!$B$21,"",DatiOriginali!G1952)</f>
        <v>384600</v>
      </c>
      <c r="H1952" s="4">
        <v>10014613</v>
      </c>
      <c r="I1952" s="4">
        <f>IF(DatiOriginali!I1952 &gt;= SogliaPicchi!$B$21,"",DatiOriginali!I1952)</f>
        <v>127200</v>
      </c>
      <c r="J1952" s="4">
        <v>9998983</v>
      </c>
      <c r="K1952" s="4">
        <f>IF(DatiOriginali!K1952 &gt;= SogliaPicchi!$B$21,"",DatiOriginali!K1952)</f>
        <v>139200</v>
      </c>
    </row>
    <row r="1953" spans="1:11" x14ac:dyDescent="0.3">
      <c r="A1953" s="4" t="s">
        <v>1962</v>
      </c>
      <c r="B1953" s="4">
        <v>499500</v>
      </c>
      <c r="C1953" s="4">
        <f>IF(DatiOriginali!C1953 &gt;= SogliaPicchi!$B$21,"",DatiOriginali!C1953)</f>
        <v>4132200</v>
      </c>
      <c r="D1953" s="4">
        <v>254723</v>
      </c>
      <c r="E1953" s="4">
        <f>IF(DatiOriginali!E1953 &gt;= SogliaPicchi!$B$21,"",DatiOriginali!E1953)</f>
        <v>1180200</v>
      </c>
      <c r="F1953" s="4">
        <v>8020954</v>
      </c>
      <c r="G1953" s="4">
        <f>IF(DatiOriginali!G1953 &gt;= SogliaPicchi!$B$21,"",DatiOriginali!G1953)</f>
        <v>455800</v>
      </c>
      <c r="H1953" s="4">
        <v>10025681</v>
      </c>
      <c r="I1953" s="4">
        <f>IF(DatiOriginali!I1953 &gt;= SogliaPicchi!$B$21,"",DatiOriginali!I1953)</f>
        <v>154100</v>
      </c>
      <c r="J1953" s="4">
        <v>10009853</v>
      </c>
      <c r="K1953" s="4">
        <f>IF(DatiOriginali!K1953 &gt;= SogliaPicchi!$B$21,"",DatiOriginali!K1953)</f>
        <v>175800</v>
      </c>
    </row>
    <row r="1954" spans="1:11" x14ac:dyDescent="0.3">
      <c r="A1954" s="4" t="s">
        <v>1963</v>
      </c>
      <c r="B1954" s="4">
        <v>499500</v>
      </c>
      <c r="C1954" s="4">
        <f>IF(DatiOriginali!C1954 &gt;= SogliaPicchi!$B$21,"",DatiOriginali!C1954)</f>
        <v>4053800</v>
      </c>
      <c r="D1954" s="4">
        <v>244197</v>
      </c>
      <c r="E1954" s="4">
        <f>IF(DatiOriginali!E1954 &gt;= SogliaPicchi!$B$21,"",DatiOriginali!E1954)</f>
        <v>920100</v>
      </c>
      <c r="F1954" s="4">
        <v>8029676</v>
      </c>
      <c r="G1954" s="4">
        <f>IF(DatiOriginali!G1954 &gt;= SogliaPicchi!$B$21,"",DatiOriginali!G1954)</f>
        <v>394800</v>
      </c>
      <c r="H1954" s="4">
        <v>10036524</v>
      </c>
      <c r="I1954" s="4">
        <f>IF(DatiOriginali!I1954 &gt;= SogliaPicchi!$B$21,"",DatiOriginali!I1954)</f>
        <v>126600</v>
      </c>
      <c r="J1954" s="4">
        <v>10020031</v>
      </c>
      <c r="K1954" s="4">
        <f>IF(DatiOriginali!K1954 &gt;= SogliaPicchi!$B$21,"",DatiOriginali!K1954)</f>
        <v>139200</v>
      </c>
    </row>
    <row r="1955" spans="1:11" x14ac:dyDescent="0.3">
      <c r="A1955" s="4" t="s">
        <v>1964</v>
      </c>
      <c r="B1955" s="4">
        <v>499500</v>
      </c>
      <c r="C1955" s="4">
        <f>IF(DatiOriginali!C1955 &gt;= SogliaPicchi!$B$21,"",DatiOriginali!C1955)</f>
        <v>4115200</v>
      </c>
      <c r="D1955" s="4">
        <v>255184</v>
      </c>
      <c r="E1955" s="4">
        <f>IF(DatiOriginali!E1955 &gt;= SogliaPicchi!$B$21,"",DatiOriginali!E1955)</f>
        <v>879300</v>
      </c>
      <c r="F1955" s="4">
        <v>8038402</v>
      </c>
      <c r="G1955" s="4">
        <f>IF(DatiOriginali!G1955 &gt;= SogliaPicchi!$B$21,"",DatiOriginali!G1955)</f>
        <v>368600</v>
      </c>
      <c r="H1955" s="4">
        <v>10047523</v>
      </c>
      <c r="I1955" s="4">
        <f>IF(DatiOriginali!I1955 &gt;= SogliaPicchi!$B$21,"",DatiOriginali!I1955)</f>
        <v>126300</v>
      </c>
      <c r="J1955" s="4">
        <v>10029848</v>
      </c>
      <c r="K1955" s="4">
        <f>IF(DatiOriginali!K1955 &gt;= SogliaPicchi!$B$21,"",DatiOriginali!K1955)</f>
        <v>191000</v>
      </c>
    </row>
    <row r="1956" spans="1:11" x14ac:dyDescent="0.3">
      <c r="A1956" s="4" t="s">
        <v>1965</v>
      </c>
      <c r="B1956" s="4">
        <v>499500</v>
      </c>
      <c r="C1956" s="4">
        <f>IF(DatiOriginali!C1956 &gt;= SogliaPicchi!$B$21,"",DatiOriginali!C1956)</f>
        <v>4152400</v>
      </c>
      <c r="D1956" s="4">
        <v>253035</v>
      </c>
      <c r="E1956" s="4">
        <f>IF(DatiOriginali!E1956 &gt;= SogliaPicchi!$B$21,"",DatiOriginali!E1956)</f>
        <v>877300</v>
      </c>
      <c r="F1956" s="4">
        <v>8047133</v>
      </c>
      <c r="G1956" s="4">
        <f>IF(DatiOriginali!G1956 &gt;= SogliaPicchi!$B$21,"",DatiOriginali!G1956)</f>
        <v>368000</v>
      </c>
      <c r="H1956" s="4">
        <v>10058254</v>
      </c>
      <c r="I1956" s="4">
        <f>IF(DatiOriginali!I1956 &gt;= SogliaPicchi!$B$21,"",DatiOriginali!I1956)</f>
        <v>123500</v>
      </c>
      <c r="J1956" s="4">
        <v>10040608</v>
      </c>
      <c r="K1956" s="4">
        <f>IF(DatiOriginali!K1956 &gt;= SogliaPicchi!$B$21,"",DatiOriginali!K1956)</f>
        <v>144700</v>
      </c>
    </row>
    <row r="1957" spans="1:11" x14ac:dyDescent="0.3">
      <c r="A1957" s="4" t="s">
        <v>1966</v>
      </c>
      <c r="B1957" s="4">
        <v>499500</v>
      </c>
      <c r="C1957" s="4">
        <f>IF(DatiOriginali!C1957 &gt;= SogliaPicchi!$B$21,"",DatiOriginali!C1957)</f>
        <v>4453400</v>
      </c>
      <c r="D1957" s="4">
        <v>246235</v>
      </c>
      <c r="E1957" s="4">
        <f>IF(DatiOriginali!E1957 &gt;= SogliaPicchi!$B$21,"",DatiOriginali!E1957)</f>
        <v>880600</v>
      </c>
      <c r="F1957" s="4">
        <v>8055816</v>
      </c>
      <c r="G1957" s="4">
        <f>IF(DatiOriginali!G1957 &gt;= SogliaPicchi!$B$21,"",DatiOriginali!G1957)</f>
        <v>466000</v>
      </c>
      <c r="H1957" s="4">
        <v>10069690</v>
      </c>
      <c r="I1957" s="4">
        <f>IF(DatiOriginali!I1957 &gt;= SogliaPicchi!$B$21,"",DatiOriginali!I1957)</f>
        <v>133100</v>
      </c>
      <c r="J1957" s="4">
        <v>10052121</v>
      </c>
      <c r="K1957" s="4">
        <f>IF(DatiOriginali!K1957 &gt;= SogliaPicchi!$B$21,"",DatiOriginali!K1957)</f>
        <v>142300</v>
      </c>
    </row>
    <row r="1958" spans="1:11" x14ac:dyDescent="0.3">
      <c r="A1958" s="4" t="s">
        <v>1967</v>
      </c>
      <c r="B1958" s="4">
        <v>499500</v>
      </c>
      <c r="C1958" s="4">
        <f>IF(DatiOriginali!C1958 &gt;= SogliaPicchi!$B$21,"",DatiOriginali!C1958)</f>
        <v>4330500</v>
      </c>
      <c r="D1958" s="4">
        <v>247248</v>
      </c>
      <c r="E1958" s="4">
        <f>IF(DatiOriginali!E1958 &gt;= SogliaPicchi!$B$21,"",DatiOriginali!E1958)</f>
        <v>1113200</v>
      </c>
      <c r="F1958" s="4">
        <v>8064508</v>
      </c>
      <c r="G1958" s="4">
        <f>IF(DatiOriginali!G1958 &gt;= SogliaPicchi!$B$21,"",DatiOriginali!G1958)</f>
        <v>381900</v>
      </c>
      <c r="H1958" s="4">
        <v>10080565</v>
      </c>
      <c r="I1958" s="4">
        <f>IF(DatiOriginali!I1958 &gt;= SogliaPicchi!$B$21,"",DatiOriginali!I1958)</f>
        <v>130700</v>
      </c>
      <c r="J1958" s="4">
        <v>10063287</v>
      </c>
      <c r="K1958" s="4">
        <f>IF(DatiOriginali!K1958 &gt;= SogliaPicchi!$B$21,"",DatiOriginali!K1958)</f>
        <v>143100</v>
      </c>
    </row>
    <row r="1959" spans="1:11" x14ac:dyDescent="0.3">
      <c r="A1959" s="4" t="s">
        <v>1968</v>
      </c>
      <c r="B1959" s="4">
        <v>499500</v>
      </c>
      <c r="C1959" s="4">
        <f>IF(DatiOriginali!C1959 &gt;= SogliaPicchi!$B$21,"",DatiOriginali!C1959)</f>
        <v>4171200</v>
      </c>
      <c r="D1959" s="4">
        <v>254123</v>
      </c>
      <c r="E1959" s="4">
        <f>IF(DatiOriginali!E1959 &gt;= SogliaPicchi!$B$21,"",DatiOriginali!E1959)</f>
        <v>888300</v>
      </c>
      <c r="F1959" s="4">
        <v>8073188</v>
      </c>
      <c r="G1959" s="4">
        <f>IF(DatiOriginali!G1959 &gt;= SogliaPicchi!$B$21,"",DatiOriginali!G1959)</f>
        <v>373000</v>
      </c>
      <c r="H1959" s="4">
        <v>10092342</v>
      </c>
      <c r="I1959" s="4">
        <f>IF(DatiOriginali!I1959 &gt;= SogliaPicchi!$B$21,"",DatiOriginali!I1959)</f>
        <v>134500</v>
      </c>
      <c r="J1959" s="4">
        <v>10073498</v>
      </c>
      <c r="K1959" s="4">
        <f>IF(DatiOriginali!K1959 &gt;= SogliaPicchi!$B$21,"",DatiOriginali!K1959)</f>
        <v>140600</v>
      </c>
    </row>
    <row r="1960" spans="1:11" x14ac:dyDescent="0.3">
      <c r="A1960" s="4" t="s">
        <v>1969</v>
      </c>
      <c r="B1960" s="4">
        <v>499500</v>
      </c>
      <c r="C1960" s="4">
        <f>IF(DatiOriginali!C1960 &gt;= SogliaPicchi!$B$21,"",DatiOriginali!C1960)</f>
        <v>4132700</v>
      </c>
      <c r="D1960" s="4">
        <v>254297</v>
      </c>
      <c r="E1960" s="4">
        <f>IF(DatiOriginali!E1960 &gt;= SogliaPicchi!$B$21,"",DatiOriginali!E1960)</f>
        <v>898300</v>
      </c>
      <c r="F1960" s="4">
        <v>8081890</v>
      </c>
      <c r="G1960" s="4">
        <f>IF(DatiOriginali!G1960 &gt;= SogliaPicchi!$B$21,"",DatiOriginali!G1960)</f>
        <v>379300</v>
      </c>
      <c r="H1960" s="4">
        <v>10103782</v>
      </c>
      <c r="I1960" s="4">
        <f>IF(DatiOriginali!I1960 &gt;= SogliaPicchi!$B$21,"",DatiOriginali!I1960)</f>
        <v>132300</v>
      </c>
      <c r="J1960" s="4">
        <v>10084162</v>
      </c>
      <c r="K1960" s="4">
        <f>IF(DatiOriginali!K1960 &gt;= SogliaPicchi!$B$21,"",DatiOriginali!K1960)</f>
        <v>150100</v>
      </c>
    </row>
    <row r="1961" spans="1:11" x14ac:dyDescent="0.3">
      <c r="A1961" s="4" t="s">
        <v>1970</v>
      </c>
      <c r="B1961" s="4">
        <v>499500</v>
      </c>
      <c r="C1961" s="4">
        <f>IF(DatiOriginali!C1961 &gt;= SogliaPicchi!$B$21,"",DatiOriginali!C1961)</f>
        <v>4101100</v>
      </c>
      <c r="D1961" s="4">
        <v>240767</v>
      </c>
      <c r="E1961" s="4">
        <f>IF(DatiOriginali!E1961 &gt;= SogliaPicchi!$B$21,"",DatiOriginali!E1961)</f>
        <v>831000</v>
      </c>
      <c r="F1961" s="4">
        <v>8090620</v>
      </c>
      <c r="G1961" s="4">
        <f>IF(DatiOriginali!G1961 &gt;= SogliaPicchi!$B$21,"",DatiOriginali!G1961)</f>
        <v>371900</v>
      </c>
      <c r="H1961" s="4">
        <v>10114194</v>
      </c>
      <c r="I1961" s="4">
        <f>IF(DatiOriginali!I1961 &gt;= SogliaPicchi!$B$21,"",DatiOriginali!I1961)</f>
        <v>126800</v>
      </c>
      <c r="J1961" s="4">
        <v>10094873</v>
      </c>
      <c r="K1961" s="4">
        <f>IF(DatiOriginali!K1961 &gt;= SogliaPicchi!$B$21,"",DatiOriginali!K1961)</f>
        <v>141500</v>
      </c>
    </row>
    <row r="1962" spans="1:11" x14ac:dyDescent="0.3">
      <c r="A1962" s="4" t="s">
        <v>1971</v>
      </c>
      <c r="B1962" s="4">
        <v>499500</v>
      </c>
      <c r="C1962" s="4">
        <f>IF(DatiOriginali!C1962 &gt;= SogliaPicchi!$B$21,"",DatiOriginali!C1962)</f>
        <v>4648300</v>
      </c>
      <c r="D1962" s="4">
        <v>246140</v>
      </c>
      <c r="E1962" s="4">
        <f>IF(DatiOriginali!E1962 &gt;= SogliaPicchi!$B$21,"",DatiOriginali!E1962)</f>
        <v>872400</v>
      </c>
      <c r="F1962" s="4">
        <v>8099330</v>
      </c>
      <c r="G1962" s="4">
        <f>IF(DatiOriginali!G1962 &gt;= SogliaPicchi!$B$21,"",DatiOriginali!G1962)</f>
        <v>379400</v>
      </c>
      <c r="H1962" s="4">
        <v>10125133</v>
      </c>
      <c r="I1962" s="4">
        <f>IF(DatiOriginali!I1962 &gt;= SogliaPicchi!$B$21,"",DatiOriginali!I1962)</f>
        <v>126700</v>
      </c>
      <c r="J1962" s="4">
        <v>10106108</v>
      </c>
      <c r="K1962" s="4">
        <f>IF(DatiOriginali!K1962 &gt;= SogliaPicchi!$B$21,"",DatiOriginali!K1962)</f>
        <v>141100</v>
      </c>
    </row>
    <row r="1963" spans="1:11" x14ac:dyDescent="0.3">
      <c r="A1963" s="4" t="s">
        <v>1972</v>
      </c>
      <c r="B1963" s="4">
        <v>499500</v>
      </c>
      <c r="C1963" s="4">
        <f>IF(DatiOriginali!C1963 &gt;= SogliaPicchi!$B$21,"",DatiOriginali!C1963)</f>
        <v>4219500</v>
      </c>
      <c r="D1963" s="4">
        <v>252815</v>
      </c>
      <c r="E1963" s="4">
        <f>IF(DatiOriginali!E1963 &gt;= SogliaPicchi!$B$21,"",DatiOriginali!E1963)</f>
        <v>872700</v>
      </c>
      <c r="F1963" s="4">
        <v>8108034</v>
      </c>
      <c r="G1963" s="4">
        <f>IF(DatiOriginali!G1963 &gt;= SogliaPicchi!$B$21,"",DatiOriginali!G1963)</f>
        <v>369300</v>
      </c>
      <c r="H1963" s="4">
        <v>10136322</v>
      </c>
      <c r="I1963" s="4">
        <f>IF(DatiOriginali!I1963 &gt;= SogliaPicchi!$B$21,"",DatiOriginali!I1963)</f>
        <v>134700</v>
      </c>
      <c r="J1963" s="4">
        <v>10116514</v>
      </c>
      <c r="K1963" s="4">
        <f>IF(DatiOriginali!K1963 &gt;= SogliaPicchi!$B$21,"",DatiOriginali!K1963)</f>
        <v>142500</v>
      </c>
    </row>
    <row r="1964" spans="1:11" x14ac:dyDescent="0.3">
      <c r="A1964" s="4" t="s">
        <v>1973</v>
      </c>
      <c r="B1964" s="4">
        <v>499500</v>
      </c>
      <c r="C1964" s="4">
        <f>IF(DatiOriginali!C1964 &gt;= SogliaPicchi!$B$21,"",DatiOriginali!C1964)</f>
        <v>4049500</v>
      </c>
      <c r="D1964" s="4">
        <v>252662</v>
      </c>
      <c r="E1964" s="4">
        <f>IF(DatiOriginali!E1964 &gt;= SogliaPicchi!$B$21,"",DatiOriginali!E1964)</f>
        <v>870600</v>
      </c>
      <c r="F1964" s="4">
        <v>8116725</v>
      </c>
      <c r="G1964" s="4">
        <f>IF(DatiOriginali!G1964 &gt;= SogliaPicchi!$B$21,"",DatiOriginali!G1964)</f>
        <v>372800</v>
      </c>
      <c r="H1964" s="4">
        <v>10147341</v>
      </c>
      <c r="I1964" s="4">
        <f>IF(DatiOriginali!I1964 &gt;= SogliaPicchi!$B$21,"",DatiOriginali!I1964)</f>
        <v>130300</v>
      </c>
      <c r="J1964" s="4">
        <v>10127425</v>
      </c>
      <c r="K1964" s="4">
        <f>IF(DatiOriginali!K1964 &gt;= SogliaPicchi!$B$21,"",DatiOriginali!K1964)</f>
        <v>141800</v>
      </c>
    </row>
    <row r="1965" spans="1:11" x14ac:dyDescent="0.3">
      <c r="A1965" s="4" t="s">
        <v>1974</v>
      </c>
      <c r="B1965" s="4">
        <v>499500</v>
      </c>
      <c r="C1965" s="4">
        <f>IF(DatiOriginali!C1965 &gt;= SogliaPicchi!$B$21,"",DatiOriginali!C1965)</f>
        <v>4119800</v>
      </c>
      <c r="D1965" s="4">
        <v>254547</v>
      </c>
      <c r="E1965" s="4">
        <f>IF(DatiOriginali!E1965 &gt;= SogliaPicchi!$B$21,"",DatiOriginali!E1965)</f>
        <v>881300</v>
      </c>
      <c r="F1965" s="4">
        <v>8125434</v>
      </c>
      <c r="G1965" s="4">
        <f>IF(DatiOriginali!G1965 &gt;= SogliaPicchi!$B$21,"",DatiOriginali!G1965)</f>
        <v>372200</v>
      </c>
      <c r="H1965" s="4">
        <v>10158238</v>
      </c>
      <c r="I1965" s="4">
        <f>IF(DatiOriginali!I1965 &gt;= SogliaPicchi!$B$21,"",DatiOriginali!I1965)</f>
        <v>129000</v>
      </c>
      <c r="J1965" s="4">
        <v>10138130</v>
      </c>
      <c r="K1965" s="4">
        <f>IF(DatiOriginali!K1965 &gt;= SogliaPicchi!$B$21,"",DatiOriginali!K1965)</f>
        <v>139700</v>
      </c>
    </row>
    <row r="1966" spans="1:11" x14ac:dyDescent="0.3">
      <c r="A1966" s="4" t="s">
        <v>1975</v>
      </c>
      <c r="B1966" s="4">
        <v>499500</v>
      </c>
      <c r="C1966" s="4">
        <f>IF(DatiOriginali!C1966 &gt;= SogliaPicchi!$B$21,"",DatiOriginali!C1966)</f>
        <v>4122800</v>
      </c>
      <c r="D1966" s="4">
        <v>242386</v>
      </c>
      <c r="E1966" s="4">
        <f>IF(DatiOriginali!E1966 &gt;= SogliaPicchi!$B$21,"",DatiOriginali!E1966)</f>
        <v>840400</v>
      </c>
      <c r="F1966" s="4">
        <v>8134132</v>
      </c>
      <c r="G1966" s="4">
        <f>IF(DatiOriginali!G1966 &gt;= SogliaPicchi!$B$21,"",DatiOriginali!G1966)</f>
        <v>365600</v>
      </c>
      <c r="H1966" s="4">
        <v>10169095</v>
      </c>
      <c r="I1966" s="4">
        <f>IF(DatiOriginali!I1966 &gt;= SogliaPicchi!$B$21,"",DatiOriginali!I1966)</f>
        <v>127900</v>
      </c>
      <c r="J1966" s="4">
        <v>10149842</v>
      </c>
      <c r="K1966" s="4">
        <f>IF(DatiOriginali!K1966 &gt;= SogliaPicchi!$B$21,"",DatiOriginali!K1966)</f>
        <v>140100</v>
      </c>
    </row>
    <row r="1967" spans="1:11" x14ac:dyDescent="0.3">
      <c r="A1967" s="4" t="s">
        <v>1976</v>
      </c>
      <c r="B1967" s="4">
        <v>499500</v>
      </c>
      <c r="C1967" s="4">
        <f>IF(DatiOriginali!C1967 &gt;= SogliaPicchi!$B$21,"",DatiOriginali!C1967)</f>
        <v>4424700</v>
      </c>
      <c r="D1967" s="4">
        <v>251918</v>
      </c>
      <c r="E1967" s="4">
        <f>IF(DatiOriginali!E1967 &gt;= SogliaPicchi!$B$21,"",DatiOriginali!E1967)</f>
        <v>868200</v>
      </c>
      <c r="F1967" s="4">
        <v>8142844</v>
      </c>
      <c r="G1967" s="4">
        <f>IF(DatiOriginali!G1967 &gt;= SogliaPicchi!$B$21,"",DatiOriginali!G1967)</f>
        <v>379000</v>
      </c>
      <c r="H1967" s="4">
        <v>10180599</v>
      </c>
      <c r="I1967" s="4">
        <f>IF(DatiOriginali!I1967 &gt;= SogliaPicchi!$B$21,"",DatiOriginali!I1967)</f>
        <v>130600</v>
      </c>
      <c r="J1967" s="4">
        <v>10161187</v>
      </c>
      <c r="K1967" s="4">
        <f>IF(DatiOriginali!K1967 &gt;= SogliaPicchi!$B$21,"",DatiOriginali!K1967)</f>
        <v>142300</v>
      </c>
    </row>
    <row r="1968" spans="1:11" x14ac:dyDescent="0.3">
      <c r="A1968" s="4" t="s">
        <v>1977</v>
      </c>
      <c r="B1968" s="4">
        <v>499500</v>
      </c>
      <c r="C1968" s="4">
        <f>IF(DatiOriginali!C1968 &gt;= SogliaPicchi!$B$21,"",DatiOriginali!C1968)</f>
        <v>4540200</v>
      </c>
      <c r="D1968" s="4">
        <v>253185</v>
      </c>
      <c r="E1968" s="4">
        <f>IF(DatiOriginali!E1968 &gt;= SogliaPicchi!$B$21,"",DatiOriginali!E1968)</f>
        <v>899000</v>
      </c>
      <c r="F1968" s="4">
        <v>8151527</v>
      </c>
      <c r="G1968" s="4">
        <f>IF(DatiOriginali!G1968 &gt;= SogliaPicchi!$B$21,"",DatiOriginali!G1968)</f>
        <v>377900</v>
      </c>
      <c r="H1968" s="4">
        <v>10192154</v>
      </c>
      <c r="I1968" s="4">
        <f>IF(DatiOriginali!I1968 &gt;= SogliaPicchi!$B$21,"",DatiOriginali!I1968)</f>
        <v>130000</v>
      </c>
      <c r="J1968" s="4">
        <v>10171566</v>
      </c>
      <c r="K1968" s="4">
        <f>IF(DatiOriginali!K1968 &gt;= SogliaPicchi!$B$21,"",DatiOriginali!K1968)</f>
        <v>136900</v>
      </c>
    </row>
    <row r="1969" spans="1:11" x14ac:dyDescent="0.3">
      <c r="A1969" s="4" t="s">
        <v>1978</v>
      </c>
      <c r="B1969" s="4">
        <v>499500</v>
      </c>
      <c r="C1969" s="4">
        <f>IF(DatiOriginali!C1969 &gt;= SogliaPicchi!$B$21,"",DatiOriginali!C1969)</f>
        <v>4130200</v>
      </c>
      <c r="D1969" s="4">
        <v>243091</v>
      </c>
      <c r="E1969" s="4">
        <f>IF(DatiOriginali!E1969 &gt;= SogliaPicchi!$B$21,"",DatiOriginali!E1969)</f>
        <v>1049200</v>
      </c>
      <c r="F1969" s="4">
        <v>8160246</v>
      </c>
      <c r="G1969" s="4">
        <f>IF(DatiOriginali!G1969 &gt;= SogliaPicchi!$B$21,"",DatiOriginali!G1969)</f>
        <v>382800</v>
      </c>
      <c r="H1969" s="4">
        <v>10203066</v>
      </c>
      <c r="I1969" s="4">
        <f>IF(DatiOriginali!I1969 &gt;= SogliaPicchi!$B$21,"",DatiOriginali!I1969)</f>
        <v>127500</v>
      </c>
      <c r="J1969" s="4">
        <v>10182050</v>
      </c>
      <c r="K1969" s="4">
        <f>IF(DatiOriginali!K1969 &gt;= SogliaPicchi!$B$21,"",DatiOriginali!K1969)</f>
        <v>140100</v>
      </c>
    </row>
    <row r="1970" spans="1:11" x14ac:dyDescent="0.3">
      <c r="A1970" s="4" t="s">
        <v>1979</v>
      </c>
      <c r="B1970" s="4">
        <v>499500</v>
      </c>
      <c r="C1970" s="4">
        <f>IF(DatiOriginali!C1970 &gt;= SogliaPicchi!$B$21,"",DatiOriginali!C1970)</f>
        <v>4059900</v>
      </c>
      <c r="D1970" s="4">
        <v>250163</v>
      </c>
      <c r="E1970" s="4">
        <f>IF(DatiOriginali!E1970 &gt;= SogliaPicchi!$B$21,"",DatiOriginali!E1970)</f>
        <v>886500</v>
      </c>
      <c r="F1970" s="4">
        <v>8168969</v>
      </c>
      <c r="G1970" s="4">
        <f>IF(DatiOriginali!G1970 &gt;= SogliaPicchi!$B$21,"",DatiOriginali!G1970)</f>
        <v>367800</v>
      </c>
      <c r="H1970" s="4">
        <v>10215374</v>
      </c>
      <c r="I1970" s="4">
        <f>IF(DatiOriginali!I1970 &gt;= SogliaPicchi!$B$21,"",DatiOriginali!I1970)</f>
        <v>129100</v>
      </c>
      <c r="J1970" s="4">
        <v>10192449</v>
      </c>
      <c r="K1970" s="4">
        <f>IF(DatiOriginali!K1970 &gt;= SogliaPicchi!$B$21,"",DatiOriginali!K1970)</f>
        <v>147200</v>
      </c>
    </row>
    <row r="1971" spans="1:11" x14ac:dyDescent="0.3">
      <c r="A1971" s="4" t="s">
        <v>1980</v>
      </c>
      <c r="B1971" s="4">
        <v>499500</v>
      </c>
      <c r="C1971" s="4">
        <f>IF(DatiOriginali!C1971 &gt;= SogliaPicchi!$B$21,"",DatiOriginali!C1971)</f>
        <v>4479500</v>
      </c>
      <c r="D1971" s="4">
        <v>248724</v>
      </c>
      <c r="E1971" s="4">
        <f>IF(DatiOriginali!E1971 &gt;= SogliaPicchi!$B$21,"",DatiOriginali!E1971)</f>
        <v>863800</v>
      </c>
      <c r="F1971" s="4">
        <v>8177658</v>
      </c>
      <c r="G1971" s="4">
        <f>IF(DatiOriginali!G1971 &gt;= SogliaPicchi!$B$21,"",DatiOriginali!G1971)</f>
        <v>380800</v>
      </c>
      <c r="H1971" s="4">
        <v>10226387</v>
      </c>
      <c r="I1971" s="4">
        <f>IF(DatiOriginali!I1971 &gt;= SogliaPicchi!$B$21,"",DatiOriginali!I1971)</f>
        <v>130100</v>
      </c>
      <c r="J1971" s="4">
        <v>10202477</v>
      </c>
      <c r="K1971" s="4">
        <f>IF(DatiOriginali!K1971 &gt;= SogliaPicchi!$B$21,"",DatiOriginali!K1971)</f>
        <v>141200</v>
      </c>
    </row>
    <row r="1972" spans="1:11" x14ac:dyDescent="0.3">
      <c r="A1972" s="4" t="s">
        <v>1981</v>
      </c>
      <c r="B1972" s="4">
        <v>499500</v>
      </c>
      <c r="C1972" s="4">
        <f>IF(DatiOriginali!C1972 &gt;= SogliaPicchi!$B$21,"",DatiOriginali!C1972)</f>
        <v>4074600</v>
      </c>
      <c r="D1972" s="4">
        <v>249713</v>
      </c>
      <c r="E1972" s="4">
        <f>IF(DatiOriginali!E1972 &gt;= SogliaPicchi!$B$21,"",DatiOriginali!E1972)</f>
        <v>867200</v>
      </c>
      <c r="F1972" s="4">
        <v>8186382</v>
      </c>
      <c r="G1972" s="4">
        <f>IF(DatiOriginali!G1972 &gt;= SogliaPicchi!$B$21,"",DatiOriginali!G1972)</f>
        <v>375000</v>
      </c>
      <c r="H1972" s="4">
        <v>10237194</v>
      </c>
      <c r="I1972" s="4">
        <f>IF(DatiOriginali!I1972 &gt;= SogliaPicchi!$B$21,"",DatiOriginali!I1972)</f>
        <v>130200</v>
      </c>
      <c r="J1972" s="4">
        <v>10212603</v>
      </c>
      <c r="K1972" s="4">
        <f>IF(DatiOriginali!K1972 &gt;= SogliaPicchi!$B$21,"",DatiOriginali!K1972)</f>
        <v>138000</v>
      </c>
    </row>
    <row r="1973" spans="1:11" x14ac:dyDescent="0.3">
      <c r="A1973" s="4" t="s">
        <v>1982</v>
      </c>
      <c r="B1973" s="4">
        <v>499500</v>
      </c>
      <c r="C1973" s="4">
        <f>IF(DatiOriginali!C1973 &gt;= SogliaPicchi!$B$21,"",DatiOriginali!C1973)</f>
        <v>4221200</v>
      </c>
      <c r="D1973" s="4">
        <v>248532</v>
      </c>
      <c r="E1973" s="4">
        <f>IF(DatiOriginali!E1973 &gt;= SogliaPicchi!$B$21,"",DatiOriginali!E1973)</f>
        <v>855600</v>
      </c>
      <c r="F1973" s="4">
        <v>8195092</v>
      </c>
      <c r="G1973" s="4">
        <f>IF(DatiOriginali!G1973 &gt;= SogliaPicchi!$B$21,"",DatiOriginali!G1973)</f>
        <v>376100</v>
      </c>
      <c r="H1973" s="4">
        <v>10248044</v>
      </c>
      <c r="I1973" s="4">
        <f>IF(DatiOriginali!I1973 &gt;= SogliaPicchi!$B$21,"",DatiOriginali!I1973)</f>
        <v>126600</v>
      </c>
      <c r="J1973" s="4">
        <v>10224393</v>
      </c>
      <c r="K1973" s="4">
        <f>IF(DatiOriginali!K1973 &gt;= SogliaPicchi!$B$21,"",DatiOriginali!K1973)</f>
        <v>141700</v>
      </c>
    </row>
    <row r="1974" spans="1:11" x14ac:dyDescent="0.3">
      <c r="A1974" s="4" t="s">
        <v>1983</v>
      </c>
      <c r="B1974" s="4">
        <v>499500</v>
      </c>
      <c r="C1974" s="4">
        <f>IF(DatiOriginali!C1974 &gt;= SogliaPicchi!$B$21,"",DatiOriginali!C1974)</f>
        <v>3977500</v>
      </c>
      <c r="D1974" s="4">
        <v>252167</v>
      </c>
      <c r="E1974" s="4">
        <f>IF(DatiOriginali!E1974 &gt;= SogliaPicchi!$B$21,"",DatiOriginali!E1974)</f>
        <v>878800</v>
      </c>
      <c r="F1974" s="4">
        <v>8203836</v>
      </c>
      <c r="G1974" s="4">
        <f>IF(DatiOriginali!G1974 &gt;= SogliaPicchi!$B$21,"",DatiOriginali!G1974)</f>
        <v>373500</v>
      </c>
      <c r="H1974" s="4">
        <v>10260547</v>
      </c>
      <c r="I1974" s="4">
        <f>IF(DatiOriginali!I1974 &gt;= SogliaPicchi!$B$21,"",DatiOriginali!I1974)</f>
        <v>125800</v>
      </c>
      <c r="J1974" s="4">
        <v>10234593</v>
      </c>
      <c r="K1974" s="4">
        <f>IF(DatiOriginali!K1974 &gt;= SogliaPicchi!$B$21,"",DatiOriginali!K1974)</f>
        <v>139000</v>
      </c>
    </row>
    <row r="1975" spans="1:11" x14ac:dyDescent="0.3">
      <c r="A1975" s="4" t="s">
        <v>1984</v>
      </c>
      <c r="B1975" s="4">
        <v>499500</v>
      </c>
      <c r="C1975" s="4">
        <f>IF(DatiOriginali!C1975 &gt;= SogliaPicchi!$B$21,"",DatiOriginali!C1975)</f>
        <v>4208300</v>
      </c>
      <c r="D1975" s="4">
        <v>250259</v>
      </c>
      <c r="E1975" s="4">
        <f>IF(DatiOriginali!E1975 &gt;= SogliaPicchi!$B$21,"",DatiOriginali!E1975)</f>
        <v>863100</v>
      </c>
      <c r="F1975" s="4">
        <v>8212550</v>
      </c>
      <c r="G1975" s="4">
        <f>IF(DatiOriginali!G1975 &gt;= SogliaPicchi!$B$21,"",DatiOriginali!G1975)</f>
        <v>371900</v>
      </c>
      <c r="H1975" s="4">
        <v>10271313</v>
      </c>
      <c r="I1975" s="4">
        <f>IF(DatiOriginali!I1975 &gt;= SogliaPicchi!$B$21,"",DatiOriginali!I1975)</f>
        <v>125300</v>
      </c>
      <c r="J1975" s="4">
        <v>10246333</v>
      </c>
      <c r="K1975" s="4">
        <f>IF(DatiOriginali!K1975 &gt;= SogliaPicchi!$B$21,"",DatiOriginali!K1975)</f>
        <v>143800</v>
      </c>
    </row>
    <row r="1976" spans="1:11" x14ac:dyDescent="0.3">
      <c r="A1976" s="4" t="s">
        <v>1985</v>
      </c>
      <c r="B1976" s="4">
        <v>499500</v>
      </c>
      <c r="C1976" s="4">
        <f>IF(DatiOriginali!C1976 &gt;= SogliaPicchi!$B$21,"",DatiOriginali!C1976)</f>
        <v>4095100</v>
      </c>
      <c r="D1976" s="4">
        <v>244725</v>
      </c>
      <c r="E1976" s="4">
        <f>IF(DatiOriginali!E1976 &gt;= SogliaPicchi!$B$21,"",DatiOriginali!E1976)</f>
        <v>849500</v>
      </c>
      <c r="F1976" s="4">
        <v>8221228</v>
      </c>
      <c r="G1976" s="4">
        <f>IF(DatiOriginali!G1976 &gt;= SogliaPicchi!$B$21,"",DatiOriginali!G1976)</f>
        <v>456400</v>
      </c>
      <c r="H1976" s="4">
        <v>10282996</v>
      </c>
      <c r="I1976" s="4">
        <f>IF(DatiOriginali!I1976 &gt;= SogliaPicchi!$B$21,"",DatiOriginali!I1976)</f>
        <v>129500</v>
      </c>
      <c r="J1976" s="4">
        <v>10257496</v>
      </c>
      <c r="K1976" s="4">
        <f>IF(DatiOriginali!K1976 &gt;= SogliaPicchi!$B$21,"",DatiOriginali!K1976)</f>
        <v>137600</v>
      </c>
    </row>
    <row r="1977" spans="1:11" x14ac:dyDescent="0.3">
      <c r="A1977" s="4" t="s">
        <v>1986</v>
      </c>
      <c r="B1977" s="4">
        <v>499500</v>
      </c>
      <c r="C1977" s="4">
        <f>IF(DatiOriginali!C1977 &gt;= SogliaPicchi!$B$21,"",DatiOriginali!C1977)</f>
        <v>4130400</v>
      </c>
      <c r="D1977" s="4">
        <v>256445</v>
      </c>
      <c r="E1977" s="4">
        <f>IF(DatiOriginali!E1977 &gt;= SogliaPicchi!$B$21,"",DatiOriginali!E1977)</f>
        <v>935200</v>
      </c>
      <c r="F1977" s="4">
        <v>8229923</v>
      </c>
      <c r="G1977" s="4">
        <f>IF(DatiOriginali!G1977 &gt;= SogliaPicchi!$B$21,"",DatiOriginali!G1977)</f>
        <v>372900</v>
      </c>
      <c r="H1977" s="4">
        <v>10294477</v>
      </c>
      <c r="I1977" s="4">
        <f>IF(DatiOriginali!I1977 &gt;= SogliaPicchi!$B$21,"",DatiOriginali!I1977)</f>
        <v>126500</v>
      </c>
      <c r="J1977" s="4">
        <v>10268297</v>
      </c>
      <c r="K1977" s="4">
        <f>IF(DatiOriginali!K1977 &gt;= SogliaPicchi!$B$21,"",DatiOriginali!K1977)</f>
        <v>140200</v>
      </c>
    </row>
    <row r="1978" spans="1:11" x14ac:dyDescent="0.3">
      <c r="A1978" s="4" t="s">
        <v>1987</v>
      </c>
      <c r="B1978" s="4">
        <v>499500</v>
      </c>
      <c r="C1978" s="4">
        <f>IF(DatiOriginali!C1978 &gt;= SogliaPicchi!$B$21,"",DatiOriginali!C1978)</f>
        <v>4240600</v>
      </c>
      <c r="D1978" s="4">
        <v>250747</v>
      </c>
      <c r="E1978" s="4">
        <f>IF(DatiOriginali!E1978 &gt;= SogliaPicchi!$B$21,"",DatiOriginali!E1978)</f>
        <v>879900</v>
      </c>
      <c r="F1978" s="4">
        <v>8238611</v>
      </c>
      <c r="G1978" s="4">
        <f>IF(DatiOriginali!G1978 &gt;= SogliaPicchi!$B$21,"",DatiOriginali!G1978)</f>
        <v>393600</v>
      </c>
      <c r="H1978" s="4">
        <v>10304690</v>
      </c>
      <c r="I1978" s="4">
        <f>IF(DatiOriginali!I1978 &gt;= SogliaPicchi!$B$21,"",DatiOriginali!I1978)</f>
        <v>126900</v>
      </c>
      <c r="J1978" s="4">
        <v>10280662</v>
      </c>
      <c r="K1978" s="4">
        <f>IF(DatiOriginali!K1978 &gt;= SogliaPicchi!$B$21,"",DatiOriginali!K1978)</f>
        <v>148000</v>
      </c>
    </row>
    <row r="1979" spans="1:11" x14ac:dyDescent="0.3">
      <c r="A1979" s="4" t="s">
        <v>1988</v>
      </c>
      <c r="B1979" s="4">
        <v>499500</v>
      </c>
      <c r="C1979" s="4">
        <f>IF(DatiOriginali!C1979 &gt;= SogliaPicchi!$B$21,"",DatiOriginali!C1979)</f>
        <v>4253700</v>
      </c>
      <c r="D1979" s="4">
        <v>243680</v>
      </c>
      <c r="E1979" s="4">
        <f>IF(DatiOriginali!E1979 &gt;= SogliaPicchi!$B$21,"",DatiOriginali!E1979)</f>
        <v>1089100</v>
      </c>
      <c r="F1979" s="4">
        <v>8247335</v>
      </c>
      <c r="G1979" s="4">
        <f>IF(DatiOriginali!G1979 &gt;= SogliaPicchi!$B$21,"",DatiOriginali!G1979)</f>
        <v>378400</v>
      </c>
      <c r="H1979" s="4">
        <v>10316240</v>
      </c>
      <c r="I1979" s="4">
        <f>IF(DatiOriginali!I1979 &gt;= SogliaPicchi!$B$21,"",DatiOriginali!I1979)</f>
        <v>127200</v>
      </c>
      <c r="J1979" s="4">
        <v>10291702</v>
      </c>
      <c r="K1979" s="4">
        <f>IF(DatiOriginali!K1979 &gt;= SogliaPicchi!$B$21,"",DatiOriginali!K1979)</f>
        <v>136900</v>
      </c>
    </row>
    <row r="1980" spans="1:11" x14ac:dyDescent="0.3">
      <c r="A1980" s="4" t="s">
        <v>1989</v>
      </c>
      <c r="B1980" s="4">
        <v>499500</v>
      </c>
      <c r="C1980" s="4">
        <f>IF(DatiOriginali!C1980 &gt;= SogliaPicchi!$B$21,"",DatiOriginali!C1980)</f>
        <v>4381300</v>
      </c>
      <c r="D1980" s="4">
        <v>245582</v>
      </c>
      <c r="E1980" s="4">
        <f>IF(DatiOriginali!E1980 &gt;= SogliaPicchi!$B$21,"",DatiOriginali!E1980)</f>
        <v>851500</v>
      </c>
      <c r="F1980" s="4">
        <v>8256069</v>
      </c>
      <c r="G1980" s="4">
        <f>IF(DatiOriginali!G1980 &gt;= SogliaPicchi!$B$21,"",DatiOriginali!G1980)</f>
        <v>383800</v>
      </c>
      <c r="H1980" s="4">
        <v>10326098</v>
      </c>
      <c r="I1980" s="4">
        <f>IF(DatiOriginali!I1980 &gt;= SogliaPicchi!$B$21,"",DatiOriginali!I1980)</f>
        <v>131600</v>
      </c>
      <c r="J1980" s="4">
        <v>10302928</v>
      </c>
      <c r="K1980" s="4">
        <f>IF(DatiOriginali!K1980 &gt;= SogliaPicchi!$B$21,"",DatiOriginali!K1980)</f>
        <v>145800</v>
      </c>
    </row>
    <row r="1981" spans="1:11" x14ac:dyDescent="0.3">
      <c r="A1981" s="4" t="s">
        <v>1990</v>
      </c>
      <c r="B1981" s="4">
        <v>499500</v>
      </c>
      <c r="C1981" s="4">
        <f>IF(DatiOriginali!C1981 &gt;= SogliaPicchi!$B$21,"",DatiOriginali!C1981)</f>
        <v>4404300</v>
      </c>
      <c r="D1981" s="4">
        <v>249189</v>
      </c>
      <c r="E1981" s="4">
        <f>IF(DatiOriginali!E1981 &gt;= SogliaPicchi!$B$21,"",DatiOriginali!E1981)</f>
        <v>864100</v>
      </c>
      <c r="F1981" s="4">
        <v>8264775</v>
      </c>
      <c r="G1981" s="4">
        <f>IF(DatiOriginali!G1981 &gt;= SogliaPicchi!$B$21,"",DatiOriginali!G1981)</f>
        <v>373300</v>
      </c>
      <c r="H1981" s="4">
        <v>10336559</v>
      </c>
      <c r="I1981" s="4">
        <f>IF(DatiOriginali!I1981 &gt;= SogliaPicchi!$B$21,"",DatiOriginali!I1981)</f>
        <v>128400</v>
      </c>
      <c r="J1981" s="4">
        <v>10313972</v>
      </c>
      <c r="K1981" s="4">
        <f>IF(DatiOriginali!K1981 &gt;= SogliaPicchi!$B$21,"",DatiOriginali!K1981)</f>
        <v>141000</v>
      </c>
    </row>
    <row r="1982" spans="1:11" x14ac:dyDescent="0.3">
      <c r="A1982" s="4" t="s">
        <v>1991</v>
      </c>
      <c r="B1982" s="4">
        <v>499500</v>
      </c>
      <c r="C1982" s="4">
        <f>IF(DatiOriginali!C1982 &gt;= SogliaPicchi!$B$21,"",DatiOriginali!C1982)</f>
        <v>4114800</v>
      </c>
      <c r="D1982" s="4">
        <v>253100</v>
      </c>
      <c r="E1982" s="4">
        <f>IF(DatiOriginali!E1982 &gt;= SogliaPicchi!$B$21,"",DatiOriginali!E1982)</f>
        <v>873000</v>
      </c>
      <c r="F1982" s="4">
        <v>8273484</v>
      </c>
      <c r="G1982" s="4">
        <f>IF(DatiOriginali!G1982 &gt;= SogliaPicchi!$B$21,"",DatiOriginali!G1982)</f>
        <v>374100</v>
      </c>
      <c r="H1982" s="4">
        <v>10347734</v>
      </c>
      <c r="I1982" s="4">
        <f>IF(DatiOriginali!I1982 &gt;= SogliaPicchi!$B$21,"",DatiOriginali!I1982)</f>
        <v>126900</v>
      </c>
      <c r="J1982" s="4">
        <v>10324903</v>
      </c>
      <c r="K1982" s="4">
        <f>IF(DatiOriginali!K1982 &gt;= SogliaPicchi!$B$21,"",DatiOriginali!K1982)</f>
        <v>145700</v>
      </c>
    </row>
    <row r="1983" spans="1:11" x14ac:dyDescent="0.3">
      <c r="A1983" s="4" t="s">
        <v>1992</v>
      </c>
      <c r="B1983" s="4">
        <v>499500</v>
      </c>
      <c r="C1983" s="4">
        <f>IF(DatiOriginali!C1983 &gt;= SogliaPicchi!$B$21,"",DatiOriginali!C1983)</f>
        <v>4204800</v>
      </c>
      <c r="D1983" s="4">
        <v>240788</v>
      </c>
      <c r="E1983" s="4">
        <f>IF(DatiOriginali!E1983 &gt;= SogliaPicchi!$B$21,"",DatiOriginali!E1983)</f>
        <v>830500</v>
      </c>
      <c r="F1983" s="4">
        <v>8282179</v>
      </c>
      <c r="G1983" s="4">
        <f>IF(DatiOriginali!G1983 &gt;= SogliaPicchi!$B$21,"",DatiOriginali!G1983)</f>
        <v>371400</v>
      </c>
      <c r="H1983" s="4">
        <v>10359237</v>
      </c>
      <c r="I1983" s="4">
        <f>IF(DatiOriginali!I1983 &gt;= SogliaPicchi!$B$21,"",DatiOriginali!I1983)</f>
        <v>127100</v>
      </c>
      <c r="J1983" s="4">
        <v>10336235</v>
      </c>
      <c r="K1983" s="4">
        <f>IF(DatiOriginali!K1983 &gt;= SogliaPicchi!$B$21,"",DatiOriginali!K1983)</f>
        <v>146200</v>
      </c>
    </row>
    <row r="1984" spans="1:11" x14ac:dyDescent="0.3">
      <c r="A1984" s="4" t="s">
        <v>1993</v>
      </c>
      <c r="B1984" s="4">
        <v>499500</v>
      </c>
      <c r="C1984" s="4">
        <f>IF(DatiOriginali!C1984 &gt;= SogliaPicchi!$B$21,"",DatiOriginali!C1984)</f>
        <v>4217000</v>
      </c>
      <c r="D1984" s="4">
        <v>242036</v>
      </c>
      <c r="E1984" s="4">
        <f>IF(DatiOriginali!E1984 &gt;= SogliaPicchi!$B$21,"",DatiOriginali!E1984)</f>
        <v>838700</v>
      </c>
      <c r="F1984" s="4">
        <v>8290882</v>
      </c>
      <c r="G1984" s="4">
        <f>IF(DatiOriginali!G1984 &gt;= SogliaPicchi!$B$21,"",DatiOriginali!G1984)</f>
        <v>370400</v>
      </c>
      <c r="H1984" s="4">
        <v>10370513</v>
      </c>
      <c r="I1984" s="4">
        <f>IF(DatiOriginali!I1984 &gt;= SogliaPicchi!$B$21,"",DatiOriginali!I1984)</f>
        <v>125600</v>
      </c>
      <c r="J1984" s="4">
        <v>10347609</v>
      </c>
      <c r="K1984" s="4">
        <f>IF(DatiOriginali!K1984 &gt;= SogliaPicchi!$B$21,"",DatiOriginali!K1984)</f>
        <v>143100</v>
      </c>
    </row>
    <row r="1985" spans="1:11" x14ac:dyDescent="0.3">
      <c r="A1985" s="4" t="s">
        <v>1994</v>
      </c>
      <c r="B1985" s="4">
        <v>499500</v>
      </c>
      <c r="C1985" s="4">
        <f>IF(DatiOriginali!C1985 &gt;= SogliaPicchi!$B$21,"",DatiOriginali!C1985)</f>
        <v>3939000</v>
      </c>
      <c r="D1985" s="4">
        <v>252471</v>
      </c>
      <c r="E1985" s="4">
        <f>IF(DatiOriginali!E1985 &gt;= SogliaPicchi!$B$21,"",DatiOriginali!E1985)</f>
        <v>869900</v>
      </c>
      <c r="F1985" s="4">
        <v>8299598</v>
      </c>
      <c r="G1985" s="4">
        <f>IF(DatiOriginali!G1985 &gt;= SogliaPicchi!$B$21,"",DatiOriginali!G1985)</f>
        <v>374700</v>
      </c>
      <c r="H1985" s="4">
        <v>10381824</v>
      </c>
      <c r="I1985" s="4">
        <f>IF(DatiOriginali!I1985 &gt;= SogliaPicchi!$B$21,"",DatiOriginali!I1985)</f>
        <v>127800</v>
      </c>
      <c r="J1985" s="4">
        <v>10359651</v>
      </c>
      <c r="K1985" s="4">
        <f>IF(DatiOriginali!K1985 &gt;= SogliaPicchi!$B$21,"",DatiOriginali!K1985)</f>
        <v>143500</v>
      </c>
    </row>
    <row r="1986" spans="1:11" x14ac:dyDescent="0.3">
      <c r="A1986" s="4" t="s">
        <v>1995</v>
      </c>
      <c r="B1986" s="4">
        <v>499500</v>
      </c>
      <c r="C1986" s="4">
        <f>IF(DatiOriginali!C1986 &gt;= SogliaPicchi!$B$21,"",DatiOriginali!C1986)</f>
        <v>4377900</v>
      </c>
      <c r="D1986" s="4">
        <v>258412</v>
      </c>
      <c r="E1986" s="4">
        <f>IF(DatiOriginali!E1986 &gt;= SogliaPicchi!$B$21,"",DatiOriginali!E1986)</f>
        <v>891900</v>
      </c>
      <c r="F1986" s="4">
        <v>8308308</v>
      </c>
      <c r="G1986" s="4">
        <f>IF(DatiOriginali!G1986 &gt;= SogliaPicchi!$B$21,"",DatiOriginali!G1986)</f>
        <v>374600</v>
      </c>
      <c r="H1986" s="4">
        <v>10392765</v>
      </c>
      <c r="I1986" s="4">
        <f>IF(DatiOriginali!I1986 &gt;= SogliaPicchi!$B$21,"",DatiOriginali!I1986)</f>
        <v>129400</v>
      </c>
      <c r="J1986" s="4">
        <v>10369898</v>
      </c>
      <c r="K1986" s="4">
        <f>IF(DatiOriginali!K1986 &gt;= SogliaPicchi!$B$21,"",DatiOriginali!K1986)</f>
        <v>138200</v>
      </c>
    </row>
    <row r="1987" spans="1:11" x14ac:dyDescent="0.3">
      <c r="A1987" s="4" t="s">
        <v>1996</v>
      </c>
      <c r="B1987" s="4">
        <v>499500</v>
      </c>
      <c r="C1987" s="4">
        <f>IF(DatiOriginali!C1987 &gt;= SogliaPicchi!$B$21,"",DatiOriginali!C1987)</f>
        <v>4323900</v>
      </c>
      <c r="D1987" s="4">
        <v>255235</v>
      </c>
      <c r="E1987" s="4">
        <f>IF(DatiOriginali!E1987 &gt;= SogliaPicchi!$B$21,"",DatiOriginali!E1987)</f>
        <v>903900</v>
      </c>
      <c r="F1987" s="4">
        <v>8317031</v>
      </c>
      <c r="G1987" s="4">
        <f>IF(DatiOriginali!G1987 &gt;= SogliaPicchi!$B$21,"",DatiOriginali!G1987)</f>
        <v>372400</v>
      </c>
      <c r="H1987" s="4">
        <v>10405180</v>
      </c>
      <c r="I1987" s="4">
        <f>IF(DatiOriginali!I1987 &gt;= SogliaPicchi!$B$21,"",DatiOriginali!I1987)</f>
        <v>138600</v>
      </c>
      <c r="J1987" s="4">
        <v>10380797</v>
      </c>
      <c r="K1987" s="4">
        <f>IF(DatiOriginali!K1987 &gt;= SogliaPicchi!$B$21,"",DatiOriginali!K1987)</f>
        <v>136900</v>
      </c>
    </row>
    <row r="1988" spans="1:11" x14ac:dyDescent="0.3">
      <c r="A1988" s="4" t="s">
        <v>1997</v>
      </c>
      <c r="B1988" s="4">
        <v>499500</v>
      </c>
      <c r="C1988" s="4">
        <f>IF(DatiOriginali!C1988 &gt;= SogliaPicchi!$B$21,"",DatiOriginali!C1988)</f>
        <v>4473900</v>
      </c>
      <c r="D1988" s="4">
        <v>248130</v>
      </c>
      <c r="E1988" s="4">
        <f>IF(DatiOriginali!E1988 &gt;= SogliaPicchi!$B$21,"",DatiOriginali!E1988)</f>
        <v>858400</v>
      </c>
      <c r="F1988" s="4">
        <v>8325752</v>
      </c>
      <c r="G1988" s="4">
        <f>IF(DatiOriginali!G1988 &gt;= SogliaPicchi!$B$21,"",DatiOriginali!G1988)</f>
        <v>375300</v>
      </c>
      <c r="H1988" s="4">
        <v>10416786</v>
      </c>
      <c r="I1988" s="4">
        <f>IF(DatiOriginali!I1988 &gt;= SogliaPicchi!$B$21,"",DatiOriginali!I1988)</f>
        <v>127700</v>
      </c>
      <c r="J1988" s="4">
        <v>10393536</v>
      </c>
      <c r="K1988" s="4">
        <f>IF(DatiOriginali!K1988 &gt;= SogliaPicchi!$B$21,"",DatiOriginali!K1988)</f>
        <v>152300</v>
      </c>
    </row>
    <row r="1989" spans="1:11" x14ac:dyDescent="0.3">
      <c r="A1989" s="4" t="s">
        <v>1998</v>
      </c>
      <c r="B1989" s="4">
        <v>499500</v>
      </c>
      <c r="C1989" s="4">
        <f>IF(DatiOriginali!C1989 &gt;= SogliaPicchi!$B$21,"",DatiOriginali!C1989)</f>
        <v>4583900</v>
      </c>
      <c r="D1989" s="4">
        <v>243944</v>
      </c>
      <c r="E1989" s="4">
        <f>IF(DatiOriginali!E1989 &gt;= SogliaPicchi!$B$21,"",DatiOriginali!E1989)</f>
        <v>878700</v>
      </c>
      <c r="F1989" s="4">
        <v>8334441</v>
      </c>
      <c r="G1989" s="4">
        <f>IF(DatiOriginali!G1989 &gt;= SogliaPicchi!$B$21,"",DatiOriginali!G1989)</f>
        <v>378800</v>
      </c>
      <c r="H1989" s="4">
        <v>10427424</v>
      </c>
      <c r="I1989" s="4">
        <f>IF(DatiOriginali!I1989 &gt;= SogliaPicchi!$B$21,"",DatiOriginali!I1989)</f>
        <v>123700</v>
      </c>
      <c r="J1989" s="4">
        <v>10405336</v>
      </c>
      <c r="K1989" s="4">
        <f>IF(DatiOriginali!K1989 &gt;= SogliaPicchi!$B$21,"",DatiOriginali!K1989)</f>
        <v>146900</v>
      </c>
    </row>
    <row r="1990" spans="1:11" x14ac:dyDescent="0.3">
      <c r="A1990" s="4" t="s">
        <v>1999</v>
      </c>
      <c r="B1990" s="4">
        <v>499500</v>
      </c>
      <c r="C1990" s="4">
        <f>IF(DatiOriginali!C1990 &gt;= SogliaPicchi!$B$21,"",DatiOriginali!C1990)</f>
        <v>4168800</v>
      </c>
      <c r="D1990" s="4">
        <v>247584</v>
      </c>
      <c r="E1990" s="4">
        <f>IF(DatiOriginali!E1990 &gt;= SogliaPicchi!$B$21,"",DatiOriginali!E1990)</f>
        <v>1093600</v>
      </c>
      <c r="F1990" s="4">
        <v>8343146</v>
      </c>
      <c r="G1990" s="4">
        <f>IF(DatiOriginali!G1990 &gt;= SogliaPicchi!$B$21,"",DatiOriginali!G1990)</f>
        <v>379000</v>
      </c>
      <c r="H1990" s="4">
        <v>10438539</v>
      </c>
      <c r="I1990" s="4">
        <f>IF(DatiOriginali!I1990 &gt;= SogliaPicchi!$B$21,"",DatiOriginali!I1990)</f>
        <v>131700</v>
      </c>
      <c r="J1990" s="4">
        <v>10416407</v>
      </c>
      <c r="K1990" s="4">
        <f>IF(DatiOriginali!K1990 &gt;= SogliaPicchi!$B$21,"",DatiOriginali!K1990)</f>
        <v>145500</v>
      </c>
    </row>
    <row r="1991" spans="1:11" x14ac:dyDescent="0.3">
      <c r="A1991" s="4" t="s">
        <v>2000</v>
      </c>
      <c r="B1991" s="4">
        <v>499500</v>
      </c>
      <c r="C1991" s="4">
        <f>IF(DatiOriginali!C1991 &gt;= SogliaPicchi!$B$21,"",DatiOriginali!C1991)</f>
        <v>4101000</v>
      </c>
      <c r="D1991" s="4">
        <v>251915</v>
      </c>
      <c r="E1991" s="4">
        <f>IF(DatiOriginali!E1991 &gt;= SogliaPicchi!$B$21,"",DatiOriginali!E1991)</f>
        <v>878400</v>
      </c>
      <c r="F1991" s="4">
        <v>8351821</v>
      </c>
      <c r="G1991" s="4">
        <f>IF(DatiOriginali!G1991 &gt;= SogliaPicchi!$B$21,"",DatiOriginali!G1991)</f>
        <v>371400</v>
      </c>
      <c r="H1991" s="4">
        <v>10448996</v>
      </c>
      <c r="I1991" s="4">
        <f>IF(DatiOriginali!I1991 &gt;= SogliaPicchi!$B$21,"",DatiOriginali!I1991)</f>
        <v>128300</v>
      </c>
      <c r="J1991" s="4">
        <v>10426620</v>
      </c>
      <c r="K1991" s="4">
        <f>IF(DatiOriginali!K1991 &gt;= SogliaPicchi!$B$21,"",DatiOriginali!K1991)</f>
        <v>138600</v>
      </c>
    </row>
    <row r="1992" spans="1:11" x14ac:dyDescent="0.3">
      <c r="A1992" s="4" t="s">
        <v>2001</v>
      </c>
      <c r="B1992" s="4">
        <v>499500</v>
      </c>
      <c r="C1992" s="4">
        <f>IF(DatiOriginali!C1992 &gt;= SogliaPicchi!$B$21,"",DatiOriginali!C1992)</f>
        <v>4125900</v>
      </c>
      <c r="D1992" s="4">
        <v>252131</v>
      </c>
      <c r="E1992" s="4">
        <f>IF(DatiOriginali!E1992 &gt;= SogliaPicchi!$B$21,"",DatiOriginali!E1992)</f>
        <v>907100</v>
      </c>
      <c r="F1992" s="4">
        <v>8360562</v>
      </c>
      <c r="G1992" s="4">
        <f>IF(DatiOriginali!G1992 &gt;= SogliaPicchi!$B$21,"",DatiOriginali!G1992)</f>
        <v>370100</v>
      </c>
      <c r="H1992" s="4">
        <v>10459452</v>
      </c>
      <c r="I1992" s="4">
        <f>IF(DatiOriginali!I1992 &gt;= SogliaPicchi!$B$21,"",DatiOriginali!I1992)</f>
        <v>128700</v>
      </c>
      <c r="J1992" s="4">
        <v>10437734</v>
      </c>
      <c r="K1992" s="4">
        <f>IF(DatiOriginali!K1992 &gt;= SogliaPicchi!$B$21,"",DatiOriginali!K1992)</f>
        <v>144500</v>
      </c>
    </row>
    <row r="1993" spans="1:11" x14ac:dyDescent="0.3">
      <c r="A1993" s="4" t="s">
        <v>2002</v>
      </c>
      <c r="B1993" s="4">
        <v>499500</v>
      </c>
      <c r="C1993" s="4">
        <f>IF(DatiOriginali!C1993 &gt;= SogliaPicchi!$B$21,"",DatiOriginali!C1993)</f>
        <v>4252200</v>
      </c>
      <c r="D1993" s="4">
        <v>253736</v>
      </c>
      <c r="E1993" s="4">
        <f>IF(DatiOriginali!E1993 &gt;= SogliaPicchi!$B$21,"",DatiOriginali!E1993)</f>
        <v>886100</v>
      </c>
      <c r="F1993" s="4">
        <v>8369267</v>
      </c>
      <c r="G1993" s="4">
        <f>IF(DatiOriginali!G1993 &gt;= SogliaPicchi!$B$21,"",DatiOriginali!G1993)</f>
        <v>370000</v>
      </c>
      <c r="H1993" s="4">
        <v>10469895</v>
      </c>
      <c r="I1993" s="4">
        <f>IF(DatiOriginali!I1993 &gt;= SogliaPicchi!$B$21,"",DatiOriginali!I1993)</f>
        <v>126800</v>
      </c>
      <c r="J1993" s="4">
        <v>10448330</v>
      </c>
      <c r="K1993" s="4">
        <f>IF(DatiOriginali!K1993 &gt;= SogliaPicchi!$B$21,"",DatiOriginali!K1993)</f>
        <v>141000</v>
      </c>
    </row>
    <row r="1994" spans="1:11" x14ac:dyDescent="0.3">
      <c r="A1994" s="4" t="s">
        <v>2003</v>
      </c>
      <c r="B1994" s="4">
        <v>499500</v>
      </c>
      <c r="C1994" s="4">
        <f>IF(DatiOriginali!C1994 &gt;= SogliaPicchi!$B$21,"",DatiOriginali!C1994)</f>
        <v>4183900</v>
      </c>
      <c r="D1994" s="4">
        <v>265896</v>
      </c>
      <c r="E1994" s="4">
        <f>IF(DatiOriginali!E1994 &gt;= SogliaPicchi!$B$21,"",DatiOriginali!E1994)</f>
        <v>920100</v>
      </c>
      <c r="F1994" s="4">
        <v>8377976</v>
      </c>
      <c r="G1994" s="4">
        <f>IF(DatiOriginali!G1994 &gt;= SogliaPicchi!$B$21,"",DatiOriginali!G1994)</f>
        <v>367400</v>
      </c>
      <c r="H1994" s="4">
        <v>10480324</v>
      </c>
      <c r="I1994" s="4">
        <f>IF(DatiOriginali!I1994 &gt;= SogliaPicchi!$B$21,"",DatiOriginali!I1994)</f>
        <v>126300</v>
      </c>
      <c r="J1994" s="4">
        <v>10460453</v>
      </c>
      <c r="K1994" s="4">
        <f>IF(DatiOriginali!K1994 &gt;= SogliaPicchi!$B$21,"",DatiOriginali!K1994)</f>
        <v>145100</v>
      </c>
    </row>
    <row r="1995" spans="1:11" x14ac:dyDescent="0.3">
      <c r="A1995" s="4" t="s">
        <v>2004</v>
      </c>
      <c r="B1995" s="4">
        <v>499500</v>
      </c>
      <c r="C1995" s="4">
        <f>IF(DatiOriginali!C1995 &gt;= SogliaPicchi!$B$21,"",DatiOriginali!C1995)</f>
        <v>4045700</v>
      </c>
      <c r="D1995" s="4">
        <v>248498</v>
      </c>
      <c r="E1995" s="4">
        <f>IF(DatiOriginali!E1995 &gt;= SogliaPicchi!$B$21,"",DatiOriginali!E1995)</f>
        <v>861000</v>
      </c>
      <c r="F1995" s="4">
        <v>8386684</v>
      </c>
      <c r="G1995" s="4">
        <f>IF(DatiOriginali!G1995 &gt;= SogliaPicchi!$B$21,"",DatiOriginali!G1995)</f>
        <v>366100</v>
      </c>
      <c r="H1995" s="4">
        <v>10491625</v>
      </c>
      <c r="I1995" s="4">
        <f>IF(DatiOriginali!I1995 &gt;= SogliaPicchi!$B$21,"",DatiOriginali!I1995)</f>
        <v>131600</v>
      </c>
      <c r="J1995" s="4">
        <v>10470617</v>
      </c>
      <c r="K1995" s="4">
        <f>IF(DatiOriginali!K1995 &gt;= SogliaPicchi!$B$21,"",DatiOriginali!K1995)</f>
        <v>140500</v>
      </c>
    </row>
    <row r="1996" spans="1:11" x14ac:dyDescent="0.3">
      <c r="A1996" s="4" t="s">
        <v>2005</v>
      </c>
      <c r="B1996" s="4">
        <v>499500</v>
      </c>
      <c r="C1996" s="4">
        <f>IF(DatiOriginali!C1996 &gt;= SogliaPicchi!$B$21,"",DatiOriginali!C1996)</f>
        <v>4383200</v>
      </c>
      <c r="D1996" s="4">
        <v>251318</v>
      </c>
      <c r="E1996" s="4">
        <f>IF(DatiOriginali!E1996 &gt;= SogliaPicchi!$B$21,"",DatiOriginali!E1996)</f>
        <v>888000</v>
      </c>
      <c r="F1996" s="4">
        <v>8395384</v>
      </c>
      <c r="G1996" s="4">
        <f>IF(DatiOriginali!G1996 &gt;= SogliaPicchi!$B$21,"",DatiOriginali!G1996)</f>
        <v>377500</v>
      </c>
      <c r="H1996" s="4">
        <v>10502322</v>
      </c>
      <c r="I1996" s="4">
        <f>IF(DatiOriginali!I1996 &gt;= SogliaPicchi!$B$21,"",DatiOriginali!I1996)</f>
        <v>130800</v>
      </c>
      <c r="J1996" s="4">
        <v>10482668</v>
      </c>
      <c r="K1996" s="4">
        <f>IF(DatiOriginali!K1996 &gt;= SogliaPicchi!$B$21,"",DatiOriginali!K1996)</f>
        <v>140500</v>
      </c>
    </row>
    <row r="1997" spans="1:11" x14ac:dyDescent="0.3">
      <c r="A1997" s="4" t="s">
        <v>2006</v>
      </c>
      <c r="B1997" s="4">
        <v>499500</v>
      </c>
      <c r="C1997" s="4">
        <f>IF(DatiOriginali!C1997 &gt;= SogliaPicchi!$B$21,"",DatiOriginali!C1997)</f>
        <v>4318200</v>
      </c>
      <c r="D1997" s="4">
        <v>255176</v>
      </c>
      <c r="E1997" s="4">
        <f>IF(DatiOriginali!E1997 &gt;= SogliaPicchi!$B$21,"",DatiOriginali!E1997)</f>
        <v>907000</v>
      </c>
      <c r="F1997" s="4">
        <v>8404101</v>
      </c>
      <c r="G1997" s="4">
        <f>IF(DatiOriginali!G1997 &gt;= SogliaPicchi!$B$21,"",DatiOriginali!G1997)</f>
        <v>366800</v>
      </c>
      <c r="H1997" s="4">
        <v>10512711</v>
      </c>
      <c r="I1997" s="4">
        <f>IF(DatiOriginali!I1997 &gt;= SogliaPicchi!$B$21,"",DatiOriginali!I1997)</f>
        <v>126800</v>
      </c>
      <c r="J1997" s="4">
        <v>10494422</v>
      </c>
      <c r="K1997" s="4">
        <f>IF(DatiOriginali!K1997 &gt;= SogliaPicchi!$B$21,"",DatiOriginali!K1997)</f>
        <v>142000</v>
      </c>
    </row>
    <row r="1998" spans="1:11" x14ac:dyDescent="0.3">
      <c r="A1998" s="4" t="s">
        <v>2007</v>
      </c>
      <c r="B1998" s="4">
        <v>499500</v>
      </c>
      <c r="C1998" s="4">
        <f>IF(DatiOriginali!C1998 &gt;= SogliaPicchi!$B$21,"",DatiOriginali!C1998)</f>
        <v>4970100</v>
      </c>
      <c r="D1998" s="4">
        <v>246666</v>
      </c>
      <c r="E1998" s="4">
        <f>IF(DatiOriginali!E1998 &gt;= SogliaPicchi!$B$21,"",DatiOriginali!E1998)</f>
        <v>851600</v>
      </c>
      <c r="F1998" s="4">
        <v>8412805</v>
      </c>
      <c r="G1998" s="4">
        <f>IF(DatiOriginali!G1998 &gt;= SogliaPicchi!$B$21,"",DatiOriginali!G1998)</f>
        <v>370400</v>
      </c>
      <c r="H1998" s="4">
        <v>10522952</v>
      </c>
      <c r="I1998" s="4">
        <f>IF(DatiOriginali!I1998 &gt;= SogliaPicchi!$B$21,"",DatiOriginali!I1998)</f>
        <v>126200</v>
      </c>
      <c r="J1998" s="4">
        <v>10505447</v>
      </c>
      <c r="K1998" s="4">
        <f>IF(DatiOriginali!K1998 &gt;= SogliaPicchi!$B$21,"",DatiOriginali!K1998)</f>
        <v>141300</v>
      </c>
    </row>
    <row r="1999" spans="1:11" x14ac:dyDescent="0.3">
      <c r="A1999" s="4" t="s">
        <v>2008</v>
      </c>
      <c r="B1999" s="4">
        <v>499500</v>
      </c>
      <c r="C1999" s="4">
        <f>IF(DatiOriginali!C1999 &gt;= SogliaPicchi!$B$21,"",DatiOriginali!C1999)</f>
        <v>4577100</v>
      </c>
      <c r="D1999" s="4">
        <v>259775</v>
      </c>
      <c r="E1999" s="4">
        <f>IF(DatiOriginali!E1999 &gt;= SogliaPicchi!$B$21,"",DatiOriginali!E1999)</f>
        <v>927400</v>
      </c>
      <c r="F1999" s="4">
        <v>8421477</v>
      </c>
      <c r="G1999" s="4">
        <f>IF(DatiOriginali!G1999 &gt;= SogliaPicchi!$B$21,"",DatiOriginali!G1999)</f>
        <v>373600</v>
      </c>
      <c r="H1999" s="4">
        <v>10534207</v>
      </c>
      <c r="I1999" s="4">
        <f>IF(DatiOriginali!I1999 &gt;= SogliaPicchi!$B$21,"",DatiOriginali!I1999)</f>
        <v>126700</v>
      </c>
      <c r="J1999" s="4">
        <v>10516457</v>
      </c>
      <c r="K1999" s="4">
        <f>IF(DatiOriginali!K1999 &gt;= SogliaPicchi!$B$21,"",DatiOriginali!K1999)</f>
        <v>138900</v>
      </c>
    </row>
    <row r="2000" spans="1:11" x14ac:dyDescent="0.3">
      <c r="A2000" s="4" t="s">
        <v>2009</v>
      </c>
      <c r="B2000" s="4">
        <v>499500</v>
      </c>
      <c r="C2000" s="4">
        <f>IF(DatiOriginali!C2000 &gt;= SogliaPicchi!$B$21,"",DatiOriginali!C2000)</f>
        <v>4341400</v>
      </c>
      <c r="D2000" s="4">
        <v>250895</v>
      </c>
      <c r="E2000" s="4">
        <f>IF(DatiOriginali!E2000 &gt;= SogliaPicchi!$B$21,"",DatiOriginali!E2000)</f>
        <v>951900</v>
      </c>
      <c r="F2000" s="4">
        <v>8430179</v>
      </c>
      <c r="G2000" s="4">
        <f>IF(DatiOriginali!G2000 &gt;= SogliaPicchi!$B$21,"",DatiOriginali!G2000)</f>
        <v>401000</v>
      </c>
      <c r="H2000" s="4">
        <v>10545653</v>
      </c>
      <c r="I2000" s="4">
        <f>IF(DatiOriginali!I2000 &gt;= SogliaPicchi!$B$21,"",DatiOriginali!I2000)</f>
        <v>130900</v>
      </c>
      <c r="J2000" s="4">
        <v>10528472</v>
      </c>
      <c r="K2000" s="4">
        <f>IF(DatiOriginali!K2000 &gt;= SogliaPicchi!$B$21,"",DatiOriginali!K2000)</f>
        <v>149100</v>
      </c>
    </row>
    <row r="2001" spans="1:11" x14ac:dyDescent="0.3">
      <c r="A2001" s="4" t="s">
        <v>2010</v>
      </c>
      <c r="B2001" s="4">
        <v>499500</v>
      </c>
      <c r="C2001" s="4">
        <f>IF(DatiOriginali!C2001 &gt;= SogliaPicchi!$B$21,"",DatiOriginali!C2001)</f>
        <v>4553300</v>
      </c>
      <c r="D2001" s="4">
        <v>248057</v>
      </c>
      <c r="E2001" s="4">
        <f>IF(DatiOriginali!E2001 &gt;= SogliaPicchi!$B$21,"",DatiOriginali!E2001)</f>
        <v>979000</v>
      </c>
      <c r="F2001" s="4">
        <v>8438867</v>
      </c>
      <c r="G2001" s="4">
        <f>IF(DatiOriginali!G2001 &gt;= SogliaPicchi!$B$22,"",DatiOriginali!G2001)</f>
        <v>612100</v>
      </c>
      <c r="H2001" s="4">
        <v>10556080</v>
      </c>
      <c r="I2001" s="4">
        <f>IF(DatiOriginali!I2001 &gt;= SogliaPicchi!$B$22,"",DatiOriginali!I2001)</f>
        <v>156500</v>
      </c>
      <c r="J2001" s="4">
        <v>10539559</v>
      </c>
      <c r="K2001" s="4">
        <f>IF(DatiOriginali!K2001 &gt;= SogliaPicchi!$B$22,"",DatiOriginali!K2001)</f>
        <v>170000</v>
      </c>
    </row>
    <row r="2002" spans="1:11" x14ac:dyDescent="0.3">
      <c r="A2002" s="4" t="s">
        <v>2011</v>
      </c>
      <c r="B2002" s="4">
        <v>550725</v>
      </c>
      <c r="C2002" s="4">
        <f>IF(DatiOriginali!C2002 &gt;= SogliaPicchi!$B$22,"",DatiOriginali!C2002)</f>
        <v>4484900</v>
      </c>
      <c r="D2002" s="4">
        <v>282015</v>
      </c>
      <c r="E2002" s="4">
        <f>IF(DatiOriginali!E2002 &gt;= SogliaPicchi!$B$22,"",DatiOriginali!E2002)</f>
        <v>1272200</v>
      </c>
      <c r="F2002" s="4">
        <v>8448068</v>
      </c>
      <c r="G2002" s="4">
        <f>IF(DatiOriginali!G2002 &gt;= SogliaPicchi!$B$22,"",DatiOriginali!G2002)</f>
        <v>822400</v>
      </c>
      <c r="H2002" s="4">
        <v>10566990</v>
      </c>
      <c r="I2002" s="4">
        <f>IF(DatiOriginali!I2002 &gt;= SogliaPicchi!$B$22,"",DatiOriginali!I2002)</f>
        <v>179300</v>
      </c>
      <c r="J2002" s="4">
        <v>10551390</v>
      </c>
      <c r="K2002" s="4">
        <f>IF(DatiOriginali!K2002 &gt;= SogliaPicchi!$B$22,"",DatiOriginali!K2002)</f>
        <v>203900</v>
      </c>
    </row>
    <row r="2003" spans="1:11" x14ac:dyDescent="0.3">
      <c r="A2003" s="4" t="s">
        <v>2012</v>
      </c>
      <c r="B2003" s="4">
        <v>550725</v>
      </c>
      <c r="C2003" s="4">
        <f>IF(DatiOriginali!C2003 &gt;= SogliaPicchi!$B$22,"",DatiOriginali!C2003)</f>
        <v>5538600</v>
      </c>
      <c r="D2003" s="4">
        <v>273116</v>
      </c>
      <c r="E2003" s="4">
        <f>IF(DatiOriginali!E2003 &gt;= SogliaPicchi!$B$22,"",DatiOriginali!E2003)</f>
        <v>948700</v>
      </c>
      <c r="F2003" s="4">
        <v>8457278</v>
      </c>
      <c r="G2003" s="4">
        <f>IF(DatiOriginali!G2003 &gt;= SogliaPicchi!$B$22,"",DatiOriginali!G2003)</f>
        <v>397100</v>
      </c>
      <c r="H2003" s="4">
        <v>10578916</v>
      </c>
      <c r="I2003" s="4">
        <f>IF(DatiOriginali!I2003 &gt;= SogliaPicchi!$B$22,"",DatiOriginali!I2003)</f>
        <v>134900</v>
      </c>
      <c r="J2003" s="4">
        <v>10563195</v>
      </c>
      <c r="K2003" s="4">
        <f>IF(DatiOriginali!K2003 &gt;= SogliaPicchi!$B$22,"",DatiOriginali!K2003)</f>
        <v>145700</v>
      </c>
    </row>
    <row r="2004" spans="1:11" x14ac:dyDescent="0.3">
      <c r="A2004" s="4" t="s">
        <v>2013</v>
      </c>
      <c r="B2004" s="4">
        <v>550725</v>
      </c>
      <c r="C2004" s="4">
        <f>IF(DatiOriginali!C2004 &gt;= SogliaPicchi!$B$22,"",DatiOriginali!C2004)</f>
        <v>4693400</v>
      </c>
      <c r="D2004" s="4">
        <v>265741</v>
      </c>
      <c r="E2004" s="4">
        <f>IF(DatiOriginali!E2004 &gt;= SogliaPicchi!$B$22,"",DatiOriginali!E2004)</f>
        <v>948400</v>
      </c>
      <c r="F2004" s="4">
        <v>8466466</v>
      </c>
      <c r="G2004" s="4">
        <f>IF(DatiOriginali!G2004 &gt;= SogliaPicchi!$B$22,"",DatiOriginali!G2004)</f>
        <v>394300</v>
      </c>
      <c r="H2004" s="4">
        <v>10590379</v>
      </c>
      <c r="I2004" s="4">
        <f>IF(DatiOriginali!I2004 &gt;= SogliaPicchi!$B$22,"",DatiOriginali!I2004)</f>
        <v>133200</v>
      </c>
      <c r="J2004" s="4">
        <v>10575308</v>
      </c>
      <c r="K2004" s="4">
        <f>IF(DatiOriginali!K2004 &gt;= SogliaPicchi!$B$22,"",DatiOriginali!K2004)</f>
        <v>145500</v>
      </c>
    </row>
    <row r="2005" spans="1:11" x14ac:dyDescent="0.3">
      <c r="A2005" s="4" t="s">
        <v>2014</v>
      </c>
      <c r="B2005" s="4">
        <v>550725</v>
      </c>
      <c r="C2005" s="4">
        <f>IF(DatiOriginali!C2005 &gt;= SogliaPicchi!$B$22,"",DatiOriginali!C2005)</f>
        <v>5336600</v>
      </c>
      <c r="D2005" s="4">
        <v>274650</v>
      </c>
      <c r="E2005" s="4">
        <f>IF(DatiOriginali!E2005 &gt;= SogliaPicchi!$B$22,"",DatiOriginali!E2005)</f>
        <v>1167200</v>
      </c>
      <c r="F2005" s="4">
        <v>8475683</v>
      </c>
      <c r="G2005" s="4">
        <f>IF(DatiOriginali!G2005 &gt;= SogliaPicchi!$B$22,"",DatiOriginali!G2005)</f>
        <v>467300</v>
      </c>
      <c r="H2005" s="4">
        <v>10601748</v>
      </c>
      <c r="I2005" s="4">
        <f>IF(DatiOriginali!I2005 &gt;= SogliaPicchi!$B$22,"",DatiOriginali!I2005)</f>
        <v>133200</v>
      </c>
      <c r="J2005" s="4">
        <v>10586068</v>
      </c>
      <c r="K2005" s="4">
        <f>IF(DatiOriginali!K2005 &gt;= SogliaPicchi!$B$22,"",DatiOriginali!K2005)</f>
        <v>147400</v>
      </c>
    </row>
    <row r="2006" spans="1:11" x14ac:dyDescent="0.3">
      <c r="A2006" s="4" t="s">
        <v>2015</v>
      </c>
      <c r="B2006" s="4">
        <v>550725</v>
      </c>
      <c r="C2006" s="4">
        <f>IF(DatiOriginali!C2006 &gt;= SogliaPicchi!$B$22,"",DatiOriginali!C2006)</f>
        <v>5083600</v>
      </c>
      <c r="D2006" s="4">
        <v>271797</v>
      </c>
      <c r="E2006" s="4">
        <f>IF(DatiOriginali!E2006 &gt;= SogliaPicchi!$B$22,"",DatiOriginali!E2006)</f>
        <v>1072200</v>
      </c>
      <c r="F2006" s="4">
        <v>8484902</v>
      </c>
      <c r="G2006" s="4">
        <f>IF(DatiOriginali!G2006 &gt;= SogliaPicchi!$B$22,"",DatiOriginali!G2006)</f>
        <v>419400</v>
      </c>
      <c r="H2006" s="4">
        <v>10613287</v>
      </c>
      <c r="I2006" s="4">
        <f>IF(DatiOriginali!I2006 &gt;= SogliaPicchi!$B$22,"",DatiOriginali!I2006)</f>
        <v>136100</v>
      </c>
      <c r="J2006" s="4">
        <v>10597481</v>
      </c>
      <c r="K2006" s="4">
        <f>IF(DatiOriginali!K2006 &gt;= SogliaPicchi!$B$22,"",DatiOriginali!K2006)</f>
        <v>147300</v>
      </c>
    </row>
    <row r="2007" spans="1:11" x14ac:dyDescent="0.3">
      <c r="A2007" s="4" t="s">
        <v>2016</v>
      </c>
      <c r="B2007" s="4">
        <v>550725</v>
      </c>
      <c r="C2007" s="4">
        <f>IF(DatiOriginali!C2007 &gt;= SogliaPicchi!$B$22,"",DatiOriginali!C2007)</f>
        <v>4624600</v>
      </c>
      <c r="D2007" s="4">
        <v>287656</v>
      </c>
      <c r="E2007" s="4">
        <f>IF(DatiOriginali!E2007 &gt;= SogliaPicchi!$B$22,"",DatiOriginali!E2007)</f>
        <v>1154200</v>
      </c>
      <c r="F2007" s="4">
        <v>8494123</v>
      </c>
      <c r="G2007" s="4">
        <f>IF(DatiOriginali!G2007 &gt;= SogliaPicchi!$B$22,"",DatiOriginali!G2007)</f>
        <v>403500</v>
      </c>
      <c r="H2007" s="4">
        <v>10625547</v>
      </c>
      <c r="I2007" s="4">
        <f>IF(DatiOriginali!I2007 &gt;= SogliaPicchi!$B$22,"",DatiOriginali!I2007)</f>
        <v>130800</v>
      </c>
      <c r="J2007" s="4">
        <v>10609356</v>
      </c>
      <c r="K2007" s="4">
        <f>IF(DatiOriginali!K2007 &gt;= SogliaPicchi!$B$22,"",DatiOriginali!K2007)</f>
        <v>156000</v>
      </c>
    </row>
    <row r="2008" spans="1:11" x14ac:dyDescent="0.3">
      <c r="A2008" s="4" t="s">
        <v>2017</v>
      </c>
      <c r="B2008" s="4">
        <v>550725</v>
      </c>
      <c r="C2008" s="4">
        <f>IF(DatiOriginali!C2008 &gt;= SogliaPicchi!$B$22,"",DatiOriginali!C2008)</f>
        <v>4732500</v>
      </c>
      <c r="D2008" s="4">
        <v>277011</v>
      </c>
      <c r="E2008" s="4">
        <f>IF(DatiOriginali!E2008 &gt;= SogliaPicchi!$B$22,"",DatiOriginali!E2008)</f>
        <v>1197100</v>
      </c>
      <c r="F2008" s="4">
        <v>8503386</v>
      </c>
      <c r="G2008" s="4">
        <f>IF(DatiOriginali!G2008 &gt;= SogliaPicchi!$B$22,"",DatiOriginali!G2008)</f>
        <v>407900</v>
      </c>
      <c r="H2008" s="4">
        <v>10637377</v>
      </c>
      <c r="I2008" s="4">
        <f>IF(DatiOriginali!I2008 &gt;= SogliaPicchi!$B$22,"",DatiOriginali!I2008)</f>
        <v>137700</v>
      </c>
      <c r="J2008" s="4">
        <v>10621760</v>
      </c>
      <c r="K2008" s="4">
        <f>IF(DatiOriginali!K2008 &gt;= SogliaPicchi!$B$22,"",DatiOriginali!K2008)</f>
        <v>153200</v>
      </c>
    </row>
    <row r="2009" spans="1:11" x14ac:dyDescent="0.3">
      <c r="A2009" s="4" t="s">
        <v>2018</v>
      </c>
      <c r="B2009" s="4">
        <v>550725</v>
      </c>
      <c r="C2009" s="4">
        <f>IF(DatiOriginali!C2009 &gt;= SogliaPicchi!$B$22,"",DatiOriginali!C2009)</f>
        <v>5213200</v>
      </c>
      <c r="D2009" s="4">
        <v>285991</v>
      </c>
      <c r="E2009" s="4">
        <f>IF(DatiOriginali!E2009 &gt;= SogliaPicchi!$B$22,"",DatiOriginali!E2009)</f>
        <v>1014600</v>
      </c>
      <c r="F2009" s="4">
        <v>8512600</v>
      </c>
      <c r="G2009" s="4">
        <f>IF(DatiOriginali!G2009 &gt;= SogliaPicchi!$B$22,"",DatiOriginali!G2009)</f>
        <v>563100</v>
      </c>
      <c r="H2009" s="4">
        <v>10650708</v>
      </c>
      <c r="I2009" s="4">
        <f>IF(DatiOriginali!I2009 &gt;= SogliaPicchi!$B$22,"",DatiOriginali!I2009)</f>
        <v>166900</v>
      </c>
      <c r="J2009" s="4">
        <v>10634717</v>
      </c>
      <c r="K2009" s="4">
        <f>IF(DatiOriginali!K2009 &gt;= SogliaPicchi!$B$22,"",DatiOriginali!K2009)</f>
        <v>186800</v>
      </c>
    </row>
    <row r="2010" spans="1:11" x14ac:dyDescent="0.3">
      <c r="A2010" s="4" t="s">
        <v>2019</v>
      </c>
      <c r="B2010" s="4">
        <v>550725</v>
      </c>
      <c r="C2010" s="4">
        <f>IF(DatiOriginali!C2010 &gt;= SogliaPicchi!$B$22,"",DatiOriginali!C2010)</f>
        <v>4661800</v>
      </c>
      <c r="D2010" s="4">
        <v>277641</v>
      </c>
      <c r="E2010" s="4">
        <f>IF(DatiOriginali!E2010 &gt;= SogliaPicchi!$B$22,"",DatiOriginali!E2010)</f>
        <v>1134100</v>
      </c>
      <c r="F2010" s="4">
        <v>8521799</v>
      </c>
      <c r="G2010" s="4">
        <f>IF(DatiOriginali!G2010 &gt;= SogliaPicchi!$B$22,"",DatiOriginali!G2010)</f>
        <v>405500</v>
      </c>
      <c r="H2010" s="4">
        <v>10662288</v>
      </c>
      <c r="I2010" s="4">
        <f>IF(DatiOriginali!I2010 &gt;= SogliaPicchi!$B$22,"",DatiOriginali!I2010)</f>
        <v>136000</v>
      </c>
      <c r="J2010" s="4">
        <v>10645746</v>
      </c>
      <c r="K2010" s="4">
        <f>IF(DatiOriginali!K2010 &gt;= SogliaPicchi!$B$22,"",DatiOriginali!K2010)</f>
        <v>147100</v>
      </c>
    </row>
    <row r="2011" spans="1:11" x14ac:dyDescent="0.3">
      <c r="A2011" s="4" t="s">
        <v>2020</v>
      </c>
      <c r="B2011" s="4">
        <v>550725</v>
      </c>
      <c r="C2011" s="4">
        <f>IF(DatiOriginali!C2011 &gt;= SogliaPicchi!$B$22,"",DatiOriginali!C2011)</f>
        <v>4790400</v>
      </c>
      <c r="D2011" s="4">
        <v>274649</v>
      </c>
      <c r="E2011" s="4">
        <f>IF(DatiOriginali!E2011 &gt;= SogliaPicchi!$B$22,"",DatiOriginali!E2011)</f>
        <v>990400</v>
      </c>
      <c r="F2011" s="4">
        <v>8531027</v>
      </c>
      <c r="G2011" s="4">
        <f>IF(DatiOriginali!G2011 &gt;= SogliaPicchi!$B$22,"",DatiOriginali!G2011)</f>
        <v>399400</v>
      </c>
      <c r="H2011" s="4">
        <v>10674924</v>
      </c>
      <c r="I2011" s="4">
        <f>IF(DatiOriginali!I2011 &gt;= SogliaPicchi!$B$22,"",DatiOriginali!I2011)</f>
        <v>145900</v>
      </c>
      <c r="J2011" s="4">
        <v>10658014</v>
      </c>
      <c r="K2011" s="4">
        <f>IF(DatiOriginali!K2011 &gt;= SogliaPicchi!$B$22,"",DatiOriginali!K2011)</f>
        <v>151700</v>
      </c>
    </row>
    <row r="2012" spans="1:11" x14ac:dyDescent="0.3">
      <c r="A2012" s="4" t="s">
        <v>2021</v>
      </c>
      <c r="B2012" s="4">
        <v>550725</v>
      </c>
      <c r="C2012" s="4">
        <f>IF(DatiOriginali!C2012 &gt;= SogliaPicchi!$B$22,"",DatiOriginali!C2012)</f>
        <v>4651400</v>
      </c>
      <c r="D2012" s="4">
        <v>267425</v>
      </c>
      <c r="E2012" s="4">
        <f>IF(DatiOriginali!E2012 &gt;= SogliaPicchi!$B$22,"",DatiOriginali!E2012)</f>
        <v>921500</v>
      </c>
      <c r="F2012" s="4">
        <v>8540239</v>
      </c>
      <c r="G2012" s="4">
        <f>IF(DatiOriginali!G2012 &gt;= SogliaPicchi!$B$22,"",DatiOriginali!G2012)</f>
        <v>388400</v>
      </c>
      <c r="H2012" s="4">
        <v>10686606</v>
      </c>
      <c r="I2012" s="4">
        <f>IF(DatiOriginali!I2012 &gt;= SogliaPicchi!$B$22,"",DatiOriginali!I2012)</f>
        <v>129500</v>
      </c>
      <c r="J2012" s="4">
        <v>10670245</v>
      </c>
      <c r="K2012" s="4">
        <f>IF(DatiOriginali!K2012 &gt;= SogliaPicchi!$B$22,"",DatiOriginali!K2012)</f>
        <v>147500</v>
      </c>
    </row>
    <row r="2013" spans="1:11" x14ac:dyDescent="0.3">
      <c r="A2013" s="4" t="s">
        <v>2022</v>
      </c>
      <c r="B2013" s="4">
        <v>550725</v>
      </c>
      <c r="C2013" s="4">
        <f>IF(DatiOriginali!C2013 &gt;= SogliaPicchi!$B$22,"",DatiOriginali!C2013)</f>
        <v>4584500</v>
      </c>
      <c r="D2013" s="4">
        <v>276589</v>
      </c>
      <c r="E2013" s="4">
        <f>IF(DatiOriginali!E2013 &gt;= SogliaPicchi!$B$22,"",DatiOriginali!E2013)</f>
        <v>952700</v>
      </c>
      <c r="F2013" s="4">
        <v>8549470</v>
      </c>
      <c r="G2013" s="4">
        <f>IF(DatiOriginali!G2013 &gt;= SogliaPicchi!$B$22,"",DatiOriginali!G2013)</f>
        <v>387600</v>
      </c>
      <c r="H2013" s="4">
        <v>10699384</v>
      </c>
      <c r="I2013" s="4">
        <f>IF(DatiOriginali!I2013 &gt;= SogliaPicchi!$B$22,"",DatiOriginali!I2013)</f>
        <v>139500</v>
      </c>
      <c r="J2013" s="4">
        <v>10681779</v>
      </c>
      <c r="K2013" s="4">
        <f>IF(DatiOriginali!K2013 &gt;= SogliaPicchi!$B$22,"",DatiOriginali!K2013)</f>
        <v>146500</v>
      </c>
    </row>
    <row r="2014" spans="1:11" x14ac:dyDescent="0.3">
      <c r="A2014" s="4" t="s">
        <v>2023</v>
      </c>
      <c r="B2014" s="4">
        <v>550725</v>
      </c>
      <c r="C2014" s="4">
        <f>IF(DatiOriginali!C2014 &gt;= SogliaPicchi!$B$22,"",DatiOriginali!C2014)</f>
        <v>4645300</v>
      </c>
      <c r="D2014" s="4">
        <v>286917</v>
      </c>
      <c r="E2014" s="4">
        <f>IF(DatiOriginali!E2014 &gt;= SogliaPicchi!$B$22,"",DatiOriginali!E2014)</f>
        <v>988600</v>
      </c>
      <c r="F2014" s="4">
        <v>8558697</v>
      </c>
      <c r="G2014" s="4">
        <f>IF(DatiOriginali!G2014 &gt;= SogliaPicchi!$B$22,"",DatiOriginali!G2014)</f>
        <v>397200</v>
      </c>
      <c r="H2014" s="4">
        <v>10711643</v>
      </c>
      <c r="I2014" s="4">
        <f>IF(DatiOriginali!I2014 &gt;= SogliaPicchi!$B$22,"",DatiOriginali!I2014)</f>
        <v>132200</v>
      </c>
      <c r="J2014" s="4">
        <v>10692873</v>
      </c>
      <c r="K2014" s="4">
        <f>IF(DatiOriginali!K2014 &gt;= SogliaPicchi!$B$22,"",DatiOriginali!K2014)</f>
        <v>149100</v>
      </c>
    </row>
    <row r="2015" spans="1:11" x14ac:dyDescent="0.3">
      <c r="A2015" s="4" t="s">
        <v>2024</v>
      </c>
      <c r="B2015" s="4">
        <v>550725</v>
      </c>
      <c r="C2015" s="4">
        <f>IF(DatiOriginali!C2015 &gt;= SogliaPicchi!$B$22,"",DatiOriginali!C2015)</f>
        <v>4705200</v>
      </c>
      <c r="D2015" s="4">
        <v>279453</v>
      </c>
      <c r="E2015" s="4">
        <f>IF(DatiOriginali!E2015 &gt;= SogliaPicchi!$B$22,"",DatiOriginali!E2015)</f>
        <v>961300</v>
      </c>
      <c r="F2015" s="4">
        <v>8567913</v>
      </c>
      <c r="G2015" s="4">
        <f>IF(DatiOriginali!G2015 &gt;= SogliaPicchi!$B$22,"",DatiOriginali!G2015)</f>
        <v>394200</v>
      </c>
      <c r="H2015" s="4">
        <v>10723113</v>
      </c>
      <c r="I2015" s="4">
        <f>IF(DatiOriginali!I2015 &gt;= SogliaPicchi!$B$22,"",DatiOriginali!I2015)</f>
        <v>135500</v>
      </c>
      <c r="J2015" s="4">
        <v>10705012</v>
      </c>
      <c r="K2015" s="4">
        <f>IF(DatiOriginali!K2015 &gt;= SogliaPicchi!$B$22,"",DatiOriginali!K2015)</f>
        <v>151700</v>
      </c>
    </row>
    <row r="2016" spans="1:11" x14ac:dyDescent="0.3">
      <c r="A2016" s="4" t="s">
        <v>2025</v>
      </c>
      <c r="B2016" s="4">
        <v>550725</v>
      </c>
      <c r="C2016" s="4">
        <f>IF(DatiOriginali!C2016 &gt;= SogliaPicchi!$B$22,"",DatiOriginali!C2016)</f>
        <v>4877200</v>
      </c>
      <c r="D2016" s="4">
        <v>273946</v>
      </c>
      <c r="E2016" s="4">
        <f>IF(DatiOriginali!E2016 &gt;= SogliaPicchi!$B$22,"",DatiOriginali!E2016)</f>
        <v>945200</v>
      </c>
      <c r="F2016" s="4">
        <v>8577138</v>
      </c>
      <c r="G2016" s="4">
        <f>IF(DatiOriginali!G2016 &gt;= SogliaPicchi!$B$22,"",DatiOriginali!G2016)</f>
        <v>391200</v>
      </c>
      <c r="H2016" s="4">
        <v>10734105</v>
      </c>
      <c r="I2016" s="4">
        <f>IF(DatiOriginali!I2016 &gt;= SogliaPicchi!$B$22,"",DatiOriginali!I2016)</f>
        <v>133500</v>
      </c>
      <c r="J2016" s="4">
        <v>10717700</v>
      </c>
      <c r="K2016" s="4">
        <f>IF(DatiOriginali!K2016 &gt;= SogliaPicchi!$B$22,"",DatiOriginali!K2016)</f>
        <v>157800</v>
      </c>
    </row>
    <row r="2017" spans="1:11" x14ac:dyDescent="0.3">
      <c r="A2017" s="4" t="s">
        <v>2026</v>
      </c>
      <c r="B2017" s="4">
        <v>550725</v>
      </c>
      <c r="C2017" s="4">
        <f>IF(DatiOriginali!C2017 &gt;= SogliaPicchi!$B$22,"",DatiOriginali!C2017)</f>
        <v>4855400</v>
      </c>
      <c r="D2017" s="4">
        <v>280099</v>
      </c>
      <c r="E2017" s="4">
        <f>IF(DatiOriginali!E2017 &gt;= SogliaPicchi!$B$22,"",DatiOriginali!E2017)</f>
        <v>970200</v>
      </c>
      <c r="F2017" s="4">
        <v>8586373</v>
      </c>
      <c r="G2017" s="4">
        <f>IF(DatiOriginali!G2017 &gt;= SogliaPicchi!$B$22,"",DatiOriginali!G2017)</f>
        <v>388000</v>
      </c>
      <c r="H2017" s="4">
        <v>10745473</v>
      </c>
      <c r="I2017" s="4">
        <f>IF(DatiOriginali!I2017 &gt;= SogliaPicchi!$B$22,"",DatiOriginali!I2017)</f>
        <v>135000</v>
      </c>
      <c r="J2017" s="4">
        <v>10728978</v>
      </c>
      <c r="K2017" s="4">
        <f>IF(DatiOriginali!K2017 &gt;= SogliaPicchi!$B$22,"",DatiOriginali!K2017)</f>
        <v>151300</v>
      </c>
    </row>
    <row r="2018" spans="1:11" x14ac:dyDescent="0.3">
      <c r="A2018" s="4" t="s">
        <v>2027</v>
      </c>
      <c r="B2018" s="4">
        <v>550725</v>
      </c>
      <c r="C2018" s="4">
        <f>IF(DatiOriginali!C2018 &gt;= SogliaPicchi!$B$22,"",DatiOriginali!C2018)</f>
        <v>5191000</v>
      </c>
      <c r="D2018" s="4">
        <v>269200</v>
      </c>
      <c r="E2018" s="4">
        <f>IF(DatiOriginali!E2018 &gt;= SogliaPicchi!$B$22,"",DatiOriginali!E2018)</f>
        <v>931200</v>
      </c>
      <c r="F2018" s="4">
        <v>8595591</v>
      </c>
      <c r="G2018" s="4">
        <f>IF(DatiOriginali!G2018 &gt;= SogliaPicchi!$B$22,"",DatiOriginali!G2018)</f>
        <v>388900</v>
      </c>
      <c r="H2018" s="4">
        <v>10756692</v>
      </c>
      <c r="I2018" s="4">
        <f>IF(DatiOriginali!I2018 &gt;= SogliaPicchi!$B$22,"",DatiOriginali!I2018)</f>
        <v>134600</v>
      </c>
      <c r="J2018" s="4">
        <v>10740793</v>
      </c>
      <c r="K2018" s="4">
        <f>IF(DatiOriginali!K2018 &gt;= SogliaPicchi!$B$22,"",DatiOriginali!K2018)</f>
        <v>148800</v>
      </c>
    </row>
    <row r="2019" spans="1:11" x14ac:dyDescent="0.3">
      <c r="A2019" s="4" t="s">
        <v>2028</v>
      </c>
      <c r="B2019" s="4">
        <v>550725</v>
      </c>
      <c r="C2019" s="4">
        <f>IF(DatiOriginali!C2019 &gt;= SogliaPicchi!$B$22,"",DatiOriginali!C2019)</f>
        <v>4896600</v>
      </c>
      <c r="D2019" s="4">
        <v>284644</v>
      </c>
      <c r="E2019" s="4">
        <f>IF(DatiOriginali!E2019 &gt;= SogliaPicchi!$B$22,"",DatiOriginali!E2019)</f>
        <v>1010900</v>
      </c>
      <c r="F2019" s="4">
        <v>8604848</v>
      </c>
      <c r="G2019" s="4">
        <f>IF(DatiOriginali!G2019 &gt;= SogliaPicchi!$B$22,"",DatiOriginali!G2019)</f>
        <v>396600</v>
      </c>
      <c r="H2019" s="4">
        <v>10768146</v>
      </c>
      <c r="I2019" s="4">
        <f>IF(DatiOriginali!I2019 &gt;= SogliaPicchi!$B$22,"",DatiOriginali!I2019)</f>
        <v>135000</v>
      </c>
      <c r="J2019" s="4">
        <v>10751980</v>
      </c>
      <c r="K2019" s="4">
        <f>IF(DatiOriginali!K2019 &gt;= SogliaPicchi!$B$22,"",DatiOriginali!K2019)</f>
        <v>151400</v>
      </c>
    </row>
    <row r="2020" spans="1:11" x14ac:dyDescent="0.3">
      <c r="A2020" s="4" t="s">
        <v>2029</v>
      </c>
      <c r="B2020" s="4">
        <v>550725</v>
      </c>
      <c r="C2020" s="4">
        <f>IF(DatiOriginali!C2020 &gt;= SogliaPicchi!$B$22,"",DatiOriginali!C2020)</f>
        <v>4828800</v>
      </c>
      <c r="D2020" s="4">
        <v>272058</v>
      </c>
      <c r="E2020" s="4">
        <f>IF(DatiOriginali!E2020 &gt;= SogliaPicchi!$B$22,"",DatiOriginali!E2020)</f>
        <v>946400</v>
      </c>
      <c r="F2020" s="4">
        <v>8614082</v>
      </c>
      <c r="G2020" s="4">
        <f>IF(DatiOriginali!G2020 &gt;= SogliaPicchi!$B$22,"",DatiOriginali!G2020)</f>
        <v>389200</v>
      </c>
      <c r="H2020" s="4">
        <v>10779850</v>
      </c>
      <c r="I2020" s="4">
        <f>IF(DatiOriginali!I2020 &gt;= SogliaPicchi!$B$22,"",DatiOriginali!I2020)</f>
        <v>140800</v>
      </c>
      <c r="J2020" s="4">
        <v>10763751</v>
      </c>
      <c r="K2020" s="4">
        <f>IF(DatiOriginali!K2020 &gt;= SogliaPicchi!$B$22,"",DatiOriginali!K2020)</f>
        <v>145800</v>
      </c>
    </row>
    <row r="2021" spans="1:11" x14ac:dyDescent="0.3">
      <c r="A2021" s="4" t="s">
        <v>2030</v>
      </c>
      <c r="B2021" s="4">
        <v>550725</v>
      </c>
      <c r="C2021" s="4">
        <f>IF(DatiOriginali!C2021 &gt;= SogliaPicchi!$B$22,"",DatiOriginali!C2021)</f>
        <v>4728500</v>
      </c>
      <c r="D2021" s="4">
        <v>282860</v>
      </c>
      <c r="E2021" s="4">
        <f>IF(DatiOriginali!E2021 &gt;= SogliaPicchi!$B$22,"",DatiOriginali!E2021)</f>
        <v>999700</v>
      </c>
      <c r="F2021" s="4">
        <v>8623296</v>
      </c>
      <c r="G2021" s="4">
        <f>IF(DatiOriginali!G2021 &gt;= SogliaPicchi!$B$22,"",DatiOriginali!G2021)</f>
        <v>388800</v>
      </c>
      <c r="H2021" s="4">
        <v>10791334</v>
      </c>
      <c r="I2021" s="4">
        <f>IF(DatiOriginali!I2021 &gt;= SogliaPicchi!$B$22,"",DatiOriginali!I2021)</f>
        <v>131200</v>
      </c>
      <c r="J2021" s="4">
        <v>10775434</v>
      </c>
      <c r="K2021" s="4">
        <f>IF(DatiOriginali!K2021 &gt;= SogliaPicchi!$B$22,"",DatiOriginali!K2021)</f>
        <v>149500</v>
      </c>
    </row>
    <row r="2022" spans="1:11" x14ac:dyDescent="0.3">
      <c r="A2022" s="4" t="s">
        <v>2031</v>
      </c>
      <c r="B2022" s="4">
        <v>550725</v>
      </c>
      <c r="C2022" s="4">
        <f>IF(DatiOriginali!C2022 &gt;= SogliaPicchi!$B$22,"",DatiOriginali!C2022)</f>
        <v>4962900</v>
      </c>
      <c r="D2022" s="4">
        <v>274455</v>
      </c>
      <c r="E2022" s="4">
        <f>IF(DatiOriginali!E2022 &gt;= SogliaPicchi!$B$22,"",DatiOriginali!E2022)</f>
        <v>983400</v>
      </c>
      <c r="F2022" s="4">
        <v>8632541</v>
      </c>
      <c r="G2022" s="4">
        <f>IF(DatiOriginali!G2022 &gt;= SogliaPicchi!$B$22,"",DatiOriginali!G2022)</f>
        <v>401900</v>
      </c>
      <c r="H2022" s="4">
        <v>10802781</v>
      </c>
      <c r="I2022" s="4">
        <f>IF(DatiOriginali!I2022 &gt;= SogliaPicchi!$B$22,"",DatiOriginali!I2022)</f>
        <v>137100</v>
      </c>
      <c r="J2022" s="4">
        <v>10786173</v>
      </c>
      <c r="K2022" s="4">
        <f>IF(DatiOriginali!K2022 &gt;= SogliaPicchi!$B$22,"",DatiOriginali!K2022)</f>
        <v>143400</v>
      </c>
    </row>
    <row r="2023" spans="1:11" x14ac:dyDescent="0.3">
      <c r="A2023" s="4" t="s">
        <v>2032</v>
      </c>
      <c r="B2023" s="4">
        <v>550725</v>
      </c>
      <c r="C2023" s="4">
        <f>IF(DatiOriginali!C2023 &gt;= SogliaPicchi!$B$22,"",DatiOriginali!C2023)</f>
        <v>4821700</v>
      </c>
      <c r="D2023" s="4">
        <v>284290</v>
      </c>
      <c r="E2023" s="4">
        <f>IF(DatiOriginali!E2023 &gt;= SogliaPicchi!$B$22,"",DatiOriginali!E2023)</f>
        <v>985200</v>
      </c>
      <c r="F2023" s="4">
        <v>8641784</v>
      </c>
      <c r="G2023" s="4">
        <f>IF(DatiOriginali!G2023 &gt;= SogliaPicchi!$B$22,"",DatiOriginali!G2023)</f>
        <v>388400</v>
      </c>
      <c r="H2023" s="4">
        <v>10815650</v>
      </c>
      <c r="I2023" s="4">
        <f>IF(DatiOriginali!I2023 &gt;= SogliaPicchi!$B$22,"",DatiOriginali!I2023)</f>
        <v>143100</v>
      </c>
      <c r="J2023" s="4">
        <v>10798978</v>
      </c>
      <c r="K2023" s="4">
        <f>IF(DatiOriginali!K2023 &gt;= SogliaPicchi!$B$22,"",DatiOriginali!K2023)</f>
        <v>151400</v>
      </c>
    </row>
    <row r="2024" spans="1:11" x14ac:dyDescent="0.3">
      <c r="A2024" s="4" t="s">
        <v>2033</v>
      </c>
      <c r="B2024" s="4">
        <v>550725</v>
      </c>
      <c r="C2024" s="4">
        <f>IF(DatiOriginali!C2024 &gt;= SogliaPicchi!$B$22,"",DatiOriginali!C2024)</f>
        <v>5024200</v>
      </c>
      <c r="D2024" s="4">
        <v>278516</v>
      </c>
      <c r="E2024" s="4">
        <f>IF(DatiOriginali!E2024 &gt;= SogliaPicchi!$B$22,"",DatiOriginali!E2024)</f>
        <v>964500</v>
      </c>
      <c r="F2024" s="4">
        <v>8650987</v>
      </c>
      <c r="G2024" s="4">
        <f>IF(DatiOriginali!G2024 &gt;= SogliaPicchi!$B$22,"",DatiOriginali!G2024)</f>
        <v>397100</v>
      </c>
      <c r="H2024" s="4">
        <v>10826430</v>
      </c>
      <c r="I2024" s="4">
        <f>IF(DatiOriginali!I2024 &gt;= SogliaPicchi!$B$22,"",DatiOriginali!I2024)</f>
        <v>135800</v>
      </c>
      <c r="J2024" s="4">
        <v>10811027</v>
      </c>
      <c r="K2024" s="4">
        <f>IF(DatiOriginali!K2024 &gt;= SogliaPicchi!$B$22,"",DatiOriginali!K2024)</f>
        <v>148200</v>
      </c>
    </row>
    <row r="2025" spans="1:11" x14ac:dyDescent="0.3">
      <c r="A2025" s="4" t="s">
        <v>2034</v>
      </c>
      <c r="B2025" s="4">
        <v>550725</v>
      </c>
      <c r="C2025" s="4">
        <f>IF(DatiOriginali!C2025 &gt;= SogliaPicchi!$B$22,"",DatiOriginali!C2025)</f>
        <v>4801200</v>
      </c>
      <c r="D2025" s="4">
        <v>281992</v>
      </c>
      <c r="E2025" s="4">
        <f>IF(DatiOriginali!E2025 &gt;= SogliaPicchi!$B$22,"",DatiOriginali!E2025)</f>
        <v>988400</v>
      </c>
      <c r="F2025" s="4">
        <v>8660221</v>
      </c>
      <c r="G2025" s="4">
        <f>IF(DatiOriginali!G2025 &gt;= SogliaPicchi!$B$22,"",DatiOriginali!G2025)</f>
        <v>398700</v>
      </c>
      <c r="H2025" s="4">
        <v>10839216</v>
      </c>
      <c r="I2025" s="4">
        <f>IF(DatiOriginali!I2025 &gt;= SogliaPicchi!$B$22,"",DatiOriginali!I2025)</f>
        <v>138800</v>
      </c>
      <c r="J2025" s="4">
        <v>10823595</v>
      </c>
      <c r="K2025" s="4">
        <f>IF(DatiOriginali!K2025 &gt;= SogliaPicchi!$B$22,"",DatiOriginali!K2025)</f>
        <v>154300</v>
      </c>
    </row>
    <row r="2026" spans="1:11" x14ac:dyDescent="0.3">
      <c r="A2026" s="4" t="s">
        <v>2035</v>
      </c>
      <c r="B2026" s="4">
        <v>550725</v>
      </c>
      <c r="C2026" s="4">
        <f>IF(DatiOriginali!C2026 &gt;= SogliaPicchi!$B$22,"",DatiOriginali!C2026)</f>
        <v>4665700</v>
      </c>
      <c r="D2026" s="4">
        <v>273558</v>
      </c>
      <c r="E2026" s="4">
        <f>IF(DatiOriginali!E2026 &gt;= SogliaPicchi!$B$22,"",DatiOriginali!E2026)</f>
        <v>951100</v>
      </c>
      <c r="F2026" s="4">
        <v>8669453</v>
      </c>
      <c r="G2026" s="4">
        <f>IF(DatiOriginali!G2026 &gt;= SogliaPicchi!$B$22,"",DatiOriginali!G2026)</f>
        <v>394900</v>
      </c>
      <c r="H2026" s="4">
        <v>10850064</v>
      </c>
      <c r="I2026" s="4">
        <f>IF(DatiOriginali!I2026 &gt;= SogliaPicchi!$B$22,"",DatiOriginali!I2026)</f>
        <v>132800</v>
      </c>
      <c r="J2026" s="4">
        <v>10835493</v>
      </c>
      <c r="K2026" s="4">
        <f>IF(DatiOriginali!K2026 &gt;= SogliaPicchi!$B$22,"",DatiOriginali!K2026)</f>
        <v>146400</v>
      </c>
    </row>
    <row r="2027" spans="1:11" x14ac:dyDescent="0.3">
      <c r="A2027" s="4" t="s">
        <v>2036</v>
      </c>
      <c r="B2027" s="4">
        <v>550725</v>
      </c>
      <c r="C2027" s="4">
        <f>IF(DatiOriginali!C2027 &gt;= SogliaPicchi!$B$22,"",DatiOriginali!C2027)</f>
        <v>4910000</v>
      </c>
      <c r="D2027" s="4">
        <v>269467</v>
      </c>
      <c r="E2027" s="4">
        <f>IF(DatiOriginali!E2027 &gt;= SogliaPicchi!$B$22,"",DatiOriginali!E2027)</f>
        <v>999100</v>
      </c>
      <c r="F2027" s="4">
        <v>8678660</v>
      </c>
      <c r="G2027" s="4">
        <f>IF(DatiOriginali!G2027 &gt;= SogliaPicchi!$B$22,"",DatiOriginali!G2027)</f>
        <v>392000</v>
      </c>
      <c r="H2027" s="4">
        <v>10862554</v>
      </c>
      <c r="I2027" s="4">
        <f>IF(DatiOriginali!I2027 &gt;= SogliaPicchi!$B$22,"",DatiOriginali!I2027)</f>
        <v>138400</v>
      </c>
      <c r="J2027" s="4">
        <v>10846755</v>
      </c>
      <c r="K2027" s="4">
        <f>IF(DatiOriginali!K2027 &gt;= SogliaPicchi!$B$22,"",DatiOriginali!K2027)</f>
        <v>147700</v>
      </c>
    </row>
    <row r="2028" spans="1:11" x14ac:dyDescent="0.3">
      <c r="A2028" s="4" t="s">
        <v>2037</v>
      </c>
      <c r="B2028" s="4">
        <v>550725</v>
      </c>
      <c r="C2028" s="4">
        <f>IF(DatiOriginali!C2028 &gt;= SogliaPicchi!$B$22,"",DatiOriginali!C2028)</f>
        <v>4940400</v>
      </c>
      <c r="D2028" s="4">
        <v>274706</v>
      </c>
      <c r="E2028" s="4">
        <f>IF(DatiOriginali!E2028 &gt;= SogliaPicchi!$B$22,"",DatiOriginali!E2028)</f>
        <v>984900</v>
      </c>
      <c r="F2028" s="4">
        <v>8687868</v>
      </c>
      <c r="G2028" s="4">
        <f>IF(DatiOriginali!G2028 &gt;= SogliaPicchi!$B$22,"",DatiOriginali!G2028)</f>
        <v>401700</v>
      </c>
      <c r="H2028" s="4">
        <v>10874003</v>
      </c>
      <c r="I2028" s="4">
        <f>IF(DatiOriginali!I2028 &gt;= SogliaPicchi!$B$22,"",DatiOriginali!I2028)</f>
        <v>134200</v>
      </c>
      <c r="J2028" s="4">
        <v>10857769</v>
      </c>
      <c r="K2028" s="4">
        <f>IF(DatiOriginali!K2028 &gt;= SogliaPicchi!$B$22,"",DatiOriginali!K2028)</f>
        <v>147600</v>
      </c>
    </row>
    <row r="2029" spans="1:11" x14ac:dyDescent="0.3">
      <c r="A2029" s="4" t="s">
        <v>2038</v>
      </c>
      <c r="B2029" s="4">
        <v>550725</v>
      </c>
      <c r="C2029" s="4">
        <f>IF(DatiOriginali!C2029 &gt;= SogliaPicchi!$B$22,"",DatiOriginali!C2029)</f>
        <v>4727600</v>
      </c>
      <c r="D2029" s="4">
        <v>275414</v>
      </c>
      <c r="E2029" s="4">
        <f>IF(DatiOriginali!E2029 &gt;= SogliaPicchi!$B$22,"",DatiOriginali!E2029)</f>
        <v>992200</v>
      </c>
      <c r="F2029" s="4">
        <v>8697090</v>
      </c>
      <c r="G2029" s="4">
        <f>IF(DatiOriginali!G2029 &gt;= SogliaPicchi!$B$22,"",DatiOriginali!G2029)</f>
        <v>391800</v>
      </c>
      <c r="H2029" s="4">
        <v>10885525</v>
      </c>
      <c r="I2029" s="4">
        <f>IF(DatiOriginali!I2029 &gt;= SogliaPicchi!$B$22,"",DatiOriginali!I2029)</f>
        <v>133500</v>
      </c>
      <c r="J2029" s="4">
        <v>10868985</v>
      </c>
      <c r="K2029" s="4">
        <f>IF(DatiOriginali!K2029 &gt;= SogliaPicchi!$B$22,"",DatiOriginali!K2029)</f>
        <v>148800</v>
      </c>
    </row>
    <row r="2030" spans="1:11" x14ac:dyDescent="0.3">
      <c r="A2030" s="4" t="s">
        <v>2039</v>
      </c>
      <c r="B2030" s="4">
        <v>550725</v>
      </c>
      <c r="C2030" s="4">
        <f>IF(DatiOriginali!C2030 &gt;= SogliaPicchi!$B$22,"",DatiOriginali!C2030)</f>
        <v>5112800</v>
      </c>
      <c r="D2030" s="4">
        <v>275214</v>
      </c>
      <c r="E2030" s="4">
        <f>IF(DatiOriginali!E2030 &gt;= SogliaPicchi!$B$22,"",DatiOriginali!E2030)</f>
        <v>1170600</v>
      </c>
      <c r="F2030" s="4">
        <v>8706302</v>
      </c>
      <c r="G2030" s="4">
        <f>IF(DatiOriginali!G2030 &gt;= SogliaPicchi!$B$22,"",DatiOriginali!G2030)</f>
        <v>424800</v>
      </c>
      <c r="H2030" s="4">
        <v>10897565</v>
      </c>
      <c r="I2030" s="4">
        <f>IF(DatiOriginali!I2030 &gt;= SogliaPicchi!$B$22,"",DatiOriginali!I2030)</f>
        <v>138500</v>
      </c>
      <c r="J2030" s="4">
        <v>10880057</v>
      </c>
      <c r="K2030" s="4">
        <f>IF(DatiOriginali!K2030 &gt;= SogliaPicchi!$B$22,"",DatiOriginali!K2030)</f>
        <v>149200</v>
      </c>
    </row>
    <row r="2031" spans="1:11" x14ac:dyDescent="0.3">
      <c r="A2031" s="4" t="s">
        <v>2040</v>
      </c>
      <c r="B2031" s="4">
        <v>550725</v>
      </c>
      <c r="C2031" s="4">
        <f>IF(DatiOriginali!C2031 &gt;= SogliaPicchi!$B$22,"",DatiOriginali!C2031)</f>
        <v>5169300</v>
      </c>
      <c r="D2031" s="4">
        <v>281227</v>
      </c>
      <c r="E2031" s="4">
        <f>IF(DatiOriginali!E2031 &gt;= SogliaPicchi!$B$22,"",DatiOriginali!E2031)</f>
        <v>994400</v>
      </c>
      <c r="F2031" s="4">
        <v>8715539</v>
      </c>
      <c r="G2031" s="4">
        <f>IF(DatiOriginali!G2031 &gt;= SogliaPicchi!$B$22,"",DatiOriginali!G2031)</f>
        <v>420100</v>
      </c>
      <c r="H2031" s="4">
        <v>10909267</v>
      </c>
      <c r="I2031" s="4">
        <f>IF(DatiOriginali!I2031 &gt;= SogliaPicchi!$B$22,"",DatiOriginali!I2031)</f>
        <v>140400</v>
      </c>
      <c r="J2031" s="4">
        <v>10891102</v>
      </c>
      <c r="K2031" s="4">
        <f>IF(DatiOriginali!K2031 &gt;= SogliaPicchi!$B$22,"",DatiOriginali!K2031)</f>
        <v>147900</v>
      </c>
    </row>
    <row r="2032" spans="1:11" x14ac:dyDescent="0.3">
      <c r="A2032" s="4" t="s">
        <v>2041</v>
      </c>
      <c r="B2032" s="4">
        <v>550725</v>
      </c>
      <c r="C2032" s="4">
        <f>IF(DatiOriginali!C2032 &gt;= SogliaPicchi!$B$22,"",DatiOriginali!C2032)</f>
        <v>4699400</v>
      </c>
      <c r="D2032" s="4">
        <v>270089</v>
      </c>
      <c r="E2032" s="4">
        <f>IF(DatiOriginali!E2032 &gt;= SogliaPicchi!$B$22,"",DatiOriginali!E2032)</f>
        <v>1020100</v>
      </c>
      <c r="F2032" s="4">
        <v>8724777</v>
      </c>
      <c r="G2032" s="4">
        <f>IF(DatiOriginali!G2032 &gt;= SogliaPicchi!$B$22,"",DatiOriginali!G2032)</f>
        <v>400500</v>
      </c>
      <c r="H2032" s="4">
        <v>10920904</v>
      </c>
      <c r="I2032" s="4">
        <f>IF(DatiOriginali!I2032 &gt;= SogliaPicchi!$B$22,"",DatiOriginali!I2032)</f>
        <v>131800</v>
      </c>
      <c r="J2032" s="4">
        <v>10902360</v>
      </c>
      <c r="K2032" s="4">
        <f>IF(DatiOriginali!K2032 &gt;= SogliaPicchi!$B$22,"",DatiOriginali!K2032)</f>
        <v>146900</v>
      </c>
    </row>
    <row r="2033" spans="1:11" x14ac:dyDescent="0.3">
      <c r="A2033" s="4" t="s">
        <v>2042</v>
      </c>
      <c r="B2033" s="4">
        <v>550725</v>
      </c>
      <c r="C2033" s="4">
        <f>IF(DatiOriginali!C2033 &gt;= SogliaPicchi!$B$22,"",DatiOriginali!C2033)</f>
        <v>4602900</v>
      </c>
      <c r="D2033" s="4">
        <v>273767</v>
      </c>
      <c r="E2033" s="4">
        <f>IF(DatiOriginali!E2033 &gt;= SogliaPicchi!$B$22,"",DatiOriginali!E2033)</f>
        <v>1206500</v>
      </c>
      <c r="F2033" s="4">
        <v>8734014</v>
      </c>
      <c r="G2033" s="4">
        <f>IF(DatiOriginali!G2033 &gt;= SogliaPicchi!$B$22,"",DatiOriginali!G2033)</f>
        <v>434900</v>
      </c>
      <c r="H2033" s="4">
        <v>10932402</v>
      </c>
      <c r="I2033" s="4">
        <f>IF(DatiOriginali!I2033 &gt;= SogliaPicchi!$B$22,"",DatiOriginali!I2033)</f>
        <v>134600</v>
      </c>
      <c r="J2033" s="4">
        <v>10913631</v>
      </c>
      <c r="K2033" s="4">
        <f>IF(DatiOriginali!K2033 &gt;= SogliaPicchi!$B$22,"",DatiOriginali!K2033)</f>
        <v>150000</v>
      </c>
    </row>
    <row r="2034" spans="1:11" x14ac:dyDescent="0.3">
      <c r="A2034" s="4" t="s">
        <v>2043</v>
      </c>
      <c r="B2034" s="4">
        <v>550725</v>
      </c>
      <c r="C2034" s="4">
        <f>IF(DatiOriginali!C2034 &gt;= SogliaPicchi!$B$22,"",DatiOriginali!C2034)</f>
        <v>4613900</v>
      </c>
      <c r="D2034" s="4">
        <v>276846</v>
      </c>
      <c r="E2034" s="4">
        <f>IF(DatiOriginali!E2034 &gt;= SogliaPicchi!$B$22,"",DatiOriginali!E2034)</f>
        <v>964100</v>
      </c>
      <c r="F2034" s="4">
        <v>8743240</v>
      </c>
      <c r="G2034" s="4">
        <f>IF(DatiOriginali!G2034 &gt;= SogliaPicchi!$B$22,"",DatiOriginali!G2034)</f>
        <v>426900</v>
      </c>
      <c r="H2034" s="4">
        <v>10943793</v>
      </c>
      <c r="I2034" s="4">
        <f>IF(DatiOriginali!I2034 &gt;= SogliaPicchi!$B$22,"",DatiOriginali!I2034)</f>
        <v>136000</v>
      </c>
      <c r="J2034" s="4">
        <v>10925777</v>
      </c>
      <c r="K2034" s="4">
        <f>IF(DatiOriginali!K2034 &gt;= SogliaPicchi!$B$22,"",DatiOriginali!K2034)</f>
        <v>150000</v>
      </c>
    </row>
    <row r="2035" spans="1:11" x14ac:dyDescent="0.3">
      <c r="A2035" s="4" t="s">
        <v>2044</v>
      </c>
      <c r="B2035" s="4">
        <v>550725</v>
      </c>
      <c r="C2035" s="4">
        <f>IF(DatiOriginali!C2035 &gt;= SogliaPicchi!$B$22,"",DatiOriginali!C2035)</f>
        <v>4876100</v>
      </c>
      <c r="D2035" s="4">
        <v>281049</v>
      </c>
      <c r="E2035" s="4">
        <f>IF(DatiOriginali!E2035 &gt;= SogliaPicchi!$B$22,"",DatiOriginali!E2035)</f>
        <v>984300</v>
      </c>
      <c r="F2035" s="4">
        <v>8752468</v>
      </c>
      <c r="G2035" s="4">
        <f>IF(DatiOriginali!G2035 &gt;= SogliaPicchi!$B$22,"",DatiOriginali!G2035)</f>
        <v>477300</v>
      </c>
      <c r="H2035" s="4">
        <v>10955402</v>
      </c>
      <c r="I2035" s="4">
        <f>IF(DatiOriginali!I2035 &gt;= SogliaPicchi!$B$22,"",DatiOriginali!I2035)</f>
        <v>691300</v>
      </c>
      <c r="J2035" s="4">
        <v>10937274</v>
      </c>
      <c r="K2035" s="4">
        <f>IF(DatiOriginali!K2035 &gt;= SogliaPicchi!$B$22,"",DatiOriginali!K2035)</f>
        <v>189600</v>
      </c>
    </row>
    <row r="2036" spans="1:11" x14ac:dyDescent="0.3">
      <c r="A2036" s="4" t="s">
        <v>2045</v>
      </c>
      <c r="B2036" s="4">
        <v>550725</v>
      </c>
      <c r="C2036" s="4">
        <f>IF(DatiOriginali!C2036 &gt;= SogliaPicchi!$B$22,"",DatiOriginali!C2036)</f>
        <v>5542600</v>
      </c>
      <c r="D2036" s="4">
        <v>272977</v>
      </c>
      <c r="E2036" s="4">
        <f>IF(DatiOriginali!E2036 &gt;= SogliaPicchi!$B$22,"",DatiOriginali!E2036)</f>
        <v>1303200</v>
      </c>
      <c r="F2036" s="4">
        <v>8761694</v>
      </c>
      <c r="G2036" s="4">
        <f>IF(DatiOriginali!G2036 &gt;= SogliaPicchi!$B$22,"",DatiOriginali!G2036)</f>
        <v>480600</v>
      </c>
      <c r="H2036" s="4">
        <v>10968074</v>
      </c>
      <c r="I2036" s="4">
        <f>IF(DatiOriginali!I2036 &gt;= SogliaPicchi!$B$22,"",DatiOriginali!I2036)</f>
        <v>170600</v>
      </c>
      <c r="J2036" s="4">
        <v>10948535</v>
      </c>
      <c r="K2036" s="4">
        <f>IF(DatiOriginali!K2036 &gt;= SogliaPicchi!$B$22,"",DatiOriginali!K2036)</f>
        <v>199900</v>
      </c>
    </row>
    <row r="2037" spans="1:11" x14ac:dyDescent="0.3">
      <c r="A2037" s="4" t="s">
        <v>2046</v>
      </c>
      <c r="B2037" s="4">
        <v>550725</v>
      </c>
      <c r="C2037" s="4">
        <f>IF(DatiOriginali!C2037 &gt;= SogliaPicchi!$B$22,"",DatiOriginali!C2037)</f>
        <v>5113900</v>
      </c>
      <c r="D2037" s="4">
        <v>278202</v>
      </c>
      <c r="E2037" s="4">
        <f>IF(DatiOriginali!E2037 &gt;= SogliaPicchi!$B$22,"",DatiOriginali!E2037)</f>
        <v>1240000</v>
      </c>
      <c r="F2037" s="4">
        <v>8770914</v>
      </c>
      <c r="G2037" s="4">
        <f>IF(DatiOriginali!G2037 &gt;= SogliaPicchi!$B$22,"",DatiOriginali!G2037)</f>
        <v>389600</v>
      </c>
      <c r="H2037" s="4">
        <v>10980604</v>
      </c>
      <c r="I2037" s="4">
        <f>IF(DatiOriginali!I2037 &gt;= SogliaPicchi!$B$22,"",DatiOriginali!I2037)</f>
        <v>131200</v>
      </c>
      <c r="J2037" s="4">
        <v>10960370</v>
      </c>
      <c r="K2037" s="4">
        <f>IF(DatiOriginali!K2037 &gt;= SogliaPicchi!$B$22,"",DatiOriginali!K2037)</f>
        <v>148300</v>
      </c>
    </row>
    <row r="2038" spans="1:11" x14ac:dyDescent="0.3">
      <c r="A2038" s="4" t="s">
        <v>2047</v>
      </c>
      <c r="B2038" s="4">
        <v>550725</v>
      </c>
      <c r="C2038" s="4">
        <f>IF(DatiOriginali!C2038 &gt;= SogliaPicchi!$B$22,"",DatiOriginali!C2038)</f>
        <v>4924500</v>
      </c>
      <c r="D2038" s="4">
        <v>275567</v>
      </c>
      <c r="E2038" s="4">
        <f>IF(DatiOriginali!E2038 &gt;= SogliaPicchi!$B$22,"",DatiOriginali!E2038)</f>
        <v>1004300</v>
      </c>
      <c r="F2038" s="4">
        <v>8780108</v>
      </c>
      <c r="G2038" s="4">
        <f>IF(DatiOriginali!G2038 &gt;= SogliaPicchi!$B$22,"",DatiOriginali!G2038)</f>
        <v>410900</v>
      </c>
      <c r="H2038" s="4">
        <v>10991825</v>
      </c>
      <c r="I2038" s="4">
        <f>IF(DatiOriginali!I2038 &gt;= SogliaPicchi!$B$22,"",DatiOriginali!I2038)</f>
        <v>139400</v>
      </c>
      <c r="J2038" s="4">
        <v>10971026</v>
      </c>
      <c r="K2038" s="4">
        <f>IF(DatiOriginali!K2038 &gt;= SogliaPicchi!$B$22,"",DatiOriginali!K2038)</f>
        <v>148500</v>
      </c>
    </row>
    <row r="2039" spans="1:11" x14ac:dyDescent="0.3">
      <c r="A2039" s="4" t="s">
        <v>2048</v>
      </c>
      <c r="B2039" s="4">
        <v>550725</v>
      </c>
      <c r="C2039" s="4">
        <f>IF(DatiOriginali!C2039 &gt;= SogliaPicchi!$B$22,"",DatiOriginali!C2039)</f>
        <v>5026200</v>
      </c>
      <c r="D2039" s="4">
        <v>269394</v>
      </c>
      <c r="E2039" s="4">
        <f>IF(DatiOriginali!E2039 &gt;= SogliaPicchi!$B$22,"",DatiOriginali!E2039)</f>
        <v>992400</v>
      </c>
      <c r="F2039" s="4">
        <v>8789346</v>
      </c>
      <c r="G2039" s="4">
        <f>IF(DatiOriginali!G2039 &gt;= SogliaPicchi!$B$22,"",DatiOriginali!G2039)</f>
        <v>428800</v>
      </c>
      <c r="H2039" s="4">
        <v>11003880</v>
      </c>
      <c r="I2039" s="4">
        <f>IF(DatiOriginali!I2039 &gt;= SogliaPicchi!$B$22,"",DatiOriginali!I2039)</f>
        <v>139600</v>
      </c>
      <c r="J2039" s="4">
        <v>10984109</v>
      </c>
      <c r="K2039" s="4">
        <f>IF(DatiOriginali!K2039 &gt;= SogliaPicchi!$B$22,"",DatiOriginali!K2039)</f>
        <v>157600</v>
      </c>
    </row>
    <row r="2040" spans="1:11" x14ac:dyDescent="0.3">
      <c r="A2040" s="4" t="s">
        <v>2049</v>
      </c>
      <c r="B2040" s="4">
        <v>550725</v>
      </c>
      <c r="C2040" s="4">
        <f>IF(DatiOriginali!C2040 &gt;= SogliaPicchi!$B$22,"",DatiOriginali!C2040)</f>
        <v>4990800</v>
      </c>
      <c r="D2040" s="4">
        <v>276746</v>
      </c>
      <c r="E2040" s="4">
        <f>IF(DatiOriginali!E2040 &gt;= SogliaPicchi!$B$22,"",DatiOriginali!E2040)</f>
        <v>967200</v>
      </c>
      <c r="F2040" s="4">
        <v>8798541</v>
      </c>
      <c r="G2040" s="4">
        <f>IF(DatiOriginali!G2040 &gt;= SogliaPicchi!$B$22,"",DatiOriginali!G2040)</f>
        <v>476800</v>
      </c>
      <c r="H2040" s="4">
        <v>11016226</v>
      </c>
      <c r="I2040" s="4">
        <f>IF(DatiOriginali!I2040 &gt;= SogliaPicchi!$B$22,"",DatiOriginali!I2040)</f>
        <v>209800</v>
      </c>
      <c r="J2040" s="4">
        <v>10996111</v>
      </c>
      <c r="K2040" s="4">
        <f>IF(DatiOriginali!K2040 &gt;= SogliaPicchi!$B$22,"",DatiOriginali!K2040)</f>
        <v>165700</v>
      </c>
    </row>
    <row r="2041" spans="1:11" x14ac:dyDescent="0.3">
      <c r="A2041" s="4" t="s">
        <v>2050</v>
      </c>
      <c r="B2041" s="4">
        <v>550725</v>
      </c>
      <c r="C2041" s="4">
        <f>IF(DatiOriginali!C2041 &gt;= SogliaPicchi!$B$22,"",DatiOriginali!C2041)</f>
        <v>4509000</v>
      </c>
      <c r="D2041" s="4">
        <v>275640</v>
      </c>
      <c r="E2041" s="4">
        <f>IF(DatiOriginali!E2041 &gt;= SogliaPicchi!$B$22,"",DatiOriginali!E2041)</f>
        <v>957500</v>
      </c>
      <c r="F2041" s="4">
        <v>8807756</v>
      </c>
      <c r="G2041" s="4">
        <f>IF(DatiOriginali!G2041 &gt;= SogliaPicchi!$B$22,"",DatiOriginali!G2041)</f>
        <v>397100</v>
      </c>
      <c r="H2041" s="4">
        <v>11027010</v>
      </c>
      <c r="I2041" s="4">
        <f>IF(DatiOriginali!I2041 &gt;= SogliaPicchi!$B$22,"",DatiOriginali!I2041)</f>
        <v>135300</v>
      </c>
      <c r="J2041" s="4">
        <v>11008043</v>
      </c>
      <c r="K2041" s="4">
        <f>IF(DatiOriginali!K2041 &gt;= SogliaPicchi!$B$22,"",DatiOriginali!K2041)</f>
        <v>147800</v>
      </c>
    </row>
    <row r="2042" spans="1:11" x14ac:dyDescent="0.3">
      <c r="A2042" s="4" t="s">
        <v>2051</v>
      </c>
      <c r="B2042" s="4">
        <v>550725</v>
      </c>
      <c r="C2042" s="4">
        <f>IF(DatiOriginali!C2042 &gt;= SogliaPicchi!$B$22,"",DatiOriginali!C2042)</f>
        <v>4562300</v>
      </c>
      <c r="D2042" s="4">
        <v>280369</v>
      </c>
      <c r="E2042" s="4">
        <f>IF(DatiOriginali!E2042 &gt;= SogliaPicchi!$B$22,"",DatiOriginali!E2042)</f>
        <v>1008100</v>
      </c>
      <c r="F2042" s="4">
        <v>8816969</v>
      </c>
      <c r="G2042" s="4">
        <f>IF(DatiOriginali!G2042 &gt;= SogliaPicchi!$B$22,"",DatiOriginali!G2042)</f>
        <v>396900</v>
      </c>
      <c r="H2042" s="4">
        <v>11038708</v>
      </c>
      <c r="I2042" s="4">
        <f>IF(DatiOriginali!I2042 &gt;= SogliaPicchi!$B$22,"",DatiOriginali!I2042)</f>
        <v>139200</v>
      </c>
      <c r="J2042" s="4">
        <v>11021890</v>
      </c>
      <c r="K2042" s="4">
        <f>IF(DatiOriginali!K2042 &gt;= SogliaPicchi!$B$22,"",DatiOriginali!K2042)</f>
        <v>155000</v>
      </c>
    </row>
    <row r="2043" spans="1:11" x14ac:dyDescent="0.3">
      <c r="A2043" s="4" t="s">
        <v>2052</v>
      </c>
      <c r="B2043" s="4">
        <v>550725</v>
      </c>
      <c r="C2043" s="4">
        <f>IF(DatiOriginali!C2043 &gt;= SogliaPicchi!$B$22,"",DatiOriginali!C2043)</f>
        <v>4450000</v>
      </c>
      <c r="D2043" s="4">
        <v>277061</v>
      </c>
      <c r="E2043" s="4">
        <f>IF(DatiOriginali!E2043 &gt;= SogliaPicchi!$B$22,"",DatiOriginali!E2043)</f>
        <v>992300</v>
      </c>
      <c r="F2043" s="4">
        <v>8826173</v>
      </c>
      <c r="G2043" s="4">
        <f>IF(DatiOriginali!G2043 &gt;= SogliaPicchi!$B$22,"",DatiOriginali!G2043)</f>
        <v>391800</v>
      </c>
      <c r="H2043" s="4">
        <v>11049727</v>
      </c>
      <c r="I2043" s="4">
        <f>IF(DatiOriginali!I2043 &gt;= SogliaPicchi!$B$22,"",DatiOriginali!I2043)</f>
        <v>132800</v>
      </c>
      <c r="J2043" s="4">
        <v>11032958</v>
      </c>
      <c r="K2043" s="4">
        <f>IF(DatiOriginali!K2043 &gt;= SogliaPicchi!$B$22,"",DatiOriginali!K2043)</f>
        <v>147500</v>
      </c>
    </row>
    <row r="2044" spans="1:11" x14ac:dyDescent="0.3">
      <c r="A2044" s="4" t="s">
        <v>2053</v>
      </c>
      <c r="B2044" s="4">
        <v>550725</v>
      </c>
      <c r="C2044" s="4">
        <f>IF(DatiOriginali!C2044 &gt;= SogliaPicchi!$B$22,"",DatiOriginali!C2044)</f>
        <v>4445300</v>
      </c>
      <c r="D2044" s="4">
        <v>276279</v>
      </c>
      <c r="E2044" s="4">
        <f>IF(DatiOriginali!E2044 &gt;= SogliaPicchi!$B$22,"",DatiOriginali!E2044)</f>
        <v>996600</v>
      </c>
      <c r="F2044" s="4">
        <v>8835390</v>
      </c>
      <c r="G2044" s="4">
        <f>IF(DatiOriginali!G2044 &gt;= SogliaPicchi!$B$22,"",DatiOriginali!G2044)</f>
        <v>400000</v>
      </c>
      <c r="H2044" s="4">
        <v>11061270</v>
      </c>
      <c r="I2044" s="4">
        <f>IF(DatiOriginali!I2044 &gt;= SogliaPicchi!$B$22,"",DatiOriginali!I2044)</f>
        <v>137600</v>
      </c>
      <c r="J2044" s="4">
        <v>11044027</v>
      </c>
      <c r="K2044" s="4">
        <f>IF(DatiOriginali!K2044 &gt;= SogliaPicchi!$B$22,"",DatiOriginali!K2044)</f>
        <v>148700</v>
      </c>
    </row>
    <row r="2045" spans="1:11" x14ac:dyDescent="0.3">
      <c r="A2045" s="4" t="s">
        <v>2054</v>
      </c>
      <c r="B2045" s="4">
        <v>550725</v>
      </c>
      <c r="C2045" s="4">
        <f>IF(DatiOriginali!C2045 &gt;= SogliaPicchi!$B$22,"",DatiOriginali!C2045)</f>
        <v>4956100</v>
      </c>
      <c r="D2045" s="4">
        <v>281379</v>
      </c>
      <c r="E2045" s="4">
        <f>IF(DatiOriginali!E2045 &gt;= SogliaPicchi!$B$22,"",DatiOriginali!E2045)</f>
        <v>997800</v>
      </c>
      <c r="F2045" s="4">
        <v>8844589</v>
      </c>
      <c r="G2045" s="4">
        <f>IF(DatiOriginali!G2045 &gt;= SogliaPicchi!$B$22,"",DatiOriginali!G2045)</f>
        <v>396300</v>
      </c>
      <c r="H2045" s="4">
        <v>11072222</v>
      </c>
      <c r="I2045" s="4">
        <f>IF(DatiOriginali!I2045 &gt;= SogliaPicchi!$B$22,"",DatiOriginali!I2045)</f>
        <v>137200</v>
      </c>
      <c r="J2045" s="4">
        <v>11055539</v>
      </c>
      <c r="K2045" s="4">
        <f>IF(DatiOriginali!K2045 &gt;= SogliaPicchi!$B$22,"",DatiOriginali!K2045)</f>
        <v>151300</v>
      </c>
    </row>
    <row r="2046" spans="1:11" x14ac:dyDescent="0.3">
      <c r="A2046" s="4" t="s">
        <v>2055</v>
      </c>
      <c r="B2046" s="4">
        <v>550725</v>
      </c>
      <c r="C2046" s="4">
        <f>IF(DatiOriginali!C2046 &gt;= SogliaPicchi!$B$22,"",DatiOriginali!C2046)</f>
        <v>4886200</v>
      </c>
      <c r="D2046" s="4">
        <v>284204</v>
      </c>
      <c r="E2046" s="4">
        <f>IF(DatiOriginali!E2046 &gt;= SogliaPicchi!$B$22,"",DatiOriginali!E2046)</f>
        <v>988300</v>
      </c>
      <c r="F2046" s="4">
        <v>8853808</v>
      </c>
      <c r="G2046" s="4">
        <f>IF(DatiOriginali!G2046 &gt;= SogliaPicchi!$B$22,"",DatiOriginali!G2046)</f>
        <v>388800</v>
      </c>
      <c r="H2046" s="4">
        <v>11083858</v>
      </c>
      <c r="I2046" s="4">
        <f>IF(DatiOriginali!I2046 &gt;= SogliaPicchi!$B$22,"",DatiOriginali!I2046)</f>
        <v>134800</v>
      </c>
      <c r="J2046" s="4">
        <v>11066251</v>
      </c>
      <c r="K2046" s="4">
        <f>IF(DatiOriginali!K2046 &gt;= SogliaPicchi!$B$22,"",DatiOriginali!K2046)</f>
        <v>149200</v>
      </c>
    </row>
    <row r="2047" spans="1:11" x14ac:dyDescent="0.3">
      <c r="A2047" s="4" t="s">
        <v>2056</v>
      </c>
      <c r="B2047" s="4">
        <v>550725</v>
      </c>
      <c r="C2047" s="4">
        <f>IF(DatiOriginali!C2047 &gt;= SogliaPicchi!$B$22,"",DatiOriginali!C2047)</f>
        <v>4611400</v>
      </c>
      <c r="D2047" s="4">
        <v>276137</v>
      </c>
      <c r="E2047" s="4">
        <f>IF(DatiOriginali!E2047 &gt;= SogliaPicchi!$B$22,"",DatiOriginali!E2047)</f>
        <v>961200</v>
      </c>
      <c r="F2047" s="4">
        <v>8863041</v>
      </c>
      <c r="G2047" s="4">
        <f>IF(DatiOriginali!G2047 &gt;= SogliaPicchi!$B$22,"",DatiOriginali!G2047)</f>
        <v>391800</v>
      </c>
      <c r="H2047" s="4">
        <v>11095552</v>
      </c>
      <c r="I2047" s="4">
        <f>IF(DatiOriginali!I2047 &gt;= SogliaPicchi!$B$22,"",DatiOriginali!I2047)</f>
        <v>136400</v>
      </c>
      <c r="J2047" s="4">
        <v>11078581</v>
      </c>
      <c r="K2047" s="4">
        <f>IF(DatiOriginali!K2047 &gt;= SogliaPicchi!$B$22,"",DatiOriginali!K2047)</f>
        <v>154500</v>
      </c>
    </row>
    <row r="2048" spans="1:11" x14ac:dyDescent="0.3">
      <c r="A2048" s="4" t="s">
        <v>2057</v>
      </c>
      <c r="B2048" s="4">
        <v>550725</v>
      </c>
      <c r="C2048" s="4">
        <f>IF(DatiOriginali!C2048 &gt;= SogliaPicchi!$B$22,"",DatiOriginali!C2048)</f>
        <v>4524600</v>
      </c>
      <c r="D2048" s="4">
        <v>268571</v>
      </c>
      <c r="E2048" s="4">
        <f>IF(DatiOriginali!E2048 &gt;= SogliaPicchi!$B$22,"",DatiOriginali!E2048)</f>
        <v>934900</v>
      </c>
      <c r="F2048" s="4">
        <v>8872248</v>
      </c>
      <c r="G2048" s="4">
        <f>IF(DatiOriginali!G2048 &gt;= SogliaPicchi!$B$22,"",DatiOriginali!G2048)</f>
        <v>395500</v>
      </c>
      <c r="H2048" s="4">
        <v>11108475</v>
      </c>
      <c r="I2048" s="4">
        <f>IF(DatiOriginali!I2048 &gt;= SogliaPicchi!$B$22,"",DatiOriginali!I2048)</f>
        <v>134000</v>
      </c>
      <c r="J2048" s="4">
        <v>11089961</v>
      </c>
      <c r="K2048" s="4">
        <f>IF(DatiOriginali!K2048 &gt;= SogliaPicchi!$B$22,"",DatiOriginali!K2048)</f>
        <v>147500</v>
      </c>
    </row>
    <row r="2049" spans="1:11" x14ac:dyDescent="0.3">
      <c r="A2049" s="4" t="s">
        <v>2058</v>
      </c>
      <c r="B2049" s="4">
        <v>550725</v>
      </c>
      <c r="C2049" s="4">
        <f>IF(DatiOriginali!C2049 &gt;= SogliaPicchi!$B$22,"",DatiOriginali!C2049)</f>
        <v>4624200</v>
      </c>
      <c r="D2049" s="4">
        <v>275133</v>
      </c>
      <c r="E2049" s="4">
        <f>IF(DatiOriginali!E2049 &gt;= SogliaPicchi!$B$22,"",DatiOriginali!E2049)</f>
        <v>952500</v>
      </c>
      <c r="F2049" s="4">
        <v>8881448</v>
      </c>
      <c r="G2049" s="4">
        <f>IF(DatiOriginali!G2049 &gt;= SogliaPicchi!$B$22,"",DatiOriginali!G2049)</f>
        <v>400900</v>
      </c>
      <c r="H2049" s="4">
        <v>11121483</v>
      </c>
      <c r="I2049" s="4">
        <f>IF(DatiOriginali!I2049 &gt;= SogliaPicchi!$B$22,"",DatiOriginali!I2049)</f>
        <v>141800</v>
      </c>
      <c r="J2049" s="4">
        <v>11101647</v>
      </c>
      <c r="K2049" s="4">
        <f>IF(DatiOriginali!K2049 &gt;= SogliaPicchi!$B$22,"",DatiOriginali!K2049)</f>
        <v>155800</v>
      </c>
    </row>
    <row r="2050" spans="1:11" x14ac:dyDescent="0.3">
      <c r="A2050" s="4" t="s">
        <v>2059</v>
      </c>
      <c r="B2050" s="4">
        <v>550725</v>
      </c>
      <c r="C2050" s="4">
        <f>IF(DatiOriginali!C2050 &gt;= SogliaPicchi!$B$22,"",DatiOriginali!C2050)</f>
        <v>4481400</v>
      </c>
      <c r="D2050" s="4">
        <v>272580</v>
      </c>
      <c r="E2050" s="4">
        <f>IF(DatiOriginali!E2050 &gt;= SogliaPicchi!$B$22,"",DatiOriginali!E2050)</f>
        <v>940900</v>
      </c>
      <c r="F2050" s="4">
        <v>8890677</v>
      </c>
      <c r="G2050" s="4">
        <f>IF(DatiOriginali!G2050 &gt;= SogliaPicchi!$B$22,"",DatiOriginali!G2050)</f>
        <v>389100</v>
      </c>
      <c r="H2050" s="4">
        <v>11132928</v>
      </c>
      <c r="I2050" s="4">
        <f>IF(DatiOriginali!I2050 &gt;= SogliaPicchi!$B$22,"",DatiOriginali!I2050)</f>
        <v>135200</v>
      </c>
      <c r="J2050" s="4">
        <v>11113541</v>
      </c>
      <c r="K2050" s="4">
        <f>IF(DatiOriginali!K2050 &gt;= SogliaPicchi!$B$22,"",DatiOriginali!K2050)</f>
        <v>148900</v>
      </c>
    </row>
    <row r="2051" spans="1:11" x14ac:dyDescent="0.3">
      <c r="A2051" s="4" t="s">
        <v>2060</v>
      </c>
      <c r="B2051" s="4">
        <v>550725</v>
      </c>
      <c r="C2051" s="4">
        <f>IF(DatiOriginali!C2051 &gt;= SogliaPicchi!$B$22,"",DatiOriginali!C2051)</f>
        <v>4457400</v>
      </c>
      <c r="D2051" s="4">
        <v>278784</v>
      </c>
      <c r="E2051" s="4">
        <f>IF(DatiOriginali!E2051 &gt;= SogliaPicchi!$B$22,"",DatiOriginali!E2051)</f>
        <v>960900</v>
      </c>
      <c r="F2051" s="4">
        <v>8899906</v>
      </c>
      <c r="G2051" s="4">
        <f>IF(DatiOriginali!G2051 &gt;= SogliaPicchi!$B$22,"",DatiOriginali!G2051)</f>
        <v>394500</v>
      </c>
      <c r="H2051" s="4">
        <v>11144834</v>
      </c>
      <c r="I2051" s="4">
        <f>IF(DatiOriginali!I2051 &gt;= SogliaPicchi!$B$22,"",DatiOriginali!I2051)</f>
        <v>135700</v>
      </c>
      <c r="J2051" s="4">
        <v>11125561</v>
      </c>
      <c r="K2051" s="4">
        <f>IF(DatiOriginali!K2051 &gt;= SogliaPicchi!$B$22,"",DatiOriginali!K2051)</f>
        <v>144300</v>
      </c>
    </row>
    <row r="2052" spans="1:11" x14ac:dyDescent="0.3">
      <c r="A2052" s="4" t="s">
        <v>2061</v>
      </c>
      <c r="B2052" s="4">
        <v>550725</v>
      </c>
      <c r="C2052" s="4">
        <f>IF(DatiOriginali!C2052 &gt;= SogliaPicchi!$B$22,"",DatiOriginali!C2052)</f>
        <v>4720900</v>
      </c>
      <c r="D2052" s="4">
        <v>278114</v>
      </c>
      <c r="E2052" s="4">
        <f>IF(DatiOriginali!E2052 &gt;= SogliaPicchi!$B$22,"",DatiOriginali!E2052)</f>
        <v>1136800</v>
      </c>
      <c r="F2052" s="4">
        <v>8909103</v>
      </c>
      <c r="G2052" s="4">
        <f>IF(DatiOriginali!G2052 &gt;= SogliaPicchi!$B$22,"",DatiOriginali!G2052)</f>
        <v>410600</v>
      </c>
      <c r="H2052" s="4">
        <v>11156386</v>
      </c>
      <c r="I2052" s="4">
        <f>IF(DatiOriginali!I2052 &gt;= SogliaPicchi!$B$22,"",DatiOriginali!I2052)</f>
        <v>139400</v>
      </c>
      <c r="J2052" s="4">
        <v>11137602</v>
      </c>
      <c r="K2052" s="4">
        <f>IF(DatiOriginali!K2052 &gt;= SogliaPicchi!$B$22,"",DatiOriginali!K2052)</f>
        <v>150900</v>
      </c>
    </row>
    <row r="2053" spans="1:11" x14ac:dyDescent="0.3">
      <c r="A2053" s="4" t="s">
        <v>2062</v>
      </c>
      <c r="B2053" s="4">
        <v>550725</v>
      </c>
      <c r="C2053" s="4">
        <f>IF(DatiOriginali!C2053 &gt;= SogliaPicchi!$B$22,"",DatiOriginali!C2053)</f>
        <v>4615000</v>
      </c>
      <c r="D2053" s="4">
        <v>274862</v>
      </c>
      <c r="E2053" s="4">
        <f>IF(DatiOriginali!E2053 &gt;= SogliaPicchi!$B$22,"",DatiOriginali!E2053)</f>
        <v>949300</v>
      </c>
      <c r="F2053" s="4">
        <v>8918325</v>
      </c>
      <c r="G2053" s="4">
        <f>IF(DatiOriginali!G2053 &gt;= SogliaPicchi!$B$22,"",DatiOriginali!G2053)</f>
        <v>402500</v>
      </c>
      <c r="H2053" s="4">
        <v>11166775</v>
      </c>
      <c r="I2053" s="4">
        <f>IF(DatiOriginali!I2053 &gt;= SogliaPicchi!$B$22,"",DatiOriginali!I2053)</f>
        <v>134200</v>
      </c>
      <c r="J2053" s="4">
        <v>11149103</v>
      </c>
      <c r="K2053" s="4">
        <f>IF(DatiOriginali!K2053 &gt;= SogliaPicchi!$B$22,"",DatiOriginali!K2053)</f>
        <v>149600</v>
      </c>
    </row>
    <row r="2054" spans="1:11" x14ac:dyDescent="0.3">
      <c r="A2054" s="4" t="s">
        <v>2063</v>
      </c>
      <c r="B2054" s="4">
        <v>550725</v>
      </c>
      <c r="C2054" s="4">
        <f>IF(DatiOriginali!C2054 &gt;= SogliaPicchi!$B$22,"",DatiOriginali!C2054)</f>
        <v>4961400</v>
      </c>
      <c r="D2054" s="4">
        <v>275129</v>
      </c>
      <c r="E2054" s="4">
        <f>IF(DatiOriginali!E2054 &gt;= SogliaPicchi!$B$22,"",DatiOriginali!E2054)</f>
        <v>1252200</v>
      </c>
      <c r="F2054" s="4">
        <v>8927537</v>
      </c>
      <c r="G2054" s="4">
        <f>IF(DatiOriginali!G2054 &gt;= SogliaPicchi!$B$22,"",DatiOriginali!G2054)</f>
        <v>425000</v>
      </c>
      <c r="H2054" s="4">
        <v>11177861</v>
      </c>
      <c r="I2054" s="4">
        <f>IF(DatiOriginali!I2054 &gt;= SogliaPicchi!$B$22,"",DatiOriginali!I2054)</f>
        <v>134700</v>
      </c>
      <c r="J2054" s="4">
        <v>11160310</v>
      </c>
      <c r="K2054" s="4">
        <f>IF(DatiOriginali!K2054 &gt;= SogliaPicchi!$B$22,"",DatiOriginali!K2054)</f>
        <v>151700</v>
      </c>
    </row>
    <row r="2055" spans="1:11" x14ac:dyDescent="0.3">
      <c r="A2055" s="4" t="s">
        <v>2064</v>
      </c>
      <c r="B2055" s="4">
        <v>550725</v>
      </c>
      <c r="C2055" s="4">
        <f>IF(DatiOriginali!C2055 &gt;= SogliaPicchi!$B$22,"",DatiOriginali!C2055)</f>
        <v>5183100</v>
      </c>
      <c r="D2055" s="4">
        <v>269240</v>
      </c>
      <c r="E2055" s="4">
        <f>IF(DatiOriginali!E2055 &gt;= SogliaPicchi!$B$22,"",DatiOriginali!E2055)</f>
        <v>938900</v>
      </c>
      <c r="F2055" s="4">
        <v>8936741</v>
      </c>
      <c r="G2055" s="4">
        <f>IF(DatiOriginali!G2055 &gt;= SogliaPicchi!$B$22,"",DatiOriginali!G2055)</f>
        <v>397200</v>
      </c>
      <c r="H2055" s="4">
        <v>11190063</v>
      </c>
      <c r="I2055" s="4">
        <f>IF(DatiOriginali!I2055 &gt;= SogliaPicchi!$B$22,"",DatiOriginali!I2055)</f>
        <v>141900</v>
      </c>
      <c r="J2055" s="4">
        <v>11170752</v>
      </c>
      <c r="K2055" s="4">
        <f>IF(DatiOriginali!K2055 &gt;= SogliaPicchi!$B$22,"",DatiOriginali!K2055)</f>
        <v>148300</v>
      </c>
    </row>
    <row r="2056" spans="1:11" x14ac:dyDescent="0.3">
      <c r="A2056" s="4" t="s">
        <v>2065</v>
      </c>
      <c r="B2056" s="4">
        <v>550725</v>
      </c>
      <c r="C2056" s="4">
        <f>IF(DatiOriginali!C2056 &gt;= SogliaPicchi!$B$22,"",DatiOriginali!C2056)</f>
        <v>4945700</v>
      </c>
      <c r="D2056" s="4">
        <v>265955</v>
      </c>
      <c r="E2056" s="4">
        <f>IF(DatiOriginali!E2056 &gt;= SogliaPicchi!$B$22,"",DatiOriginali!E2056)</f>
        <v>927300</v>
      </c>
      <c r="F2056" s="4">
        <v>8945987</v>
      </c>
      <c r="G2056" s="4">
        <f>IF(DatiOriginali!G2056 &gt;= SogliaPicchi!$B$22,"",DatiOriginali!G2056)</f>
        <v>393800</v>
      </c>
      <c r="H2056" s="4">
        <v>11201105</v>
      </c>
      <c r="I2056" s="4">
        <f>IF(DatiOriginali!I2056 &gt;= SogliaPicchi!$B$22,"",DatiOriginali!I2056)</f>
        <v>134600</v>
      </c>
      <c r="J2056" s="4">
        <v>11181466</v>
      </c>
      <c r="K2056" s="4">
        <f>IF(DatiOriginali!K2056 &gt;= SogliaPicchi!$B$22,"",DatiOriginali!K2056)</f>
        <v>145400</v>
      </c>
    </row>
    <row r="2057" spans="1:11" x14ac:dyDescent="0.3">
      <c r="A2057" s="4" t="s">
        <v>2066</v>
      </c>
      <c r="B2057" s="4">
        <v>550725</v>
      </c>
      <c r="C2057" s="4">
        <f>IF(DatiOriginali!C2057 &gt;= SogliaPicchi!$B$22,"",DatiOriginali!C2057)</f>
        <v>4714000</v>
      </c>
      <c r="D2057" s="4">
        <v>270052</v>
      </c>
      <c r="E2057" s="4">
        <f>IF(DatiOriginali!E2057 &gt;= SogliaPicchi!$B$22,"",DatiOriginali!E2057)</f>
        <v>982100</v>
      </c>
      <c r="F2057" s="4">
        <v>8955218</v>
      </c>
      <c r="G2057" s="4">
        <f>IF(DatiOriginali!G2057 &gt;= SogliaPicchi!$B$22,"",DatiOriginali!G2057)</f>
        <v>399900</v>
      </c>
      <c r="H2057" s="4">
        <v>11213356</v>
      </c>
      <c r="I2057" s="4">
        <f>IF(DatiOriginali!I2057 &gt;= SogliaPicchi!$B$22,"",DatiOriginali!I2057)</f>
        <v>136700</v>
      </c>
      <c r="J2057" s="4">
        <v>11192043</v>
      </c>
      <c r="K2057" s="4">
        <f>IF(DatiOriginali!K2057 &gt;= SogliaPicchi!$B$22,"",DatiOriginali!K2057)</f>
        <v>148000</v>
      </c>
    </row>
    <row r="2058" spans="1:11" x14ac:dyDescent="0.3">
      <c r="A2058" s="4" t="s">
        <v>2067</v>
      </c>
      <c r="B2058" s="4">
        <v>550725</v>
      </c>
      <c r="C2058" s="4">
        <f>IF(DatiOriginali!C2058 &gt;= SogliaPicchi!$B$22,"",DatiOriginali!C2058)</f>
        <v>4825400</v>
      </c>
      <c r="D2058" s="4">
        <v>275399</v>
      </c>
      <c r="E2058" s="4">
        <f>IF(DatiOriginali!E2058 &gt;= SogliaPicchi!$B$22,"",DatiOriginali!E2058)</f>
        <v>958600</v>
      </c>
      <c r="F2058" s="4">
        <v>8964425</v>
      </c>
      <c r="G2058" s="4">
        <f>IF(DatiOriginali!G2058 &gt;= SogliaPicchi!$B$22,"",DatiOriginali!G2058)</f>
        <v>392100</v>
      </c>
      <c r="H2058" s="4">
        <v>11224898</v>
      </c>
      <c r="I2058" s="4">
        <f>IF(DatiOriginali!I2058 &gt;= SogliaPicchi!$B$22,"",DatiOriginali!I2058)</f>
        <v>136400</v>
      </c>
      <c r="J2058" s="4">
        <v>11203549</v>
      </c>
      <c r="K2058" s="4">
        <f>IF(DatiOriginali!K2058 &gt;= SogliaPicchi!$B$22,"",DatiOriginali!K2058)</f>
        <v>145800</v>
      </c>
    </row>
    <row r="2059" spans="1:11" x14ac:dyDescent="0.3">
      <c r="A2059" s="4" t="s">
        <v>2068</v>
      </c>
      <c r="B2059" s="4">
        <v>550725</v>
      </c>
      <c r="C2059" s="4">
        <f>IF(DatiOriginali!C2059 &gt;= SogliaPicchi!$B$22,"",DatiOriginali!C2059)</f>
        <v>4595100</v>
      </c>
      <c r="D2059" s="4">
        <v>281107</v>
      </c>
      <c r="E2059" s="4">
        <f>IF(DatiOriginali!E2059 &gt;= SogliaPicchi!$B$22,"",DatiOriginali!E2059)</f>
        <v>974900</v>
      </c>
      <c r="F2059" s="4">
        <v>8973622</v>
      </c>
      <c r="G2059" s="4">
        <f>IF(DatiOriginali!G2059 &gt;= SogliaPicchi!$B$22,"",DatiOriginali!G2059)</f>
        <v>394200</v>
      </c>
      <c r="H2059" s="4">
        <v>11236101</v>
      </c>
      <c r="I2059" s="4">
        <f>IF(DatiOriginali!I2059 &gt;= SogliaPicchi!$B$22,"",DatiOriginali!I2059)</f>
        <v>136200</v>
      </c>
      <c r="J2059" s="4">
        <v>11215515</v>
      </c>
      <c r="K2059" s="4">
        <f>IF(DatiOriginali!K2059 &gt;= SogliaPicchi!$B$22,"",DatiOriginali!K2059)</f>
        <v>144400</v>
      </c>
    </row>
    <row r="2060" spans="1:11" x14ac:dyDescent="0.3">
      <c r="A2060" s="4" t="s">
        <v>2069</v>
      </c>
      <c r="B2060" s="4">
        <v>550725</v>
      </c>
      <c r="C2060" s="4">
        <f>IF(DatiOriginali!C2060 &gt;= SogliaPicchi!$B$22,"",DatiOriginali!C2060)</f>
        <v>4473600</v>
      </c>
      <c r="D2060" s="4">
        <v>277441</v>
      </c>
      <c r="E2060" s="4">
        <f>IF(DatiOriginali!E2060 &gt;= SogliaPicchi!$B$22,"",DatiOriginali!E2060)</f>
        <v>1002700</v>
      </c>
      <c r="F2060" s="4">
        <v>8982831</v>
      </c>
      <c r="G2060" s="4">
        <f>IF(DatiOriginali!G2060 &gt;= SogliaPicchi!$B$22,"",DatiOriginali!G2060)</f>
        <v>395600</v>
      </c>
      <c r="H2060" s="4">
        <v>11247691</v>
      </c>
      <c r="I2060" s="4">
        <f>IF(DatiOriginali!I2060 &gt;= SogliaPicchi!$B$22,"",DatiOriginali!I2060)</f>
        <v>136000</v>
      </c>
      <c r="J2060" s="4">
        <v>11226614</v>
      </c>
      <c r="K2060" s="4">
        <f>IF(DatiOriginali!K2060 &gt;= SogliaPicchi!$B$22,"",DatiOriginali!K2060)</f>
        <v>146800</v>
      </c>
    </row>
    <row r="2061" spans="1:11" x14ac:dyDescent="0.3">
      <c r="A2061" s="4" t="s">
        <v>2070</v>
      </c>
      <c r="B2061" s="4">
        <v>550725</v>
      </c>
      <c r="C2061" s="4">
        <f>IF(DatiOriginali!C2061 &gt;= SogliaPicchi!$B$22,"",DatiOriginali!C2061)</f>
        <v>4864300</v>
      </c>
      <c r="D2061" s="4">
        <v>269232</v>
      </c>
      <c r="E2061" s="4">
        <f>IF(DatiOriginali!E2061 &gt;= SogliaPicchi!$B$22,"",DatiOriginali!E2061)</f>
        <v>954900</v>
      </c>
      <c r="F2061" s="4">
        <v>8992014</v>
      </c>
      <c r="G2061" s="4">
        <f>IF(DatiOriginali!G2061 &gt;= SogliaPicchi!$B$22,"",DatiOriginali!G2061)</f>
        <v>393300</v>
      </c>
      <c r="H2061" s="4">
        <v>11258556</v>
      </c>
      <c r="I2061" s="4">
        <f>IF(DatiOriginali!I2061 &gt;= SogliaPicchi!$B$22,"",DatiOriginali!I2061)</f>
        <v>133300</v>
      </c>
      <c r="J2061" s="4">
        <v>11238423</v>
      </c>
      <c r="K2061" s="4">
        <f>IF(DatiOriginali!K2061 &gt;= SogliaPicchi!$B$22,"",DatiOriginali!K2061)</f>
        <v>150100</v>
      </c>
    </row>
    <row r="2062" spans="1:11" x14ac:dyDescent="0.3">
      <c r="A2062" s="4" t="s">
        <v>2071</v>
      </c>
      <c r="B2062" s="4">
        <v>550725</v>
      </c>
      <c r="C2062" s="4">
        <f>IF(DatiOriginali!C2062 &gt;= SogliaPicchi!$B$22,"",DatiOriginali!C2062)</f>
        <v>4684500</v>
      </c>
      <c r="D2062" s="4">
        <v>272095</v>
      </c>
      <c r="E2062" s="4">
        <f>IF(DatiOriginali!E2062 &gt;= SogliaPicchi!$B$22,"",DatiOriginali!E2062)</f>
        <v>942300</v>
      </c>
      <c r="F2062" s="4">
        <v>9001268</v>
      </c>
      <c r="G2062" s="4">
        <f>IF(DatiOriginali!G2062 &gt;= SogliaPicchi!$B$22,"",DatiOriginali!G2062)</f>
        <v>391300</v>
      </c>
      <c r="H2062" s="4">
        <v>11270987</v>
      </c>
      <c r="I2062" s="4">
        <f>IF(DatiOriginali!I2062 &gt;= SogliaPicchi!$B$22,"",DatiOriginali!I2062)</f>
        <v>134300</v>
      </c>
      <c r="J2062" s="4">
        <v>11250573</v>
      </c>
      <c r="K2062" s="4">
        <f>IF(DatiOriginali!K2062 &gt;= SogliaPicchi!$B$22,"",DatiOriginali!K2062)</f>
        <v>147500</v>
      </c>
    </row>
    <row r="2063" spans="1:11" x14ac:dyDescent="0.3">
      <c r="A2063" s="4" t="s">
        <v>2072</v>
      </c>
      <c r="B2063" s="4">
        <v>550725</v>
      </c>
      <c r="C2063" s="4">
        <f>IF(DatiOriginali!C2063 &gt;= SogliaPicchi!$B$22,"",DatiOriginali!C2063)</f>
        <v>4869000</v>
      </c>
      <c r="D2063" s="4">
        <v>270831</v>
      </c>
      <c r="E2063" s="4">
        <f>IF(DatiOriginali!E2063 &gt;= SogliaPicchi!$B$22,"",DatiOriginali!E2063)</f>
        <v>941400</v>
      </c>
      <c r="F2063" s="4">
        <v>9010486</v>
      </c>
      <c r="G2063" s="4">
        <f>IF(DatiOriginali!G2063 &gt;= SogliaPicchi!$B$22,"",DatiOriginali!G2063)</f>
        <v>394000</v>
      </c>
      <c r="H2063" s="4">
        <v>11282395</v>
      </c>
      <c r="I2063" s="4">
        <f>IF(DatiOriginali!I2063 &gt;= SogliaPicchi!$B$22,"",DatiOriginali!I2063)</f>
        <v>133200</v>
      </c>
      <c r="J2063" s="4">
        <v>11261894</v>
      </c>
      <c r="K2063" s="4">
        <f>IF(DatiOriginali!K2063 &gt;= SogliaPicchi!$B$22,"",DatiOriginali!K2063)</f>
        <v>145200</v>
      </c>
    </row>
    <row r="2064" spans="1:11" x14ac:dyDescent="0.3">
      <c r="A2064" s="4" t="s">
        <v>2073</v>
      </c>
      <c r="B2064" s="4">
        <v>550725</v>
      </c>
      <c r="C2064" s="4">
        <f>IF(DatiOriginali!C2064 &gt;= SogliaPicchi!$B$22,"",DatiOriginali!C2064)</f>
        <v>4581900</v>
      </c>
      <c r="D2064" s="4">
        <v>281472</v>
      </c>
      <c r="E2064" s="4">
        <f>IF(DatiOriginali!E2064 &gt;= SogliaPicchi!$B$22,"",DatiOriginali!E2064)</f>
        <v>974800</v>
      </c>
      <c r="F2064" s="4">
        <v>9019719</v>
      </c>
      <c r="G2064" s="4">
        <f>IF(DatiOriginali!G2064 &gt;= SogliaPicchi!$B$22,"",DatiOriginali!G2064)</f>
        <v>388300</v>
      </c>
      <c r="H2064" s="4">
        <v>11293621</v>
      </c>
      <c r="I2064" s="4">
        <f>IF(DatiOriginali!I2064 &gt;= SogliaPicchi!$B$22,"",DatiOriginali!I2064)</f>
        <v>135800</v>
      </c>
      <c r="J2064" s="4">
        <v>11274781</v>
      </c>
      <c r="K2064" s="4">
        <f>IF(DatiOriginali!K2064 &gt;= SogliaPicchi!$B$22,"",DatiOriginali!K2064)</f>
        <v>154600</v>
      </c>
    </row>
    <row r="2065" spans="1:11" x14ac:dyDescent="0.3">
      <c r="A2065" s="4" t="s">
        <v>2074</v>
      </c>
      <c r="B2065" s="4">
        <v>550725</v>
      </c>
      <c r="C2065" s="4">
        <f>IF(DatiOriginali!C2065 &gt;= SogliaPicchi!$B$22,"",DatiOriginali!C2065)</f>
        <v>4678200</v>
      </c>
      <c r="D2065" s="4">
        <v>274348</v>
      </c>
      <c r="E2065" s="4">
        <f>IF(DatiOriginali!E2065 &gt;= SogliaPicchi!$B$22,"",DatiOriginali!E2065)</f>
        <v>951500</v>
      </c>
      <c r="F2065" s="4">
        <v>9028920</v>
      </c>
      <c r="G2065" s="4">
        <f>IF(DatiOriginali!G2065 &gt;= SogliaPicchi!$B$22,"",DatiOriginali!G2065)</f>
        <v>397100</v>
      </c>
      <c r="H2065" s="4">
        <v>11306827</v>
      </c>
      <c r="I2065" s="4">
        <f>IF(DatiOriginali!I2065 &gt;= SogliaPicchi!$B$22,"",DatiOriginali!I2065)</f>
        <v>167000</v>
      </c>
      <c r="J2065" s="4">
        <v>11285605</v>
      </c>
      <c r="K2065" s="4">
        <f>IF(DatiOriginali!K2065 &gt;= SogliaPicchi!$B$22,"",DatiOriginali!K2065)</f>
        <v>145900</v>
      </c>
    </row>
    <row r="2066" spans="1:11" x14ac:dyDescent="0.3">
      <c r="A2066" s="4" t="s">
        <v>2075</v>
      </c>
      <c r="B2066" s="4">
        <v>550725</v>
      </c>
      <c r="C2066" s="4">
        <f>IF(DatiOriginali!C2066 &gt;= SogliaPicchi!$B$22,"",DatiOriginali!C2066)</f>
        <v>4736000</v>
      </c>
      <c r="D2066" s="4">
        <v>279843</v>
      </c>
      <c r="E2066" s="4">
        <f>IF(DatiOriginali!E2066 &gt;= SogliaPicchi!$B$22,"",DatiOriginali!E2066)</f>
        <v>966500</v>
      </c>
      <c r="F2066" s="4">
        <v>9038141</v>
      </c>
      <c r="G2066" s="4">
        <f>IF(DatiOriginali!G2066 &gt;= SogliaPicchi!$B$22,"",DatiOriginali!G2066)</f>
        <v>390100</v>
      </c>
      <c r="H2066" s="4">
        <v>11318615</v>
      </c>
      <c r="I2066" s="4">
        <f>IF(DatiOriginali!I2066 &gt;= SogliaPicchi!$B$22,"",DatiOriginali!I2066)</f>
        <v>132600</v>
      </c>
      <c r="J2066" s="4">
        <v>11296318</v>
      </c>
      <c r="K2066" s="4">
        <f>IF(DatiOriginali!K2066 &gt;= SogliaPicchi!$B$22,"",DatiOriginali!K2066)</f>
        <v>151500</v>
      </c>
    </row>
    <row r="2067" spans="1:11" x14ac:dyDescent="0.3">
      <c r="A2067" s="4" t="s">
        <v>2076</v>
      </c>
      <c r="B2067" s="4">
        <v>550725</v>
      </c>
      <c r="C2067" s="4">
        <f>IF(DatiOriginali!C2067 &gt;= SogliaPicchi!$B$22,"",DatiOriginali!C2067)</f>
        <v>4585400</v>
      </c>
      <c r="D2067" s="4">
        <v>274230</v>
      </c>
      <c r="E2067" s="4">
        <f>IF(DatiOriginali!E2067 &gt;= SogliaPicchi!$B$22,"",DatiOriginali!E2067)</f>
        <v>956600</v>
      </c>
      <c r="F2067" s="4">
        <v>9047360</v>
      </c>
      <c r="G2067" s="4">
        <f>IF(DatiOriginali!G2067 &gt;= SogliaPicchi!$B$22,"",DatiOriginali!G2067)</f>
        <v>387400</v>
      </c>
      <c r="H2067" s="4">
        <v>11331052</v>
      </c>
      <c r="I2067" s="4">
        <f>IF(DatiOriginali!I2067 &gt;= SogliaPicchi!$B$22,"",DatiOriginali!I2067)</f>
        <v>133500</v>
      </c>
      <c r="J2067" s="4">
        <v>11307718</v>
      </c>
      <c r="K2067" s="4">
        <f>IF(DatiOriginali!K2067 &gt;= SogliaPicchi!$B$22,"",DatiOriginali!K2067)</f>
        <v>148900</v>
      </c>
    </row>
    <row r="2068" spans="1:11" x14ac:dyDescent="0.3">
      <c r="A2068" s="4" t="s">
        <v>2077</v>
      </c>
      <c r="B2068" s="4">
        <v>550725</v>
      </c>
      <c r="C2068" s="4">
        <f>IF(DatiOriginali!C2068 &gt;= SogliaPicchi!$B$22,"",DatiOriginali!C2068)</f>
        <v>4507800</v>
      </c>
      <c r="D2068" s="4">
        <v>271824</v>
      </c>
      <c r="E2068" s="4">
        <f>IF(DatiOriginali!E2068 &gt;= SogliaPicchi!$B$22,"",DatiOriginali!E2068)</f>
        <v>940800</v>
      </c>
      <c r="F2068" s="4">
        <v>9056590</v>
      </c>
      <c r="G2068" s="4">
        <f>IF(DatiOriginali!G2068 &gt;= SogliaPicchi!$B$22,"",DatiOriginali!G2068)</f>
        <v>395200</v>
      </c>
      <c r="H2068" s="4">
        <v>11342681</v>
      </c>
      <c r="I2068" s="4">
        <f>IF(DatiOriginali!I2068 &gt;= SogliaPicchi!$B$22,"",DatiOriginali!I2068)</f>
        <v>134100</v>
      </c>
      <c r="J2068" s="4">
        <v>11319193</v>
      </c>
      <c r="K2068" s="4">
        <f>IF(DatiOriginali!K2068 &gt;= SogliaPicchi!$B$22,"",DatiOriginali!K2068)</f>
        <v>150600</v>
      </c>
    </row>
    <row r="2069" spans="1:11" x14ac:dyDescent="0.3">
      <c r="A2069" s="4" t="s">
        <v>2078</v>
      </c>
      <c r="B2069" s="4">
        <v>550725</v>
      </c>
      <c r="C2069" s="4">
        <f>IF(DatiOriginali!C2069 &gt;= SogliaPicchi!$B$22,"",DatiOriginali!C2069)</f>
        <v>5190300</v>
      </c>
      <c r="D2069" s="4">
        <v>277744</v>
      </c>
      <c r="E2069" s="4">
        <f>IF(DatiOriginali!E2069 &gt;= SogliaPicchi!$B$22,"",DatiOriginali!E2069)</f>
        <v>960700</v>
      </c>
      <c r="F2069" s="4">
        <v>9065803</v>
      </c>
      <c r="G2069" s="4">
        <f>IF(DatiOriginali!G2069 &gt;= SogliaPicchi!$B$22,"",DatiOriginali!G2069)</f>
        <v>385700</v>
      </c>
      <c r="H2069" s="4">
        <v>11353648</v>
      </c>
      <c r="I2069" s="4">
        <f>IF(DatiOriginali!I2069 &gt;= SogliaPicchi!$B$22,"",DatiOriginali!I2069)</f>
        <v>133400</v>
      </c>
      <c r="J2069" s="4">
        <v>11331026</v>
      </c>
      <c r="K2069" s="4">
        <f>IF(DatiOriginali!K2069 &gt;= SogliaPicchi!$B$22,"",DatiOriginali!K2069)</f>
        <v>155200</v>
      </c>
    </row>
    <row r="2070" spans="1:11" x14ac:dyDescent="0.3">
      <c r="A2070" s="4" t="s">
        <v>2079</v>
      </c>
      <c r="B2070" s="4">
        <v>550725</v>
      </c>
      <c r="C2070" s="4">
        <f>IF(DatiOriginali!C2070 &gt;= SogliaPicchi!$B$22,"",DatiOriginali!C2070)</f>
        <v>4765500</v>
      </c>
      <c r="D2070" s="4">
        <v>277959</v>
      </c>
      <c r="E2070" s="4">
        <f>IF(DatiOriginali!E2070 &gt;= SogliaPicchi!$B$22,"",DatiOriginali!E2070)</f>
        <v>965900</v>
      </c>
      <c r="F2070" s="4">
        <v>9075034</v>
      </c>
      <c r="G2070" s="4">
        <f>IF(DatiOriginali!G2070 &gt;= SogliaPicchi!$B$22,"",DatiOriginali!G2070)</f>
        <v>388200</v>
      </c>
      <c r="H2070" s="4">
        <v>11365026</v>
      </c>
      <c r="I2070" s="4">
        <f>IF(DatiOriginali!I2070 &gt;= SogliaPicchi!$B$22,"",DatiOriginali!I2070)</f>
        <v>133300</v>
      </c>
      <c r="J2070" s="4">
        <v>11343342</v>
      </c>
      <c r="K2070" s="4">
        <f>IF(DatiOriginali!K2070 &gt;= SogliaPicchi!$B$22,"",DatiOriginali!K2070)</f>
        <v>148700</v>
      </c>
    </row>
    <row r="2071" spans="1:11" x14ac:dyDescent="0.3">
      <c r="A2071" s="4" t="s">
        <v>2080</v>
      </c>
      <c r="B2071" s="4">
        <v>550725</v>
      </c>
      <c r="C2071" s="4">
        <f>IF(DatiOriginali!C2071 &gt;= SogliaPicchi!$B$22,"",DatiOriginali!C2071)</f>
        <v>4806100</v>
      </c>
      <c r="D2071" s="4">
        <v>280855</v>
      </c>
      <c r="E2071" s="4">
        <f>IF(DatiOriginali!E2071 &gt;= SogliaPicchi!$B$22,"",DatiOriginali!E2071)</f>
        <v>972100</v>
      </c>
      <c r="F2071" s="4">
        <v>9084247</v>
      </c>
      <c r="G2071" s="4">
        <f>IF(DatiOriginali!G2071 &gt;= SogliaPicchi!$B$22,"",DatiOriginali!G2071)</f>
        <v>390900</v>
      </c>
      <c r="H2071" s="4">
        <v>11376340</v>
      </c>
      <c r="I2071" s="4">
        <f>IF(DatiOriginali!I2071 &gt;= SogliaPicchi!$B$22,"",DatiOriginali!I2071)</f>
        <v>133000</v>
      </c>
      <c r="J2071" s="4">
        <v>11354894</v>
      </c>
      <c r="K2071" s="4">
        <f>IF(DatiOriginali!K2071 &gt;= SogliaPicchi!$B$22,"",DatiOriginali!K2071)</f>
        <v>148200</v>
      </c>
    </row>
    <row r="2072" spans="1:11" x14ac:dyDescent="0.3">
      <c r="A2072" s="4" t="s">
        <v>2081</v>
      </c>
      <c r="B2072" s="4">
        <v>550725</v>
      </c>
      <c r="C2072" s="4">
        <f>IF(DatiOriginali!C2072 &gt;= SogliaPicchi!$B$22,"",DatiOriginali!C2072)</f>
        <v>4661200</v>
      </c>
      <c r="D2072" s="4">
        <v>267831</v>
      </c>
      <c r="E2072" s="4">
        <f>IF(DatiOriginali!E2072 &gt;= SogliaPicchi!$B$22,"",DatiOriginali!E2072)</f>
        <v>931400</v>
      </c>
      <c r="F2072" s="4">
        <v>9093490</v>
      </c>
      <c r="G2072" s="4">
        <f>IF(DatiOriginali!G2072 &gt;= SogliaPicchi!$B$22,"",DatiOriginali!G2072)</f>
        <v>393300</v>
      </c>
      <c r="H2072" s="4">
        <v>11388993</v>
      </c>
      <c r="I2072" s="4">
        <f>IF(DatiOriginali!I2072 &gt;= SogliaPicchi!$B$22,"",DatiOriginali!I2072)</f>
        <v>132200</v>
      </c>
      <c r="J2072" s="4">
        <v>11367710</v>
      </c>
      <c r="K2072" s="4">
        <f>IF(DatiOriginali!K2072 &gt;= SogliaPicchi!$B$22,"",DatiOriginali!K2072)</f>
        <v>152300</v>
      </c>
    </row>
    <row r="2073" spans="1:11" x14ac:dyDescent="0.3">
      <c r="A2073" s="4" t="s">
        <v>2082</v>
      </c>
      <c r="B2073" s="4">
        <v>550725</v>
      </c>
      <c r="C2073" s="4">
        <f>IF(DatiOriginali!C2073 &gt;= SogliaPicchi!$B$22,"",DatiOriginali!C2073)</f>
        <v>5017300</v>
      </c>
      <c r="D2073" s="4">
        <v>280556</v>
      </c>
      <c r="E2073" s="4">
        <f>IF(DatiOriginali!E2073 &gt;= SogliaPicchi!$B$22,"",DatiOriginali!E2073)</f>
        <v>977900</v>
      </c>
      <c r="F2073" s="4">
        <v>9102710</v>
      </c>
      <c r="G2073" s="4">
        <f>IF(DatiOriginali!G2073 &gt;= SogliaPicchi!$B$22,"",DatiOriginali!G2073)</f>
        <v>389800</v>
      </c>
      <c r="H2073" s="4">
        <v>11400478</v>
      </c>
      <c r="I2073" s="4">
        <f>IF(DatiOriginali!I2073 &gt;= SogliaPicchi!$B$22,"",DatiOriginali!I2073)</f>
        <v>136200</v>
      </c>
      <c r="J2073" s="4">
        <v>11378501</v>
      </c>
      <c r="K2073" s="4">
        <f>IF(DatiOriginali!K2073 &gt;= SogliaPicchi!$B$22,"",DatiOriginali!K2073)</f>
        <v>145900</v>
      </c>
    </row>
    <row r="2074" spans="1:11" x14ac:dyDescent="0.3">
      <c r="A2074" s="4" t="s">
        <v>2083</v>
      </c>
      <c r="B2074" s="4">
        <v>550725</v>
      </c>
      <c r="C2074" s="4">
        <f>IF(DatiOriginali!C2074 &gt;= SogliaPicchi!$B$22,"",DatiOriginali!C2074)</f>
        <v>5096900</v>
      </c>
      <c r="D2074" s="4">
        <v>282897</v>
      </c>
      <c r="E2074" s="4">
        <f>IF(DatiOriginali!E2074 &gt;= SogliaPicchi!$B$22,"",DatiOriginali!E2074)</f>
        <v>999000</v>
      </c>
      <c r="F2074" s="4">
        <v>9111878</v>
      </c>
      <c r="G2074" s="4">
        <f>IF(DatiOriginali!G2074 &gt;= SogliaPicchi!$B$22,"",DatiOriginali!G2074)</f>
        <v>400800</v>
      </c>
      <c r="H2074" s="4">
        <v>11411334</v>
      </c>
      <c r="I2074" s="4">
        <f>IF(DatiOriginali!I2074 &gt;= SogliaPicchi!$B$22,"",DatiOriginali!I2074)</f>
        <v>133100</v>
      </c>
      <c r="J2074" s="4">
        <v>11389733</v>
      </c>
      <c r="K2074" s="4">
        <f>IF(DatiOriginali!K2074 &gt;= SogliaPicchi!$B$22,"",DatiOriginali!K2074)</f>
        <v>147800</v>
      </c>
    </row>
    <row r="2075" spans="1:11" x14ac:dyDescent="0.3">
      <c r="A2075" s="4" t="s">
        <v>2084</v>
      </c>
      <c r="B2075" s="4">
        <v>550725</v>
      </c>
      <c r="C2075" s="4">
        <f>IF(DatiOriginali!C2075 &gt;= SogliaPicchi!$B$22,"",DatiOriginali!C2075)</f>
        <v>4882100</v>
      </c>
      <c r="D2075" s="4">
        <v>277330</v>
      </c>
      <c r="E2075" s="4">
        <f>IF(DatiOriginali!E2075 &gt;= SogliaPicchi!$B$22,"",DatiOriginali!E2075)</f>
        <v>991400</v>
      </c>
      <c r="F2075" s="4">
        <v>9121082</v>
      </c>
      <c r="G2075" s="4">
        <f>IF(DatiOriginali!G2075 &gt;= SogliaPicchi!$B$22,"",DatiOriginali!G2075)</f>
        <v>420700</v>
      </c>
      <c r="H2075" s="4">
        <v>11423284</v>
      </c>
      <c r="I2075" s="4">
        <f>IF(DatiOriginali!I2075 &gt;= SogliaPicchi!$B$22,"",DatiOriginali!I2075)</f>
        <v>138500</v>
      </c>
      <c r="J2075" s="4">
        <v>11401529</v>
      </c>
      <c r="K2075" s="4">
        <f>IF(DatiOriginali!K2075 &gt;= SogliaPicchi!$B$22,"",DatiOriginali!K2075)</f>
        <v>149100</v>
      </c>
    </row>
    <row r="2076" spans="1:11" x14ac:dyDescent="0.3">
      <c r="A2076" s="4" t="s">
        <v>2085</v>
      </c>
      <c r="B2076" s="4">
        <v>550725</v>
      </c>
      <c r="C2076" s="4">
        <f>IF(DatiOriginali!C2076 &gt;= SogliaPicchi!$B$22,"",DatiOriginali!C2076)</f>
        <v>4623700</v>
      </c>
      <c r="D2076" s="4">
        <v>279623</v>
      </c>
      <c r="E2076" s="4">
        <f>IF(DatiOriginali!E2076 &gt;= SogliaPicchi!$B$22,"",DatiOriginali!E2076)</f>
        <v>1066000</v>
      </c>
      <c r="F2076" s="4">
        <v>9130297</v>
      </c>
      <c r="G2076" s="4">
        <f>IF(DatiOriginali!G2076 &gt;= SogliaPicchi!$B$22,"",DatiOriginali!G2076)</f>
        <v>421900</v>
      </c>
      <c r="H2076" s="4">
        <v>11434135</v>
      </c>
      <c r="I2076" s="4">
        <f>IF(DatiOriginali!I2076 &gt;= SogliaPicchi!$B$22,"",DatiOriginali!I2076)</f>
        <v>135100</v>
      </c>
      <c r="J2076" s="4">
        <v>11412535</v>
      </c>
      <c r="K2076" s="4">
        <f>IF(DatiOriginali!K2076 &gt;= SogliaPicchi!$B$22,"",DatiOriginali!K2076)</f>
        <v>148400</v>
      </c>
    </row>
    <row r="2077" spans="1:11" x14ac:dyDescent="0.3">
      <c r="A2077" s="4" t="s">
        <v>2086</v>
      </c>
      <c r="B2077" s="4">
        <v>550725</v>
      </c>
      <c r="C2077" s="4">
        <f>IF(DatiOriginali!C2077 &gt;= SogliaPicchi!$B$22,"",DatiOriginali!C2077)</f>
        <v>4784300</v>
      </c>
      <c r="D2077" s="4">
        <v>279968</v>
      </c>
      <c r="E2077" s="4">
        <f>IF(DatiOriginali!E2077 &gt;= SogliaPicchi!$B$22,"",DatiOriginali!E2077)</f>
        <v>1179700</v>
      </c>
      <c r="F2077" s="4">
        <v>9139473</v>
      </c>
      <c r="G2077" s="4">
        <f>IF(DatiOriginali!G2077 &gt;= SogliaPicchi!$B$22,"",DatiOriginali!G2077)</f>
        <v>394900</v>
      </c>
      <c r="H2077" s="4">
        <v>11446223</v>
      </c>
      <c r="I2077" s="4">
        <f>IF(DatiOriginali!I2077 &gt;= SogliaPicchi!$B$22,"",DatiOriginali!I2077)</f>
        <v>138200</v>
      </c>
      <c r="J2077" s="4">
        <v>11424014</v>
      </c>
      <c r="K2077" s="4">
        <f>IF(DatiOriginali!K2077 &gt;= SogliaPicchi!$B$22,"",DatiOriginali!K2077)</f>
        <v>160800</v>
      </c>
    </row>
    <row r="2078" spans="1:11" x14ac:dyDescent="0.3">
      <c r="A2078" s="4" t="s">
        <v>2087</v>
      </c>
      <c r="B2078" s="4">
        <v>550725</v>
      </c>
      <c r="C2078" s="4">
        <f>IF(DatiOriginali!C2078 &gt;= SogliaPicchi!$B$22,"",DatiOriginali!C2078)</f>
        <v>4552200</v>
      </c>
      <c r="D2078" s="4">
        <v>285766</v>
      </c>
      <c r="E2078" s="4">
        <f>IF(DatiOriginali!E2078 &gt;= SogliaPicchi!$B$22,"",DatiOriginali!E2078)</f>
        <v>1330800</v>
      </c>
      <c r="F2078" s="4">
        <v>9148697</v>
      </c>
      <c r="G2078" s="4">
        <f>IF(DatiOriginali!G2078 &gt;= SogliaPicchi!$B$22,"",DatiOriginali!G2078)</f>
        <v>434100</v>
      </c>
      <c r="H2078" s="4">
        <v>11457029</v>
      </c>
      <c r="I2078" s="4">
        <f>IF(DatiOriginali!I2078 &gt;= SogliaPicchi!$B$22,"",DatiOriginali!I2078)</f>
        <v>135000</v>
      </c>
      <c r="J2078" s="4">
        <v>11435854</v>
      </c>
      <c r="K2078" s="4">
        <f>IF(DatiOriginali!K2078 &gt;= SogliaPicchi!$B$22,"",DatiOriginali!K2078)</f>
        <v>148900</v>
      </c>
    </row>
    <row r="2079" spans="1:11" x14ac:dyDescent="0.3">
      <c r="A2079" s="4" t="s">
        <v>2088</v>
      </c>
      <c r="B2079" s="4">
        <v>550725</v>
      </c>
      <c r="C2079" s="4">
        <f>IF(DatiOriginali!C2079 &gt;= SogliaPicchi!$B$22,"",DatiOriginali!C2079)</f>
        <v>4696200</v>
      </c>
      <c r="D2079" s="4">
        <v>272085</v>
      </c>
      <c r="E2079" s="4">
        <f>IF(DatiOriginali!E2079 &gt;= SogliaPicchi!$B$22,"",DatiOriginali!E2079)</f>
        <v>1009700</v>
      </c>
      <c r="F2079" s="4">
        <v>9157926</v>
      </c>
      <c r="G2079" s="4">
        <f>IF(DatiOriginali!G2079 &gt;= SogliaPicchi!$B$22,"",DatiOriginali!G2079)</f>
        <v>405900</v>
      </c>
      <c r="H2079" s="4">
        <v>11469322</v>
      </c>
      <c r="I2079" s="4">
        <f>IF(DatiOriginali!I2079 &gt;= SogliaPicchi!$B$22,"",DatiOriginali!I2079)</f>
        <v>142400</v>
      </c>
      <c r="J2079" s="4">
        <v>11447392</v>
      </c>
      <c r="K2079" s="4">
        <f>IF(DatiOriginali!K2079 &gt;= SogliaPicchi!$B$22,"",DatiOriginali!K2079)</f>
        <v>155300</v>
      </c>
    </row>
    <row r="2080" spans="1:11" x14ac:dyDescent="0.3">
      <c r="A2080" s="4" t="s">
        <v>2089</v>
      </c>
      <c r="B2080" s="4">
        <v>550725</v>
      </c>
      <c r="C2080" s="4">
        <f>IF(DatiOriginali!C2080 &gt;= SogliaPicchi!$B$22,"",DatiOriginali!C2080)</f>
        <v>4557300</v>
      </c>
      <c r="D2080" s="4">
        <v>274697</v>
      </c>
      <c r="E2080" s="4">
        <f>IF(DatiOriginali!E2080 &gt;= SogliaPicchi!$B$22,"",DatiOriginali!E2080)</f>
        <v>1127000</v>
      </c>
      <c r="F2080" s="4">
        <v>9167135</v>
      </c>
      <c r="G2080" s="4">
        <f>IF(DatiOriginali!G2080 &gt;= SogliaPicchi!$B$22,"",DatiOriginali!G2080)</f>
        <v>401800</v>
      </c>
      <c r="H2080" s="4">
        <v>11481222</v>
      </c>
      <c r="I2080" s="4">
        <f>IF(DatiOriginali!I2080 &gt;= SogliaPicchi!$B$22,"",DatiOriginali!I2080)</f>
        <v>141400</v>
      </c>
      <c r="J2080" s="4">
        <v>11459313</v>
      </c>
      <c r="K2080" s="4">
        <f>IF(DatiOriginali!K2080 &gt;= SogliaPicchi!$B$22,"",DatiOriginali!K2080)</f>
        <v>194200</v>
      </c>
    </row>
    <row r="2081" spans="1:11" x14ac:dyDescent="0.3">
      <c r="A2081" s="4" t="s">
        <v>2090</v>
      </c>
      <c r="B2081" s="4">
        <v>550725</v>
      </c>
      <c r="C2081" s="4">
        <f>IF(DatiOriginali!C2081 &gt;= SogliaPicchi!$B$22,"",DatiOriginali!C2081)</f>
        <v>4775100</v>
      </c>
      <c r="D2081" s="4">
        <v>268597</v>
      </c>
      <c r="E2081" s="4">
        <f>IF(DatiOriginali!E2081 &gt;= SogliaPicchi!$B$22,"",DatiOriginali!E2081)</f>
        <v>1162200</v>
      </c>
      <c r="F2081" s="4">
        <v>9176322</v>
      </c>
      <c r="G2081" s="4">
        <f>IF(DatiOriginali!G2081 &gt;= SogliaPicchi!$B$22,"",DatiOriginali!G2081)</f>
        <v>434900</v>
      </c>
      <c r="H2081" s="4">
        <v>11492491</v>
      </c>
      <c r="I2081" s="4">
        <f>IF(DatiOriginali!I2081 &gt;= SogliaPicchi!$B$22,"",DatiOriginali!I2081)</f>
        <v>135400</v>
      </c>
      <c r="J2081" s="4">
        <v>11470607</v>
      </c>
      <c r="K2081" s="4">
        <f>IF(DatiOriginali!K2081 &gt;= SogliaPicchi!$B$22,"",DatiOriginali!K2081)</f>
        <v>147800</v>
      </c>
    </row>
    <row r="2082" spans="1:11" x14ac:dyDescent="0.3">
      <c r="A2082" s="4" t="s">
        <v>2091</v>
      </c>
      <c r="B2082" s="4">
        <v>550725</v>
      </c>
      <c r="C2082" s="4">
        <f>IF(DatiOriginali!C2082 &gt;= SogliaPicchi!$B$22,"",DatiOriginali!C2082)</f>
        <v>4981600</v>
      </c>
      <c r="D2082" s="4">
        <v>277704</v>
      </c>
      <c r="E2082" s="4">
        <f>IF(DatiOriginali!E2082 &gt;= SogliaPicchi!$B$22,"",DatiOriginali!E2082)</f>
        <v>1010000</v>
      </c>
      <c r="F2082" s="4">
        <v>9185508</v>
      </c>
      <c r="G2082" s="4">
        <f>IF(DatiOriginali!G2082 &gt;= SogliaPicchi!$B$22,"",DatiOriginali!G2082)</f>
        <v>395700</v>
      </c>
      <c r="H2082" s="4">
        <v>11504466</v>
      </c>
      <c r="I2082" s="4">
        <f>IF(DatiOriginali!I2082 &gt;= SogliaPicchi!$B$22,"",DatiOriginali!I2082)</f>
        <v>133800</v>
      </c>
      <c r="J2082" s="4">
        <v>11481357</v>
      </c>
      <c r="K2082" s="4">
        <f>IF(DatiOriginali!K2082 &gt;= SogliaPicchi!$B$22,"",DatiOriginali!K2082)</f>
        <v>147100</v>
      </c>
    </row>
    <row r="2083" spans="1:11" x14ac:dyDescent="0.3">
      <c r="A2083" s="4" t="s">
        <v>2092</v>
      </c>
      <c r="B2083" s="4">
        <v>550725</v>
      </c>
      <c r="C2083" s="4">
        <f>IF(DatiOriginali!C2083 &gt;= SogliaPicchi!$B$22,"",DatiOriginali!C2083)</f>
        <v>4963000</v>
      </c>
      <c r="D2083" s="4">
        <v>272751</v>
      </c>
      <c r="E2083" s="4">
        <f>IF(DatiOriginali!E2083 &gt;= SogliaPicchi!$B$22,"",DatiOriginali!E2083)</f>
        <v>949000</v>
      </c>
      <c r="F2083" s="4">
        <v>9194749</v>
      </c>
      <c r="G2083" s="4">
        <f>IF(DatiOriginali!G2083 &gt;= SogliaPicchi!$B$22,"",DatiOriginali!G2083)</f>
        <v>392100</v>
      </c>
      <c r="H2083" s="4">
        <v>11516211</v>
      </c>
      <c r="I2083" s="4">
        <f>IF(DatiOriginali!I2083 &gt;= SogliaPicchi!$B$22,"",DatiOriginali!I2083)</f>
        <v>131600</v>
      </c>
      <c r="J2083" s="4">
        <v>11492624</v>
      </c>
      <c r="K2083" s="4">
        <f>IF(DatiOriginali!K2083 &gt;= SogliaPicchi!$B$22,"",DatiOriginali!K2083)</f>
        <v>150700</v>
      </c>
    </row>
    <row r="2084" spans="1:11" x14ac:dyDescent="0.3">
      <c r="A2084" s="4" t="s">
        <v>2093</v>
      </c>
      <c r="B2084" s="4">
        <v>550725</v>
      </c>
      <c r="C2084" s="4">
        <f>IF(DatiOriginali!C2084 &gt;= SogliaPicchi!$B$22,"",DatiOriginali!C2084)</f>
        <v>5146700</v>
      </c>
      <c r="D2084" s="4">
        <v>267726</v>
      </c>
      <c r="E2084" s="4">
        <f>IF(DatiOriginali!E2084 &gt;= SogliaPicchi!$B$22,"",DatiOriginali!E2084)</f>
        <v>940300</v>
      </c>
      <c r="F2084" s="4">
        <v>9203957</v>
      </c>
      <c r="G2084" s="4">
        <f>IF(DatiOriginali!G2084 &gt;= SogliaPicchi!$B$22,"",DatiOriginali!G2084)</f>
        <v>401300</v>
      </c>
      <c r="H2084" s="4">
        <v>11529315</v>
      </c>
      <c r="I2084" s="4">
        <f>IF(DatiOriginali!I2084 &gt;= SogliaPicchi!$B$22,"",DatiOriginali!I2084)</f>
        <v>134300</v>
      </c>
      <c r="J2084" s="4">
        <v>11505664</v>
      </c>
      <c r="K2084" s="4">
        <f>IF(DatiOriginali!K2084 &gt;= SogliaPicchi!$B$22,"",DatiOriginali!K2084)</f>
        <v>156200</v>
      </c>
    </row>
    <row r="2085" spans="1:11" x14ac:dyDescent="0.3">
      <c r="A2085" s="4" t="s">
        <v>2094</v>
      </c>
      <c r="B2085" s="4">
        <v>550725</v>
      </c>
      <c r="C2085" s="4">
        <f>IF(DatiOriginali!C2085 &gt;= SogliaPicchi!$B$22,"",DatiOriginali!C2085)</f>
        <v>4617300</v>
      </c>
      <c r="D2085" s="4">
        <v>276378</v>
      </c>
      <c r="E2085" s="4">
        <f>IF(DatiOriginali!E2085 &gt;= SogliaPicchi!$B$22,"",DatiOriginali!E2085)</f>
        <v>968600</v>
      </c>
      <c r="F2085" s="4">
        <v>9213165</v>
      </c>
      <c r="G2085" s="4">
        <f>IF(DatiOriginali!G2085 &gt;= SogliaPicchi!$B$22,"",DatiOriginali!G2085)</f>
        <v>395800</v>
      </c>
      <c r="H2085" s="4">
        <v>11541433</v>
      </c>
      <c r="I2085" s="4">
        <f>IF(DatiOriginali!I2085 &gt;= SogliaPicchi!$B$22,"",DatiOriginali!I2085)</f>
        <v>142300</v>
      </c>
      <c r="J2085" s="4">
        <v>11517317</v>
      </c>
      <c r="K2085" s="4">
        <f>IF(DatiOriginali!K2085 &gt;= SogliaPicchi!$B$22,"",DatiOriginali!K2085)</f>
        <v>150500</v>
      </c>
    </row>
    <row r="2086" spans="1:11" x14ac:dyDescent="0.3">
      <c r="A2086" s="4" t="s">
        <v>2095</v>
      </c>
      <c r="B2086" s="4">
        <v>550725</v>
      </c>
      <c r="C2086" s="4">
        <f>IF(DatiOriginali!C2086 &gt;= SogliaPicchi!$B$22,"",DatiOriginali!C2086)</f>
        <v>4849400</v>
      </c>
      <c r="D2086" s="4">
        <v>263572</v>
      </c>
      <c r="E2086" s="4">
        <f>IF(DatiOriginali!E2086 &gt;= SogliaPicchi!$B$22,"",DatiOriginali!E2086)</f>
        <v>926000</v>
      </c>
      <c r="F2086" s="4">
        <v>9222393</v>
      </c>
      <c r="G2086" s="4">
        <f>IF(DatiOriginali!G2086 &gt;= SogliaPicchi!$B$22,"",DatiOriginali!G2086)</f>
        <v>391100</v>
      </c>
      <c r="H2086" s="4">
        <v>11553317</v>
      </c>
      <c r="I2086" s="4">
        <f>IF(DatiOriginali!I2086 &gt;= SogliaPicchi!$B$22,"",DatiOriginali!I2086)</f>
        <v>139200</v>
      </c>
      <c r="J2086" s="4">
        <v>11528939</v>
      </c>
      <c r="K2086" s="4">
        <f>IF(DatiOriginali!K2086 &gt;= SogliaPicchi!$B$22,"",DatiOriginali!K2086)</f>
        <v>151700</v>
      </c>
    </row>
    <row r="2087" spans="1:11" x14ac:dyDescent="0.3">
      <c r="A2087" s="4" t="s">
        <v>2096</v>
      </c>
      <c r="B2087" s="4">
        <v>550725</v>
      </c>
      <c r="C2087" s="4">
        <f>IF(DatiOriginali!C2087 &gt;= SogliaPicchi!$B$22,"",DatiOriginali!C2087)</f>
        <v>4579900</v>
      </c>
      <c r="D2087" s="4">
        <v>276251</v>
      </c>
      <c r="E2087" s="4">
        <f>IF(DatiOriginali!E2087 &gt;= SogliaPicchi!$B$22,"",DatiOriginali!E2087)</f>
        <v>957600</v>
      </c>
      <c r="F2087" s="4">
        <v>9231616</v>
      </c>
      <c r="G2087" s="4">
        <f>IF(DatiOriginali!G2087 &gt;= SogliaPicchi!$B$22,"",DatiOriginali!G2087)</f>
        <v>399000</v>
      </c>
      <c r="H2087" s="4">
        <v>11564808</v>
      </c>
      <c r="I2087" s="4">
        <f>IF(DatiOriginali!I2087 &gt;= SogliaPicchi!$B$22,"",DatiOriginali!I2087)</f>
        <v>134100</v>
      </c>
      <c r="J2087" s="4">
        <v>11540153</v>
      </c>
      <c r="K2087" s="4">
        <f>IF(DatiOriginali!K2087 &gt;= SogliaPicchi!$B$22,"",DatiOriginali!K2087)</f>
        <v>145800</v>
      </c>
    </row>
    <row r="2088" spans="1:11" x14ac:dyDescent="0.3">
      <c r="A2088" s="4" t="s">
        <v>2097</v>
      </c>
      <c r="B2088" s="4">
        <v>550725</v>
      </c>
      <c r="C2088" s="4">
        <f>IF(DatiOriginali!C2088 &gt;= SogliaPicchi!$B$22,"",DatiOriginali!C2088)</f>
        <v>4621600</v>
      </c>
      <c r="D2088" s="4">
        <v>280760</v>
      </c>
      <c r="E2088" s="4">
        <f>IF(DatiOriginali!E2088 &gt;= SogliaPicchi!$B$22,"",DatiOriginali!E2088)</f>
        <v>972400</v>
      </c>
      <c r="F2088" s="4">
        <v>9240840</v>
      </c>
      <c r="G2088" s="4">
        <f>IF(DatiOriginali!G2088 &gt;= SogliaPicchi!$B$22,"",DatiOriginali!G2088)</f>
        <v>394300</v>
      </c>
      <c r="H2088" s="4">
        <v>11576369</v>
      </c>
      <c r="I2088" s="4">
        <f>IF(DatiOriginali!I2088 &gt;= SogliaPicchi!$B$22,"",DatiOriginali!I2088)</f>
        <v>135400</v>
      </c>
      <c r="J2088" s="4">
        <v>11553249</v>
      </c>
      <c r="K2088" s="4">
        <f>IF(DatiOriginali!K2088 &gt;= SogliaPicchi!$B$22,"",DatiOriginali!K2088)</f>
        <v>152700</v>
      </c>
    </row>
    <row r="2089" spans="1:11" x14ac:dyDescent="0.3">
      <c r="A2089" s="4" t="s">
        <v>2098</v>
      </c>
      <c r="B2089" s="4">
        <v>550725</v>
      </c>
      <c r="C2089" s="4">
        <f>IF(DatiOriginali!C2089 &gt;= SogliaPicchi!$B$22,"",DatiOriginali!C2089)</f>
        <v>4470800</v>
      </c>
      <c r="D2089" s="4">
        <v>275846</v>
      </c>
      <c r="E2089" s="4">
        <f>IF(DatiOriginali!E2089 &gt;= SogliaPicchi!$B$22,"",DatiOriginali!E2089)</f>
        <v>955100</v>
      </c>
      <c r="F2089" s="4">
        <v>9250022</v>
      </c>
      <c r="G2089" s="4">
        <f>IF(DatiOriginali!G2089 &gt;= SogliaPicchi!$B$22,"",DatiOriginali!G2089)</f>
        <v>391700</v>
      </c>
      <c r="H2089" s="4">
        <v>11588139</v>
      </c>
      <c r="I2089" s="4">
        <f>IF(DatiOriginali!I2089 &gt;= SogliaPicchi!$B$22,"",DatiOriginali!I2089)</f>
        <v>132100</v>
      </c>
      <c r="J2089" s="4">
        <v>11565216</v>
      </c>
      <c r="K2089" s="4">
        <f>IF(DatiOriginali!K2089 &gt;= SogliaPicchi!$B$22,"",DatiOriginali!K2089)</f>
        <v>146300</v>
      </c>
    </row>
    <row r="2090" spans="1:11" x14ac:dyDescent="0.3">
      <c r="A2090" s="4" t="s">
        <v>2099</v>
      </c>
      <c r="B2090" s="4">
        <v>550725</v>
      </c>
      <c r="C2090" s="4">
        <f>IF(DatiOriginali!C2090 &gt;= SogliaPicchi!$B$22,"",DatiOriginali!C2090)</f>
        <v>4591700</v>
      </c>
      <c r="D2090" s="4">
        <v>278629</v>
      </c>
      <c r="E2090" s="4">
        <f>IF(DatiOriginali!E2090 &gt;= SogliaPicchi!$B$22,"",DatiOriginali!E2090)</f>
        <v>967200</v>
      </c>
      <c r="F2090" s="4">
        <v>9259276</v>
      </c>
      <c r="G2090" s="4">
        <f>IF(DatiOriginali!G2090 &gt;= SogliaPicchi!$B$22,"",DatiOriginali!G2090)</f>
        <v>395200</v>
      </c>
      <c r="H2090" s="4">
        <v>11599541</v>
      </c>
      <c r="I2090" s="4">
        <f>IF(DatiOriginali!I2090 &gt;= SogliaPicchi!$B$22,"",DatiOriginali!I2090)</f>
        <v>133600</v>
      </c>
      <c r="J2090" s="4">
        <v>11577547</v>
      </c>
      <c r="K2090" s="4">
        <f>IF(DatiOriginali!K2090 &gt;= SogliaPicchi!$B$22,"",DatiOriginali!K2090)</f>
        <v>148500</v>
      </c>
    </row>
    <row r="2091" spans="1:11" x14ac:dyDescent="0.3">
      <c r="A2091" s="4" t="s">
        <v>2100</v>
      </c>
      <c r="B2091" s="4">
        <v>550725</v>
      </c>
      <c r="C2091" s="4">
        <f>IF(DatiOriginali!C2091 &gt;= SogliaPicchi!$B$22,"",DatiOriginali!C2091)</f>
        <v>4824900</v>
      </c>
      <c r="D2091" s="4">
        <v>282403</v>
      </c>
      <c r="E2091" s="4">
        <f>IF(DatiOriginali!E2091 &gt;= SogliaPicchi!$B$22,"",DatiOriginali!E2091)</f>
        <v>975800</v>
      </c>
      <c r="F2091" s="4">
        <v>9268480</v>
      </c>
      <c r="G2091" s="4">
        <f>IF(DatiOriginali!G2091 &gt;= SogliaPicchi!$B$22,"",DatiOriginali!G2091)</f>
        <v>390500</v>
      </c>
      <c r="H2091" s="4">
        <v>11611931</v>
      </c>
      <c r="I2091" s="4">
        <f>IF(DatiOriginali!I2091 &gt;= SogliaPicchi!$B$22,"",DatiOriginali!I2091)</f>
        <v>138700</v>
      </c>
      <c r="J2091" s="4">
        <v>11589206</v>
      </c>
      <c r="K2091" s="4">
        <f>IF(DatiOriginali!K2091 &gt;= SogliaPicchi!$B$22,"",DatiOriginali!K2091)</f>
        <v>151000</v>
      </c>
    </row>
    <row r="2092" spans="1:11" x14ac:dyDescent="0.3">
      <c r="A2092" s="4" t="s">
        <v>2101</v>
      </c>
      <c r="B2092" s="4">
        <v>550725</v>
      </c>
      <c r="C2092" s="4">
        <f>IF(DatiOriginali!C2092 &gt;= SogliaPicchi!$B$22,"",DatiOriginali!C2092)</f>
        <v>4950200</v>
      </c>
      <c r="D2092" s="4">
        <v>270460</v>
      </c>
      <c r="E2092" s="4">
        <f>IF(DatiOriginali!E2092 &gt;= SogliaPicchi!$B$22,"",DatiOriginali!E2092)</f>
        <v>936100</v>
      </c>
      <c r="F2092" s="4">
        <v>9277689</v>
      </c>
      <c r="G2092" s="4">
        <f>IF(DatiOriginali!G2092 &gt;= SogliaPicchi!$B$22,"",DatiOriginali!G2092)</f>
        <v>394300</v>
      </c>
      <c r="H2092" s="4">
        <v>11623276</v>
      </c>
      <c r="I2092" s="4">
        <f>IF(DatiOriginali!I2092 &gt;= SogliaPicchi!$B$22,"",DatiOriginali!I2092)</f>
        <v>137800</v>
      </c>
      <c r="J2092" s="4">
        <v>11600685</v>
      </c>
      <c r="K2092" s="4">
        <f>IF(DatiOriginali!K2092 &gt;= SogliaPicchi!$B$22,"",DatiOriginali!K2092)</f>
        <v>149800</v>
      </c>
    </row>
    <row r="2093" spans="1:11" x14ac:dyDescent="0.3">
      <c r="A2093" s="4" t="s">
        <v>2102</v>
      </c>
      <c r="B2093" s="4">
        <v>550725</v>
      </c>
      <c r="C2093" s="4">
        <f>IF(DatiOriginali!C2093 &gt;= SogliaPicchi!$B$22,"",DatiOriginali!C2093)</f>
        <v>4607600</v>
      </c>
      <c r="D2093" s="4">
        <v>279262</v>
      </c>
      <c r="E2093" s="4">
        <f>IF(DatiOriginali!E2093 &gt;= SogliaPicchi!$B$22,"",DatiOriginali!E2093)</f>
        <v>989700</v>
      </c>
      <c r="F2093" s="4">
        <v>9286955</v>
      </c>
      <c r="G2093" s="4">
        <f>IF(DatiOriginali!G2093 &gt;= SogliaPicchi!$B$22,"",DatiOriginali!G2093)</f>
        <v>389000</v>
      </c>
      <c r="H2093" s="4">
        <v>11634632</v>
      </c>
      <c r="I2093" s="4">
        <f>IF(DatiOriginali!I2093 &gt;= SogliaPicchi!$B$22,"",DatiOriginali!I2093)</f>
        <v>133300</v>
      </c>
      <c r="J2093" s="4">
        <v>11611767</v>
      </c>
      <c r="K2093" s="4">
        <f>IF(DatiOriginali!K2093 &gt;= SogliaPicchi!$B$22,"",DatiOriginali!K2093)</f>
        <v>152000</v>
      </c>
    </row>
    <row r="2094" spans="1:11" x14ac:dyDescent="0.3">
      <c r="A2094" s="4" t="s">
        <v>2103</v>
      </c>
      <c r="B2094" s="4">
        <v>550725</v>
      </c>
      <c r="C2094" s="4">
        <f>IF(DatiOriginali!C2094 &gt;= SogliaPicchi!$B$22,"",DatiOriginali!C2094)</f>
        <v>4572200</v>
      </c>
      <c r="D2094" s="4">
        <v>270845</v>
      </c>
      <c r="E2094" s="4">
        <f>IF(DatiOriginali!E2094 &gt;= SogliaPicchi!$B$22,"",DatiOriginali!E2094)</f>
        <v>933100</v>
      </c>
      <c r="F2094" s="4">
        <v>9296154</v>
      </c>
      <c r="G2094" s="4">
        <f>IF(DatiOriginali!G2094 &gt;= SogliaPicchi!$B$22,"",DatiOriginali!G2094)</f>
        <v>395800</v>
      </c>
      <c r="H2094" s="4">
        <v>11646153</v>
      </c>
      <c r="I2094" s="4">
        <f>IF(DatiOriginali!I2094 &gt;= SogliaPicchi!$B$22,"",DatiOriginali!I2094)</f>
        <v>136300</v>
      </c>
      <c r="J2094" s="4">
        <v>11622771</v>
      </c>
      <c r="K2094" s="4">
        <f>IF(DatiOriginali!K2094 &gt;= SogliaPicchi!$B$22,"",DatiOriginali!K2094)</f>
        <v>147200</v>
      </c>
    </row>
    <row r="2095" spans="1:11" x14ac:dyDescent="0.3">
      <c r="A2095" s="4" t="s">
        <v>2104</v>
      </c>
      <c r="B2095" s="4">
        <v>550725</v>
      </c>
      <c r="C2095" s="4">
        <f>IF(DatiOriginali!C2095 &gt;= SogliaPicchi!$B$22,"",DatiOriginali!C2095)</f>
        <v>4786900</v>
      </c>
      <c r="D2095" s="4">
        <v>285948</v>
      </c>
      <c r="E2095" s="4">
        <f>IF(DatiOriginali!E2095 &gt;= SogliaPicchi!$B$22,"",DatiOriginali!E2095)</f>
        <v>990800</v>
      </c>
      <c r="F2095" s="4">
        <v>9305367</v>
      </c>
      <c r="G2095" s="4">
        <f>IF(DatiOriginali!G2095 &gt;= SogliaPicchi!$B$22,"",DatiOriginali!G2095)</f>
        <v>403900</v>
      </c>
      <c r="H2095" s="4">
        <v>11657268</v>
      </c>
      <c r="I2095" s="4">
        <f>IF(DatiOriginali!I2095 &gt;= SogliaPicchi!$B$22,"",DatiOriginali!I2095)</f>
        <v>131700</v>
      </c>
      <c r="J2095" s="4">
        <v>11635263</v>
      </c>
      <c r="K2095" s="4">
        <f>IF(DatiOriginali!K2095 &gt;= SogliaPicchi!$B$22,"",DatiOriginali!K2095)</f>
        <v>152800</v>
      </c>
    </row>
    <row r="2096" spans="1:11" x14ac:dyDescent="0.3">
      <c r="A2096" s="4" t="s">
        <v>2105</v>
      </c>
      <c r="B2096" s="4">
        <v>550725</v>
      </c>
      <c r="C2096" s="4">
        <f>IF(DatiOriginali!C2096 &gt;= SogliaPicchi!$B$22,"",DatiOriginali!C2096)</f>
        <v>4798300</v>
      </c>
      <c r="D2096" s="4">
        <v>277052</v>
      </c>
      <c r="E2096" s="4">
        <f>IF(DatiOriginali!E2096 &gt;= SogliaPicchi!$B$22,"",DatiOriginali!E2096)</f>
        <v>957200</v>
      </c>
      <c r="F2096" s="4">
        <v>9314599</v>
      </c>
      <c r="G2096" s="4">
        <f>IF(DatiOriginali!G2096 &gt;= SogliaPicchi!$B$22,"",DatiOriginali!G2096)</f>
        <v>392500</v>
      </c>
      <c r="H2096" s="4">
        <v>11668494</v>
      </c>
      <c r="I2096" s="4">
        <f>IF(DatiOriginali!I2096 &gt;= SogliaPicchi!$B$22,"",DatiOriginali!I2096)</f>
        <v>134900</v>
      </c>
      <c r="J2096" s="4">
        <v>11646428</v>
      </c>
      <c r="K2096" s="4">
        <f>IF(DatiOriginali!K2096 &gt;= SogliaPicchi!$B$22,"",DatiOriginali!K2096)</f>
        <v>152500</v>
      </c>
    </row>
    <row r="2097" spans="1:11" x14ac:dyDescent="0.3">
      <c r="A2097" s="4" t="s">
        <v>2106</v>
      </c>
      <c r="B2097" s="4">
        <v>550725</v>
      </c>
      <c r="C2097" s="4">
        <f>IF(DatiOriginali!C2097 &gt;= SogliaPicchi!$B$22,"",DatiOriginali!C2097)</f>
        <v>4513900</v>
      </c>
      <c r="D2097" s="4">
        <v>280775</v>
      </c>
      <c r="E2097" s="4">
        <f>IF(DatiOriginali!E2097 &gt;= SogliaPicchi!$B$22,"",DatiOriginali!E2097)</f>
        <v>1004800</v>
      </c>
      <c r="F2097" s="4">
        <v>9323826</v>
      </c>
      <c r="G2097" s="4">
        <f>IF(DatiOriginali!G2097 &gt;= SogliaPicchi!$B$22,"",DatiOriginali!G2097)</f>
        <v>384900</v>
      </c>
      <c r="H2097" s="4">
        <v>11680805</v>
      </c>
      <c r="I2097" s="4">
        <f>IF(DatiOriginali!I2097 &gt;= SogliaPicchi!$B$22,"",DatiOriginali!I2097)</f>
        <v>137400</v>
      </c>
      <c r="J2097" s="4">
        <v>11657895</v>
      </c>
      <c r="K2097" s="4">
        <f>IF(DatiOriginali!K2097 &gt;= SogliaPicchi!$B$22,"",DatiOriginali!K2097)</f>
        <v>147500</v>
      </c>
    </row>
    <row r="2098" spans="1:11" x14ac:dyDescent="0.3">
      <c r="A2098" s="4" t="s">
        <v>2107</v>
      </c>
      <c r="B2098" s="4">
        <v>550725</v>
      </c>
      <c r="C2098" s="4">
        <f>IF(DatiOriginali!C2098 &gt;= SogliaPicchi!$B$22,"",DatiOriginali!C2098)</f>
        <v>4675300</v>
      </c>
      <c r="D2098" s="4">
        <v>273995</v>
      </c>
      <c r="E2098" s="4">
        <f>IF(DatiOriginali!E2098 &gt;= SogliaPicchi!$B$22,"",DatiOriginali!E2098)</f>
        <v>949500</v>
      </c>
      <c r="F2098" s="4">
        <v>9333020</v>
      </c>
      <c r="G2098" s="4">
        <f>IF(DatiOriginali!G2098 &gt;= SogliaPicchi!$B$22,"",DatiOriginali!G2098)</f>
        <v>394500</v>
      </c>
      <c r="H2098" s="4">
        <v>11692252</v>
      </c>
      <c r="I2098" s="4">
        <f>IF(DatiOriginali!I2098 &gt;= SogliaPicchi!$B$22,"",DatiOriginali!I2098)</f>
        <v>128600</v>
      </c>
      <c r="J2098" s="4">
        <v>11669350</v>
      </c>
      <c r="K2098" s="4">
        <f>IF(DatiOriginali!K2098 &gt;= SogliaPicchi!$B$22,"",DatiOriginali!K2098)</f>
        <v>150500</v>
      </c>
    </row>
    <row r="2099" spans="1:11" x14ac:dyDescent="0.3">
      <c r="A2099" s="4" t="s">
        <v>2108</v>
      </c>
      <c r="B2099" s="4">
        <v>550725</v>
      </c>
      <c r="C2099" s="4">
        <f>IF(DatiOriginali!C2099 &gt;= SogliaPicchi!$B$22,"",DatiOriginali!C2099)</f>
        <v>4797500</v>
      </c>
      <c r="D2099" s="4">
        <v>271056</v>
      </c>
      <c r="E2099" s="4">
        <f>IF(DatiOriginali!E2099 &gt;= SogliaPicchi!$B$22,"",DatiOriginali!E2099)</f>
        <v>937400</v>
      </c>
      <c r="F2099" s="4">
        <v>9342234</v>
      </c>
      <c r="G2099" s="4">
        <f>IF(DatiOriginali!G2099 &gt;= SogliaPicchi!$B$22,"",DatiOriginali!G2099)</f>
        <v>468300</v>
      </c>
      <c r="H2099" s="4">
        <v>11703821</v>
      </c>
      <c r="I2099" s="4">
        <f>IF(DatiOriginali!I2099 &gt;= SogliaPicchi!$B$22,"",DatiOriginali!I2099)</f>
        <v>134000</v>
      </c>
      <c r="J2099" s="4">
        <v>11680689</v>
      </c>
      <c r="K2099" s="4">
        <f>IF(DatiOriginali!K2099 &gt;= SogliaPicchi!$B$22,"",DatiOriginali!K2099)</f>
        <v>146700</v>
      </c>
    </row>
    <row r="2100" spans="1:11" x14ac:dyDescent="0.3">
      <c r="A2100" s="4" t="s">
        <v>2109</v>
      </c>
      <c r="B2100" s="4">
        <v>550725</v>
      </c>
      <c r="C2100" s="4">
        <f>IF(DatiOriginali!C2100 &gt;= SogliaPicchi!$B$22,"",DatiOriginali!C2100)</f>
        <v>4800900</v>
      </c>
      <c r="D2100" s="4">
        <v>283858</v>
      </c>
      <c r="E2100" s="4">
        <f>IF(DatiOriginali!E2100 &gt;= SogliaPicchi!$B$22,"",DatiOriginali!E2100)</f>
        <v>1040200</v>
      </c>
      <c r="F2100" s="4">
        <v>9351464</v>
      </c>
      <c r="G2100" s="4">
        <f>IF(DatiOriginali!G2100 &gt;= SogliaPicchi!$B$22,"",DatiOriginali!G2100)</f>
        <v>388300</v>
      </c>
      <c r="H2100" s="4">
        <v>11715182</v>
      </c>
      <c r="I2100" s="4">
        <f>IF(DatiOriginali!I2100 &gt;= SogliaPicchi!$B$22,"",DatiOriginali!I2100)</f>
        <v>134200</v>
      </c>
      <c r="J2100" s="4">
        <v>11691560</v>
      </c>
      <c r="K2100" s="4">
        <f>IF(DatiOriginali!K2100 &gt;= SogliaPicchi!$B$22,"",DatiOriginali!K2100)</f>
        <v>147600</v>
      </c>
    </row>
    <row r="2101" spans="1:11" x14ac:dyDescent="0.3">
      <c r="A2101" s="4" t="s">
        <v>2110</v>
      </c>
      <c r="B2101" s="4">
        <v>550725</v>
      </c>
      <c r="C2101" s="4">
        <f>IF(DatiOriginali!C2101 &gt;= SogliaPicchi!$B$22,"",DatiOriginali!C2101)</f>
        <v>4553400</v>
      </c>
      <c r="D2101" s="4">
        <v>270826</v>
      </c>
      <c r="E2101" s="4">
        <f>IF(DatiOriginali!E2101 &gt;= SogliaPicchi!$B$22,"",DatiOriginali!E2101)</f>
        <v>1097200</v>
      </c>
      <c r="F2101" s="4">
        <v>9360643</v>
      </c>
      <c r="G2101" s="4">
        <f>IF(DatiOriginali!G2101 &gt;= SogliaPicchi!$B$23,"",DatiOriginali!G2101)</f>
        <v>389700</v>
      </c>
      <c r="H2101" s="4">
        <v>11726264</v>
      </c>
      <c r="I2101" s="4">
        <f>IF(DatiOriginali!I2101 &gt;= SogliaPicchi!$B$23,"",DatiOriginali!I2101)</f>
        <v>130500</v>
      </c>
      <c r="J2101" s="4">
        <v>11703162</v>
      </c>
      <c r="K2101" s="4">
        <f>IF(DatiOriginali!K2101 &gt;= SogliaPicchi!$B$23,"",DatiOriginali!K2101)</f>
        <v>148400</v>
      </c>
    </row>
    <row r="2102" spans="1:11" x14ac:dyDescent="0.3">
      <c r="A2102" s="4" t="s">
        <v>2111</v>
      </c>
      <c r="B2102" s="4">
        <v>604450</v>
      </c>
      <c r="C2102" s="4">
        <f>IF(DatiOriginali!C2102 &gt;= SogliaPicchi!$B$23,"",DatiOriginali!C2102)</f>
        <v>5329600</v>
      </c>
      <c r="D2102" s="4">
        <v>295706</v>
      </c>
      <c r="E2102" s="4">
        <f>IF(DatiOriginali!E2102 &gt;= SogliaPicchi!$B$23,"",DatiOriginali!E2102)</f>
        <v>1245200</v>
      </c>
      <c r="F2102" s="4">
        <v>9370368</v>
      </c>
      <c r="G2102" s="4">
        <f>IF(DatiOriginali!G2102 &gt;= SogliaPicchi!$B$23,"",DatiOriginali!G2102)</f>
        <v>435900</v>
      </c>
      <c r="H2102" s="4">
        <v>11738585</v>
      </c>
      <c r="I2102" s="4">
        <f>IF(DatiOriginali!I2102 &gt;= SogliaPicchi!$B$23,"",DatiOriginali!I2102)</f>
        <v>143700</v>
      </c>
      <c r="J2102" s="4">
        <v>11714130</v>
      </c>
      <c r="K2102" s="4">
        <f>IF(DatiOriginali!K2102 &gt;= SogliaPicchi!$B$23,"",DatiOriginali!K2102)</f>
        <v>158600</v>
      </c>
    </row>
    <row r="2103" spans="1:11" x14ac:dyDescent="0.3">
      <c r="A2103" s="4" t="s">
        <v>2112</v>
      </c>
      <c r="B2103" s="4">
        <v>604450</v>
      </c>
      <c r="C2103" s="4">
        <f>IF(DatiOriginali!C2103 &gt;= SogliaPicchi!$B$23,"",DatiOriginali!C2103)</f>
        <v>5228000</v>
      </c>
      <c r="D2103" s="4">
        <v>309435</v>
      </c>
      <c r="E2103" s="4">
        <f>IF(DatiOriginali!E2103 &gt;= SogliaPicchi!$B$23,"",DatiOriginali!E2103)</f>
        <v>1071900</v>
      </c>
      <c r="F2103" s="4">
        <v>9380079</v>
      </c>
      <c r="G2103" s="4">
        <f>IF(DatiOriginali!G2103 &gt;= SogliaPicchi!$B$23,"",DatiOriginali!G2103)</f>
        <v>422100</v>
      </c>
      <c r="H2103" s="4">
        <v>11749977</v>
      </c>
      <c r="I2103" s="4">
        <f>IF(DatiOriginali!I2103 &gt;= SogliaPicchi!$B$23,"",DatiOriginali!I2103)</f>
        <v>145800</v>
      </c>
      <c r="J2103" s="4">
        <v>11725673</v>
      </c>
      <c r="K2103" s="4">
        <f>IF(DatiOriginali!K2103 &gt;= SogliaPicchi!$B$23,"",DatiOriginali!K2103)</f>
        <v>157500</v>
      </c>
    </row>
    <row r="2104" spans="1:11" x14ac:dyDescent="0.3">
      <c r="A2104" s="4" t="s">
        <v>2113</v>
      </c>
      <c r="B2104" s="4">
        <v>604450</v>
      </c>
      <c r="C2104" s="4">
        <f>IF(DatiOriginali!C2104 &gt;= SogliaPicchi!$B$23,"",DatiOriginali!C2104)</f>
        <v>5419100</v>
      </c>
      <c r="D2104" s="4">
        <v>292105</v>
      </c>
      <c r="E2104" s="4">
        <f>IF(DatiOriginali!E2104 &gt;= SogliaPicchi!$B$23,"",DatiOriginali!E2104)</f>
        <v>1010300</v>
      </c>
      <c r="F2104" s="4">
        <v>9389833</v>
      </c>
      <c r="G2104" s="4">
        <f>IF(DatiOriginali!G2104 &gt;= SogliaPicchi!$B$23,"",DatiOriginali!G2104)</f>
        <v>418600</v>
      </c>
      <c r="H2104" s="4">
        <v>11763139</v>
      </c>
      <c r="I2104" s="4">
        <f>IF(DatiOriginali!I2104 &gt;= SogliaPicchi!$B$23,"",DatiOriginali!I2104)</f>
        <v>145300</v>
      </c>
      <c r="J2104" s="4">
        <v>11738279</v>
      </c>
      <c r="K2104" s="4">
        <f>IF(DatiOriginali!K2104 &gt;= SogliaPicchi!$B$23,"",DatiOriginali!K2104)</f>
        <v>158200</v>
      </c>
    </row>
    <row r="2105" spans="1:11" x14ac:dyDescent="0.3">
      <c r="A2105" s="4" t="s">
        <v>2114</v>
      </c>
      <c r="B2105" s="4">
        <v>604450</v>
      </c>
      <c r="C2105" s="4">
        <f>IF(DatiOriginali!C2105 &gt;= SogliaPicchi!$B$23,"",DatiOriginali!C2105)</f>
        <v>5266200</v>
      </c>
      <c r="D2105" s="4">
        <v>287156</v>
      </c>
      <c r="E2105" s="4">
        <f>IF(DatiOriginali!E2105 &gt;= SogliaPicchi!$B$23,"",DatiOriginali!E2105)</f>
        <v>1021400</v>
      </c>
      <c r="F2105" s="4">
        <v>9399573</v>
      </c>
      <c r="G2105" s="4">
        <f>IF(DatiOriginali!G2105 &gt;= SogliaPicchi!$B$23,"",DatiOriginali!G2105)</f>
        <v>412400</v>
      </c>
      <c r="H2105" s="4">
        <v>11774800</v>
      </c>
      <c r="I2105" s="4">
        <f>IF(DatiOriginali!I2105 &gt;= SogliaPicchi!$B$23,"",DatiOriginali!I2105)</f>
        <v>147300</v>
      </c>
      <c r="J2105" s="4">
        <v>11750570</v>
      </c>
      <c r="K2105" s="4">
        <f>IF(DatiOriginali!K2105 &gt;= SogliaPicchi!$B$23,"",DatiOriginali!K2105)</f>
        <v>161600</v>
      </c>
    </row>
    <row r="2106" spans="1:11" x14ac:dyDescent="0.3">
      <c r="A2106" s="4" t="s">
        <v>2115</v>
      </c>
      <c r="B2106" s="4">
        <v>604450</v>
      </c>
      <c r="C2106" s="4">
        <f>IF(DatiOriginali!C2106 &gt;= SogliaPicchi!$B$23,"",DatiOriginali!C2106)</f>
        <v>5141000</v>
      </c>
      <c r="D2106" s="4">
        <v>305184</v>
      </c>
      <c r="E2106" s="4">
        <f>IF(DatiOriginali!E2106 &gt;= SogliaPicchi!$B$23,"",DatiOriginali!E2106)</f>
        <v>1066200</v>
      </c>
      <c r="F2106" s="4">
        <v>9409321</v>
      </c>
      <c r="G2106" s="4">
        <f>IF(DatiOriginali!G2106 &gt;= SogliaPicchi!$B$23,"",DatiOriginali!G2106)</f>
        <v>417600</v>
      </c>
      <c r="H2106" s="4">
        <v>11786029</v>
      </c>
      <c r="I2106" s="4">
        <f>IF(DatiOriginali!I2106 &gt;= SogliaPicchi!$B$23,"",DatiOriginali!I2106)</f>
        <v>139600</v>
      </c>
      <c r="J2106" s="4">
        <v>11763185</v>
      </c>
      <c r="K2106" s="4">
        <f>IF(DatiOriginali!K2106 &gt;= SogliaPicchi!$B$23,"",DatiOriginali!K2106)</f>
        <v>156900</v>
      </c>
    </row>
    <row r="2107" spans="1:11" x14ac:dyDescent="0.3">
      <c r="A2107" s="4" t="s">
        <v>2116</v>
      </c>
      <c r="B2107" s="4">
        <v>604450</v>
      </c>
      <c r="C2107" s="4">
        <f>IF(DatiOriginali!C2107 &gt;= SogliaPicchi!$B$23,"",DatiOriginali!C2107)</f>
        <v>5056100</v>
      </c>
      <c r="D2107" s="4">
        <v>300213</v>
      </c>
      <c r="E2107" s="4">
        <f>IF(DatiOriginali!E2107 &gt;= SogliaPicchi!$B$23,"",DatiOriginali!E2107)</f>
        <v>1037200</v>
      </c>
      <c r="F2107" s="4">
        <v>9419046</v>
      </c>
      <c r="G2107" s="4">
        <f>IF(DatiOriginali!G2107 &gt;= SogliaPicchi!$B$23,"",DatiOriginali!G2107)</f>
        <v>416600</v>
      </c>
      <c r="H2107" s="4">
        <v>11798962</v>
      </c>
      <c r="I2107" s="4">
        <f>IF(DatiOriginali!I2107 &gt;= SogliaPicchi!$B$23,"",DatiOriginali!I2107)</f>
        <v>135800</v>
      </c>
      <c r="J2107" s="4">
        <v>11775412</v>
      </c>
      <c r="K2107" s="4">
        <f>IF(DatiOriginali!K2107 &gt;= SogliaPicchi!$B$23,"",DatiOriginali!K2107)</f>
        <v>156800</v>
      </c>
    </row>
    <row r="2108" spans="1:11" x14ac:dyDescent="0.3">
      <c r="A2108" s="4" t="s">
        <v>2117</v>
      </c>
      <c r="B2108" s="4">
        <v>604450</v>
      </c>
      <c r="C2108" s="4">
        <f>IF(DatiOriginali!C2108 &gt;= SogliaPicchi!$B$23,"",DatiOriginali!C2108)</f>
        <v>5167200</v>
      </c>
      <c r="D2108" s="4">
        <v>302004</v>
      </c>
      <c r="E2108" s="4">
        <f>IF(DatiOriginali!E2108 &gt;= SogliaPicchi!$B$23,"",DatiOriginali!E2108)</f>
        <v>1047900</v>
      </c>
      <c r="F2108" s="4">
        <v>9428813</v>
      </c>
      <c r="G2108" s="4">
        <f>IF(DatiOriginali!G2108 &gt;= SogliaPicchi!$B$23,"",DatiOriginali!G2108)</f>
        <v>420100</v>
      </c>
      <c r="H2108" s="4">
        <v>11810976</v>
      </c>
      <c r="I2108" s="4">
        <f>IF(DatiOriginali!I2108 &gt;= SogliaPicchi!$B$23,"",DatiOriginali!I2108)</f>
        <v>144300</v>
      </c>
      <c r="J2108" s="4">
        <v>11787332</v>
      </c>
      <c r="K2108" s="4">
        <f>IF(DatiOriginali!K2108 &gt;= SogliaPicchi!$B$23,"",DatiOriginali!K2108)</f>
        <v>156800</v>
      </c>
    </row>
    <row r="2109" spans="1:11" x14ac:dyDescent="0.3">
      <c r="A2109" s="4" t="s">
        <v>2118</v>
      </c>
      <c r="B2109" s="4">
        <v>604450</v>
      </c>
      <c r="C2109" s="4">
        <f>IF(DatiOriginali!C2109 &gt;= SogliaPicchi!$B$23,"",DatiOriginali!C2109)</f>
        <v>5042700</v>
      </c>
      <c r="D2109" s="4">
        <v>307509</v>
      </c>
      <c r="E2109" s="4">
        <f>IF(DatiOriginali!E2109 &gt;= SogliaPicchi!$B$23,"",DatiOriginali!E2109)</f>
        <v>1064100</v>
      </c>
      <c r="F2109" s="4">
        <v>9438558</v>
      </c>
      <c r="G2109" s="4">
        <f>IF(DatiOriginali!G2109 &gt;= SogliaPicchi!$B$23,"",DatiOriginali!G2109)</f>
        <v>416700</v>
      </c>
      <c r="H2109" s="4">
        <v>11824109</v>
      </c>
      <c r="I2109" s="4">
        <f>IF(DatiOriginali!I2109 &gt;= SogliaPicchi!$B$23,"",DatiOriginali!I2109)</f>
        <v>140800</v>
      </c>
      <c r="J2109" s="4">
        <v>11799200</v>
      </c>
      <c r="K2109" s="4">
        <f>IF(DatiOriginali!K2109 &gt;= SogliaPicchi!$B$23,"",DatiOriginali!K2109)</f>
        <v>158100</v>
      </c>
    </row>
    <row r="2110" spans="1:11" x14ac:dyDescent="0.3">
      <c r="A2110" s="4" t="s">
        <v>2119</v>
      </c>
      <c r="B2110" s="4">
        <v>604450</v>
      </c>
      <c r="C2110" s="4">
        <f>IF(DatiOriginali!C2110 &gt;= SogliaPicchi!$B$23,"",DatiOriginali!C2110)</f>
        <v>4883400</v>
      </c>
      <c r="D2110" s="4">
        <v>305716</v>
      </c>
      <c r="E2110" s="4">
        <f>IF(DatiOriginali!E2110 &gt;= SogliaPicchi!$B$23,"",DatiOriginali!E2110)</f>
        <v>1087000</v>
      </c>
      <c r="F2110" s="4">
        <v>9448305</v>
      </c>
      <c r="G2110" s="4">
        <f>IF(DatiOriginali!G2110 &gt;= SogliaPicchi!$B$23,"",DatiOriginali!G2110)</f>
        <v>414700</v>
      </c>
      <c r="H2110" s="4">
        <v>11836224</v>
      </c>
      <c r="I2110" s="4">
        <f>IF(DatiOriginali!I2110 &gt;= SogliaPicchi!$B$23,"",DatiOriginali!I2110)</f>
        <v>140400</v>
      </c>
      <c r="J2110" s="4">
        <v>11810869</v>
      </c>
      <c r="K2110" s="4">
        <f>IF(DatiOriginali!K2110 &gt;= SogliaPicchi!$B$23,"",DatiOriginali!K2110)</f>
        <v>154800</v>
      </c>
    </row>
    <row r="2111" spans="1:11" x14ac:dyDescent="0.3">
      <c r="A2111" s="4" t="s">
        <v>2120</v>
      </c>
      <c r="B2111" s="4">
        <v>604450</v>
      </c>
      <c r="C2111" s="4">
        <f>IF(DatiOriginali!C2111 &gt;= SogliaPicchi!$B$23,"",DatiOriginali!C2111)</f>
        <v>5226700</v>
      </c>
      <c r="D2111" s="4">
        <v>309585</v>
      </c>
      <c r="E2111" s="4">
        <f>IF(DatiOriginali!E2111 &gt;= SogliaPicchi!$B$23,"",DatiOriginali!E2111)</f>
        <v>1077000</v>
      </c>
      <c r="F2111" s="4">
        <v>9458061</v>
      </c>
      <c r="G2111" s="4">
        <f>IF(DatiOriginali!G2111 &gt;= SogliaPicchi!$B$23,"",DatiOriginali!G2111)</f>
        <v>464700</v>
      </c>
      <c r="H2111" s="4">
        <v>11848232</v>
      </c>
      <c r="I2111" s="4">
        <f>IF(DatiOriginali!I2111 &gt;= SogliaPicchi!$B$23,"",DatiOriginali!I2111)</f>
        <v>136000</v>
      </c>
      <c r="J2111" s="4">
        <v>11822883</v>
      </c>
      <c r="K2111" s="4">
        <f>IF(DatiOriginali!K2111 &gt;= SogliaPicchi!$B$23,"",DatiOriginali!K2111)</f>
        <v>157100</v>
      </c>
    </row>
    <row r="2112" spans="1:11" x14ac:dyDescent="0.3">
      <c r="A2112" s="4" t="s">
        <v>2121</v>
      </c>
      <c r="B2112" s="4">
        <v>604450</v>
      </c>
      <c r="C2112" s="4">
        <f>IF(DatiOriginali!C2112 &gt;= SogliaPicchi!$B$23,"",DatiOriginali!C2112)</f>
        <v>5226600</v>
      </c>
      <c r="D2112" s="4">
        <v>303539</v>
      </c>
      <c r="E2112" s="4">
        <f>IF(DatiOriginali!E2112 &gt;= SogliaPicchi!$B$23,"",DatiOriginali!E2112)</f>
        <v>1106600</v>
      </c>
      <c r="F2112" s="4">
        <v>9467807</v>
      </c>
      <c r="G2112" s="4">
        <f>IF(DatiOriginali!G2112 &gt;= SogliaPicchi!$B$23,"",DatiOriginali!G2112)</f>
        <v>413500</v>
      </c>
      <c r="H2112" s="4">
        <v>11861611</v>
      </c>
      <c r="I2112" s="4">
        <f>IF(DatiOriginali!I2112 &gt;= SogliaPicchi!$B$23,"",DatiOriginali!I2112)</f>
        <v>149600</v>
      </c>
      <c r="J2112" s="4">
        <v>11835116</v>
      </c>
      <c r="K2112" s="4">
        <f>IF(DatiOriginali!K2112 &gt;= SogliaPicchi!$B$23,"",DatiOriginali!K2112)</f>
        <v>156200</v>
      </c>
    </row>
    <row r="2113" spans="1:11" x14ac:dyDescent="0.3">
      <c r="A2113" s="4" t="s">
        <v>2122</v>
      </c>
      <c r="B2113" s="4">
        <v>604450</v>
      </c>
      <c r="C2113" s="4">
        <f>IF(DatiOriginali!C2113 &gt;= SogliaPicchi!$B$23,"",DatiOriginali!C2113)</f>
        <v>5138000</v>
      </c>
      <c r="D2113" s="4">
        <v>302721</v>
      </c>
      <c r="E2113" s="4">
        <f>IF(DatiOriginali!E2113 &gt;= SogliaPicchi!$B$23,"",DatiOriginali!E2113)</f>
        <v>1298700</v>
      </c>
      <c r="F2113" s="4">
        <v>9477546</v>
      </c>
      <c r="G2113" s="4">
        <f>IF(DatiOriginali!G2113 &gt;= SogliaPicchi!$B$23,"",DatiOriginali!G2113)</f>
        <v>432000</v>
      </c>
      <c r="H2113" s="4">
        <v>11873666</v>
      </c>
      <c r="I2113" s="4">
        <f>IF(DatiOriginali!I2113 &gt;= SogliaPicchi!$B$23,"",DatiOriginali!I2113)</f>
        <v>140800</v>
      </c>
      <c r="J2113" s="4">
        <v>11846861</v>
      </c>
      <c r="K2113" s="4">
        <f>IF(DatiOriginali!K2113 &gt;= SogliaPicchi!$B$23,"",DatiOriginali!K2113)</f>
        <v>161500</v>
      </c>
    </row>
    <row r="2114" spans="1:11" x14ac:dyDescent="0.3">
      <c r="A2114" s="4" t="s">
        <v>2123</v>
      </c>
      <c r="B2114" s="4">
        <v>604450</v>
      </c>
      <c r="C2114" s="4">
        <f>IF(DatiOriginali!C2114 &gt;= SogliaPicchi!$B$23,"",DatiOriginali!C2114)</f>
        <v>5243400</v>
      </c>
      <c r="D2114" s="4">
        <v>300078</v>
      </c>
      <c r="E2114" s="4">
        <f>IF(DatiOriginali!E2114 &gt;= SogliaPicchi!$B$23,"",DatiOriginali!E2114)</f>
        <v>1068000</v>
      </c>
      <c r="F2114" s="4">
        <v>9487313</v>
      </c>
      <c r="G2114" s="4">
        <f>IF(DatiOriginali!G2114 &gt;= SogliaPicchi!$B$23,"",DatiOriginali!G2114)</f>
        <v>461700</v>
      </c>
      <c r="H2114" s="4">
        <v>11886803</v>
      </c>
      <c r="I2114" s="4">
        <f>IF(DatiOriginali!I2114 &gt;= SogliaPicchi!$B$23,"",DatiOriginali!I2114)</f>
        <v>145600</v>
      </c>
      <c r="J2114" s="4">
        <v>11859254</v>
      </c>
      <c r="K2114" s="4">
        <f>IF(DatiOriginali!K2114 &gt;= SogliaPicchi!$B$23,"",DatiOriginali!K2114)</f>
        <v>163700</v>
      </c>
    </row>
    <row r="2115" spans="1:11" x14ac:dyDescent="0.3">
      <c r="A2115" s="4" t="s">
        <v>2124</v>
      </c>
      <c r="B2115" s="4">
        <v>604450</v>
      </c>
      <c r="C2115" s="4">
        <f>IF(DatiOriginali!C2115 &gt;= SogliaPicchi!$B$23,"",DatiOriginali!C2115)</f>
        <v>5362800</v>
      </c>
      <c r="D2115" s="4">
        <v>301806</v>
      </c>
      <c r="E2115" s="4">
        <f>IF(DatiOriginali!E2115 &gt;= SogliaPicchi!$B$23,"",DatiOriginali!E2115)</f>
        <v>1114800</v>
      </c>
      <c r="F2115" s="4">
        <v>9497063</v>
      </c>
      <c r="G2115" s="4">
        <f>IF(DatiOriginali!G2115 &gt;= SogliaPicchi!$B$23,"",DatiOriginali!G2115)</f>
        <v>413900</v>
      </c>
      <c r="H2115" s="4">
        <v>11898652</v>
      </c>
      <c r="I2115" s="4">
        <f>IF(DatiOriginali!I2115 &gt;= SogliaPicchi!$B$23,"",DatiOriginali!I2115)</f>
        <v>141500</v>
      </c>
      <c r="J2115" s="4">
        <v>11871570</v>
      </c>
      <c r="K2115" s="4">
        <f>IF(DatiOriginali!K2115 &gt;= SogliaPicchi!$B$23,"",DatiOriginali!K2115)</f>
        <v>162900</v>
      </c>
    </row>
    <row r="2116" spans="1:11" x14ac:dyDescent="0.3">
      <c r="A2116" s="4" t="s">
        <v>2125</v>
      </c>
      <c r="B2116" s="4">
        <v>604450</v>
      </c>
      <c r="C2116" s="4">
        <f>IF(DatiOriginali!C2116 &gt;= SogliaPicchi!$B$23,"",DatiOriginali!C2116)</f>
        <v>5379400</v>
      </c>
      <c r="D2116" s="4">
        <v>307479</v>
      </c>
      <c r="E2116" s="4">
        <f>IF(DatiOriginali!E2116 &gt;= SogliaPicchi!$B$23,"",DatiOriginali!E2116)</f>
        <v>1090300</v>
      </c>
      <c r="F2116" s="4">
        <v>9506785</v>
      </c>
      <c r="G2116" s="4">
        <f>IF(DatiOriginali!G2116 &gt;= SogliaPicchi!$B$23,"",DatiOriginali!G2116)</f>
        <v>416300</v>
      </c>
      <c r="H2116" s="4">
        <v>11910262</v>
      </c>
      <c r="I2116" s="4">
        <f>IF(DatiOriginali!I2116 &gt;= SogliaPicchi!$B$23,"",DatiOriginali!I2116)</f>
        <v>139700</v>
      </c>
      <c r="J2116" s="4">
        <v>11883569</v>
      </c>
      <c r="K2116" s="4">
        <f>IF(DatiOriginali!K2116 &gt;= SogliaPicchi!$B$23,"",DatiOriginali!K2116)</f>
        <v>159000</v>
      </c>
    </row>
    <row r="2117" spans="1:11" x14ac:dyDescent="0.3">
      <c r="A2117" s="4" t="s">
        <v>2126</v>
      </c>
      <c r="B2117" s="4">
        <v>604450</v>
      </c>
      <c r="C2117" s="4">
        <f>IF(DatiOriginali!C2117 &gt;= SogliaPicchi!$B$23,"",DatiOriginali!C2117)</f>
        <v>5697600</v>
      </c>
      <c r="D2117" s="4">
        <v>296294</v>
      </c>
      <c r="E2117" s="4">
        <f>IF(DatiOriginali!E2117 &gt;= SogliaPicchi!$B$23,"",DatiOriginali!E2117)</f>
        <v>1406900</v>
      </c>
      <c r="F2117" s="4">
        <v>9516501</v>
      </c>
      <c r="G2117" s="4">
        <f>IF(DatiOriginali!G2117 &gt;= SogliaPicchi!$B$23,"",DatiOriginali!G2117)</f>
        <v>445400</v>
      </c>
      <c r="H2117" s="4">
        <v>11922969</v>
      </c>
      <c r="I2117" s="4">
        <f>IF(DatiOriginali!I2117 &gt;= SogliaPicchi!$B$23,"",DatiOriginali!I2117)</f>
        <v>143800</v>
      </c>
      <c r="J2117" s="4">
        <v>11895528</v>
      </c>
      <c r="K2117" s="4">
        <f>IF(DatiOriginali!K2117 &gt;= SogliaPicchi!$B$23,"",DatiOriginali!K2117)</f>
        <v>158500</v>
      </c>
    </row>
    <row r="2118" spans="1:11" x14ac:dyDescent="0.3">
      <c r="A2118" s="4" t="s">
        <v>2127</v>
      </c>
      <c r="B2118" s="4">
        <v>604450</v>
      </c>
      <c r="C2118" s="4">
        <f>IF(DatiOriginali!C2118 &gt;= SogliaPicchi!$B$23,"",DatiOriginali!C2118)</f>
        <v>5524700</v>
      </c>
      <c r="D2118" s="4">
        <v>295539</v>
      </c>
      <c r="E2118" s="4">
        <f>IF(DatiOriginali!E2118 &gt;= SogliaPicchi!$B$23,"",DatiOriginali!E2118)</f>
        <v>1019300</v>
      </c>
      <c r="F2118" s="4">
        <v>9526244</v>
      </c>
      <c r="G2118" s="4">
        <f>IF(DatiOriginali!G2118 &gt;= SogliaPicchi!$B$23,"",DatiOriginali!G2118)</f>
        <v>422200</v>
      </c>
      <c r="H2118" s="4">
        <v>11934795</v>
      </c>
      <c r="I2118" s="4">
        <f>IF(DatiOriginali!I2118 &gt;= SogliaPicchi!$B$23,"",DatiOriginali!I2118)</f>
        <v>141200</v>
      </c>
      <c r="J2118" s="4">
        <v>11907938</v>
      </c>
      <c r="K2118" s="4">
        <f>IF(DatiOriginali!K2118 &gt;= SogliaPicchi!$B$23,"",DatiOriginali!K2118)</f>
        <v>166800</v>
      </c>
    </row>
    <row r="2119" spans="1:11" x14ac:dyDescent="0.3">
      <c r="A2119" s="4" t="s">
        <v>2128</v>
      </c>
      <c r="B2119" s="4">
        <v>604450</v>
      </c>
      <c r="C2119" s="4">
        <f>IF(DatiOriginali!C2119 &gt;= SogliaPicchi!$B$23,"",DatiOriginali!C2119)</f>
        <v>5315200</v>
      </c>
      <c r="D2119" s="4">
        <v>292674</v>
      </c>
      <c r="E2119" s="4">
        <f>IF(DatiOriginali!E2119 &gt;= SogliaPicchi!$B$23,"",DatiOriginali!E2119)</f>
        <v>1049800</v>
      </c>
      <c r="F2119" s="4">
        <v>9535952</v>
      </c>
      <c r="G2119" s="4">
        <f>IF(DatiOriginali!G2119 &gt;= SogliaPicchi!$B$23,"",DatiOriginali!G2119)</f>
        <v>415000</v>
      </c>
      <c r="H2119" s="4">
        <v>11947450</v>
      </c>
      <c r="I2119" s="4">
        <f>IF(DatiOriginali!I2119 &gt;= SogliaPicchi!$B$23,"",DatiOriginali!I2119)</f>
        <v>143600</v>
      </c>
      <c r="J2119" s="4">
        <v>11921169</v>
      </c>
      <c r="K2119" s="4">
        <f>IF(DatiOriginali!K2119 &gt;= SogliaPicchi!$B$23,"",DatiOriginali!K2119)</f>
        <v>158500</v>
      </c>
    </row>
    <row r="2120" spans="1:11" x14ac:dyDescent="0.3">
      <c r="A2120" s="4" t="s">
        <v>2129</v>
      </c>
      <c r="B2120" s="4">
        <v>604450</v>
      </c>
      <c r="C2120" s="4">
        <f>IF(DatiOriginali!C2120 &gt;= SogliaPicchi!$B$23,"",DatiOriginali!C2120)</f>
        <v>5098100</v>
      </c>
      <c r="D2120" s="4">
        <v>301544</v>
      </c>
      <c r="E2120" s="4">
        <f>IF(DatiOriginali!E2120 &gt;= SogliaPicchi!$B$23,"",DatiOriginali!E2120)</f>
        <v>1042000</v>
      </c>
      <c r="F2120" s="4">
        <v>9545707</v>
      </c>
      <c r="G2120" s="4">
        <f>IF(DatiOriginali!G2120 &gt;= SogliaPicchi!$B$23,"",DatiOriginali!G2120)</f>
        <v>415800</v>
      </c>
      <c r="H2120" s="4">
        <v>11959243</v>
      </c>
      <c r="I2120" s="4">
        <f>IF(DatiOriginali!I2120 &gt;= SogliaPicchi!$B$23,"",DatiOriginali!I2120)</f>
        <v>140500</v>
      </c>
      <c r="J2120" s="4">
        <v>11933174</v>
      </c>
      <c r="K2120" s="4">
        <f>IF(DatiOriginali!K2120 &gt;= SogliaPicchi!$B$23,"",DatiOriginali!K2120)</f>
        <v>159100</v>
      </c>
    </row>
    <row r="2121" spans="1:11" x14ac:dyDescent="0.3">
      <c r="A2121" s="4" t="s">
        <v>2130</v>
      </c>
      <c r="B2121" s="4">
        <v>604450</v>
      </c>
      <c r="C2121" s="4">
        <f>IF(DatiOriginali!C2121 &gt;= SogliaPicchi!$B$23,"",DatiOriginali!C2121)</f>
        <v>5385600</v>
      </c>
      <c r="D2121" s="4">
        <v>299355</v>
      </c>
      <c r="E2121" s="4">
        <f>IF(DatiOriginali!E2121 &gt;= SogliaPicchi!$B$23,"",DatiOriginali!E2121)</f>
        <v>1037700</v>
      </c>
      <c r="F2121" s="4">
        <v>9555418</v>
      </c>
      <c r="G2121" s="4">
        <f>IF(DatiOriginali!G2121 &gt;= SogliaPicchi!$B$23,"",DatiOriginali!G2121)</f>
        <v>429800</v>
      </c>
      <c r="H2121" s="4">
        <v>11972393</v>
      </c>
      <c r="I2121" s="4">
        <f>IF(DatiOriginali!I2121 &gt;= SogliaPicchi!$B$23,"",DatiOriginali!I2121)</f>
        <v>141700</v>
      </c>
      <c r="J2121" s="4">
        <v>11944654</v>
      </c>
      <c r="K2121" s="4">
        <f>IF(DatiOriginali!K2121 &gt;= SogliaPicchi!$B$23,"",DatiOriginali!K2121)</f>
        <v>159600</v>
      </c>
    </row>
    <row r="2122" spans="1:11" x14ac:dyDescent="0.3">
      <c r="A2122" s="4" t="s">
        <v>2131</v>
      </c>
      <c r="B2122" s="4">
        <v>604450</v>
      </c>
      <c r="C2122" s="4">
        <f>IF(DatiOriginali!C2122 &gt;= SogliaPicchi!$B$23,"",DatiOriginali!C2122)</f>
        <v>5468000</v>
      </c>
      <c r="D2122" s="4">
        <v>297156</v>
      </c>
      <c r="E2122" s="4">
        <f>IF(DatiOriginali!E2122 &gt;= SogliaPicchi!$B$23,"",DatiOriginali!E2122)</f>
        <v>1042200</v>
      </c>
      <c r="F2122" s="4">
        <v>9565158</v>
      </c>
      <c r="G2122" s="4">
        <f>IF(DatiOriginali!G2122 &gt;= SogliaPicchi!$B$23,"",DatiOriginali!G2122)</f>
        <v>419700</v>
      </c>
      <c r="H2122" s="4">
        <v>11983982</v>
      </c>
      <c r="I2122" s="4">
        <f>IF(DatiOriginali!I2122 &gt;= SogliaPicchi!$B$23,"",DatiOriginali!I2122)</f>
        <v>143100</v>
      </c>
      <c r="J2122" s="4">
        <v>11956354</v>
      </c>
      <c r="K2122" s="4">
        <f>IF(DatiOriginali!K2122 &gt;= SogliaPicchi!$B$23,"",DatiOriginali!K2122)</f>
        <v>154700</v>
      </c>
    </row>
    <row r="2123" spans="1:11" x14ac:dyDescent="0.3">
      <c r="A2123" s="4" t="s">
        <v>2132</v>
      </c>
      <c r="B2123" s="4">
        <v>604450</v>
      </c>
      <c r="C2123" s="4">
        <f>IF(DatiOriginali!C2123 &gt;= SogliaPicchi!$B$23,"",DatiOriginali!C2123)</f>
        <v>5141500</v>
      </c>
      <c r="D2123" s="4">
        <v>306572</v>
      </c>
      <c r="E2123" s="4">
        <f>IF(DatiOriginali!E2123 &gt;= SogliaPicchi!$B$23,"",DatiOriginali!E2123)</f>
        <v>1065600</v>
      </c>
      <c r="F2123" s="4">
        <v>9574886</v>
      </c>
      <c r="G2123" s="4">
        <f>IF(DatiOriginali!G2123 &gt;= SogliaPicchi!$B$23,"",DatiOriginali!G2123)</f>
        <v>418700</v>
      </c>
      <c r="H2123" s="4">
        <v>11996488</v>
      </c>
      <c r="I2123" s="4">
        <f>IF(DatiOriginali!I2123 &gt;= SogliaPicchi!$B$23,"",DatiOriginali!I2123)</f>
        <v>144400</v>
      </c>
      <c r="J2123" s="4">
        <v>11967996</v>
      </c>
      <c r="K2123" s="4">
        <f>IF(DatiOriginali!K2123 &gt;= SogliaPicchi!$B$23,"",DatiOriginali!K2123)</f>
        <v>154800</v>
      </c>
    </row>
    <row r="2124" spans="1:11" x14ac:dyDescent="0.3">
      <c r="A2124" s="4" t="s">
        <v>2133</v>
      </c>
      <c r="B2124" s="4">
        <v>604450</v>
      </c>
      <c r="C2124" s="4">
        <f>IF(DatiOriginali!C2124 &gt;= SogliaPicchi!$B$23,"",DatiOriginali!C2124)</f>
        <v>5209100</v>
      </c>
      <c r="D2124" s="4">
        <v>305409</v>
      </c>
      <c r="E2124" s="4">
        <f>IF(DatiOriginali!E2124 &gt;= SogliaPicchi!$B$23,"",DatiOriginali!E2124)</f>
        <v>1062600</v>
      </c>
      <c r="F2124" s="4">
        <v>9584616</v>
      </c>
      <c r="G2124" s="4">
        <f>IF(DatiOriginali!G2124 &gt;= SogliaPicchi!$B$23,"",DatiOriginali!G2124)</f>
        <v>419800</v>
      </c>
      <c r="H2124" s="4">
        <v>12009007</v>
      </c>
      <c r="I2124" s="4">
        <f>IF(DatiOriginali!I2124 &gt;= SogliaPicchi!$B$23,"",DatiOriginali!I2124)</f>
        <v>217700</v>
      </c>
      <c r="J2124" s="4">
        <v>11980242</v>
      </c>
      <c r="K2124" s="4">
        <f>IF(DatiOriginali!K2124 &gt;= SogliaPicchi!$B$23,"",DatiOriginali!K2124)</f>
        <v>230100</v>
      </c>
    </row>
    <row r="2125" spans="1:11" x14ac:dyDescent="0.3">
      <c r="A2125" s="4" t="s">
        <v>2134</v>
      </c>
      <c r="B2125" s="4">
        <v>604450</v>
      </c>
      <c r="C2125" s="4">
        <f>IF(DatiOriginali!C2125 &gt;= SogliaPicchi!$B$23,"",DatiOriginali!C2125)</f>
        <v>5238200</v>
      </c>
      <c r="D2125" s="4">
        <v>299758</v>
      </c>
      <c r="E2125" s="4">
        <f>IF(DatiOriginali!E2125 &gt;= SogliaPicchi!$B$23,"",DatiOriginali!E2125)</f>
        <v>1323300</v>
      </c>
      <c r="F2125" s="4">
        <v>9594374</v>
      </c>
      <c r="G2125" s="4">
        <f>IF(DatiOriginali!G2125 &gt;= SogliaPicchi!$B$23,"",DatiOriginali!G2125)</f>
        <v>511600</v>
      </c>
      <c r="H2125" s="4">
        <v>12021640</v>
      </c>
      <c r="I2125" s="4">
        <f>IF(DatiOriginali!I2125 &gt;= SogliaPicchi!$B$23,"",DatiOriginali!I2125)</f>
        <v>156200</v>
      </c>
      <c r="J2125" s="4">
        <v>11992434</v>
      </c>
      <c r="K2125" s="4">
        <f>IF(DatiOriginali!K2125 &gt;= SogliaPicchi!$B$23,"",DatiOriginali!K2125)</f>
        <v>249100</v>
      </c>
    </row>
    <row r="2126" spans="1:11" x14ac:dyDescent="0.3">
      <c r="A2126" s="4" t="s">
        <v>2135</v>
      </c>
      <c r="B2126" s="4">
        <v>604450</v>
      </c>
      <c r="C2126" s="4">
        <f>IF(DatiOriginali!C2126 &gt;= SogliaPicchi!$B$23,"",DatiOriginali!C2126)</f>
        <v>5662300</v>
      </c>
      <c r="D2126" s="4">
        <v>290775</v>
      </c>
      <c r="E2126" s="4">
        <f>IF(DatiOriginali!E2126 &gt;= SogliaPicchi!$B$23,"",DatiOriginali!E2126)</f>
        <v>1057500</v>
      </c>
      <c r="F2126" s="4">
        <v>9604101</v>
      </c>
      <c r="G2126" s="4">
        <f>IF(DatiOriginali!G2126 &gt;= SogliaPicchi!$B$23,"",DatiOriginali!G2126)</f>
        <v>562700</v>
      </c>
      <c r="H2126" s="4">
        <v>12035106</v>
      </c>
      <c r="I2126" s="4">
        <f>IF(DatiOriginali!I2126 &gt;= SogliaPicchi!$B$23,"",DatiOriginali!I2126)</f>
        <v>149700</v>
      </c>
      <c r="J2126" s="4">
        <v>12004834</v>
      </c>
      <c r="K2126" s="4">
        <f>IF(DatiOriginali!K2126 &gt;= SogliaPicchi!$B$23,"",DatiOriginali!K2126)</f>
        <v>157800</v>
      </c>
    </row>
    <row r="2127" spans="1:11" x14ac:dyDescent="0.3">
      <c r="A2127" s="4" t="s">
        <v>2136</v>
      </c>
      <c r="B2127" s="4">
        <v>604450</v>
      </c>
      <c r="C2127" s="4">
        <f>IF(DatiOriginali!C2127 &gt;= SogliaPicchi!$B$23,"",DatiOriginali!C2127)</f>
        <v>5222900</v>
      </c>
      <c r="D2127" s="4">
        <v>299256</v>
      </c>
      <c r="E2127" s="4">
        <f>IF(DatiOriginali!E2127 &gt;= SogliaPicchi!$B$23,"",DatiOriginali!E2127)</f>
        <v>1097900</v>
      </c>
      <c r="F2127" s="4">
        <v>9613863</v>
      </c>
      <c r="G2127" s="4">
        <f>IF(DatiOriginali!G2127 &gt;= SogliaPicchi!$B$23,"",DatiOriginali!G2127)</f>
        <v>423000</v>
      </c>
      <c r="H2127" s="4">
        <v>12048381</v>
      </c>
      <c r="I2127" s="4">
        <f>IF(DatiOriginali!I2127 &gt;= SogliaPicchi!$B$23,"",DatiOriginali!I2127)</f>
        <v>143100</v>
      </c>
      <c r="J2127" s="4">
        <v>12017357</v>
      </c>
      <c r="K2127" s="4">
        <f>IF(DatiOriginali!K2127 &gt;= SogliaPicchi!$B$23,"",DatiOriginali!K2127)</f>
        <v>160000</v>
      </c>
    </row>
    <row r="2128" spans="1:11" x14ac:dyDescent="0.3">
      <c r="A2128" s="4" t="s">
        <v>2137</v>
      </c>
      <c r="B2128" s="4">
        <v>604450</v>
      </c>
      <c r="C2128" s="4">
        <f>IF(DatiOriginali!C2128 &gt;= SogliaPicchi!$B$23,"",DatiOriginali!C2128)</f>
        <v>5007000</v>
      </c>
      <c r="D2128" s="4">
        <v>292281</v>
      </c>
      <c r="E2128" s="4">
        <f>IF(DatiOriginali!E2128 &gt;= SogliaPicchi!$B$23,"",DatiOriginali!E2128)</f>
        <v>1292700</v>
      </c>
      <c r="F2128" s="4">
        <v>9623585</v>
      </c>
      <c r="G2128" s="4">
        <f>IF(DatiOriginali!G2128 &gt;= SogliaPicchi!$B$23,"",DatiOriginali!G2128)</f>
        <v>425700</v>
      </c>
      <c r="H2128" s="4">
        <v>12060109</v>
      </c>
      <c r="I2128" s="4">
        <f>IF(DatiOriginali!I2128 &gt;= SogliaPicchi!$B$23,"",DatiOriginali!I2128)</f>
        <v>147500</v>
      </c>
      <c r="J2128" s="4">
        <v>12029321</v>
      </c>
      <c r="K2128" s="4">
        <f>IF(DatiOriginali!K2128 &gt;= SogliaPicchi!$B$23,"",DatiOriginali!K2128)</f>
        <v>159000</v>
      </c>
    </row>
    <row r="2129" spans="1:11" x14ac:dyDescent="0.3">
      <c r="A2129" s="4" t="s">
        <v>2138</v>
      </c>
      <c r="B2129" s="4">
        <v>604450</v>
      </c>
      <c r="C2129" s="4">
        <f>IF(DatiOriginali!C2129 &gt;= SogliaPicchi!$B$23,"",DatiOriginali!C2129)</f>
        <v>5222500</v>
      </c>
      <c r="D2129" s="4">
        <v>301576</v>
      </c>
      <c r="E2129" s="4">
        <f>IF(DatiOriginali!E2129 &gt;= SogliaPicchi!$B$23,"",DatiOriginali!E2129)</f>
        <v>1178800</v>
      </c>
      <c r="F2129" s="4">
        <v>9633336</v>
      </c>
      <c r="G2129" s="4">
        <f>IF(DatiOriginali!G2129 &gt;= SogliaPicchi!$B$23,"",DatiOriginali!G2129)</f>
        <v>433400</v>
      </c>
      <c r="H2129" s="4">
        <v>12072375</v>
      </c>
      <c r="I2129" s="4">
        <f>IF(DatiOriginali!I2129 &gt;= SogliaPicchi!$B$23,"",DatiOriginali!I2129)</f>
        <v>145100</v>
      </c>
      <c r="J2129" s="4">
        <v>12042593</v>
      </c>
      <c r="K2129" s="4">
        <f>IF(DatiOriginali!K2129 &gt;= SogliaPicchi!$B$23,"",DatiOriginali!K2129)</f>
        <v>186500</v>
      </c>
    </row>
    <row r="2130" spans="1:11" x14ac:dyDescent="0.3">
      <c r="A2130" s="4" t="s">
        <v>2139</v>
      </c>
      <c r="B2130" s="4">
        <v>604450</v>
      </c>
      <c r="C2130" s="4">
        <f>IF(DatiOriginali!C2130 &gt;= SogliaPicchi!$B$23,"",DatiOriginali!C2130)</f>
        <v>5364700</v>
      </c>
      <c r="D2130" s="4">
        <v>302244</v>
      </c>
      <c r="E2130" s="4">
        <f>IF(DatiOriginali!E2130 &gt;= SogliaPicchi!$B$23,"",DatiOriginali!E2130)</f>
        <v>1067200</v>
      </c>
      <c r="F2130" s="4">
        <v>9643082</v>
      </c>
      <c r="G2130" s="4">
        <f>IF(DatiOriginali!G2130 &gt;= SogliaPicchi!$B$23,"",DatiOriginali!G2130)</f>
        <v>419700</v>
      </c>
      <c r="H2130" s="4">
        <v>12085166</v>
      </c>
      <c r="I2130" s="4">
        <f>IF(DatiOriginali!I2130 &gt;= SogliaPicchi!$B$23,"",DatiOriginali!I2130)</f>
        <v>145500</v>
      </c>
      <c r="J2130" s="4">
        <v>12053807</v>
      </c>
      <c r="K2130" s="4">
        <f>IF(DatiOriginali!K2130 &gt;= SogliaPicchi!$B$23,"",DatiOriginali!K2130)</f>
        <v>154500</v>
      </c>
    </row>
    <row r="2131" spans="1:11" x14ac:dyDescent="0.3">
      <c r="A2131" s="4" t="s">
        <v>2140</v>
      </c>
      <c r="B2131" s="4">
        <v>604450</v>
      </c>
      <c r="C2131" s="4">
        <f>IF(DatiOriginali!C2131 &gt;= SogliaPicchi!$B$23,"",DatiOriginali!C2131)</f>
        <v>5848900</v>
      </c>
      <c r="D2131" s="4">
        <v>299873</v>
      </c>
      <c r="E2131" s="4">
        <f>IF(DatiOriginali!E2131 &gt;= SogliaPicchi!$B$23,"",DatiOriginali!E2131)</f>
        <v>1154100</v>
      </c>
      <c r="F2131" s="4">
        <v>9652830</v>
      </c>
      <c r="G2131" s="4">
        <f>IF(DatiOriginali!G2131 &gt;= SogliaPicchi!$B$23,"",DatiOriginali!G2131)</f>
        <v>421200</v>
      </c>
      <c r="H2131" s="4">
        <v>12097358</v>
      </c>
      <c r="I2131" s="4">
        <f>IF(DatiOriginali!I2131 &gt;= SogliaPicchi!$B$23,"",DatiOriginali!I2131)</f>
        <v>139700</v>
      </c>
      <c r="J2131" s="4">
        <v>12065781</v>
      </c>
      <c r="K2131" s="4">
        <f>IF(DatiOriginali!K2131 &gt;= SogliaPicchi!$B$23,"",DatiOriginali!K2131)</f>
        <v>156800</v>
      </c>
    </row>
    <row r="2132" spans="1:11" x14ac:dyDescent="0.3">
      <c r="A2132" s="4" t="s">
        <v>2141</v>
      </c>
      <c r="B2132" s="4">
        <v>604450</v>
      </c>
      <c r="C2132" s="4">
        <f>IF(DatiOriginali!C2132 &gt;= SogliaPicchi!$B$23,"",DatiOriginali!C2132)</f>
        <v>6130900</v>
      </c>
      <c r="D2132" s="4">
        <v>303415</v>
      </c>
      <c r="E2132" s="4">
        <f>IF(DatiOriginali!E2132 &gt;= SogliaPicchi!$B$23,"",DatiOriginali!E2132)</f>
        <v>1049300</v>
      </c>
      <c r="F2132" s="4">
        <v>9662625</v>
      </c>
      <c r="G2132" s="4">
        <f>IF(DatiOriginali!G2132 &gt;= SogliaPicchi!$B$23,"",DatiOriginali!G2132)</f>
        <v>413500</v>
      </c>
      <c r="H2132" s="4">
        <v>12109988</v>
      </c>
      <c r="I2132" s="4">
        <f>IF(DatiOriginali!I2132 &gt;= SogliaPicchi!$B$23,"",DatiOriginali!I2132)</f>
        <v>145700</v>
      </c>
      <c r="J2132" s="4">
        <v>12077631</v>
      </c>
      <c r="K2132" s="4">
        <f>IF(DatiOriginali!K2132 &gt;= SogliaPicchi!$B$23,"",DatiOriginali!K2132)</f>
        <v>158900</v>
      </c>
    </row>
    <row r="2133" spans="1:11" x14ac:dyDescent="0.3">
      <c r="A2133" s="4" t="s">
        <v>2142</v>
      </c>
      <c r="B2133" s="4">
        <v>604450</v>
      </c>
      <c r="C2133" s="4">
        <f>IF(DatiOriginali!C2133 &gt;= SogliaPicchi!$B$23,"",DatiOriginali!C2133)</f>
        <v>5114500</v>
      </c>
      <c r="D2133" s="4">
        <v>318768</v>
      </c>
      <c r="E2133" s="4">
        <f>IF(DatiOriginali!E2133 &gt;= SogliaPicchi!$B$23,"",DatiOriginali!E2133)</f>
        <v>1102800</v>
      </c>
      <c r="F2133" s="4">
        <v>9672344</v>
      </c>
      <c r="G2133" s="4">
        <f>IF(DatiOriginali!G2133 &gt;= SogliaPicchi!$B$23,"",DatiOriginali!G2133)</f>
        <v>433600</v>
      </c>
      <c r="H2133" s="4">
        <v>12122712</v>
      </c>
      <c r="I2133" s="4">
        <f>IF(DatiOriginali!I2133 &gt;= SogliaPicchi!$B$23,"",DatiOriginali!I2133)</f>
        <v>141600</v>
      </c>
      <c r="J2133" s="4">
        <v>12090546</v>
      </c>
      <c r="K2133" s="4">
        <f>IF(DatiOriginali!K2133 &gt;= SogliaPicchi!$B$23,"",DatiOriginali!K2133)</f>
        <v>156900</v>
      </c>
    </row>
    <row r="2134" spans="1:11" x14ac:dyDescent="0.3">
      <c r="A2134" s="4" t="s">
        <v>2143</v>
      </c>
      <c r="B2134" s="4">
        <v>604450</v>
      </c>
      <c r="C2134" s="4">
        <f>IF(DatiOriginali!C2134 &gt;= SogliaPicchi!$B$23,"",DatiOriginali!C2134)</f>
        <v>5218700</v>
      </c>
      <c r="D2134" s="4">
        <v>306500</v>
      </c>
      <c r="E2134" s="4">
        <f>IF(DatiOriginali!E2134 &gt;= SogliaPicchi!$B$23,"",DatiOriginali!E2134)</f>
        <v>2312800</v>
      </c>
      <c r="F2134" s="4">
        <v>9682066</v>
      </c>
      <c r="G2134" s="4">
        <f>IF(DatiOriginali!G2134 &gt;= SogliaPicchi!$B$23,"",DatiOriginali!G2134)</f>
        <v>595700</v>
      </c>
      <c r="H2134" s="4">
        <v>12135142</v>
      </c>
      <c r="I2134" s="4">
        <f>IF(DatiOriginali!I2134 &gt;= SogliaPicchi!$B$23,"",DatiOriginali!I2134)</f>
        <v>229200</v>
      </c>
      <c r="J2134" s="4">
        <v>12104025</v>
      </c>
      <c r="K2134" s="4">
        <f>IF(DatiOriginali!K2134 &gt;= SogliaPicchi!$B$23,"",DatiOriginali!K2134)</f>
        <v>208400</v>
      </c>
    </row>
    <row r="2135" spans="1:11" x14ac:dyDescent="0.3">
      <c r="A2135" s="4" t="s">
        <v>2144</v>
      </c>
      <c r="B2135" s="4">
        <v>604450</v>
      </c>
      <c r="C2135" s="4">
        <f>IF(DatiOriginali!C2135 &gt;= SogliaPicchi!$B$23,"",DatiOriginali!C2135)</f>
        <v>5645600</v>
      </c>
      <c r="D2135" s="4">
        <v>293539</v>
      </c>
      <c r="E2135" s="4">
        <f>IF(DatiOriginali!E2135 &gt;= SogliaPicchi!$B$23,"",DatiOriginali!E2135)</f>
        <v>1017400</v>
      </c>
      <c r="F2135" s="4">
        <v>9691792</v>
      </c>
      <c r="G2135" s="4">
        <f>IF(DatiOriginali!G2135 &gt;= SogliaPicchi!$B$23,"",DatiOriginali!G2135)</f>
        <v>427600</v>
      </c>
      <c r="H2135" s="4">
        <v>12148771</v>
      </c>
      <c r="I2135" s="4">
        <f>IF(DatiOriginali!I2135 &gt;= SogliaPicchi!$B$23,"",DatiOriginali!I2135)</f>
        <v>146200</v>
      </c>
      <c r="J2135" s="4">
        <v>12116636</v>
      </c>
      <c r="K2135" s="4">
        <f>IF(DatiOriginali!K2135 &gt;= SogliaPicchi!$B$23,"",DatiOriginali!K2135)</f>
        <v>159000</v>
      </c>
    </row>
    <row r="2136" spans="1:11" x14ac:dyDescent="0.3">
      <c r="A2136" s="4" t="s">
        <v>2145</v>
      </c>
      <c r="B2136" s="4">
        <v>604450</v>
      </c>
      <c r="C2136" s="4">
        <f>IF(DatiOriginali!C2136 &gt;= SogliaPicchi!$B$23,"",DatiOriginali!C2136)</f>
        <v>5235600</v>
      </c>
      <c r="D2136" s="4">
        <v>306112</v>
      </c>
      <c r="E2136" s="4">
        <f>IF(DatiOriginali!E2136 &gt;= SogliaPicchi!$B$23,"",DatiOriginali!E2136)</f>
        <v>1059200</v>
      </c>
      <c r="F2136" s="4">
        <v>9701529</v>
      </c>
      <c r="G2136" s="4">
        <f>IF(DatiOriginali!G2136 &gt;= SogliaPicchi!$B$23,"",DatiOriginali!G2136)</f>
        <v>423700</v>
      </c>
      <c r="H2136" s="4">
        <v>12161592</v>
      </c>
      <c r="I2136" s="4">
        <f>IF(DatiOriginali!I2136 &gt;= SogliaPicchi!$B$23,"",DatiOriginali!I2136)</f>
        <v>151500</v>
      </c>
      <c r="J2136" s="4">
        <v>12130372</v>
      </c>
      <c r="K2136" s="4">
        <f>IF(DatiOriginali!K2136 &gt;= SogliaPicchi!$B$23,"",DatiOriginali!K2136)</f>
        <v>163900</v>
      </c>
    </row>
    <row r="2137" spans="1:11" x14ac:dyDescent="0.3">
      <c r="A2137" s="4" t="s">
        <v>2146</v>
      </c>
      <c r="B2137" s="4">
        <v>604450</v>
      </c>
      <c r="C2137" s="4">
        <f>IF(DatiOriginali!C2137 &gt;= SogliaPicchi!$B$23,"",DatiOriginali!C2137)</f>
        <v>5816700</v>
      </c>
      <c r="D2137" s="4">
        <v>305817</v>
      </c>
      <c r="E2137" s="4">
        <f>IF(DatiOriginali!E2137 &gt;= SogliaPicchi!$B$23,"",DatiOriginali!E2137)</f>
        <v>1058100</v>
      </c>
      <c r="F2137" s="4">
        <v>9711294</v>
      </c>
      <c r="G2137" s="4">
        <f>IF(DatiOriginali!G2137 &gt;= SogliaPicchi!$B$23,"",DatiOriginali!G2137)</f>
        <v>412800</v>
      </c>
      <c r="H2137" s="4">
        <v>12173356</v>
      </c>
      <c r="I2137" s="4">
        <f>IF(DatiOriginali!I2137 &gt;= SogliaPicchi!$B$23,"",DatiOriginali!I2137)</f>
        <v>140700</v>
      </c>
      <c r="J2137" s="4">
        <v>12142890</v>
      </c>
      <c r="K2137" s="4">
        <f>IF(DatiOriginali!K2137 &gt;= SogliaPicchi!$B$23,"",DatiOriginali!K2137)</f>
        <v>153900</v>
      </c>
    </row>
    <row r="2138" spans="1:11" x14ac:dyDescent="0.3">
      <c r="A2138" s="4" t="s">
        <v>2147</v>
      </c>
      <c r="B2138" s="4">
        <v>604450</v>
      </c>
      <c r="C2138" s="4">
        <f>IF(DatiOriginali!C2138 &gt;= SogliaPicchi!$B$23,"",DatiOriginali!C2138)</f>
        <v>5321400</v>
      </c>
      <c r="D2138" s="4">
        <v>289387</v>
      </c>
      <c r="E2138" s="4">
        <f>IF(DatiOriginali!E2138 &gt;= SogliaPicchi!$B$23,"",DatiOriginali!E2138)</f>
        <v>997700</v>
      </c>
      <c r="F2138" s="4">
        <v>9721008</v>
      </c>
      <c r="G2138" s="4">
        <f>IF(DatiOriginali!G2138 &gt;= SogliaPicchi!$B$23,"",DatiOriginali!G2138)</f>
        <v>416900</v>
      </c>
      <c r="H2138" s="4">
        <v>12185806</v>
      </c>
      <c r="I2138" s="4">
        <f>IF(DatiOriginali!I2138 &gt;= SogliaPicchi!$B$23,"",DatiOriginali!I2138)</f>
        <v>140600</v>
      </c>
      <c r="J2138" s="4">
        <v>12155378</v>
      </c>
      <c r="K2138" s="4">
        <f>IF(DatiOriginali!K2138 &gt;= SogliaPicchi!$B$23,"",DatiOriginali!K2138)</f>
        <v>154700</v>
      </c>
    </row>
    <row r="2139" spans="1:11" x14ac:dyDescent="0.3">
      <c r="A2139" s="4" t="s">
        <v>2148</v>
      </c>
      <c r="B2139" s="4">
        <v>604450</v>
      </c>
      <c r="C2139" s="4">
        <f>IF(DatiOriginali!C2139 &gt;= SogliaPicchi!$B$23,"",DatiOriginali!C2139)</f>
        <v>5272700</v>
      </c>
      <c r="D2139" s="4">
        <v>306975</v>
      </c>
      <c r="E2139" s="4">
        <f>IF(DatiOriginali!E2139 &gt;= SogliaPicchi!$B$23,"",DatiOriginali!E2139)</f>
        <v>1093500</v>
      </c>
      <c r="F2139" s="4">
        <v>9730723</v>
      </c>
      <c r="G2139" s="4">
        <f>IF(DatiOriginali!G2139 &gt;= SogliaPicchi!$B$23,"",DatiOriginali!G2139)</f>
        <v>413600</v>
      </c>
      <c r="H2139" s="4">
        <v>12197665</v>
      </c>
      <c r="I2139" s="4">
        <f>IF(DatiOriginali!I2139 &gt;= SogliaPicchi!$B$23,"",DatiOriginali!I2139)</f>
        <v>143500</v>
      </c>
      <c r="J2139" s="4">
        <v>12168143</v>
      </c>
      <c r="K2139" s="4">
        <f>IF(DatiOriginali!K2139 &gt;= SogliaPicchi!$B$23,"",DatiOriginali!K2139)</f>
        <v>161100</v>
      </c>
    </row>
    <row r="2140" spans="1:11" x14ac:dyDescent="0.3">
      <c r="A2140" s="4" t="s">
        <v>2149</v>
      </c>
      <c r="B2140" s="4">
        <v>604450</v>
      </c>
      <c r="C2140" s="4">
        <f>IF(DatiOriginali!C2140 &gt;= SogliaPicchi!$B$23,"",DatiOriginali!C2140)</f>
        <v>5087300</v>
      </c>
      <c r="D2140" s="4">
        <v>311775</v>
      </c>
      <c r="E2140" s="4">
        <f>IF(DatiOriginali!E2140 &gt;= SogliaPicchi!$B$23,"",DatiOriginali!E2140)</f>
        <v>1078300</v>
      </c>
      <c r="F2140" s="4">
        <v>9740444</v>
      </c>
      <c r="G2140" s="4">
        <f>IF(DatiOriginali!G2140 &gt;= SogliaPicchi!$B$23,"",DatiOriginali!G2140)</f>
        <v>408800</v>
      </c>
      <c r="H2140" s="4">
        <v>12209981</v>
      </c>
      <c r="I2140" s="4">
        <f>IF(DatiOriginali!I2140 &gt;= SogliaPicchi!$B$23,"",DatiOriginali!I2140)</f>
        <v>142600</v>
      </c>
      <c r="J2140" s="4">
        <v>12180934</v>
      </c>
      <c r="K2140" s="4">
        <f>IF(DatiOriginali!K2140 &gt;= SogliaPicchi!$B$23,"",DatiOriginali!K2140)</f>
        <v>159100</v>
      </c>
    </row>
    <row r="2141" spans="1:11" x14ac:dyDescent="0.3">
      <c r="A2141" s="4" t="s">
        <v>2150</v>
      </c>
      <c r="B2141" s="4">
        <v>604450</v>
      </c>
      <c r="C2141" s="4">
        <f>IF(DatiOriginali!C2141 &gt;= SogliaPicchi!$B$23,"",DatiOriginali!C2141)</f>
        <v>5199900</v>
      </c>
      <c r="D2141" s="4">
        <v>307143</v>
      </c>
      <c r="E2141" s="4">
        <f>IF(DatiOriginali!E2141 &gt;= SogliaPicchi!$B$23,"",DatiOriginali!E2141)</f>
        <v>1083500</v>
      </c>
      <c r="F2141" s="4">
        <v>9750179</v>
      </c>
      <c r="G2141" s="4">
        <f>IF(DatiOriginali!G2141 &gt;= SogliaPicchi!$B$23,"",DatiOriginali!G2141)</f>
        <v>423700</v>
      </c>
      <c r="H2141" s="4">
        <v>12222715</v>
      </c>
      <c r="I2141" s="4">
        <f>IF(DatiOriginali!I2141 &gt;= SogliaPicchi!$B$23,"",DatiOriginali!I2141)</f>
        <v>148700</v>
      </c>
      <c r="J2141" s="4">
        <v>12192428</v>
      </c>
      <c r="K2141" s="4">
        <f>IF(DatiOriginali!K2141 &gt;= SogliaPicchi!$B$23,"",DatiOriginali!K2141)</f>
        <v>153800</v>
      </c>
    </row>
    <row r="2142" spans="1:11" x14ac:dyDescent="0.3">
      <c r="A2142" s="4" t="s">
        <v>2151</v>
      </c>
      <c r="B2142" s="4">
        <v>604450</v>
      </c>
      <c r="C2142" s="4">
        <f>IF(DatiOriginali!C2142 &gt;= SogliaPicchi!$B$23,"",DatiOriginali!C2142)</f>
        <v>5308200</v>
      </c>
      <c r="D2142" s="4">
        <v>294420</v>
      </c>
      <c r="E2142" s="4">
        <f>IF(DatiOriginali!E2142 &gt;= SogliaPicchi!$B$23,"",DatiOriginali!E2142)</f>
        <v>1023300</v>
      </c>
      <c r="F2142" s="4">
        <v>9759938</v>
      </c>
      <c r="G2142" s="4">
        <f>IF(DatiOriginali!G2142 &gt;= SogliaPicchi!$B$23,"",DatiOriginali!G2142)</f>
        <v>418700</v>
      </c>
      <c r="H2142" s="4">
        <v>12234753</v>
      </c>
      <c r="I2142" s="4">
        <f>IF(DatiOriginali!I2142 &gt;= SogliaPicchi!$B$23,"",DatiOriginali!I2142)</f>
        <v>145700</v>
      </c>
      <c r="J2142" s="4">
        <v>12203721</v>
      </c>
      <c r="K2142" s="4">
        <f>IF(DatiOriginali!K2142 &gt;= SogliaPicchi!$B$23,"",DatiOriginali!K2142)</f>
        <v>155900</v>
      </c>
    </row>
    <row r="2143" spans="1:11" x14ac:dyDescent="0.3">
      <c r="A2143" s="4" t="s">
        <v>2152</v>
      </c>
      <c r="B2143" s="4">
        <v>604450</v>
      </c>
      <c r="C2143" s="4">
        <f>IF(DatiOriginali!C2143 &gt;= SogliaPicchi!$B$23,"",DatiOriginali!C2143)</f>
        <v>5553700</v>
      </c>
      <c r="D2143" s="4">
        <v>292769</v>
      </c>
      <c r="E2143" s="4">
        <f>IF(DatiOriginali!E2143 &gt;= SogliaPicchi!$B$23,"",DatiOriginali!E2143)</f>
        <v>1020700</v>
      </c>
      <c r="F2143" s="4">
        <v>9769690</v>
      </c>
      <c r="G2143" s="4">
        <f>IF(DatiOriginali!G2143 &gt;= SogliaPicchi!$B$23,"",DatiOriginali!G2143)</f>
        <v>413500</v>
      </c>
      <c r="H2143" s="4">
        <v>12248281</v>
      </c>
      <c r="I2143" s="4">
        <f>IF(DatiOriginali!I2143 &gt;= SogliaPicchi!$B$23,"",DatiOriginali!I2143)</f>
        <v>146100</v>
      </c>
      <c r="J2143" s="4">
        <v>12215950</v>
      </c>
      <c r="K2143" s="4">
        <f>IF(DatiOriginali!K2143 &gt;= SogliaPicchi!$B$23,"",DatiOriginali!K2143)</f>
        <v>160400</v>
      </c>
    </row>
    <row r="2144" spans="1:11" x14ac:dyDescent="0.3">
      <c r="A2144" s="4" t="s">
        <v>2153</v>
      </c>
      <c r="B2144" s="4">
        <v>604450</v>
      </c>
      <c r="C2144" s="4">
        <f>IF(DatiOriginali!C2144 &gt;= SogliaPicchi!$B$23,"",DatiOriginali!C2144)</f>
        <v>5571100</v>
      </c>
      <c r="D2144" s="4">
        <v>298898</v>
      </c>
      <c r="E2144" s="4">
        <f>IF(DatiOriginali!E2144 &gt;= SogliaPicchi!$B$23,"",DatiOriginali!E2144)</f>
        <v>1034000</v>
      </c>
      <c r="F2144" s="4">
        <v>9779362</v>
      </c>
      <c r="G2144" s="4">
        <f>IF(DatiOriginali!G2144 &gt;= SogliaPicchi!$B$23,"",DatiOriginali!G2144)</f>
        <v>591700</v>
      </c>
      <c r="H2144" s="4">
        <v>12259984</v>
      </c>
      <c r="I2144" s="4">
        <f>IF(DatiOriginali!I2144 &gt;= SogliaPicchi!$B$23,"",DatiOriginali!I2144)</f>
        <v>142600</v>
      </c>
      <c r="J2144" s="4">
        <v>12228047</v>
      </c>
      <c r="K2144" s="4">
        <f>IF(DatiOriginali!K2144 &gt;= SogliaPicchi!$B$23,"",DatiOriginali!K2144)</f>
        <v>155600</v>
      </c>
    </row>
    <row r="2145" spans="1:11" x14ac:dyDescent="0.3">
      <c r="A2145" s="4" t="s">
        <v>2154</v>
      </c>
      <c r="B2145" s="4">
        <v>604450</v>
      </c>
      <c r="C2145" s="4">
        <f>IF(DatiOriginali!C2145 &gt;= SogliaPicchi!$B$23,"",DatiOriginali!C2145)</f>
        <v>5525700</v>
      </c>
      <c r="D2145" s="4">
        <v>301680</v>
      </c>
      <c r="E2145" s="4">
        <f>IF(DatiOriginali!E2145 &gt;= SogliaPicchi!$B$23,"",DatiOriginali!E2145)</f>
        <v>1190800</v>
      </c>
      <c r="F2145" s="4">
        <v>9789119</v>
      </c>
      <c r="G2145" s="4">
        <f>IF(DatiOriginali!G2145 &gt;= SogliaPicchi!$B$23,"",DatiOriginali!G2145)</f>
        <v>574700</v>
      </c>
      <c r="H2145" s="4">
        <v>12272631</v>
      </c>
      <c r="I2145" s="4">
        <f>IF(DatiOriginali!I2145 &gt;= SogliaPicchi!$B$23,"",DatiOriginali!I2145)</f>
        <v>172500</v>
      </c>
      <c r="J2145" s="4">
        <v>12241370</v>
      </c>
      <c r="K2145" s="4">
        <f>IF(DatiOriginali!K2145 &gt;= SogliaPicchi!$B$23,"",DatiOriginali!K2145)</f>
        <v>195400</v>
      </c>
    </row>
    <row r="2146" spans="1:11" x14ac:dyDescent="0.3">
      <c r="A2146" s="4" t="s">
        <v>2155</v>
      </c>
      <c r="B2146" s="4">
        <v>604450</v>
      </c>
      <c r="C2146" s="4">
        <f>IF(DatiOriginali!C2146 &gt;= SogliaPicchi!$B$23,"",DatiOriginali!C2146)</f>
        <v>5616100</v>
      </c>
      <c r="D2146" s="4">
        <v>307356</v>
      </c>
      <c r="E2146" s="4">
        <f>IF(DatiOriginali!E2146 &gt;= SogliaPicchi!$B$23,"",DatiOriginali!E2146)</f>
        <v>1308900</v>
      </c>
      <c r="F2146" s="4">
        <v>9798887</v>
      </c>
      <c r="G2146" s="4">
        <f>IF(DatiOriginali!G2146 &gt;= SogliaPicchi!$B$23,"",DatiOriginali!G2146)</f>
        <v>466300</v>
      </c>
      <c r="H2146" s="4">
        <v>12283868</v>
      </c>
      <c r="I2146" s="4">
        <f>IF(DatiOriginali!I2146 &gt;= SogliaPicchi!$B$23,"",DatiOriginali!I2146)</f>
        <v>141900</v>
      </c>
      <c r="J2146" s="4">
        <v>12253359</v>
      </c>
      <c r="K2146" s="4">
        <f>IF(DatiOriginali!K2146 &gt;= SogliaPicchi!$B$23,"",DatiOriginali!K2146)</f>
        <v>156200</v>
      </c>
    </row>
    <row r="2147" spans="1:11" x14ac:dyDescent="0.3">
      <c r="A2147" s="4" t="s">
        <v>2156</v>
      </c>
      <c r="B2147" s="4">
        <v>604450</v>
      </c>
      <c r="C2147" s="4">
        <f>IF(DatiOriginali!C2147 &gt;= SogliaPicchi!$B$23,"",DatiOriginali!C2147)</f>
        <v>5490800</v>
      </c>
      <c r="D2147" s="4">
        <v>298654</v>
      </c>
      <c r="E2147" s="4">
        <f>IF(DatiOriginali!E2147 &gt;= SogliaPicchi!$B$23,"",DatiOriginali!E2147)</f>
        <v>1071900</v>
      </c>
      <c r="F2147" s="4">
        <v>9808631</v>
      </c>
      <c r="G2147" s="4">
        <f>IF(DatiOriginali!G2147 &gt;= SogliaPicchi!$B$23,"",DatiOriginali!G2147)</f>
        <v>414200</v>
      </c>
      <c r="H2147" s="4">
        <v>12296325</v>
      </c>
      <c r="I2147" s="4">
        <f>IF(DatiOriginali!I2147 &gt;= SogliaPicchi!$B$23,"",DatiOriginali!I2147)</f>
        <v>141300</v>
      </c>
      <c r="J2147" s="4">
        <v>12266374</v>
      </c>
      <c r="K2147" s="4">
        <f>IF(DatiOriginali!K2147 &gt;= SogliaPicchi!$B$23,"",DatiOriginali!K2147)</f>
        <v>162100</v>
      </c>
    </row>
    <row r="2148" spans="1:11" x14ac:dyDescent="0.3">
      <c r="A2148" s="4" t="s">
        <v>2157</v>
      </c>
      <c r="B2148" s="4">
        <v>604450</v>
      </c>
      <c r="C2148" s="4">
        <f>IF(DatiOriginali!C2148 &gt;= SogliaPicchi!$B$23,"",DatiOriginali!C2148)</f>
        <v>5449200</v>
      </c>
      <c r="D2148" s="4">
        <v>302078</v>
      </c>
      <c r="E2148" s="4">
        <f>IF(DatiOriginali!E2148 &gt;= SogliaPicchi!$B$23,"",DatiOriginali!E2148)</f>
        <v>1082300</v>
      </c>
      <c r="F2148" s="4">
        <v>9818374</v>
      </c>
      <c r="G2148" s="4">
        <f>IF(DatiOriginali!G2148 &gt;= SogliaPicchi!$B$23,"",DatiOriginali!G2148)</f>
        <v>414100</v>
      </c>
      <c r="H2148" s="4">
        <v>12309343</v>
      </c>
      <c r="I2148" s="4">
        <f>IF(DatiOriginali!I2148 &gt;= SogliaPicchi!$B$23,"",DatiOriginali!I2148)</f>
        <v>142900</v>
      </c>
      <c r="J2148" s="4">
        <v>12277834</v>
      </c>
      <c r="K2148" s="4">
        <f>IF(DatiOriginali!K2148 &gt;= SogliaPicchi!$B$23,"",DatiOriginali!K2148)</f>
        <v>158600</v>
      </c>
    </row>
    <row r="2149" spans="1:11" x14ac:dyDescent="0.3">
      <c r="A2149" s="4" t="s">
        <v>2158</v>
      </c>
      <c r="B2149" s="4">
        <v>604450</v>
      </c>
      <c r="C2149" s="4">
        <f>IF(DatiOriginali!C2149 &gt;= SogliaPicchi!$B$23,"",DatiOriginali!C2149)</f>
        <v>5106600</v>
      </c>
      <c r="D2149" s="4">
        <v>297662</v>
      </c>
      <c r="E2149" s="4">
        <f>IF(DatiOriginali!E2149 &gt;= SogliaPicchi!$B$23,"",DatiOriginali!E2149)</f>
        <v>1047200</v>
      </c>
      <c r="F2149" s="4">
        <v>9828108</v>
      </c>
      <c r="G2149" s="4">
        <f>IF(DatiOriginali!G2149 &gt;= SogliaPicchi!$B$23,"",DatiOriginali!G2149)</f>
        <v>423500</v>
      </c>
      <c r="H2149" s="4">
        <v>12321044</v>
      </c>
      <c r="I2149" s="4">
        <f>IF(DatiOriginali!I2149 &gt;= SogliaPicchi!$B$23,"",DatiOriginali!I2149)</f>
        <v>143100</v>
      </c>
      <c r="J2149" s="4">
        <v>12293094</v>
      </c>
      <c r="K2149" s="4">
        <f>IF(DatiOriginali!K2149 &gt;= SogliaPicchi!$B$23,"",DatiOriginali!K2149)</f>
        <v>158300</v>
      </c>
    </row>
    <row r="2150" spans="1:11" x14ac:dyDescent="0.3">
      <c r="A2150" s="4" t="s">
        <v>2159</v>
      </c>
      <c r="B2150" s="4">
        <v>604450</v>
      </c>
      <c r="C2150" s="4">
        <f>IF(DatiOriginali!C2150 &gt;= SogliaPicchi!$B$23,"",DatiOriginali!C2150)</f>
        <v>5245600</v>
      </c>
      <c r="D2150" s="4">
        <v>304938</v>
      </c>
      <c r="E2150" s="4">
        <f>IF(DatiOriginali!E2150 &gt;= SogliaPicchi!$B$23,"",DatiOriginali!E2150)</f>
        <v>1075600</v>
      </c>
      <c r="F2150" s="4">
        <v>9837831</v>
      </c>
      <c r="G2150" s="4">
        <f>IF(DatiOriginali!G2150 &gt;= SogliaPicchi!$B$23,"",DatiOriginali!G2150)</f>
        <v>419800</v>
      </c>
      <c r="H2150" s="4">
        <v>12332452</v>
      </c>
      <c r="I2150" s="4">
        <f>IF(DatiOriginali!I2150 &gt;= SogliaPicchi!$B$23,"",DatiOriginali!I2150)</f>
        <v>143300</v>
      </c>
      <c r="J2150" s="4">
        <v>12304654</v>
      </c>
      <c r="K2150" s="4">
        <f>IF(DatiOriginali!K2150 &gt;= SogliaPicchi!$B$23,"",DatiOriginali!K2150)</f>
        <v>152900</v>
      </c>
    </row>
    <row r="2151" spans="1:11" x14ac:dyDescent="0.3">
      <c r="A2151" s="4" t="s">
        <v>2160</v>
      </c>
      <c r="B2151" s="4">
        <v>604450</v>
      </c>
      <c r="C2151" s="4">
        <f>IF(DatiOriginali!C2151 &gt;= SogliaPicchi!$B$23,"",DatiOriginali!C2151)</f>
        <v>5180200</v>
      </c>
      <c r="D2151" s="4">
        <v>299982</v>
      </c>
      <c r="E2151" s="4">
        <f>IF(DatiOriginali!E2151 &gt;= SogliaPicchi!$B$23,"",DatiOriginali!E2151)</f>
        <v>1058900</v>
      </c>
      <c r="F2151" s="4">
        <v>9847540</v>
      </c>
      <c r="G2151" s="4">
        <f>IF(DatiOriginali!G2151 &gt;= SogliaPicchi!$B$23,"",DatiOriginali!G2151)</f>
        <v>426300</v>
      </c>
      <c r="H2151" s="4">
        <v>12343682</v>
      </c>
      <c r="I2151" s="4">
        <f>IF(DatiOriginali!I2151 &gt;= SogliaPicchi!$B$23,"",DatiOriginali!I2151)</f>
        <v>140600</v>
      </c>
      <c r="J2151" s="4">
        <v>12316001</v>
      </c>
      <c r="K2151" s="4">
        <f>IF(DatiOriginali!K2151 &gt;= SogliaPicchi!$B$23,"",DatiOriginali!K2151)</f>
        <v>153800</v>
      </c>
    </row>
    <row r="2152" spans="1:11" x14ac:dyDescent="0.3">
      <c r="A2152" s="4" t="s">
        <v>2161</v>
      </c>
      <c r="B2152" s="4">
        <v>604450</v>
      </c>
      <c r="C2152" s="4">
        <f>IF(DatiOriginali!C2152 &gt;= SogliaPicchi!$B$23,"",DatiOriginali!C2152)</f>
        <v>5355900</v>
      </c>
      <c r="D2152" s="4">
        <v>307426</v>
      </c>
      <c r="E2152" s="4">
        <f>IF(DatiOriginali!E2152 &gt;= SogliaPicchi!$B$23,"",DatiOriginali!E2152)</f>
        <v>1072800</v>
      </c>
      <c r="F2152" s="4">
        <v>9857302</v>
      </c>
      <c r="G2152" s="4">
        <f>IF(DatiOriginali!G2152 &gt;= SogliaPicchi!$B$23,"",DatiOriginali!G2152)</f>
        <v>415100</v>
      </c>
      <c r="H2152" s="4">
        <v>12356101</v>
      </c>
      <c r="I2152" s="4">
        <f>IF(DatiOriginali!I2152 &gt;= SogliaPicchi!$B$23,"",DatiOriginali!I2152)</f>
        <v>139100</v>
      </c>
      <c r="J2152" s="4">
        <v>12327830</v>
      </c>
      <c r="K2152" s="4">
        <f>IF(DatiOriginali!K2152 &gt;= SogliaPicchi!$B$23,"",DatiOriginali!K2152)</f>
        <v>157900</v>
      </c>
    </row>
    <row r="2153" spans="1:11" x14ac:dyDescent="0.3">
      <c r="A2153" s="4" t="s">
        <v>2162</v>
      </c>
      <c r="B2153" s="4">
        <v>604450</v>
      </c>
      <c r="C2153" s="4">
        <f>IF(DatiOriginali!C2153 &gt;= SogliaPicchi!$B$23,"",DatiOriginali!C2153)</f>
        <v>5080600</v>
      </c>
      <c r="D2153" s="4">
        <v>304035</v>
      </c>
      <c r="E2153" s="4">
        <f>IF(DatiOriginali!E2153 &gt;= SogliaPicchi!$B$23,"",DatiOriginali!E2153)</f>
        <v>1058900</v>
      </c>
      <c r="F2153" s="4">
        <v>9867066</v>
      </c>
      <c r="G2153" s="4">
        <f>IF(DatiOriginali!G2153 &gt;= SogliaPicchi!$B$23,"",DatiOriginali!G2153)</f>
        <v>412100</v>
      </c>
      <c r="H2153" s="4">
        <v>12368046</v>
      </c>
      <c r="I2153" s="4">
        <f>IF(DatiOriginali!I2153 &gt;= SogliaPicchi!$B$23,"",DatiOriginali!I2153)</f>
        <v>143100</v>
      </c>
      <c r="J2153" s="4">
        <v>12339693</v>
      </c>
      <c r="K2153" s="4">
        <f>IF(DatiOriginali!K2153 &gt;= SogliaPicchi!$B$23,"",DatiOriginali!K2153)</f>
        <v>151500</v>
      </c>
    </row>
    <row r="2154" spans="1:11" x14ac:dyDescent="0.3">
      <c r="A2154" s="4" t="s">
        <v>2163</v>
      </c>
      <c r="B2154" s="4">
        <v>604450</v>
      </c>
      <c r="C2154" s="4">
        <f>IF(DatiOriginali!C2154 &gt;= SogliaPicchi!$B$23,"",DatiOriginali!C2154)</f>
        <v>5295400</v>
      </c>
      <c r="D2154" s="4">
        <v>300975</v>
      </c>
      <c r="E2154" s="4">
        <f>IF(DatiOriginali!E2154 &gt;= SogliaPicchi!$B$23,"",DatiOriginali!E2154)</f>
        <v>1039400</v>
      </c>
      <c r="F2154" s="4">
        <v>9876778</v>
      </c>
      <c r="G2154" s="4">
        <f>IF(DatiOriginali!G2154 &gt;= SogliaPicchi!$B$23,"",DatiOriginali!G2154)</f>
        <v>415200</v>
      </c>
      <c r="H2154" s="4">
        <v>12380304</v>
      </c>
      <c r="I2154" s="4">
        <f>IF(DatiOriginali!I2154 &gt;= SogliaPicchi!$B$23,"",DatiOriginali!I2154)</f>
        <v>145700</v>
      </c>
      <c r="J2154" s="4">
        <v>12352565</v>
      </c>
      <c r="K2154" s="4">
        <f>IF(DatiOriginali!K2154 &gt;= SogliaPicchi!$B$23,"",DatiOriginali!K2154)</f>
        <v>154200</v>
      </c>
    </row>
    <row r="2155" spans="1:11" x14ac:dyDescent="0.3">
      <c r="A2155" s="4" t="s">
        <v>2164</v>
      </c>
      <c r="B2155" s="4">
        <v>604450</v>
      </c>
      <c r="C2155" s="4">
        <f>IF(DatiOriginali!C2155 &gt;= SogliaPicchi!$B$23,"",DatiOriginali!C2155)</f>
        <v>5802400</v>
      </c>
      <c r="D2155" s="4">
        <v>298049</v>
      </c>
      <c r="E2155" s="4">
        <f>IF(DatiOriginali!E2155 &gt;= SogliaPicchi!$B$23,"",DatiOriginali!E2155)</f>
        <v>1034300</v>
      </c>
      <c r="F2155" s="4">
        <v>9886542</v>
      </c>
      <c r="G2155" s="4">
        <f>IF(DatiOriginali!G2155 &gt;= SogliaPicchi!$B$23,"",DatiOriginali!G2155)</f>
        <v>410200</v>
      </c>
      <c r="H2155" s="4">
        <v>12391979</v>
      </c>
      <c r="I2155" s="4">
        <f>IF(DatiOriginali!I2155 &gt;= SogliaPicchi!$B$23,"",DatiOriginali!I2155)</f>
        <v>164100</v>
      </c>
      <c r="J2155" s="4">
        <v>12366274</v>
      </c>
      <c r="K2155" s="4">
        <f>IF(DatiOriginali!K2155 &gt;= SogliaPicchi!$B$23,"",DatiOriginali!K2155)</f>
        <v>159200</v>
      </c>
    </row>
    <row r="2156" spans="1:11" x14ac:dyDescent="0.3">
      <c r="A2156" s="4" t="s">
        <v>2165</v>
      </c>
      <c r="B2156" s="4">
        <v>604450</v>
      </c>
      <c r="C2156" s="4">
        <f>IF(DatiOriginali!C2156 &gt;= SogliaPicchi!$B$23,"",DatiOriginali!C2156)</f>
        <v>5150500</v>
      </c>
      <c r="D2156" s="4">
        <v>305397</v>
      </c>
      <c r="E2156" s="4">
        <f>IF(DatiOriginali!E2156 &gt;= SogliaPicchi!$B$23,"",DatiOriginali!E2156)</f>
        <v>1113300</v>
      </c>
      <c r="F2156" s="4">
        <v>9896302</v>
      </c>
      <c r="G2156" s="4">
        <f>IF(DatiOriginali!G2156 &gt;= SogliaPicchi!$B$23,"",DatiOriginali!G2156)</f>
        <v>421100</v>
      </c>
      <c r="H2156" s="4">
        <v>12403690</v>
      </c>
      <c r="I2156" s="4">
        <f>IF(DatiOriginali!I2156 &gt;= SogliaPicchi!$B$23,"",DatiOriginali!I2156)</f>
        <v>144000</v>
      </c>
      <c r="J2156" s="4">
        <v>12378360</v>
      </c>
      <c r="K2156" s="4">
        <f>IF(DatiOriginali!K2156 &gt;= SogliaPicchi!$B$23,"",DatiOriginali!K2156)</f>
        <v>154700</v>
      </c>
    </row>
    <row r="2157" spans="1:11" x14ac:dyDescent="0.3">
      <c r="A2157" s="4" t="s">
        <v>2166</v>
      </c>
      <c r="B2157" s="4">
        <v>604450</v>
      </c>
      <c r="C2157" s="4">
        <f>IF(DatiOriginali!C2157 &gt;= SogliaPicchi!$B$23,"",DatiOriginali!C2157)</f>
        <v>5415100</v>
      </c>
      <c r="D2157" s="4">
        <v>303734</v>
      </c>
      <c r="E2157" s="4">
        <f>IF(DatiOriginali!E2157 &gt;= SogliaPicchi!$B$23,"",DatiOriginali!E2157)</f>
        <v>1058800</v>
      </c>
      <c r="F2157" s="4">
        <v>9906034</v>
      </c>
      <c r="G2157" s="4">
        <f>IF(DatiOriginali!G2157 &gt;= SogliaPicchi!$B$23,"",DatiOriginali!G2157)</f>
        <v>411900</v>
      </c>
      <c r="H2157" s="4">
        <v>12415081</v>
      </c>
      <c r="I2157" s="4">
        <f>IF(DatiOriginali!I2157 &gt;= SogliaPicchi!$B$23,"",DatiOriginali!I2157)</f>
        <v>142300</v>
      </c>
      <c r="J2157" s="4">
        <v>12390924</v>
      </c>
      <c r="K2157" s="4">
        <f>IF(DatiOriginali!K2157 &gt;= SogliaPicchi!$B$23,"",DatiOriginali!K2157)</f>
        <v>161000</v>
      </c>
    </row>
    <row r="2158" spans="1:11" x14ac:dyDescent="0.3">
      <c r="A2158" s="4" t="s">
        <v>2167</v>
      </c>
      <c r="B2158" s="4">
        <v>604450</v>
      </c>
      <c r="C2158" s="4">
        <f>IF(DatiOriginali!C2158 &gt;= SogliaPicchi!$B$23,"",DatiOriginali!C2158)</f>
        <v>4938100</v>
      </c>
      <c r="D2158" s="4">
        <v>307435</v>
      </c>
      <c r="E2158" s="4">
        <f>IF(DatiOriginali!E2158 &gt;= SogliaPicchi!$B$23,"",DatiOriginali!E2158)</f>
        <v>1086600</v>
      </c>
      <c r="F2158" s="4">
        <v>9915795</v>
      </c>
      <c r="G2158" s="4">
        <f>IF(DatiOriginali!G2158 &gt;= SogliaPicchi!$B$23,"",DatiOriginali!G2158)</f>
        <v>409900</v>
      </c>
      <c r="H2158" s="4">
        <v>12427614</v>
      </c>
      <c r="I2158" s="4">
        <f>IF(DatiOriginali!I2158 &gt;= SogliaPicchi!$B$23,"",DatiOriginali!I2158)</f>
        <v>140400</v>
      </c>
      <c r="J2158" s="4">
        <v>12402679</v>
      </c>
      <c r="K2158" s="4">
        <f>IF(DatiOriginali!K2158 &gt;= SogliaPicchi!$B$23,"",DatiOriginali!K2158)</f>
        <v>154800</v>
      </c>
    </row>
    <row r="2159" spans="1:11" x14ac:dyDescent="0.3">
      <c r="A2159" s="4" t="s">
        <v>2168</v>
      </c>
      <c r="B2159" s="4">
        <v>604450</v>
      </c>
      <c r="C2159" s="4">
        <f>IF(DatiOriginali!C2159 &gt;= SogliaPicchi!$B$23,"",DatiOriginali!C2159)</f>
        <v>5103500</v>
      </c>
      <c r="D2159" s="4">
        <v>301491</v>
      </c>
      <c r="E2159" s="4">
        <f>IF(DatiOriginali!E2159 &gt;= SogliaPicchi!$B$23,"",DatiOriginali!E2159)</f>
        <v>1042600</v>
      </c>
      <c r="F2159" s="4">
        <v>9925552</v>
      </c>
      <c r="G2159" s="4">
        <f>IF(DatiOriginali!G2159 &gt;= SogliaPicchi!$B$23,"",DatiOriginali!G2159)</f>
        <v>415000</v>
      </c>
      <c r="H2159" s="4">
        <v>12439706</v>
      </c>
      <c r="I2159" s="4">
        <f>IF(DatiOriginali!I2159 &gt;= SogliaPicchi!$B$23,"",DatiOriginali!I2159)</f>
        <v>142200</v>
      </c>
      <c r="J2159" s="4">
        <v>12415165</v>
      </c>
      <c r="K2159" s="4">
        <f>IF(DatiOriginali!K2159 &gt;= SogliaPicchi!$B$23,"",DatiOriginali!K2159)</f>
        <v>160700</v>
      </c>
    </row>
    <row r="2160" spans="1:11" x14ac:dyDescent="0.3">
      <c r="A2160" s="4" t="s">
        <v>2169</v>
      </c>
      <c r="B2160" s="4">
        <v>604450</v>
      </c>
      <c r="C2160" s="4">
        <f>IF(DatiOriginali!C2160 &gt;= SogliaPicchi!$B$23,"",DatiOriginali!C2160)</f>
        <v>5363000</v>
      </c>
      <c r="D2160" s="4">
        <v>306733</v>
      </c>
      <c r="E2160" s="4">
        <f>IF(DatiOriginali!E2160 &gt;= SogliaPicchi!$B$23,"",DatiOriginali!E2160)</f>
        <v>1059100</v>
      </c>
      <c r="F2160" s="4">
        <v>9935310</v>
      </c>
      <c r="G2160" s="4">
        <f>IF(DatiOriginali!G2160 &gt;= SogliaPicchi!$B$23,"",DatiOriginali!G2160)</f>
        <v>418100</v>
      </c>
      <c r="H2160" s="4">
        <v>12451878</v>
      </c>
      <c r="I2160" s="4">
        <f>IF(DatiOriginali!I2160 &gt;= SogliaPicchi!$B$23,"",DatiOriginali!I2160)</f>
        <v>145000</v>
      </c>
      <c r="J2160" s="4">
        <v>12427437</v>
      </c>
      <c r="K2160" s="4">
        <f>IF(DatiOriginali!K2160 &gt;= SogliaPicchi!$B$23,"",DatiOriginali!K2160)</f>
        <v>155800</v>
      </c>
    </row>
    <row r="2161" spans="1:11" x14ac:dyDescent="0.3">
      <c r="A2161" s="4" t="s">
        <v>2170</v>
      </c>
      <c r="B2161" s="4">
        <v>604450</v>
      </c>
      <c r="C2161" s="4">
        <f>IF(DatiOriginali!C2161 &gt;= SogliaPicchi!$B$23,"",DatiOriginali!C2161)</f>
        <v>5265100</v>
      </c>
      <c r="D2161" s="4">
        <v>295293</v>
      </c>
      <c r="E2161" s="4">
        <f>IF(DatiOriginali!E2161 &gt;= SogliaPicchi!$B$23,"",DatiOriginali!E2161)</f>
        <v>1017500</v>
      </c>
      <c r="F2161" s="4">
        <v>9945047</v>
      </c>
      <c r="G2161" s="4">
        <f>IF(DatiOriginali!G2161 &gt;= SogliaPicchi!$B$23,"",DatiOriginali!G2161)</f>
        <v>421700</v>
      </c>
      <c r="H2161" s="4">
        <v>12463312</v>
      </c>
      <c r="I2161" s="4">
        <f>IF(DatiOriginali!I2161 &gt;= SogliaPicchi!$B$23,"",DatiOriginali!I2161)</f>
        <v>142700</v>
      </c>
      <c r="J2161" s="4">
        <v>12440304</v>
      </c>
      <c r="K2161" s="4">
        <f>IF(DatiOriginali!K2161 &gt;= SogliaPicchi!$B$23,"",DatiOriginali!K2161)</f>
        <v>150900</v>
      </c>
    </row>
    <row r="2162" spans="1:11" x14ac:dyDescent="0.3">
      <c r="A2162" s="4" t="s">
        <v>2171</v>
      </c>
      <c r="B2162" s="4">
        <v>604450</v>
      </c>
      <c r="C2162" s="4">
        <f>IF(DatiOriginali!C2162 &gt;= SogliaPicchi!$B$23,"",DatiOriginali!C2162)</f>
        <v>4967400</v>
      </c>
      <c r="D2162" s="4">
        <v>293218</v>
      </c>
      <c r="E2162" s="4">
        <f>IF(DatiOriginali!E2162 &gt;= SogliaPicchi!$B$23,"",DatiOriginali!E2162)</f>
        <v>1014600</v>
      </c>
      <c r="F2162" s="4">
        <v>9954795</v>
      </c>
      <c r="G2162" s="4">
        <f>IF(DatiOriginali!G2162 &gt;= SogliaPicchi!$B$23,"",DatiOriginali!G2162)</f>
        <v>421400</v>
      </c>
      <c r="H2162" s="4">
        <v>12474614</v>
      </c>
      <c r="I2162" s="4">
        <f>IF(DatiOriginali!I2162 &gt;= SogliaPicchi!$B$23,"",DatiOriginali!I2162)</f>
        <v>142100</v>
      </c>
      <c r="J2162" s="4">
        <v>12452834</v>
      </c>
      <c r="K2162" s="4">
        <f>IF(DatiOriginali!K2162 &gt;= SogliaPicchi!$B$23,"",DatiOriginali!K2162)</f>
        <v>158000</v>
      </c>
    </row>
    <row r="2163" spans="1:11" x14ac:dyDescent="0.3">
      <c r="A2163" s="4" t="s">
        <v>2172</v>
      </c>
      <c r="B2163" s="4">
        <v>604450</v>
      </c>
      <c r="C2163" s="4">
        <f>IF(DatiOriginali!C2163 &gt;= SogliaPicchi!$B$23,"",DatiOriginali!C2163)</f>
        <v>5106800</v>
      </c>
      <c r="D2163" s="4">
        <v>292466</v>
      </c>
      <c r="E2163" s="4">
        <f>IF(DatiOriginali!E2163 &gt;= SogliaPicchi!$B$23,"",DatiOriginali!E2163)</f>
        <v>1006500</v>
      </c>
      <c r="F2163" s="4">
        <v>9964551</v>
      </c>
      <c r="G2163" s="4">
        <f>IF(DatiOriginali!G2163 &gt;= SogliaPicchi!$B$23,"",DatiOriginali!G2163)</f>
        <v>420200</v>
      </c>
      <c r="H2163" s="4">
        <v>12486048</v>
      </c>
      <c r="I2163" s="4">
        <f>IF(DatiOriginali!I2163 &gt;= SogliaPicchi!$B$23,"",DatiOriginali!I2163)</f>
        <v>138900</v>
      </c>
      <c r="J2163" s="4">
        <v>12465971</v>
      </c>
      <c r="K2163" s="4">
        <f>IF(DatiOriginali!K2163 &gt;= SogliaPicchi!$B$23,"",DatiOriginali!K2163)</f>
        <v>156600</v>
      </c>
    </row>
    <row r="2164" spans="1:11" x14ac:dyDescent="0.3">
      <c r="A2164" s="4" t="s">
        <v>2173</v>
      </c>
      <c r="B2164" s="4">
        <v>604450</v>
      </c>
      <c r="C2164" s="4">
        <f>IF(DatiOriginali!C2164 &gt;= SogliaPicchi!$B$23,"",DatiOriginali!C2164)</f>
        <v>5271500</v>
      </c>
      <c r="D2164" s="4">
        <v>292864</v>
      </c>
      <c r="E2164" s="4">
        <f>IF(DatiOriginali!E2164 &gt;= SogliaPicchi!$B$23,"",DatiOriginali!E2164)</f>
        <v>1010400</v>
      </c>
      <c r="F2164" s="4">
        <v>9974286</v>
      </c>
      <c r="G2164" s="4">
        <f>IF(DatiOriginali!G2164 &gt;= SogliaPicchi!$B$23,"",DatiOriginali!G2164)</f>
        <v>421900</v>
      </c>
      <c r="H2164" s="4">
        <v>12498218</v>
      </c>
      <c r="I2164" s="4">
        <f>IF(DatiOriginali!I2164 &gt;= SogliaPicchi!$B$23,"",DatiOriginali!I2164)</f>
        <v>140400</v>
      </c>
      <c r="J2164" s="4">
        <v>12477779</v>
      </c>
      <c r="K2164" s="4">
        <f>IF(DatiOriginali!K2164 &gt;= SogliaPicchi!$B$23,"",DatiOriginali!K2164)</f>
        <v>155000</v>
      </c>
    </row>
    <row r="2165" spans="1:11" x14ac:dyDescent="0.3">
      <c r="A2165" s="4" t="s">
        <v>2174</v>
      </c>
      <c r="B2165" s="4">
        <v>604450</v>
      </c>
      <c r="C2165" s="4">
        <f>IF(DatiOriginali!C2165 &gt;= SogliaPicchi!$B$23,"",DatiOriginali!C2165)</f>
        <v>4935700</v>
      </c>
      <c r="D2165" s="4">
        <v>311781</v>
      </c>
      <c r="E2165" s="4">
        <f>IF(DatiOriginali!E2165 &gt;= SogliaPicchi!$B$23,"",DatiOriginali!E2165)</f>
        <v>1077300</v>
      </c>
      <c r="F2165" s="4">
        <v>9984025</v>
      </c>
      <c r="G2165" s="4">
        <f>IF(DatiOriginali!G2165 &gt;= SogliaPicchi!$B$23,"",DatiOriginali!G2165)</f>
        <v>416000</v>
      </c>
      <c r="H2165" s="4">
        <v>12510772</v>
      </c>
      <c r="I2165" s="4">
        <f>IF(DatiOriginali!I2165 &gt;= SogliaPicchi!$B$23,"",DatiOriginali!I2165)</f>
        <v>142000</v>
      </c>
      <c r="J2165" s="4">
        <v>12490352</v>
      </c>
      <c r="K2165" s="4">
        <f>IF(DatiOriginali!K2165 &gt;= SogliaPicchi!$B$23,"",DatiOriginali!K2165)</f>
        <v>157400</v>
      </c>
    </row>
    <row r="2166" spans="1:11" x14ac:dyDescent="0.3">
      <c r="A2166" s="4" t="s">
        <v>2175</v>
      </c>
      <c r="B2166" s="4">
        <v>604450</v>
      </c>
      <c r="C2166" s="4">
        <f>IF(DatiOriginali!C2166 &gt;= SogliaPicchi!$B$23,"",DatiOriginali!C2166)</f>
        <v>5163600</v>
      </c>
      <c r="D2166" s="4">
        <v>302274</v>
      </c>
      <c r="E2166" s="4">
        <f>IF(DatiOriginali!E2166 &gt;= SogliaPicchi!$B$23,"",DatiOriginali!E2166)</f>
        <v>1048000</v>
      </c>
      <c r="F2166" s="4">
        <v>9993757</v>
      </c>
      <c r="G2166" s="4">
        <f>IF(DatiOriginali!G2166 &gt;= SogliaPicchi!$B$23,"",DatiOriginali!G2166)</f>
        <v>422200</v>
      </c>
      <c r="H2166" s="4">
        <v>12521953</v>
      </c>
      <c r="I2166" s="4">
        <f>IF(DatiOriginali!I2166 &gt;= SogliaPicchi!$B$23,"",DatiOriginali!I2166)</f>
        <v>140700</v>
      </c>
      <c r="J2166" s="4">
        <v>12502369</v>
      </c>
      <c r="K2166" s="4">
        <f>IF(DatiOriginali!K2166 &gt;= SogliaPicchi!$B$23,"",DatiOriginali!K2166)</f>
        <v>158200</v>
      </c>
    </row>
    <row r="2167" spans="1:11" x14ac:dyDescent="0.3">
      <c r="A2167" s="4" t="s">
        <v>2176</v>
      </c>
      <c r="B2167" s="4">
        <v>604450</v>
      </c>
      <c r="C2167" s="4">
        <f>IF(DatiOriginali!C2167 &gt;= SogliaPicchi!$B$23,"",DatiOriginali!C2167)</f>
        <v>5349400</v>
      </c>
      <c r="D2167" s="4">
        <v>302101</v>
      </c>
      <c r="E2167" s="4">
        <f>IF(DatiOriginali!E2167 &gt;= SogliaPicchi!$B$23,"",DatiOriginali!E2167)</f>
        <v>1071600</v>
      </c>
      <c r="F2167" s="4">
        <v>10003525</v>
      </c>
      <c r="G2167" s="4">
        <f>IF(DatiOriginali!G2167 &gt;= SogliaPicchi!$B$23,"",DatiOriginali!G2167)</f>
        <v>416600</v>
      </c>
      <c r="H2167" s="4">
        <v>12535412</v>
      </c>
      <c r="I2167" s="4">
        <f>IF(DatiOriginali!I2167 &gt;= SogliaPicchi!$B$23,"",DatiOriginali!I2167)</f>
        <v>231000</v>
      </c>
      <c r="J2167" s="4">
        <v>12514371</v>
      </c>
      <c r="K2167" s="4">
        <f>IF(DatiOriginali!K2167 &gt;= SogliaPicchi!$B$23,"",DatiOriginali!K2167)</f>
        <v>258000</v>
      </c>
    </row>
    <row r="2168" spans="1:11" x14ac:dyDescent="0.3">
      <c r="A2168" s="4" t="s">
        <v>2177</v>
      </c>
      <c r="B2168" s="4">
        <v>604450</v>
      </c>
      <c r="C2168" s="4">
        <f>IF(DatiOriginali!C2168 &gt;= SogliaPicchi!$B$23,"",DatiOriginali!C2168)</f>
        <v>5086800</v>
      </c>
      <c r="D2168" s="4">
        <v>309399</v>
      </c>
      <c r="E2168" s="4">
        <f>IF(DatiOriginali!E2168 &gt;= SogliaPicchi!$B$23,"",DatiOriginali!E2168)</f>
        <v>1073500</v>
      </c>
      <c r="F2168" s="4">
        <v>10013273</v>
      </c>
      <c r="G2168" s="4">
        <f>IF(DatiOriginali!G2168 &gt;= SogliaPicchi!$B$23,"",DatiOriginali!G2168)</f>
        <v>417800</v>
      </c>
      <c r="H2168" s="4">
        <v>12547949</v>
      </c>
      <c r="I2168" s="4">
        <f>IF(DatiOriginali!I2168 &gt;= SogliaPicchi!$B$23,"",DatiOriginali!I2168)</f>
        <v>149600</v>
      </c>
      <c r="J2168" s="4">
        <v>12526026</v>
      </c>
      <c r="K2168" s="4">
        <f>IF(DatiOriginali!K2168 &gt;= SogliaPicchi!$B$23,"",DatiOriginali!K2168)</f>
        <v>155500</v>
      </c>
    </row>
    <row r="2169" spans="1:11" x14ac:dyDescent="0.3">
      <c r="A2169" s="4" t="s">
        <v>2178</v>
      </c>
      <c r="B2169" s="4">
        <v>604450</v>
      </c>
      <c r="C2169" s="4">
        <f>IF(DatiOriginali!C2169 &gt;= SogliaPicchi!$B$23,"",DatiOriginali!C2169)</f>
        <v>5600300</v>
      </c>
      <c r="D2169" s="4">
        <v>297695</v>
      </c>
      <c r="E2169" s="4">
        <f>IF(DatiOriginali!E2169 &gt;= SogliaPicchi!$B$23,"",DatiOriginali!E2169)</f>
        <v>1033200</v>
      </c>
      <c r="F2169" s="4">
        <v>10023013</v>
      </c>
      <c r="G2169" s="4">
        <f>IF(DatiOriginali!G2169 &gt;= SogliaPicchi!$B$23,"",DatiOriginali!G2169)</f>
        <v>416300</v>
      </c>
      <c r="H2169" s="4">
        <v>12559748</v>
      </c>
      <c r="I2169" s="4">
        <f>IF(DatiOriginali!I2169 &gt;= SogliaPicchi!$B$23,"",DatiOriginali!I2169)</f>
        <v>142000</v>
      </c>
      <c r="J2169" s="4">
        <v>12538492</v>
      </c>
      <c r="K2169" s="4">
        <f>IF(DatiOriginali!K2169 &gt;= SogliaPicchi!$B$23,"",DatiOriginali!K2169)</f>
        <v>158400</v>
      </c>
    </row>
    <row r="2170" spans="1:11" x14ac:dyDescent="0.3">
      <c r="A2170" s="4" t="s">
        <v>2179</v>
      </c>
      <c r="B2170" s="4">
        <v>604450</v>
      </c>
      <c r="C2170" s="4">
        <f>IF(DatiOriginali!C2170 &gt;= SogliaPicchi!$B$23,"",DatiOriginali!C2170)</f>
        <v>5300600</v>
      </c>
      <c r="D2170" s="4">
        <v>303438</v>
      </c>
      <c r="E2170" s="4">
        <f>IF(DatiOriginali!E2170 &gt;= SogliaPicchi!$B$23,"",DatiOriginali!E2170)</f>
        <v>1063600</v>
      </c>
      <c r="F2170" s="4">
        <v>10032763</v>
      </c>
      <c r="G2170" s="4">
        <f>IF(DatiOriginali!G2170 &gt;= SogliaPicchi!$B$23,"",DatiOriginali!G2170)</f>
        <v>457000</v>
      </c>
      <c r="H2170" s="4">
        <v>12571304</v>
      </c>
      <c r="I2170" s="4">
        <f>IF(DatiOriginali!I2170 &gt;= SogliaPicchi!$B$23,"",DatiOriginali!I2170)</f>
        <v>140600</v>
      </c>
      <c r="J2170" s="4">
        <v>12552474</v>
      </c>
      <c r="K2170" s="4">
        <f>IF(DatiOriginali!K2170 &gt;= SogliaPicchi!$B$23,"",DatiOriginali!K2170)</f>
        <v>163700</v>
      </c>
    </row>
    <row r="2171" spans="1:11" x14ac:dyDescent="0.3">
      <c r="A2171" s="4" t="s">
        <v>2180</v>
      </c>
      <c r="B2171" s="4">
        <v>604450</v>
      </c>
      <c r="C2171" s="4">
        <f>IF(DatiOriginali!C2171 &gt;= SogliaPicchi!$B$23,"",DatiOriginali!C2171)</f>
        <v>5131400</v>
      </c>
      <c r="D2171" s="4">
        <v>303545</v>
      </c>
      <c r="E2171" s="4">
        <f>IF(DatiOriginali!E2171 &gt;= SogliaPicchi!$B$23,"",DatiOriginali!E2171)</f>
        <v>1054500</v>
      </c>
      <c r="F2171" s="4">
        <v>10042513</v>
      </c>
      <c r="G2171" s="4">
        <f>IF(DatiOriginali!G2171 &gt;= SogliaPicchi!$B$23,"",DatiOriginali!G2171)</f>
        <v>421500</v>
      </c>
      <c r="H2171" s="4">
        <v>12583429</v>
      </c>
      <c r="I2171" s="4">
        <f>IF(DatiOriginali!I2171 &gt;= SogliaPicchi!$B$23,"",DatiOriginali!I2171)</f>
        <v>149500</v>
      </c>
      <c r="J2171" s="4">
        <v>12564791</v>
      </c>
      <c r="K2171" s="4">
        <f>IF(DatiOriginali!K2171 &gt;= SogliaPicchi!$B$23,"",DatiOriginali!K2171)</f>
        <v>158700</v>
      </c>
    </row>
    <row r="2172" spans="1:11" x14ac:dyDescent="0.3">
      <c r="A2172" s="4" t="s">
        <v>2181</v>
      </c>
      <c r="B2172" s="4">
        <v>604450</v>
      </c>
      <c r="C2172" s="4">
        <f>IF(DatiOriginali!C2172 &gt;= SogliaPicchi!$B$23,"",DatiOriginali!C2172)</f>
        <v>5112600</v>
      </c>
      <c r="D2172" s="4">
        <v>311755</v>
      </c>
      <c r="E2172" s="4">
        <f>IF(DatiOriginali!E2172 &gt;= SogliaPicchi!$B$23,"",DatiOriginali!E2172)</f>
        <v>1080800</v>
      </c>
      <c r="F2172" s="4">
        <v>10052244</v>
      </c>
      <c r="G2172" s="4">
        <f>IF(DatiOriginali!G2172 &gt;= SogliaPicchi!$B$23,"",DatiOriginali!G2172)</f>
        <v>420600</v>
      </c>
      <c r="H2172" s="4">
        <v>12596024</v>
      </c>
      <c r="I2172" s="4">
        <f>IF(DatiOriginali!I2172 &gt;= SogliaPicchi!$B$23,"",DatiOriginali!I2172)</f>
        <v>141400</v>
      </c>
      <c r="J2172" s="4">
        <v>12576661</v>
      </c>
      <c r="K2172" s="4">
        <f>IF(DatiOriginali!K2172 &gt;= SogliaPicchi!$B$23,"",DatiOriginali!K2172)</f>
        <v>162500</v>
      </c>
    </row>
    <row r="2173" spans="1:11" x14ac:dyDescent="0.3">
      <c r="A2173" s="4" t="s">
        <v>2182</v>
      </c>
      <c r="B2173" s="4">
        <v>604450</v>
      </c>
      <c r="C2173" s="4">
        <f>IF(DatiOriginali!C2173 &gt;= SogliaPicchi!$B$23,"",DatiOriginali!C2173)</f>
        <v>5217800</v>
      </c>
      <c r="D2173" s="4">
        <v>302628</v>
      </c>
      <c r="E2173" s="4">
        <f>IF(DatiOriginali!E2173 &gt;= SogliaPicchi!$B$23,"",DatiOriginali!E2173)</f>
        <v>1055400</v>
      </c>
      <c r="F2173" s="4">
        <v>10062027</v>
      </c>
      <c r="G2173" s="4">
        <f>IF(DatiOriginali!G2173 &gt;= SogliaPicchi!$B$23,"",DatiOriginali!G2173)</f>
        <v>419000</v>
      </c>
      <c r="H2173" s="4">
        <v>12607053</v>
      </c>
      <c r="I2173" s="4">
        <f>IF(DatiOriginali!I2173 &gt;= SogliaPicchi!$B$23,"",DatiOriginali!I2173)</f>
        <v>139800</v>
      </c>
      <c r="J2173" s="4">
        <v>12588831</v>
      </c>
      <c r="K2173" s="4">
        <f>IF(DatiOriginali!K2173 &gt;= SogliaPicchi!$B$23,"",DatiOriginali!K2173)</f>
        <v>158800</v>
      </c>
    </row>
    <row r="2174" spans="1:11" x14ac:dyDescent="0.3">
      <c r="A2174" s="4" t="s">
        <v>2183</v>
      </c>
      <c r="B2174" s="4">
        <v>604450</v>
      </c>
      <c r="C2174" s="4">
        <f>IF(DatiOriginali!C2174 &gt;= SogliaPicchi!$B$23,"",DatiOriginali!C2174)</f>
        <v>5154400</v>
      </c>
      <c r="D2174" s="4">
        <v>306144</v>
      </c>
      <c r="E2174" s="4">
        <f>IF(DatiOriginali!E2174 &gt;= SogliaPicchi!$B$23,"",DatiOriginali!E2174)</f>
        <v>1085100</v>
      </c>
      <c r="F2174" s="4">
        <v>10071800</v>
      </c>
      <c r="G2174" s="4">
        <f>IF(DatiOriginali!G2174 &gt;= SogliaPicchi!$B$23,"",DatiOriginali!G2174)</f>
        <v>611000</v>
      </c>
      <c r="H2174" s="4">
        <v>12619522</v>
      </c>
      <c r="I2174" s="4">
        <f>IF(DatiOriginali!I2174 &gt;= SogliaPicchi!$B$23,"",DatiOriginali!I2174)</f>
        <v>148100</v>
      </c>
      <c r="J2174" s="4">
        <v>12600680</v>
      </c>
      <c r="K2174" s="4">
        <f>IF(DatiOriginali!K2174 &gt;= SogliaPicchi!$B$23,"",DatiOriginali!K2174)</f>
        <v>160500</v>
      </c>
    </row>
    <row r="2175" spans="1:11" x14ac:dyDescent="0.3">
      <c r="A2175" s="4" t="s">
        <v>2184</v>
      </c>
      <c r="B2175" s="4">
        <v>604450</v>
      </c>
      <c r="C2175" s="4">
        <f>IF(DatiOriginali!C2175 &gt;= SogliaPicchi!$B$23,"",DatiOriginali!C2175)</f>
        <v>5433700</v>
      </c>
      <c r="D2175" s="4">
        <v>303367</v>
      </c>
      <c r="E2175" s="4">
        <f>IF(DatiOriginali!E2175 &gt;= SogliaPicchi!$B$23,"",DatiOriginali!E2175)</f>
        <v>1292500</v>
      </c>
      <c r="F2175" s="4">
        <v>10081534</v>
      </c>
      <c r="G2175" s="4">
        <f>IF(DatiOriginali!G2175 &gt;= SogliaPicchi!$B$23,"",DatiOriginali!G2175)</f>
        <v>425000</v>
      </c>
      <c r="H2175" s="4">
        <v>12631561</v>
      </c>
      <c r="I2175" s="4">
        <f>IF(DatiOriginali!I2175 &gt;= SogliaPicchi!$B$23,"",DatiOriginali!I2175)</f>
        <v>139300</v>
      </c>
      <c r="J2175" s="4">
        <v>12613985</v>
      </c>
      <c r="K2175" s="4">
        <f>IF(DatiOriginali!K2175 &gt;= SogliaPicchi!$B$23,"",DatiOriginali!K2175)</f>
        <v>154800</v>
      </c>
    </row>
    <row r="2176" spans="1:11" x14ac:dyDescent="0.3">
      <c r="A2176" s="4" t="s">
        <v>2185</v>
      </c>
      <c r="B2176" s="4">
        <v>604450</v>
      </c>
      <c r="C2176" s="4">
        <f>IF(DatiOriginali!C2176 &gt;= SogliaPicchi!$B$23,"",DatiOriginali!C2176)</f>
        <v>5558500</v>
      </c>
      <c r="D2176" s="4">
        <v>303922</v>
      </c>
      <c r="E2176" s="4">
        <f>IF(DatiOriginali!E2176 &gt;= SogliaPicchi!$B$23,"",DatiOriginali!E2176)</f>
        <v>1075000</v>
      </c>
      <c r="F2176" s="4">
        <v>10091262</v>
      </c>
      <c r="G2176" s="4">
        <f>IF(DatiOriginali!G2176 &gt;= SogliaPicchi!$B$23,"",DatiOriginali!G2176)</f>
        <v>441800</v>
      </c>
      <c r="H2176" s="4">
        <v>12643395</v>
      </c>
      <c r="I2176" s="4">
        <f>IF(DatiOriginali!I2176 &gt;= SogliaPicchi!$B$23,"",DatiOriginali!I2176)</f>
        <v>141100</v>
      </c>
      <c r="J2176" s="4">
        <v>12627097</v>
      </c>
      <c r="K2176" s="4">
        <f>IF(DatiOriginali!K2176 &gt;= SogliaPicchi!$B$23,"",DatiOriginali!K2176)</f>
        <v>155900</v>
      </c>
    </row>
    <row r="2177" spans="1:11" x14ac:dyDescent="0.3">
      <c r="A2177" s="4" t="s">
        <v>2186</v>
      </c>
      <c r="B2177" s="4">
        <v>604450</v>
      </c>
      <c r="C2177" s="4">
        <f>IF(DatiOriginali!C2177 &gt;= SogliaPicchi!$B$23,"",DatiOriginali!C2177)</f>
        <v>5862600</v>
      </c>
      <c r="D2177" s="4">
        <v>305970</v>
      </c>
      <c r="E2177" s="4">
        <f>IF(DatiOriginali!E2177 &gt;= SogliaPicchi!$B$23,"",DatiOriginali!E2177)</f>
        <v>1213800</v>
      </c>
      <c r="F2177" s="4">
        <v>10101007</v>
      </c>
      <c r="G2177" s="4">
        <f>IF(DatiOriginali!G2177 &gt;= SogliaPicchi!$B$23,"",DatiOriginali!G2177)</f>
        <v>417900</v>
      </c>
      <c r="H2177" s="4">
        <v>12655526</v>
      </c>
      <c r="I2177" s="4">
        <f>IF(DatiOriginali!I2177 &gt;= SogliaPicchi!$B$23,"",DatiOriginali!I2177)</f>
        <v>145800</v>
      </c>
      <c r="J2177" s="4">
        <v>12639975</v>
      </c>
      <c r="K2177" s="4">
        <f>IF(DatiOriginali!K2177 &gt;= SogliaPicchi!$B$23,"",DatiOriginali!K2177)</f>
        <v>156600</v>
      </c>
    </row>
    <row r="2178" spans="1:11" x14ac:dyDescent="0.3">
      <c r="A2178" s="4" t="s">
        <v>2187</v>
      </c>
      <c r="B2178" s="4">
        <v>604450</v>
      </c>
      <c r="C2178" s="4">
        <f>IF(DatiOriginali!C2178 &gt;= SogliaPicchi!$B$23,"",DatiOriginali!C2178)</f>
        <v>5407500</v>
      </c>
      <c r="D2178" s="4">
        <v>306950</v>
      </c>
      <c r="E2178" s="4">
        <f>IF(DatiOriginali!E2178 &gt;= SogliaPicchi!$B$23,"",DatiOriginali!E2178)</f>
        <v>1064300</v>
      </c>
      <c r="F2178" s="4">
        <v>10110751</v>
      </c>
      <c r="G2178" s="4">
        <f>IF(DatiOriginali!G2178 &gt;= SogliaPicchi!$B$23,"",DatiOriginali!G2178)</f>
        <v>419300</v>
      </c>
      <c r="H2178" s="4">
        <v>12668422</v>
      </c>
      <c r="I2178" s="4">
        <f>IF(DatiOriginali!I2178 &gt;= SogliaPicchi!$B$23,"",DatiOriginali!I2178)</f>
        <v>137100</v>
      </c>
      <c r="J2178" s="4">
        <v>12652974</v>
      </c>
      <c r="K2178" s="4">
        <f>IF(DatiOriginali!K2178 &gt;= SogliaPicchi!$B$23,"",DatiOriginali!K2178)</f>
        <v>158100</v>
      </c>
    </row>
    <row r="2179" spans="1:11" x14ac:dyDescent="0.3">
      <c r="A2179" s="4" t="s">
        <v>2188</v>
      </c>
      <c r="B2179" s="4">
        <v>604450</v>
      </c>
      <c r="C2179" s="4">
        <f>IF(DatiOriginali!C2179 &gt;= SogliaPicchi!$B$23,"",DatiOriginali!C2179)</f>
        <v>5267200</v>
      </c>
      <c r="D2179" s="4">
        <v>310524</v>
      </c>
      <c r="E2179" s="4">
        <f>IF(DatiOriginali!E2179 &gt;= SogliaPicchi!$B$23,"",DatiOriginali!E2179)</f>
        <v>1072800</v>
      </c>
      <c r="F2179" s="4">
        <v>10120504</v>
      </c>
      <c r="G2179" s="4">
        <f>IF(DatiOriginali!G2179 &gt;= SogliaPicchi!$B$23,"",DatiOriginali!G2179)</f>
        <v>412700</v>
      </c>
      <c r="H2179" s="4">
        <v>12680963</v>
      </c>
      <c r="I2179" s="4">
        <f>IF(DatiOriginali!I2179 &gt;= SogliaPicchi!$B$23,"",DatiOriginali!I2179)</f>
        <v>141300</v>
      </c>
      <c r="J2179" s="4">
        <v>12665202</v>
      </c>
      <c r="K2179" s="4">
        <f>IF(DatiOriginali!K2179 &gt;= SogliaPicchi!$B$23,"",DatiOriginali!K2179)</f>
        <v>153500</v>
      </c>
    </row>
    <row r="2180" spans="1:11" x14ac:dyDescent="0.3">
      <c r="A2180" s="4" t="s">
        <v>2189</v>
      </c>
      <c r="B2180" s="4">
        <v>604450</v>
      </c>
      <c r="C2180" s="4">
        <f>IF(DatiOriginali!C2180 &gt;= SogliaPicchi!$B$23,"",DatiOriginali!C2180)</f>
        <v>5800300</v>
      </c>
      <c r="D2180" s="4">
        <v>308153</v>
      </c>
      <c r="E2180" s="4">
        <f>IF(DatiOriginali!E2180 &gt;= SogliaPicchi!$B$23,"",DatiOriginali!E2180)</f>
        <v>1062600</v>
      </c>
      <c r="F2180" s="4">
        <v>10130226</v>
      </c>
      <c r="G2180" s="4">
        <f>IF(DatiOriginali!G2180 &gt;= SogliaPicchi!$B$23,"",DatiOriginali!G2180)</f>
        <v>424200</v>
      </c>
      <c r="H2180" s="4">
        <v>12693925</v>
      </c>
      <c r="I2180" s="4">
        <f>IF(DatiOriginali!I2180 &gt;= SogliaPicchi!$B$23,"",DatiOriginali!I2180)</f>
        <v>138300</v>
      </c>
      <c r="J2180" s="4">
        <v>12677851</v>
      </c>
      <c r="K2180" s="4">
        <f>IF(DatiOriginali!K2180 &gt;= SogliaPicchi!$B$23,"",DatiOriginali!K2180)</f>
        <v>156700</v>
      </c>
    </row>
    <row r="2181" spans="1:11" x14ac:dyDescent="0.3">
      <c r="A2181" s="4" t="s">
        <v>2190</v>
      </c>
      <c r="B2181" s="4">
        <v>604450</v>
      </c>
      <c r="C2181" s="4">
        <f>IF(DatiOriginali!C2181 &gt;= SogliaPicchi!$B$23,"",DatiOriginali!C2181)</f>
        <v>5391100</v>
      </c>
      <c r="D2181" s="4">
        <v>305972</v>
      </c>
      <c r="E2181" s="4">
        <f>IF(DatiOriginali!E2181 &gt;= SogliaPicchi!$B$23,"",DatiOriginali!E2181)</f>
        <v>1052700</v>
      </c>
      <c r="F2181" s="4">
        <v>10139947</v>
      </c>
      <c r="G2181" s="4">
        <f>IF(DatiOriginali!G2181 &gt;= SogliaPicchi!$B$23,"",DatiOriginali!G2181)</f>
        <v>425800</v>
      </c>
      <c r="H2181" s="4">
        <v>12705898</v>
      </c>
      <c r="I2181" s="4">
        <f>IF(DatiOriginali!I2181 &gt;= SogliaPicchi!$B$23,"",DatiOriginali!I2181)</f>
        <v>142000</v>
      </c>
      <c r="J2181" s="4">
        <v>12690036</v>
      </c>
      <c r="K2181" s="4">
        <f>IF(DatiOriginali!K2181 &gt;= SogliaPicchi!$B$23,"",DatiOriginali!K2181)</f>
        <v>153000</v>
      </c>
    </row>
    <row r="2182" spans="1:11" x14ac:dyDescent="0.3">
      <c r="A2182" s="4" t="s">
        <v>2191</v>
      </c>
      <c r="B2182" s="4">
        <v>604450</v>
      </c>
      <c r="C2182" s="4">
        <f>IF(DatiOriginali!C2182 &gt;= SogliaPicchi!$B$23,"",DatiOriginali!C2182)</f>
        <v>5074200</v>
      </c>
      <c r="D2182" s="4">
        <v>319722</v>
      </c>
      <c r="E2182" s="4">
        <f>IF(DatiOriginali!E2182 &gt;= SogliaPicchi!$B$23,"",DatiOriginali!E2182)</f>
        <v>1099500</v>
      </c>
      <c r="F2182" s="4">
        <v>10149679</v>
      </c>
      <c r="G2182" s="4">
        <f>IF(DatiOriginali!G2182 &gt;= SogliaPicchi!$B$23,"",DatiOriginali!G2182)</f>
        <v>414200</v>
      </c>
      <c r="H2182" s="4">
        <v>12718722</v>
      </c>
      <c r="I2182" s="4">
        <f>IF(DatiOriginali!I2182 &gt;= SogliaPicchi!$B$23,"",DatiOriginali!I2182)</f>
        <v>143600</v>
      </c>
      <c r="J2182" s="4">
        <v>12702478</v>
      </c>
      <c r="K2182" s="4">
        <f>IF(DatiOriginali!K2182 &gt;= SogliaPicchi!$B$23,"",DatiOriginali!K2182)</f>
        <v>157300</v>
      </c>
    </row>
    <row r="2183" spans="1:11" x14ac:dyDescent="0.3">
      <c r="A2183" s="4" t="s">
        <v>2192</v>
      </c>
      <c r="B2183" s="4">
        <v>604450</v>
      </c>
      <c r="C2183" s="4">
        <f>IF(DatiOriginali!C2183 &gt;= SogliaPicchi!$B$23,"",DatiOriginali!C2183)</f>
        <v>5339400</v>
      </c>
      <c r="D2183" s="4">
        <v>300526</v>
      </c>
      <c r="E2183" s="4">
        <f>IF(DatiOriginali!E2183 &gt;= SogliaPicchi!$B$23,"",DatiOriginali!E2183)</f>
        <v>1041400</v>
      </c>
      <c r="F2183" s="4">
        <v>10159428</v>
      </c>
      <c r="G2183" s="4">
        <f>IF(DatiOriginali!G2183 &gt;= SogliaPicchi!$B$23,"",DatiOriginali!G2183)</f>
        <v>416200</v>
      </c>
      <c r="H2183" s="4">
        <v>12731351</v>
      </c>
      <c r="I2183" s="4">
        <f>IF(DatiOriginali!I2183 &gt;= SogliaPicchi!$B$23,"",DatiOriginali!I2183)</f>
        <v>141900</v>
      </c>
      <c r="J2183" s="4">
        <v>12715232</v>
      </c>
      <c r="K2183" s="4">
        <f>IF(DatiOriginali!K2183 &gt;= SogliaPicchi!$B$23,"",DatiOriginali!K2183)</f>
        <v>161400</v>
      </c>
    </row>
    <row r="2184" spans="1:11" x14ac:dyDescent="0.3">
      <c r="A2184" s="4" t="s">
        <v>2193</v>
      </c>
      <c r="B2184" s="4">
        <v>604450</v>
      </c>
      <c r="C2184" s="4">
        <f>IF(DatiOriginali!C2184 &gt;= SogliaPicchi!$B$23,"",DatiOriginali!C2184)</f>
        <v>5731100</v>
      </c>
      <c r="D2184" s="4">
        <v>293607</v>
      </c>
      <c r="E2184" s="4">
        <f>IF(DatiOriginali!E2184 &gt;= SogliaPicchi!$B$23,"",DatiOriginali!E2184)</f>
        <v>1013200</v>
      </c>
      <c r="F2184" s="4">
        <v>10169179</v>
      </c>
      <c r="G2184" s="4">
        <f>IF(DatiOriginali!G2184 &gt;= SogliaPicchi!$B$23,"",DatiOriginali!G2184)</f>
        <v>421000</v>
      </c>
      <c r="H2184" s="4">
        <v>12743024</v>
      </c>
      <c r="I2184" s="4">
        <f>IF(DatiOriginali!I2184 &gt;= SogliaPicchi!$B$23,"",DatiOriginali!I2184)</f>
        <v>143900</v>
      </c>
      <c r="J2184" s="4">
        <v>12727483</v>
      </c>
      <c r="K2184" s="4">
        <f>IF(DatiOriginali!K2184 &gt;= SogliaPicchi!$B$23,"",DatiOriginali!K2184)</f>
        <v>156700</v>
      </c>
    </row>
    <row r="2185" spans="1:11" x14ac:dyDescent="0.3">
      <c r="A2185" s="4" t="s">
        <v>2194</v>
      </c>
      <c r="B2185" s="4">
        <v>604450</v>
      </c>
      <c r="C2185" s="4">
        <f>IF(DatiOriginali!C2185 &gt;= SogliaPicchi!$B$23,"",DatiOriginali!C2185)</f>
        <v>5401500</v>
      </c>
      <c r="D2185" s="4">
        <v>310326</v>
      </c>
      <c r="E2185" s="4">
        <f>IF(DatiOriginali!E2185 &gt;= SogliaPicchi!$B$23,"",DatiOriginali!E2185)</f>
        <v>1093300</v>
      </c>
      <c r="F2185" s="4">
        <v>10178927</v>
      </c>
      <c r="G2185" s="4">
        <f>IF(DatiOriginali!G2185 &gt;= SogliaPicchi!$B$23,"",DatiOriginali!G2185)</f>
        <v>412100</v>
      </c>
      <c r="H2185" s="4">
        <v>12755695</v>
      </c>
      <c r="I2185" s="4">
        <f>IF(DatiOriginali!I2185 &gt;= SogliaPicchi!$B$23,"",DatiOriginali!I2185)</f>
        <v>136000</v>
      </c>
      <c r="J2185" s="4">
        <v>12739121</v>
      </c>
      <c r="K2185" s="4">
        <f>IF(DatiOriginali!K2185 &gt;= SogliaPicchi!$B$23,"",DatiOriginali!K2185)</f>
        <v>155900</v>
      </c>
    </row>
    <row r="2186" spans="1:11" x14ac:dyDescent="0.3">
      <c r="A2186" s="4" t="s">
        <v>2195</v>
      </c>
      <c r="B2186" s="4">
        <v>604450</v>
      </c>
      <c r="C2186" s="4">
        <f>IF(DatiOriginali!C2186 &gt;= SogliaPicchi!$B$23,"",DatiOriginali!C2186)</f>
        <v>5244200</v>
      </c>
      <c r="D2186" s="4">
        <v>302264</v>
      </c>
      <c r="E2186" s="4">
        <f>IF(DatiOriginali!E2186 &gt;= SogliaPicchi!$B$23,"",DatiOriginali!E2186)</f>
        <v>1055000</v>
      </c>
      <c r="F2186" s="4">
        <v>10188701</v>
      </c>
      <c r="G2186" s="4">
        <f>IF(DatiOriginali!G2186 &gt;= SogliaPicchi!$B$23,"",DatiOriginali!G2186)</f>
        <v>417000</v>
      </c>
      <c r="H2186" s="4">
        <v>12766942</v>
      </c>
      <c r="I2186" s="4">
        <f>IF(DatiOriginali!I2186 &gt;= SogliaPicchi!$B$23,"",DatiOriginali!I2186)</f>
        <v>143600</v>
      </c>
      <c r="J2186" s="4">
        <v>12752490</v>
      </c>
      <c r="K2186" s="4">
        <f>IF(DatiOriginali!K2186 &gt;= SogliaPicchi!$B$23,"",DatiOriginali!K2186)</f>
        <v>154800</v>
      </c>
    </row>
    <row r="2187" spans="1:11" x14ac:dyDescent="0.3">
      <c r="A2187" s="4" t="s">
        <v>2196</v>
      </c>
      <c r="B2187" s="4">
        <v>604450</v>
      </c>
      <c r="C2187" s="4">
        <f>IF(DatiOriginali!C2187 &gt;= SogliaPicchi!$B$23,"",DatiOriginali!C2187)</f>
        <v>4944800</v>
      </c>
      <c r="D2187" s="4">
        <v>295966</v>
      </c>
      <c r="E2187" s="4">
        <f>IF(DatiOriginali!E2187 &gt;= SogliaPicchi!$B$23,"",DatiOriginali!E2187)</f>
        <v>1091900</v>
      </c>
      <c r="F2187" s="4">
        <v>10198430</v>
      </c>
      <c r="G2187" s="4">
        <f>IF(DatiOriginali!G2187 &gt;= SogliaPicchi!$B$23,"",DatiOriginali!G2187)</f>
        <v>420000</v>
      </c>
      <c r="H2187" s="4">
        <v>12778520</v>
      </c>
      <c r="I2187" s="4">
        <f>IF(DatiOriginali!I2187 &gt;= SogliaPicchi!$B$23,"",DatiOriginali!I2187)</f>
        <v>145100</v>
      </c>
      <c r="J2187" s="4">
        <v>12765195</v>
      </c>
      <c r="K2187" s="4">
        <f>IF(DatiOriginali!K2187 &gt;= SogliaPicchi!$B$23,"",DatiOriginali!K2187)</f>
        <v>161900</v>
      </c>
    </row>
    <row r="2188" spans="1:11" x14ac:dyDescent="0.3">
      <c r="A2188" s="4" t="s">
        <v>2197</v>
      </c>
      <c r="B2188" s="4">
        <v>604450</v>
      </c>
      <c r="C2188" s="4">
        <f>IF(DatiOriginali!C2188 &gt;= SogliaPicchi!$B$23,"",DatiOriginali!C2188)</f>
        <v>5574500</v>
      </c>
      <c r="D2188" s="4">
        <v>298809</v>
      </c>
      <c r="E2188" s="4">
        <f>IF(DatiOriginali!E2188 &gt;= SogliaPicchi!$B$23,"",DatiOriginali!E2188)</f>
        <v>1249700</v>
      </c>
      <c r="F2188" s="4">
        <v>10208170</v>
      </c>
      <c r="G2188" s="4">
        <f>IF(DatiOriginali!G2188 &gt;= SogliaPicchi!$B$23,"",DatiOriginali!G2188)</f>
        <v>412100</v>
      </c>
      <c r="H2188" s="4">
        <v>12791366</v>
      </c>
      <c r="I2188" s="4">
        <f>IF(DatiOriginali!I2188 &gt;= SogliaPicchi!$B$23,"",DatiOriginali!I2188)</f>
        <v>140600</v>
      </c>
      <c r="J2188" s="4">
        <v>12777548</v>
      </c>
      <c r="K2188" s="4">
        <f>IF(DatiOriginali!K2188 &gt;= SogliaPicchi!$B$23,"",DatiOriginali!K2188)</f>
        <v>159800</v>
      </c>
    </row>
    <row r="2189" spans="1:11" x14ac:dyDescent="0.3">
      <c r="A2189" s="4" t="s">
        <v>2198</v>
      </c>
      <c r="B2189" s="4">
        <v>604450</v>
      </c>
      <c r="C2189" s="4">
        <f>IF(DatiOriginali!C2189 &gt;= SogliaPicchi!$B$23,"",DatiOriginali!C2189)</f>
        <v>5321900</v>
      </c>
      <c r="D2189" s="4">
        <v>308291</v>
      </c>
      <c r="E2189" s="4">
        <f>IF(DatiOriginali!E2189 &gt;= SogliaPicchi!$B$23,"",DatiOriginali!E2189)</f>
        <v>1064000</v>
      </c>
      <c r="F2189" s="4">
        <v>10217883</v>
      </c>
      <c r="G2189" s="4">
        <f>IF(DatiOriginali!G2189 &gt;= SogliaPicchi!$B$23,"",DatiOriginali!G2189)</f>
        <v>425400</v>
      </c>
      <c r="H2189" s="4">
        <v>12804857</v>
      </c>
      <c r="I2189" s="4">
        <f>IF(DatiOriginali!I2189 &gt;= SogliaPicchi!$B$23,"",DatiOriginali!I2189)</f>
        <v>143700</v>
      </c>
      <c r="J2189" s="4">
        <v>12789512</v>
      </c>
      <c r="K2189" s="4">
        <f>IF(DatiOriginali!K2189 &gt;= SogliaPicchi!$B$23,"",DatiOriginali!K2189)</f>
        <v>157000</v>
      </c>
    </row>
    <row r="2190" spans="1:11" x14ac:dyDescent="0.3">
      <c r="A2190" s="4" t="s">
        <v>2199</v>
      </c>
      <c r="B2190" s="4">
        <v>604450</v>
      </c>
      <c r="C2190" s="4">
        <f>IF(DatiOriginali!C2190 &gt;= SogliaPicchi!$B$23,"",DatiOriginali!C2190)</f>
        <v>5546400</v>
      </c>
      <c r="D2190" s="4">
        <v>289558</v>
      </c>
      <c r="E2190" s="4">
        <f>IF(DatiOriginali!E2190 &gt;= SogliaPicchi!$B$23,"",DatiOriginali!E2190)</f>
        <v>1000300</v>
      </c>
      <c r="F2190" s="4">
        <v>10227608</v>
      </c>
      <c r="G2190" s="4">
        <f>IF(DatiOriginali!G2190 &gt;= SogliaPicchi!$B$23,"",DatiOriginali!G2190)</f>
        <v>420000</v>
      </c>
      <c r="H2190" s="4">
        <v>12816959</v>
      </c>
      <c r="I2190" s="4">
        <f>IF(DatiOriginali!I2190 &gt;= SogliaPicchi!$B$23,"",DatiOriginali!I2190)</f>
        <v>140500</v>
      </c>
      <c r="J2190" s="4">
        <v>12802911</v>
      </c>
      <c r="K2190" s="4">
        <f>IF(DatiOriginali!K2190 &gt;= SogliaPicchi!$B$23,"",DatiOriginali!K2190)</f>
        <v>166700</v>
      </c>
    </row>
    <row r="2191" spans="1:11" x14ac:dyDescent="0.3">
      <c r="A2191" s="4" t="s">
        <v>2200</v>
      </c>
      <c r="B2191" s="4">
        <v>604450</v>
      </c>
      <c r="C2191" s="4">
        <f>IF(DatiOriginali!C2191 &gt;= SogliaPicchi!$B$23,"",DatiOriginali!C2191)</f>
        <v>5144600</v>
      </c>
      <c r="D2191" s="4">
        <v>312228</v>
      </c>
      <c r="E2191" s="4">
        <f>IF(DatiOriginali!E2191 &gt;= SogliaPicchi!$B$23,"",DatiOriginali!E2191)</f>
        <v>1076000</v>
      </c>
      <c r="F2191" s="4">
        <v>10237355</v>
      </c>
      <c r="G2191" s="4">
        <f>IF(DatiOriginali!G2191 &gt;= SogliaPicchi!$B$23,"",DatiOriginali!G2191)</f>
        <v>415100</v>
      </c>
      <c r="H2191" s="4">
        <v>12830066</v>
      </c>
      <c r="I2191" s="4">
        <f>IF(DatiOriginali!I2191 &gt;= SogliaPicchi!$B$23,"",DatiOriginali!I2191)</f>
        <v>147300</v>
      </c>
      <c r="J2191" s="4">
        <v>12814889</v>
      </c>
      <c r="K2191" s="4">
        <f>IF(DatiOriginali!K2191 &gt;= SogliaPicchi!$B$23,"",DatiOriginali!K2191)</f>
        <v>161900</v>
      </c>
    </row>
    <row r="2192" spans="1:11" x14ac:dyDescent="0.3">
      <c r="A2192" s="4" t="s">
        <v>2201</v>
      </c>
      <c r="B2192" s="4">
        <v>604450</v>
      </c>
      <c r="C2192" s="4">
        <f>IF(DatiOriginali!C2192 &gt;= SogliaPicchi!$B$23,"",DatiOriginali!C2192)</f>
        <v>5223800</v>
      </c>
      <c r="D2192" s="4">
        <v>294778</v>
      </c>
      <c r="E2192" s="4">
        <f>IF(DatiOriginali!E2192 &gt;= SogliaPicchi!$B$23,"",DatiOriginali!E2192)</f>
        <v>1019800</v>
      </c>
      <c r="F2192" s="4">
        <v>10247095</v>
      </c>
      <c r="G2192" s="4">
        <f>IF(DatiOriginali!G2192 &gt;= SogliaPicchi!$B$23,"",DatiOriginali!G2192)</f>
        <v>413700</v>
      </c>
      <c r="H2192" s="4">
        <v>12841404</v>
      </c>
      <c r="I2192" s="4">
        <f>IF(DatiOriginali!I2192 &gt;= SogliaPicchi!$B$23,"",DatiOriginali!I2192)</f>
        <v>139400</v>
      </c>
      <c r="J2192" s="4">
        <v>12828566</v>
      </c>
      <c r="K2192" s="4">
        <f>IF(DatiOriginali!K2192 &gt;= SogliaPicchi!$B$23,"",DatiOriginali!K2192)</f>
        <v>160500</v>
      </c>
    </row>
    <row r="2193" spans="1:11" x14ac:dyDescent="0.3">
      <c r="A2193" s="4" t="s">
        <v>2202</v>
      </c>
      <c r="B2193" s="4">
        <v>604450</v>
      </c>
      <c r="C2193" s="4">
        <f>IF(DatiOriginali!C2193 &gt;= SogliaPicchi!$B$23,"",DatiOriginali!C2193)</f>
        <v>5339900</v>
      </c>
      <c r="D2193" s="4">
        <v>299033</v>
      </c>
      <c r="E2193" s="4">
        <f>IF(DatiOriginali!E2193 &gt;= SogliaPicchi!$B$23,"",DatiOriginali!E2193)</f>
        <v>1080000</v>
      </c>
      <c r="F2193" s="4">
        <v>10256821</v>
      </c>
      <c r="G2193" s="4">
        <f>IF(DatiOriginali!G2193 &gt;= SogliaPicchi!$B$23,"",DatiOriginali!G2193)</f>
        <v>423400</v>
      </c>
      <c r="H2193" s="4">
        <v>12853291</v>
      </c>
      <c r="I2193" s="4">
        <f>IF(DatiOriginali!I2193 &gt;= SogliaPicchi!$B$23,"",DatiOriginali!I2193)</f>
        <v>142900</v>
      </c>
      <c r="J2193" s="4">
        <v>12840683</v>
      </c>
      <c r="K2193" s="4">
        <f>IF(DatiOriginali!K2193 &gt;= SogliaPicchi!$B$23,"",DatiOriginali!K2193)</f>
        <v>157300</v>
      </c>
    </row>
    <row r="2194" spans="1:11" x14ac:dyDescent="0.3">
      <c r="A2194" s="4" t="s">
        <v>2203</v>
      </c>
      <c r="B2194" s="4">
        <v>604450</v>
      </c>
      <c r="C2194" s="4">
        <f>IF(DatiOriginali!C2194 &gt;= SogliaPicchi!$B$23,"",DatiOriginali!C2194)</f>
        <v>5117800</v>
      </c>
      <c r="D2194" s="4">
        <v>307383</v>
      </c>
      <c r="E2194" s="4">
        <f>IF(DatiOriginali!E2194 &gt;= SogliaPicchi!$B$23,"",DatiOriginali!E2194)</f>
        <v>1069700</v>
      </c>
      <c r="F2194" s="4">
        <v>10266539</v>
      </c>
      <c r="G2194" s="4">
        <f>IF(DatiOriginali!G2194 &gt;= SogliaPicchi!$B$23,"",DatiOriginali!G2194)</f>
        <v>417700</v>
      </c>
      <c r="H2194" s="4">
        <v>12865422</v>
      </c>
      <c r="I2194" s="4">
        <f>IF(DatiOriginali!I2194 &gt;= SogliaPicchi!$B$23,"",DatiOriginali!I2194)</f>
        <v>139800</v>
      </c>
      <c r="J2194" s="4">
        <v>12853624</v>
      </c>
      <c r="K2194" s="4">
        <f>IF(DatiOriginali!K2194 &gt;= SogliaPicchi!$B$23,"",DatiOriginali!K2194)</f>
        <v>156300</v>
      </c>
    </row>
    <row r="2195" spans="1:11" x14ac:dyDescent="0.3">
      <c r="A2195" s="4" t="s">
        <v>2204</v>
      </c>
      <c r="B2195" s="4">
        <v>604450</v>
      </c>
      <c r="C2195" s="4">
        <f>IF(DatiOriginali!C2195 &gt;= SogliaPicchi!$B$23,"",DatiOriginali!C2195)</f>
        <v>5295600</v>
      </c>
      <c r="D2195" s="4">
        <v>296752</v>
      </c>
      <c r="E2195" s="4">
        <f>IF(DatiOriginali!E2195 &gt;= SogliaPicchi!$B$23,"",DatiOriginali!E2195)</f>
        <v>1064900</v>
      </c>
      <c r="F2195" s="4">
        <v>10276260</v>
      </c>
      <c r="G2195" s="4">
        <f>IF(DatiOriginali!G2195 &gt;= SogliaPicchi!$B$23,"",DatiOriginali!G2195)</f>
        <v>422100</v>
      </c>
      <c r="H2195" s="4">
        <v>12876422</v>
      </c>
      <c r="I2195" s="4">
        <f>IF(DatiOriginali!I2195 &gt;= SogliaPicchi!$B$23,"",DatiOriginali!I2195)</f>
        <v>146000</v>
      </c>
      <c r="J2195" s="4">
        <v>12865292</v>
      </c>
      <c r="K2195" s="4">
        <f>IF(DatiOriginali!K2195 &gt;= SogliaPicchi!$B$23,"",DatiOriginali!K2195)</f>
        <v>154600</v>
      </c>
    </row>
    <row r="2196" spans="1:11" x14ac:dyDescent="0.3">
      <c r="A2196" s="4" t="s">
        <v>2205</v>
      </c>
      <c r="B2196" s="4">
        <v>604450</v>
      </c>
      <c r="C2196" s="4">
        <f>IF(DatiOriginali!C2196 &gt;= SogliaPicchi!$B$23,"",DatiOriginali!C2196)</f>
        <v>5143700</v>
      </c>
      <c r="D2196" s="4">
        <v>306945</v>
      </c>
      <c r="E2196" s="4">
        <f>IF(DatiOriginali!E2196 &gt;= SogliaPicchi!$B$23,"",DatiOriginali!E2196)</f>
        <v>1352300</v>
      </c>
      <c r="F2196" s="4">
        <v>10285984</v>
      </c>
      <c r="G2196" s="4">
        <f>IF(DatiOriginali!G2196 &gt;= SogliaPicchi!$B$23,"",DatiOriginali!G2196)</f>
        <v>435400</v>
      </c>
      <c r="H2196" s="4">
        <v>12888441</v>
      </c>
      <c r="I2196" s="4">
        <f>IF(DatiOriginali!I2196 &gt;= SogliaPicchi!$B$23,"",DatiOriginali!I2196)</f>
        <v>145200</v>
      </c>
      <c r="J2196" s="4">
        <v>12877842</v>
      </c>
      <c r="K2196" s="4">
        <f>IF(DatiOriginali!K2196 &gt;= SogliaPicchi!$B$23,"",DatiOriginali!K2196)</f>
        <v>166300</v>
      </c>
    </row>
    <row r="2197" spans="1:11" x14ac:dyDescent="0.3">
      <c r="A2197" s="4" t="s">
        <v>2206</v>
      </c>
      <c r="B2197" s="4">
        <v>604450</v>
      </c>
      <c r="C2197" s="4">
        <f>IF(DatiOriginali!C2197 &gt;= SogliaPicchi!$B$23,"",DatiOriginali!C2197)</f>
        <v>5142100</v>
      </c>
      <c r="D2197" s="4">
        <v>305472</v>
      </c>
      <c r="E2197" s="4">
        <f>IF(DatiOriginali!E2197 &gt;= SogliaPicchi!$B$23,"",DatiOriginali!E2197)</f>
        <v>1119000</v>
      </c>
      <c r="F2197" s="4">
        <v>10295723</v>
      </c>
      <c r="G2197" s="4">
        <f>IF(DatiOriginali!G2197 &gt;= SogliaPicchi!$B$23,"",DatiOriginali!G2197)</f>
        <v>426800</v>
      </c>
      <c r="H2197" s="4">
        <v>12899877</v>
      </c>
      <c r="I2197" s="4">
        <f>IF(DatiOriginali!I2197 &gt;= SogliaPicchi!$B$23,"",DatiOriginali!I2197)</f>
        <v>151800</v>
      </c>
      <c r="J2197" s="4">
        <v>12890580</v>
      </c>
      <c r="K2197" s="4">
        <f>IF(DatiOriginali!K2197 &gt;= SogliaPicchi!$B$23,"",DatiOriginali!K2197)</f>
        <v>171200</v>
      </c>
    </row>
    <row r="2198" spans="1:11" x14ac:dyDescent="0.3">
      <c r="A2198" s="4" t="s">
        <v>2207</v>
      </c>
      <c r="B2198" s="4">
        <v>604450</v>
      </c>
      <c r="C2198" s="4">
        <f>IF(DatiOriginali!C2198 &gt;= SogliaPicchi!$B$23,"",DatiOriginali!C2198)</f>
        <v>5796500</v>
      </c>
      <c r="D2198" s="4">
        <v>289533</v>
      </c>
      <c r="E2198" s="4">
        <f>IF(DatiOriginali!E2198 &gt;= SogliaPicchi!$B$23,"",DatiOriginali!E2198)</f>
        <v>1102000</v>
      </c>
      <c r="F2198" s="4">
        <v>10305427</v>
      </c>
      <c r="G2198" s="4">
        <f>IF(DatiOriginali!G2198 &gt;= SogliaPicchi!$B$23,"",DatiOriginali!G2198)</f>
        <v>424100</v>
      </c>
      <c r="H2198" s="4">
        <v>12911563</v>
      </c>
      <c r="I2198" s="4">
        <f>IF(DatiOriginali!I2198 &gt;= SogliaPicchi!$B$23,"",DatiOriginali!I2198)</f>
        <v>140600</v>
      </c>
      <c r="J2198" s="4">
        <v>12902160</v>
      </c>
      <c r="K2198" s="4">
        <f>IF(DatiOriginali!K2198 &gt;= SogliaPicchi!$B$23,"",DatiOriginali!K2198)</f>
        <v>159800</v>
      </c>
    </row>
    <row r="2199" spans="1:11" x14ac:dyDescent="0.3">
      <c r="A2199" s="4" t="s">
        <v>2208</v>
      </c>
      <c r="B2199" s="4">
        <v>604450</v>
      </c>
      <c r="C2199" s="4">
        <f>IF(DatiOriginali!C2199 &gt;= SogliaPicchi!$B$23,"",DatiOriginali!C2199)</f>
        <v>5237500</v>
      </c>
      <c r="D2199" s="4">
        <v>300143</v>
      </c>
      <c r="E2199" s="4">
        <f>IF(DatiOriginali!E2199 &gt;= SogliaPicchi!$B$23,"",DatiOriginali!E2199)</f>
        <v>1103900</v>
      </c>
      <c r="F2199" s="4">
        <v>10315173</v>
      </c>
      <c r="G2199" s="4">
        <f>IF(DatiOriginali!G2199 &gt;= SogliaPicchi!$B$23,"",DatiOriginali!G2199)</f>
        <v>413700</v>
      </c>
      <c r="H2199" s="4">
        <v>12923652</v>
      </c>
      <c r="I2199" s="4">
        <f>IF(DatiOriginali!I2199 &gt;= SogliaPicchi!$B$23,"",DatiOriginali!I2199)</f>
        <v>147300</v>
      </c>
      <c r="J2199" s="4">
        <v>12915753</v>
      </c>
      <c r="K2199" s="4">
        <f>IF(DatiOriginali!K2199 &gt;= SogliaPicchi!$B$23,"",DatiOriginali!K2199)</f>
        <v>160600</v>
      </c>
    </row>
    <row r="2200" spans="1:11" x14ac:dyDescent="0.3">
      <c r="A2200" s="4" t="s">
        <v>2209</v>
      </c>
      <c r="B2200" s="4">
        <v>604450</v>
      </c>
      <c r="C2200" s="4">
        <f>IF(DatiOriginali!C2200 &gt;= SogliaPicchi!$B$23,"",DatiOriginali!C2200)</f>
        <v>5194300</v>
      </c>
      <c r="D2200" s="4">
        <v>297338</v>
      </c>
      <c r="E2200" s="4">
        <f>IF(DatiOriginali!E2200 &gt;= SogliaPicchi!$B$23,"",DatiOriginali!E2200)</f>
        <v>1049200</v>
      </c>
      <c r="F2200" s="4">
        <v>10324906</v>
      </c>
      <c r="G2200" s="4">
        <f>IF(DatiOriginali!G2200 &gt;= SogliaPicchi!$B$23,"",DatiOriginali!G2200)</f>
        <v>415600</v>
      </c>
      <c r="H2200" s="4">
        <v>12936373</v>
      </c>
      <c r="I2200" s="4">
        <f>IF(DatiOriginali!I2200 &gt;= SogliaPicchi!$B$23,"",DatiOriginali!I2200)</f>
        <v>140700</v>
      </c>
      <c r="J2200" s="4">
        <v>12927471</v>
      </c>
      <c r="K2200" s="4">
        <f>IF(DatiOriginali!K2200 &gt;= SogliaPicchi!$B$23,"",DatiOriginali!K2200)</f>
        <v>167200</v>
      </c>
    </row>
    <row r="2201" spans="1:11" x14ac:dyDescent="0.3">
      <c r="A2201" s="4" t="s">
        <v>2210</v>
      </c>
      <c r="B2201" s="4">
        <v>604450</v>
      </c>
      <c r="C2201" s="4">
        <f>IF(DatiOriginali!C2201 &gt;= SogliaPicchi!$B$23,"",DatiOriginali!C2201)</f>
        <v>5051700</v>
      </c>
      <c r="D2201" s="4">
        <v>298467</v>
      </c>
      <c r="E2201" s="4">
        <f>IF(DatiOriginali!E2201 &gt;= SogliaPicchi!$B$23,"",DatiOriginali!E2201)</f>
        <v>1057700</v>
      </c>
      <c r="F2201" s="4">
        <v>10334641</v>
      </c>
      <c r="G2201" s="4">
        <f>IF(DatiOriginali!G2201 &gt;= SogliaPicchi!$B$24,"",DatiOriginali!G2201)</f>
        <v>421700</v>
      </c>
      <c r="H2201" s="4">
        <v>12950743</v>
      </c>
      <c r="I2201" s="4">
        <f>IF(DatiOriginali!I2201 &gt;= SogliaPicchi!$B$24,"",DatiOriginali!I2201)</f>
        <v>147300</v>
      </c>
      <c r="J2201" s="4">
        <v>12940086</v>
      </c>
      <c r="K2201" s="4">
        <f>IF(DatiOriginali!K2201 &gt;= SogliaPicchi!$B$24,"",DatiOriginali!K2201)</f>
        <v>162500</v>
      </c>
    </row>
    <row r="2202" spans="1:11" x14ac:dyDescent="0.3">
      <c r="A2202" s="4" t="s">
        <v>2211</v>
      </c>
      <c r="B2202" s="4">
        <v>660675</v>
      </c>
      <c r="C2202" s="4">
        <f>IF(DatiOriginali!C2202 &gt;= SogliaPicchi!$B$24,"",DatiOriginali!C2202)</f>
        <v>5635900</v>
      </c>
      <c r="D2202" s="4">
        <v>327445</v>
      </c>
      <c r="E2202" s="4">
        <f>IF(DatiOriginali!E2202 &gt;= SogliaPicchi!$B$24,"",DatiOriginali!E2202)</f>
        <v>1133800</v>
      </c>
      <c r="F2202" s="4">
        <v>10344905</v>
      </c>
      <c r="G2202" s="4">
        <f>IF(DatiOriginali!G2202 &gt;= SogliaPicchi!$B$24,"",DatiOriginali!G2202)</f>
        <v>431900</v>
      </c>
      <c r="H2202" s="4">
        <v>12963002</v>
      </c>
      <c r="I2202" s="4">
        <f>IF(DatiOriginali!I2202 &gt;= SogliaPicchi!$B$24,"",DatiOriginali!I2202)</f>
        <v>148900</v>
      </c>
      <c r="J2202" s="4">
        <v>12953802</v>
      </c>
      <c r="K2202" s="4">
        <f>IF(DatiOriginali!K2202 &gt;= SogliaPicchi!$B$24,"",DatiOriginali!K2202)</f>
        <v>168700</v>
      </c>
    </row>
    <row r="2203" spans="1:11" x14ac:dyDescent="0.3">
      <c r="A2203" s="4" t="s">
        <v>2212</v>
      </c>
      <c r="B2203" s="4">
        <v>660675</v>
      </c>
      <c r="C2203" s="4">
        <f>IF(DatiOriginali!C2203 &gt;= SogliaPicchi!$B$24,"",DatiOriginali!C2203)</f>
        <v>5785200</v>
      </c>
      <c r="D2203" s="4">
        <v>333927</v>
      </c>
      <c r="E2203" s="4">
        <f>IF(DatiOriginali!E2203 &gt;= SogliaPicchi!$B$24,"",DatiOriginali!E2203)</f>
        <v>1149400</v>
      </c>
      <c r="F2203" s="4">
        <v>10355178</v>
      </c>
      <c r="G2203" s="4">
        <f>IF(DatiOriginali!G2203 &gt;= SogliaPicchi!$B$24,"",DatiOriginali!G2203)</f>
        <v>438500</v>
      </c>
      <c r="H2203" s="4">
        <v>12975301</v>
      </c>
      <c r="I2203" s="4">
        <f>IF(DatiOriginali!I2203 &gt;= SogliaPicchi!$B$24,"",DatiOriginali!I2203)</f>
        <v>144200</v>
      </c>
      <c r="J2203" s="4">
        <v>12967056</v>
      </c>
      <c r="K2203" s="4">
        <f>IF(DatiOriginali!K2203 &gt;= SogliaPicchi!$B$24,"",DatiOriginali!K2203)</f>
        <v>169400</v>
      </c>
    </row>
    <row r="2204" spans="1:11" x14ac:dyDescent="0.3">
      <c r="A2204" s="4" t="s">
        <v>2213</v>
      </c>
      <c r="B2204" s="4">
        <v>660675</v>
      </c>
      <c r="C2204" s="4">
        <f>IF(DatiOriginali!C2204 &gt;= SogliaPicchi!$B$24,"",DatiOriginali!C2204)</f>
        <v>5562500</v>
      </c>
      <c r="D2204" s="4">
        <v>336055</v>
      </c>
      <c r="E2204" s="4">
        <f>IF(DatiOriginali!E2204 &gt;= SogliaPicchi!$B$24,"",DatiOriginali!E2204)</f>
        <v>1159200</v>
      </c>
      <c r="F2204" s="4">
        <v>10365410</v>
      </c>
      <c r="G2204" s="4">
        <f>IF(DatiOriginali!G2204 &gt;= SogliaPicchi!$B$24,"",DatiOriginali!G2204)</f>
        <v>437000</v>
      </c>
      <c r="H2204" s="4">
        <v>12987651</v>
      </c>
      <c r="I2204" s="4">
        <f>IF(DatiOriginali!I2204 &gt;= SogliaPicchi!$B$24,"",DatiOriginali!I2204)</f>
        <v>153400</v>
      </c>
      <c r="J2204" s="4">
        <v>12980262</v>
      </c>
      <c r="K2204" s="4">
        <f>IF(DatiOriginali!K2204 &gt;= SogliaPicchi!$B$24,"",DatiOriginali!K2204)</f>
        <v>167400</v>
      </c>
    </row>
    <row r="2205" spans="1:11" x14ac:dyDescent="0.3">
      <c r="A2205" s="4" t="s">
        <v>2214</v>
      </c>
      <c r="B2205" s="4">
        <v>660675</v>
      </c>
      <c r="C2205" s="4">
        <f>IF(DatiOriginali!C2205 &gt;= SogliaPicchi!$B$24,"",DatiOriginali!C2205)</f>
        <v>5710800</v>
      </c>
      <c r="D2205" s="4">
        <v>335672</v>
      </c>
      <c r="E2205" s="4">
        <f>IF(DatiOriginali!E2205 &gt;= SogliaPicchi!$B$24,"",DatiOriginali!E2205)</f>
        <v>2006300</v>
      </c>
      <c r="F2205" s="4">
        <v>10375669</v>
      </c>
      <c r="G2205" s="4">
        <f>IF(DatiOriginali!G2205 &gt;= SogliaPicchi!$B$24,"",DatiOriginali!G2205)</f>
        <v>442100</v>
      </c>
      <c r="H2205" s="4">
        <v>12999696</v>
      </c>
      <c r="I2205" s="4">
        <f>IF(DatiOriginali!I2205 &gt;= SogliaPicchi!$B$24,"",DatiOriginali!I2205)</f>
        <v>153800</v>
      </c>
      <c r="J2205" s="4">
        <v>12993523</v>
      </c>
      <c r="K2205" s="4">
        <f>IF(DatiOriginali!K2205 &gt;= SogliaPicchi!$B$24,"",DatiOriginali!K2205)</f>
        <v>168000</v>
      </c>
    </row>
    <row r="2206" spans="1:11" x14ac:dyDescent="0.3">
      <c r="A2206" s="4" t="s">
        <v>2215</v>
      </c>
      <c r="B2206" s="4">
        <v>660675</v>
      </c>
      <c r="C2206" s="4">
        <f>IF(DatiOriginali!C2206 &gt;= SogliaPicchi!$B$24,"",DatiOriginali!C2206)</f>
        <v>5751600</v>
      </c>
      <c r="D2206" s="4">
        <v>332550</v>
      </c>
      <c r="E2206" s="4">
        <f>IF(DatiOriginali!E2206 &gt;= SogliaPicchi!$B$24,"",DatiOriginali!E2206)</f>
        <v>1147900</v>
      </c>
      <c r="F2206" s="4">
        <v>10385914</v>
      </c>
      <c r="G2206" s="4">
        <f>IF(DatiOriginali!G2206 &gt;= SogliaPicchi!$B$24,"",DatiOriginali!G2206)</f>
        <v>437000</v>
      </c>
      <c r="H2206" s="4">
        <v>13011791</v>
      </c>
      <c r="I2206" s="4">
        <f>IF(DatiOriginali!I2206 &gt;= SogliaPicchi!$B$24,"",DatiOriginali!I2206)</f>
        <v>151200</v>
      </c>
      <c r="J2206" s="4">
        <v>13007256</v>
      </c>
      <c r="K2206" s="4">
        <f>IF(DatiOriginali!K2206 &gt;= SogliaPicchi!$B$24,"",DatiOriginali!K2206)</f>
        <v>169800</v>
      </c>
    </row>
    <row r="2207" spans="1:11" x14ac:dyDescent="0.3">
      <c r="A2207" s="4" t="s">
        <v>2216</v>
      </c>
      <c r="B2207" s="4">
        <v>660675</v>
      </c>
      <c r="C2207" s="4">
        <f>IF(DatiOriginali!C2207 &gt;= SogliaPicchi!$B$24,"",DatiOriginali!C2207)</f>
        <v>5607600</v>
      </c>
      <c r="D2207" s="4">
        <v>331002</v>
      </c>
      <c r="E2207" s="4">
        <f>IF(DatiOriginali!E2207 &gt;= SogliaPicchi!$B$24,"",DatiOriginali!E2207)</f>
        <v>1147100</v>
      </c>
      <c r="F2207" s="4">
        <v>10396194</v>
      </c>
      <c r="G2207" s="4">
        <f>IF(DatiOriginali!G2207 &gt;= SogliaPicchi!$B$24,"",DatiOriginali!G2207)</f>
        <v>432300</v>
      </c>
      <c r="H2207" s="4">
        <v>13024523</v>
      </c>
      <c r="I2207" s="4">
        <f>IF(DatiOriginali!I2207 &gt;= SogliaPicchi!$B$24,"",DatiOriginali!I2207)</f>
        <v>150800</v>
      </c>
      <c r="J2207" s="4">
        <v>13019404</v>
      </c>
      <c r="K2207" s="4">
        <f>IF(DatiOriginali!K2207 &gt;= SogliaPicchi!$B$24,"",DatiOriginali!K2207)</f>
        <v>163400</v>
      </c>
    </row>
    <row r="2208" spans="1:11" x14ac:dyDescent="0.3">
      <c r="A2208" s="4" t="s">
        <v>2217</v>
      </c>
      <c r="B2208" s="4">
        <v>660675</v>
      </c>
      <c r="C2208" s="4">
        <f>IF(DatiOriginali!C2208 &gt;= SogliaPicchi!$B$24,"",DatiOriginali!C2208)</f>
        <v>5582000</v>
      </c>
      <c r="D2208" s="4">
        <v>330582</v>
      </c>
      <c r="E2208" s="4">
        <f>IF(DatiOriginali!E2208 &gt;= SogliaPicchi!$B$24,"",DatiOriginali!E2208)</f>
        <v>1156000</v>
      </c>
      <c r="F2208" s="4">
        <v>10406494</v>
      </c>
      <c r="G2208" s="4">
        <f>IF(DatiOriginali!G2208 &gt;= SogliaPicchi!$B$24,"",DatiOriginali!G2208)</f>
        <v>451400</v>
      </c>
      <c r="H2208" s="4">
        <v>13036320</v>
      </c>
      <c r="I2208" s="4">
        <f>IF(DatiOriginali!I2208 &gt;= SogliaPicchi!$B$24,"",DatiOriginali!I2208)</f>
        <v>150800</v>
      </c>
      <c r="J2208" s="4">
        <v>13033098</v>
      </c>
      <c r="K2208" s="4">
        <f>IF(DatiOriginali!K2208 &gt;= SogliaPicchi!$B$24,"",DatiOriginali!K2208)</f>
        <v>170800</v>
      </c>
    </row>
    <row r="2209" spans="1:11" x14ac:dyDescent="0.3">
      <c r="A2209" s="4" t="s">
        <v>2218</v>
      </c>
      <c r="B2209" s="4">
        <v>660675</v>
      </c>
      <c r="C2209" s="4">
        <f>IF(DatiOriginali!C2209 &gt;= SogliaPicchi!$B$24,"",DatiOriginali!C2209)</f>
        <v>5985200</v>
      </c>
      <c r="D2209" s="4">
        <v>334594</v>
      </c>
      <c r="E2209" s="4">
        <f>IF(DatiOriginali!E2209 &gt;= SogliaPicchi!$B$24,"",DatiOriginali!E2209)</f>
        <v>1159900</v>
      </c>
      <c r="F2209" s="4">
        <v>10416759</v>
      </c>
      <c r="G2209" s="4">
        <f>IF(DatiOriginali!G2209 &gt;= SogliaPicchi!$B$24,"",DatiOriginali!G2209)</f>
        <v>558100</v>
      </c>
      <c r="H2209" s="4">
        <v>13049780</v>
      </c>
      <c r="I2209" s="4">
        <f>IF(DatiOriginali!I2209 &gt;= SogliaPicchi!$B$24,"",DatiOriginali!I2209)</f>
        <v>193000</v>
      </c>
      <c r="J2209" s="4">
        <v>13046596</v>
      </c>
      <c r="K2209" s="4">
        <f>IF(DatiOriginali!K2209 &gt;= SogliaPicchi!$B$24,"",DatiOriginali!K2209)</f>
        <v>169900</v>
      </c>
    </row>
    <row r="2210" spans="1:11" x14ac:dyDescent="0.3">
      <c r="A2210" s="4" t="s">
        <v>2219</v>
      </c>
      <c r="B2210" s="4">
        <v>660675</v>
      </c>
      <c r="C2210" s="4">
        <f>IF(DatiOriginali!C2210 &gt;= SogliaPicchi!$B$24,"",DatiOriginali!C2210)</f>
        <v>6256900</v>
      </c>
      <c r="D2210" s="4">
        <v>340530</v>
      </c>
      <c r="E2210" s="4">
        <f>IF(DatiOriginali!E2210 &gt;= SogliaPicchi!$B$24,"",DatiOriginali!E2210)</f>
        <v>1195400</v>
      </c>
      <c r="F2210" s="4">
        <v>10427000</v>
      </c>
      <c r="G2210" s="4">
        <f>IF(DatiOriginali!G2210 &gt;= SogliaPicchi!$B$24,"",DatiOriginali!G2210)</f>
        <v>454200</v>
      </c>
      <c r="H2210" s="4">
        <v>13062155</v>
      </c>
      <c r="I2210" s="4">
        <f>IF(DatiOriginali!I2210 &gt;= SogliaPicchi!$B$24,"",DatiOriginali!I2210)</f>
        <v>205000</v>
      </c>
      <c r="J2210" s="4">
        <v>13058709</v>
      </c>
      <c r="K2210" s="4">
        <f>IF(DatiOriginali!K2210 &gt;= SogliaPicchi!$B$24,"",DatiOriginali!K2210)</f>
        <v>167900</v>
      </c>
    </row>
    <row r="2211" spans="1:11" x14ac:dyDescent="0.3">
      <c r="A2211" s="4" t="s">
        <v>2220</v>
      </c>
      <c r="B2211" s="4">
        <v>660675</v>
      </c>
      <c r="C2211" s="4">
        <f>IF(DatiOriginali!C2211 &gt;= SogliaPicchi!$B$24,"",DatiOriginali!C2211)</f>
        <v>5965300</v>
      </c>
      <c r="D2211" s="4">
        <v>330625</v>
      </c>
      <c r="E2211" s="4">
        <f>IF(DatiOriginali!E2211 &gt;= SogliaPicchi!$B$24,"",DatiOriginali!E2211)</f>
        <v>1159800</v>
      </c>
      <c r="F2211" s="4">
        <v>10437244</v>
      </c>
      <c r="G2211" s="4">
        <f>IF(DatiOriginali!G2211 &gt;= SogliaPicchi!$B$24,"",DatiOriginali!G2211)</f>
        <v>441500</v>
      </c>
      <c r="H2211" s="4">
        <v>13074349</v>
      </c>
      <c r="I2211" s="4">
        <f>IF(DatiOriginali!I2211 &gt;= SogliaPicchi!$B$24,"",DatiOriginali!I2211)</f>
        <v>148300</v>
      </c>
      <c r="J2211" s="4">
        <v>13071221</v>
      </c>
      <c r="K2211" s="4">
        <f>IF(DatiOriginali!K2211 &gt;= SogliaPicchi!$B$24,"",DatiOriginali!K2211)</f>
        <v>162400</v>
      </c>
    </row>
    <row r="2212" spans="1:11" x14ac:dyDescent="0.3">
      <c r="A2212" s="4" t="s">
        <v>2221</v>
      </c>
      <c r="B2212" s="4">
        <v>660675</v>
      </c>
      <c r="C2212" s="4">
        <f>IF(DatiOriginali!C2212 &gt;= SogliaPicchi!$B$24,"",DatiOriginali!C2212)</f>
        <v>5912700</v>
      </c>
      <c r="D2212" s="4">
        <v>327512</v>
      </c>
      <c r="E2212" s="4">
        <f>IF(DatiOriginali!E2212 &gt;= SogliaPicchi!$B$24,"",DatiOriginali!E2212)</f>
        <v>1127600</v>
      </c>
      <c r="F2212" s="4">
        <v>10447465</v>
      </c>
      <c r="G2212" s="4">
        <f>IF(DatiOriginali!G2212 &gt;= SogliaPicchi!$B$24,"",DatiOriginali!G2212)</f>
        <v>432600</v>
      </c>
      <c r="H2212" s="4">
        <v>13086682</v>
      </c>
      <c r="I2212" s="4">
        <f>IF(DatiOriginali!I2212 &gt;= SogliaPicchi!$B$24,"",DatiOriginali!I2212)</f>
        <v>147600</v>
      </c>
      <c r="J2212" s="4">
        <v>13084977</v>
      </c>
      <c r="K2212" s="4">
        <f>IF(DatiOriginali!K2212 &gt;= SogliaPicchi!$B$24,"",DatiOriginali!K2212)</f>
        <v>164100</v>
      </c>
    </row>
    <row r="2213" spans="1:11" x14ac:dyDescent="0.3">
      <c r="A2213" s="4" t="s">
        <v>2222</v>
      </c>
      <c r="B2213" s="4">
        <v>660675</v>
      </c>
      <c r="C2213" s="4">
        <f>IF(DatiOriginali!C2213 &gt;= SogliaPicchi!$B$24,"",DatiOriginali!C2213)</f>
        <v>5995300</v>
      </c>
      <c r="D2213" s="4">
        <v>321423</v>
      </c>
      <c r="E2213" s="4">
        <f>IF(DatiOriginali!E2213 &gt;= SogliaPicchi!$B$24,"",DatiOriginali!E2213)</f>
        <v>1144800</v>
      </c>
      <c r="F2213" s="4">
        <v>10457722</v>
      </c>
      <c r="G2213" s="4">
        <f>IF(DatiOriginali!G2213 &gt;= SogliaPicchi!$B$24,"",DatiOriginali!G2213)</f>
        <v>431400</v>
      </c>
      <c r="H2213" s="4">
        <v>13099318</v>
      </c>
      <c r="I2213" s="4">
        <f>IF(DatiOriginali!I2213 &gt;= SogliaPicchi!$B$24,"",DatiOriginali!I2213)</f>
        <v>151800</v>
      </c>
      <c r="J2213" s="4">
        <v>13099765</v>
      </c>
      <c r="K2213" s="4">
        <f>IF(DatiOriginali!K2213 &gt;= SogliaPicchi!$B$24,"",DatiOriginali!K2213)</f>
        <v>174400</v>
      </c>
    </row>
    <row r="2214" spans="1:11" x14ac:dyDescent="0.3">
      <c r="A2214" s="4" t="s">
        <v>2223</v>
      </c>
      <c r="B2214" s="4">
        <v>660675</v>
      </c>
      <c r="C2214" s="4">
        <f>IF(DatiOriginali!C2214 &gt;= SogliaPicchi!$B$24,"",DatiOriginali!C2214)</f>
        <v>5605300</v>
      </c>
      <c r="D2214" s="4">
        <v>324443</v>
      </c>
      <c r="E2214" s="4">
        <f>IF(DatiOriginali!E2214 &gt;= SogliaPicchi!$B$24,"",DatiOriginali!E2214)</f>
        <v>1120400</v>
      </c>
      <c r="F2214" s="4">
        <v>10468021</v>
      </c>
      <c r="G2214" s="4">
        <f>IF(DatiOriginali!G2214 &gt;= SogliaPicchi!$B$24,"",DatiOriginali!G2214)</f>
        <v>434100</v>
      </c>
      <c r="H2214" s="4">
        <v>13111619</v>
      </c>
      <c r="I2214" s="4">
        <f>IF(DatiOriginali!I2214 &gt;= SogliaPicchi!$B$24,"",DatiOriginali!I2214)</f>
        <v>148100</v>
      </c>
      <c r="J2214" s="4">
        <v>13113021</v>
      </c>
      <c r="K2214" s="4">
        <f>IF(DatiOriginali!K2214 &gt;= SogliaPicchi!$B$24,"",DatiOriginali!K2214)</f>
        <v>164700</v>
      </c>
    </row>
    <row r="2215" spans="1:11" x14ac:dyDescent="0.3">
      <c r="A2215" s="4" t="s">
        <v>2224</v>
      </c>
      <c r="B2215" s="4">
        <v>660675</v>
      </c>
      <c r="C2215" s="4">
        <f>IF(DatiOriginali!C2215 &gt;= SogliaPicchi!$B$24,"",DatiOriginali!C2215)</f>
        <v>5978300</v>
      </c>
      <c r="D2215" s="4">
        <v>329831</v>
      </c>
      <c r="E2215" s="4">
        <f>IF(DatiOriginali!E2215 &gt;= SogliaPicchi!$B$24,"",DatiOriginali!E2215)</f>
        <v>1139800</v>
      </c>
      <c r="F2215" s="4">
        <v>10478280</v>
      </c>
      <c r="G2215" s="4">
        <f>IF(DatiOriginali!G2215 &gt;= SogliaPicchi!$B$24,"",DatiOriginali!G2215)</f>
        <v>438800</v>
      </c>
      <c r="H2215" s="4">
        <v>13125364</v>
      </c>
      <c r="I2215" s="4">
        <f>IF(DatiOriginali!I2215 &gt;= SogliaPicchi!$B$24,"",DatiOriginali!I2215)</f>
        <v>151600</v>
      </c>
      <c r="J2215" s="4">
        <v>13125692</v>
      </c>
      <c r="K2215" s="4">
        <f>IF(DatiOriginali!K2215 &gt;= SogliaPicchi!$B$24,"",DatiOriginali!K2215)</f>
        <v>161600</v>
      </c>
    </row>
    <row r="2216" spans="1:11" x14ac:dyDescent="0.3">
      <c r="A2216" s="4" t="s">
        <v>2225</v>
      </c>
      <c r="B2216" s="4">
        <v>660675</v>
      </c>
      <c r="C2216" s="4">
        <f>IF(DatiOriginali!C2216 &gt;= SogliaPicchi!$B$24,"",DatiOriginali!C2216)</f>
        <v>5685400</v>
      </c>
      <c r="D2216" s="4">
        <v>324096</v>
      </c>
      <c r="E2216" s="4">
        <f>IF(DatiOriginali!E2216 &gt;= SogliaPicchi!$B$24,"",DatiOriginali!E2216)</f>
        <v>1119100</v>
      </c>
      <c r="F2216" s="4">
        <v>10488523</v>
      </c>
      <c r="G2216" s="4">
        <f>IF(DatiOriginali!G2216 &gt;= SogliaPicchi!$B$24,"",DatiOriginali!G2216)</f>
        <v>434200</v>
      </c>
      <c r="H2216" s="4">
        <v>13139231</v>
      </c>
      <c r="I2216" s="4">
        <f>IF(DatiOriginali!I2216 &gt;= SogliaPicchi!$B$24,"",DatiOriginali!I2216)</f>
        <v>159300</v>
      </c>
      <c r="J2216" s="4">
        <v>13139861</v>
      </c>
      <c r="K2216" s="4">
        <f>IF(DatiOriginali!K2216 &gt;= SogliaPicchi!$B$24,"",DatiOriginali!K2216)</f>
        <v>171000</v>
      </c>
    </row>
    <row r="2217" spans="1:11" x14ac:dyDescent="0.3">
      <c r="A2217" s="4" t="s">
        <v>2226</v>
      </c>
      <c r="B2217" s="4">
        <v>660675</v>
      </c>
      <c r="C2217" s="4">
        <f>IF(DatiOriginali!C2217 &gt;= SogliaPicchi!$B$24,"",DatiOriginali!C2217)</f>
        <v>5587500</v>
      </c>
      <c r="D2217" s="4">
        <v>328602</v>
      </c>
      <c r="E2217" s="4">
        <f>IF(DatiOriginali!E2217 &gt;= SogliaPicchi!$B$24,"",DatiOriginali!E2217)</f>
        <v>1160700</v>
      </c>
      <c r="F2217" s="4">
        <v>10498790</v>
      </c>
      <c r="G2217" s="4">
        <f>IF(DatiOriginali!G2217 &gt;= SogliaPicchi!$B$24,"",DatiOriginali!G2217)</f>
        <v>527700</v>
      </c>
      <c r="H2217" s="4">
        <v>13152591</v>
      </c>
      <c r="I2217" s="4">
        <f>IF(DatiOriginali!I2217 &gt;= SogliaPicchi!$B$24,"",DatiOriginali!I2217)</f>
        <v>186000</v>
      </c>
      <c r="J2217" s="4">
        <v>13152886</v>
      </c>
      <c r="K2217" s="4">
        <f>IF(DatiOriginali!K2217 &gt;= SogliaPicchi!$B$24,"",DatiOriginali!K2217)</f>
        <v>198600</v>
      </c>
    </row>
    <row r="2218" spans="1:11" x14ac:dyDescent="0.3">
      <c r="A2218" s="4" t="s">
        <v>2227</v>
      </c>
      <c r="B2218" s="4">
        <v>660675</v>
      </c>
      <c r="C2218" s="4">
        <f>IF(DatiOriginali!C2218 &gt;= SogliaPicchi!$B$24,"",DatiOriginali!C2218)</f>
        <v>6285800</v>
      </c>
      <c r="D2218" s="4">
        <v>333889</v>
      </c>
      <c r="E2218" s="4">
        <f>IF(DatiOriginali!E2218 &gt;= SogliaPicchi!$B$24,"",DatiOriginali!E2218)</f>
        <v>1180400</v>
      </c>
      <c r="F2218" s="4">
        <v>10509020</v>
      </c>
      <c r="G2218" s="4">
        <f>IF(DatiOriginali!G2218 &gt;= SogliaPicchi!$B$24,"",DatiOriginali!G2218)</f>
        <v>440100</v>
      </c>
      <c r="H2218" s="4">
        <v>13166452</v>
      </c>
      <c r="I2218" s="4">
        <f>IF(DatiOriginali!I2218 &gt;= SogliaPicchi!$B$24,"",DatiOriginali!I2218)</f>
        <v>153200</v>
      </c>
      <c r="J2218" s="4">
        <v>13165505</v>
      </c>
      <c r="K2218" s="4">
        <f>IF(DatiOriginali!K2218 &gt;= SogliaPicchi!$B$24,"",DatiOriginali!K2218)</f>
        <v>172800</v>
      </c>
    </row>
    <row r="2219" spans="1:11" x14ac:dyDescent="0.3">
      <c r="A2219" s="4" t="s">
        <v>2228</v>
      </c>
      <c r="B2219" s="4">
        <v>660675</v>
      </c>
      <c r="C2219" s="4">
        <f>IF(DatiOriginali!C2219 &gt;= SogliaPicchi!$B$24,"",DatiOriginali!C2219)</f>
        <v>5707600</v>
      </c>
      <c r="D2219" s="4">
        <v>331876</v>
      </c>
      <c r="E2219" s="4">
        <f>IF(DatiOriginali!E2219 &gt;= SogliaPicchi!$B$24,"",DatiOriginali!E2219)</f>
        <v>1379200</v>
      </c>
      <c r="F2219" s="4">
        <v>10519295</v>
      </c>
      <c r="G2219" s="4">
        <f>IF(DatiOriginali!G2219 &gt;= SogliaPicchi!$B$24,"",DatiOriginali!G2219)</f>
        <v>445700</v>
      </c>
      <c r="H2219" s="4">
        <v>13179863</v>
      </c>
      <c r="I2219" s="4">
        <f>IF(DatiOriginali!I2219 &gt;= SogliaPicchi!$B$24,"",DatiOriginali!I2219)</f>
        <v>149300</v>
      </c>
      <c r="J2219" s="4">
        <v>13177663</v>
      </c>
      <c r="K2219" s="4">
        <f>IF(DatiOriginali!K2219 &gt;= SogliaPicchi!$B$24,"",DatiOriginali!K2219)</f>
        <v>167900</v>
      </c>
    </row>
    <row r="2220" spans="1:11" x14ac:dyDescent="0.3">
      <c r="A2220" s="4" t="s">
        <v>2229</v>
      </c>
      <c r="B2220" s="4">
        <v>660675</v>
      </c>
      <c r="C2220" s="4">
        <f>IF(DatiOriginali!C2220 &gt;= SogliaPicchi!$B$24,"",DatiOriginali!C2220)</f>
        <v>5951900</v>
      </c>
      <c r="D2220" s="4">
        <v>329437</v>
      </c>
      <c r="E2220" s="4">
        <f>IF(DatiOriginali!E2220 &gt;= SogliaPicchi!$B$24,"",DatiOriginali!E2220)</f>
        <v>1146700</v>
      </c>
      <c r="F2220" s="4">
        <v>10529529</v>
      </c>
      <c r="G2220" s="4">
        <f>IF(DatiOriginali!G2220 &gt;= SogliaPicchi!$B$24,"",DatiOriginali!G2220)</f>
        <v>438000</v>
      </c>
      <c r="H2220" s="4">
        <v>13192099</v>
      </c>
      <c r="I2220" s="4">
        <f>IF(DatiOriginali!I2220 &gt;= SogliaPicchi!$B$24,"",DatiOriginali!I2220)</f>
        <v>150400</v>
      </c>
      <c r="J2220" s="4">
        <v>13192668</v>
      </c>
      <c r="K2220" s="4">
        <f>IF(DatiOriginali!K2220 &gt;= SogliaPicchi!$B$24,"",DatiOriginali!K2220)</f>
        <v>170900</v>
      </c>
    </row>
    <row r="2221" spans="1:11" x14ac:dyDescent="0.3">
      <c r="A2221" s="4" t="s">
        <v>2230</v>
      </c>
      <c r="B2221" s="4">
        <v>660675</v>
      </c>
      <c r="C2221" s="4">
        <f>IF(DatiOriginali!C2221 &gt;= SogliaPicchi!$B$24,"",DatiOriginali!C2221)</f>
        <v>6297100</v>
      </c>
      <c r="D2221" s="4">
        <v>331530</v>
      </c>
      <c r="E2221" s="4">
        <f>IF(DatiOriginali!E2221 &gt;= SogliaPicchi!$B$24,"",DatiOriginali!E2221)</f>
        <v>1143800</v>
      </c>
      <c r="F2221" s="4">
        <v>10539799</v>
      </c>
      <c r="G2221" s="4">
        <f>IF(DatiOriginali!G2221 &gt;= SogliaPicchi!$B$24,"",DatiOriginali!G2221)</f>
        <v>440900</v>
      </c>
      <c r="H2221" s="4">
        <v>13204943</v>
      </c>
      <c r="I2221" s="4">
        <f>IF(DatiOriginali!I2221 &gt;= SogliaPicchi!$B$24,"",DatiOriginali!I2221)</f>
        <v>146300</v>
      </c>
      <c r="J2221" s="4">
        <v>13205297</v>
      </c>
      <c r="K2221" s="4">
        <f>IF(DatiOriginali!K2221 &gt;= SogliaPicchi!$B$24,"",DatiOriginali!K2221)</f>
        <v>169300</v>
      </c>
    </row>
    <row r="2222" spans="1:11" x14ac:dyDescent="0.3">
      <c r="A2222" s="4" t="s">
        <v>2231</v>
      </c>
      <c r="B2222" s="4">
        <v>660675</v>
      </c>
      <c r="C2222" s="4">
        <f>IF(DatiOriginali!C2222 &gt;= SogliaPicchi!$B$24,"",DatiOriginali!C2222)</f>
        <v>5751600</v>
      </c>
      <c r="D2222" s="4">
        <v>333136</v>
      </c>
      <c r="E2222" s="4">
        <f>IF(DatiOriginali!E2222 &gt;= SogliaPicchi!$B$24,"",DatiOriginali!E2222)</f>
        <v>1150400</v>
      </c>
      <c r="F2222" s="4">
        <v>10550047</v>
      </c>
      <c r="G2222" s="4">
        <f>IF(DatiOriginali!G2222 &gt;= SogliaPicchi!$B$24,"",DatiOriginali!G2222)</f>
        <v>434400</v>
      </c>
      <c r="H2222" s="4">
        <v>13217188</v>
      </c>
      <c r="I2222" s="4">
        <f>IF(DatiOriginali!I2222 &gt;= SogliaPicchi!$B$24,"",DatiOriginali!I2222)</f>
        <v>147200</v>
      </c>
      <c r="J2222" s="4">
        <v>13217149</v>
      </c>
      <c r="K2222" s="4">
        <f>IF(DatiOriginali!K2222 &gt;= SogliaPicchi!$B$24,"",DatiOriginali!K2222)</f>
        <v>161500</v>
      </c>
    </row>
    <row r="2223" spans="1:11" x14ac:dyDescent="0.3">
      <c r="A2223" s="4" t="s">
        <v>2232</v>
      </c>
      <c r="B2223" s="4">
        <v>660675</v>
      </c>
      <c r="C2223" s="4">
        <f>IF(DatiOriginali!C2223 &gt;= SogliaPicchi!$B$24,"",DatiOriginali!C2223)</f>
        <v>6212500</v>
      </c>
      <c r="D2223" s="4">
        <v>346561</v>
      </c>
      <c r="E2223" s="4">
        <f>IF(DatiOriginali!E2223 &gt;= SogliaPicchi!$B$24,"",DatiOriginali!E2223)</f>
        <v>1842300</v>
      </c>
      <c r="F2223" s="4">
        <v>10560321</v>
      </c>
      <c r="G2223" s="4">
        <f>IF(DatiOriginali!G2223 &gt;= SogliaPicchi!$B$24,"",DatiOriginali!G2223)</f>
        <v>526500</v>
      </c>
      <c r="H2223" s="4">
        <v>13230758</v>
      </c>
      <c r="I2223" s="4">
        <f>IF(DatiOriginali!I2223 &gt;= SogliaPicchi!$B$24,"",DatiOriginali!I2223)</f>
        <v>186500</v>
      </c>
      <c r="J2223" s="4">
        <v>13230131</v>
      </c>
      <c r="K2223" s="4">
        <f>IF(DatiOriginali!K2223 &gt;= SogliaPicchi!$B$24,"",DatiOriginali!K2223)</f>
        <v>201400</v>
      </c>
    </row>
    <row r="2224" spans="1:11" x14ac:dyDescent="0.3">
      <c r="A2224" s="4" t="s">
        <v>2233</v>
      </c>
      <c r="B2224" s="4">
        <v>660675</v>
      </c>
      <c r="C2224" s="4">
        <f>IF(DatiOriginali!C2224 &gt;= SogliaPicchi!$B$24,"",DatiOriginali!C2224)</f>
        <v>5996700</v>
      </c>
      <c r="D2224" s="4">
        <v>336028</v>
      </c>
      <c r="E2224" s="4">
        <f>IF(DatiOriginali!E2224 &gt;= SogliaPicchi!$B$24,"",DatiOriginali!E2224)</f>
        <v>1160300</v>
      </c>
      <c r="F2224" s="4">
        <v>10570563</v>
      </c>
      <c r="G2224" s="4">
        <f>IF(DatiOriginali!G2224 &gt;= SogliaPicchi!$B$24,"",DatiOriginali!G2224)</f>
        <v>431200</v>
      </c>
      <c r="H2224" s="4">
        <v>13243299</v>
      </c>
      <c r="I2224" s="4">
        <f>IF(DatiOriginali!I2224 &gt;= SogliaPicchi!$B$24,"",DatiOriginali!I2224)</f>
        <v>153300</v>
      </c>
      <c r="J2224" s="4">
        <v>13243495</v>
      </c>
      <c r="K2224" s="4">
        <f>IF(DatiOriginali!K2224 &gt;= SogliaPicchi!$B$24,"",DatiOriginali!K2224)</f>
        <v>166300</v>
      </c>
    </row>
    <row r="2225" spans="1:11" x14ac:dyDescent="0.3">
      <c r="A2225" s="4" t="s">
        <v>2234</v>
      </c>
      <c r="B2225" s="4">
        <v>660675</v>
      </c>
      <c r="C2225" s="4">
        <f>IF(DatiOriginali!C2225 &gt;= SogliaPicchi!$B$24,"",DatiOriginali!C2225)</f>
        <v>5595100</v>
      </c>
      <c r="D2225" s="4">
        <v>333923</v>
      </c>
      <c r="E2225" s="4">
        <f>IF(DatiOriginali!E2225 &gt;= SogliaPicchi!$B$24,"",DatiOriginali!E2225)</f>
        <v>1183800</v>
      </c>
      <c r="F2225" s="4">
        <v>10580813</v>
      </c>
      <c r="G2225" s="4">
        <f>IF(DatiOriginali!G2225 &gt;= SogliaPicchi!$B$24,"",DatiOriginali!G2225)</f>
        <v>439300</v>
      </c>
      <c r="H2225" s="4">
        <v>13256213</v>
      </c>
      <c r="I2225" s="4">
        <f>IF(DatiOriginali!I2225 &gt;= SogliaPicchi!$B$24,"",DatiOriginali!I2225)</f>
        <v>157100</v>
      </c>
      <c r="J2225" s="4">
        <v>13257744</v>
      </c>
      <c r="K2225" s="4">
        <f>IF(DatiOriginali!K2225 &gt;= SogliaPicchi!$B$24,"",DatiOriginali!K2225)</f>
        <v>168900</v>
      </c>
    </row>
    <row r="2226" spans="1:11" x14ac:dyDescent="0.3">
      <c r="A2226" s="4" t="s">
        <v>2235</v>
      </c>
      <c r="B2226" s="4">
        <v>660675</v>
      </c>
      <c r="C2226" s="4">
        <f>IF(DatiOriginali!C2226 &gt;= SogliaPicchi!$B$24,"",DatiOriginali!C2226)</f>
        <v>5653600</v>
      </c>
      <c r="D2226" s="4">
        <v>337079</v>
      </c>
      <c r="E2226" s="4">
        <f>IF(DatiOriginali!E2226 &gt;= SogliaPicchi!$B$24,"",DatiOriginali!E2226)</f>
        <v>1170700</v>
      </c>
      <c r="F2226" s="4">
        <v>10591092</v>
      </c>
      <c r="G2226" s="4">
        <f>IF(DatiOriginali!G2226 &gt;= SogliaPicchi!$B$24,"",DatiOriginali!G2226)</f>
        <v>436100</v>
      </c>
      <c r="H2226" s="4">
        <v>13269644</v>
      </c>
      <c r="I2226" s="4">
        <f>IF(DatiOriginali!I2226 &gt;= SogliaPicchi!$B$24,"",DatiOriginali!I2226)</f>
        <v>149200</v>
      </c>
      <c r="J2226" s="4">
        <v>13270106</v>
      </c>
      <c r="K2226" s="4">
        <f>IF(DatiOriginali!K2226 &gt;= SogliaPicchi!$B$24,"",DatiOriginali!K2226)</f>
        <v>164700</v>
      </c>
    </row>
    <row r="2227" spans="1:11" x14ac:dyDescent="0.3">
      <c r="A2227" s="4" t="s">
        <v>2236</v>
      </c>
      <c r="B2227" s="4">
        <v>660675</v>
      </c>
      <c r="C2227" s="4">
        <f>IF(DatiOriginali!C2227 &gt;= SogliaPicchi!$B$24,"",DatiOriginali!C2227)</f>
        <v>5716400</v>
      </c>
      <c r="D2227" s="4">
        <v>332321</v>
      </c>
      <c r="E2227" s="4">
        <f>IF(DatiOriginali!E2227 &gt;= SogliaPicchi!$B$24,"",DatiOriginali!E2227)</f>
        <v>1384300</v>
      </c>
      <c r="F2227" s="4">
        <v>10601345</v>
      </c>
      <c r="G2227" s="4">
        <f>IF(DatiOriginali!G2227 &gt;= SogliaPicchi!$B$24,"",DatiOriginali!G2227)</f>
        <v>453300</v>
      </c>
      <c r="H2227" s="4">
        <v>13282972</v>
      </c>
      <c r="I2227" s="4">
        <f>IF(DatiOriginali!I2227 &gt;= SogliaPicchi!$B$24,"",DatiOriginali!I2227)</f>
        <v>156200</v>
      </c>
      <c r="J2227" s="4">
        <v>13282487</v>
      </c>
      <c r="K2227" s="4">
        <f>IF(DatiOriginali!K2227 &gt;= SogliaPicchi!$B$24,"",DatiOriginali!K2227)</f>
        <v>168600</v>
      </c>
    </row>
    <row r="2228" spans="1:11" x14ac:dyDescent="0.3">
      <c r="A2228" s="4" t="s">
        <v>2237</v>
      </c>
      <c r="B2228" s="4">
        <v>660675</v>
      </c>
      <c r="C2228" s="4">
        <f>IF(DatiOriginali!C2228 &gt;= SogliaPicchi!$B$24,"",DatiOriginali!C2228)</f>
        <v>5682900</v>
      </c>
      <c r="D2228" s="4">
        <v>350511</v>
      </c>
      <c r="E2228" s="4">
        <f>IF(DatiOriginali!E2228 &gt;= SogliaPicchi!$B$24,"",DatiOriginali!E2228)</f>
        <v>1229000</v>
      </c>
      <c r="F2228" s="4">
        <v>10611633</v>
      </c>
      <c r="G2228" s="4">
        <f>IF(DatiOriginali!G2228 &gt;= SogliaPicchi!$B$24,"",DatiOriginali!G2228)</f>
        <v>503500</v>
      </c>
      <c r="H2228" s="4">
        <v>13295336</v>
      </c>
      <c r="I2228" s="4">
        <f>IF(DatiOriginali!I2228 &gt;= SogliaPicchi!$B$24,"",DatiOriginali!I2228)</f>
        <v>180800</v>
      </c>
      <c r="J2228" s="4">
        <v>13295234</v>
      </c>
      <c r="K2228" s="4">
        <f>IF(DatiOriginali!K2228 &gt;= SogliaPicchi!$B$24,"",DatiOriginali!K2228)</f>
        <v>163600</v>
      </c>
    </row>
    <row r="2229" spans="1:11" x14ac:dyDescent="0.3">
      <c r="A2229" s="4" t="s">
        <v>2238</v>
      </c>
      <c r="B2229" s="4">
        <v>660675</v>
      </c>
      <c r="C2229" s="4">
        <f>IF(DatiOriginali!C2229 &gt;= SogliaPicchi!$B$24,"",DatiOriginali!C2229)</f>
        <v>5776900</v>
      </c>
      <c r="D2229" s="4">
        <v>336197</v>
      </c>
      <c r="E2229" s="4">
        <f>IF(DatiOriginali!E2229 &gt;= SogliaPicchi!$B$24,"",DatiOriginali!E2229)</f>
        <v>1163500</v>
      </c>
      <c r="F2229" s="4">
        <v>10621897</v>
      </c>
      <c r="G2229" s="4">
        <f>IF(DatiOriginali!G2229 &gt;= SogliaPicchi!$B$24,"",DatiOriginali!G2229)</f>
        <v>442800</v>
      </c>
      <c r="H2229" s="4">
        <v>13307828</v>
      </c>
      <c r="I2229" s="4">
        <f>IF(DatiOriginali!I2229 &gt;= SogliaPicchi!$B$24,"",DatiOriginali!I2229)</f>
        <v>150800</v>
      </c>
      <c r="J2229" s="4">
        <v>13308851</v>
      </c>
      <c r="K2229" s="4">
        <f>IF(DatiOriginali!K2229 &gt;= SogliaPicchi!$B$24,"",DatiOriginali!K2229)</f>
        <v>164900</v>
      </c>
    </row>
    <row r="2230" spans="1:11" x14ac:dyDescent="0.3">
      <c r="A2230" s="4" t="s">
        <v>2239</v>
      </c>
      <c r="B2230" s="4">
        <v>660675</v>
      </c>
      <c r="C2230" s="4">
        <f>IF(DatiOriginali!C2230 &gt;= SogliaPicchi!$B$24,"",DatiOriginali!C2230)</f>
        <v>5857700</v>
      </c>
      <c r="D2230" s="4">
        <v>326782</v>
      </c>
      <c r="E2230" s="4">
        <f>IF(DatiOriginali!E2230 &gt;= SogliaPicchi!$B$24,"",DatiOriginali!E2230)</f>
        <v>1126400</v>
      </c>
      <c r="F2230" s="4">
        <v>10632142</v>
      </c>
      <c r="G2230" s="4">
        <f>IF(DatiOriginali!G2230 &gt;= SogliaPicchi!$B$24,"",DatiOriginali!G2230)</f>
        <v>437900</v>
      </c>
      <c r="H2230" s="4">
        <v>13320637</v>
      </c>
      <c r="I2230" s="4">
        <f>IF(DatiOriginali!I2230 &gt;= SogliaPicchi!$B$24,"",DatiOriginali!I2230)</f>
        <v>147500</v>
      </c>
      <c r="J2230" s="4">
        <v>13321512</v>
      </c>
      <c r="K2230" s="4">
        <f>IF(DatiOriginali!K2230 &gt;= SogliaPicchi!$B$24,"",DatiOriginali!K2230)</f>
        <v>163800</v>
      </c>
    </row>
    <row r="2231" spans="1:11" x14ac:dyDescent="0.3">
      <c r="A2231" s="4" t="s">
        <v>2240</v>
      </c>
      <c r="B2231" s="4">
        <v>660675</v>
      </c>
      <c r="C2231" s="4">
        <f>IF(DatiOriginali!C2231 &gt;= SogliaPicchi!$B$24,"",DatiOriginali!C2231)</f>
        <v>5915800</v>
      </c>
      <c r="D2231" s="4">
        <v>333971</v>
      </c>
      <c r="E2231" s="4">
        <f>IF(DatiOriginali!E2231 &gt;= SogliaPicchi!$B$24,"",DatiOriginali!E2231)</f>
        <v>1155400</v>
      </c>
      <c r="F2231" s="4">
        <v>10642382</v>
      </c>
      <c r="G2231" s="4">
        <f>IF(DatiOriginali!G2231 &gt;= SogliaPicchi!$B$24,"",DatiOriginali!G2231)</f>
        <v>432200</v>
      </c>
      <c r="H2231" s="4">
        <v>13333162</v>
      </c>
      <c r="I2231" s="4">
        <f>IF(DatiOriginali!I2231 &gt;= SogliaPicchi!$B$24,"",DatiOriginali!I2231)</f>
        <v>148000</v>
      </c>
      <c r="J2231" s="4">
        <v>13334010</v>
      </c>
      <c r="K2231" s="4">
        <f>IF(DatiOriginali!K2231 &gt;= SogliaPicchi!$B$24,"",DatiOriginali!K2231)</f>
        <v>159700</v>
      </c>
    </row>
    <row r="2232" spans="1:11" x14ac:dyDescent="0.3">
      <c r="A2232" s="4" t="s">
        <v>2241</v>
      </c>
      <c r="B2232" s="4">
        <v>660675</v>
      </c>
      <c r="C2232" s="4">
        <f>IF(DatiOriginali!C2232 &gt;= SogliaPicchi!$B$24,"",DatiOriginali!C2232)</f>
        <v>5916600</v>
      </c>
      <c r="D2232" s="4">
        <v>338337</v>
      </c>
      <c r="E2232" s="4">
        <f>IF(DatiOriginali!E2232 &gt;= SogliaPicchi!$B$24,"",DatiOriginali!E2232)</f>
        <v>1174900</v>
      </c>
      <c r="F2232" s="4">
        <v>10652665</v>
      </c>
      <c r="G2232" s="4">
        <f>IF(DatiOriginali!G2232 &gt;= SogliaPicchi!$B$24,"",DatiOriginali!G2232)</f>
        <v>434000</v>
      </c>
      <c r="H2232" s="4">
        <v>13345290</v>
      </c>
      <c r="I2232" s="4">
        <f>IF(DatiOriginali!I2232 &gt;= SogliaPicchi!$B$24,"",DatiOriginali!I2232)</f>
        <v>149000</v>
      </c>
      <c r="J2232" s="4">
        <v>13347041</v>
      </c>
      <c r="K2232" s="4">
        <f>IF(DatiOriginali!K2232 &gt;= SogliaPicchi!$B$24,"",DatiOriginali!K2232)</f>
        <v>163500</v>
      </c>
    </row>
    <row r="2233" spans="1:11" x14ac:dyDescent="0.3">
      <c r="A2233" s="4" t="s">
        <v>2242</v>
      </c>
      <c r="B2233" s="4">
        <v>660675</v>
      </c>
      <c r="C2233" s="4">
        <f>IF(DatiOriginali!C2233 &gt;= SogliaPicchi!$B$24,"",DatiOriginali!C2233)</f>
        <v>5424300</v>
      </c>
      <c r="D2233" s="4">
        <v>326341</v>
      </c>
      <c r="E2233" s="4">
        <f>IF(DatiOriginali!E2233 &gt;= SogliaPicchi!$B$24,"",DatiOriginali!E2233)</f>
        <v>1124300</v>
      </c>
      <c r="F2233" s="4">
        <v>10662944</v>
      </c>
      <c r="G2233" s="4">
        <f>IF(DatiOriginali!G2233 &gt;= SogliaPicchi!$B$24,"",DatiOriginali!G2233)</f>
        <v>440200</v>
      </c>
      <c r="H2233" s="4">
        <v>13357923</v>
      </c>
      <c r="I2233" s="4">
        <f>IF(DatiOriginali!I2233 &gt;= SogliaPicchi!$B$24,"",DatiOriginali!I2233)</f>
        <v>146700</v>
      </c>
      <c r="J2233" s="4">
        <v>13360131</v>
      </c>
      <c r="K2233" s="4">
        <f>IF(DatiOriginali!K2233 &gt;= SogliaPicchi!$B$24,"",DatiOriginali!K2233)</f>
        <v>162000</v>
      </c>
    </row>
    <row r="2234" spans="1:11" x14ac:dyDescent="0.3">
      <c r="A2234" s="4" t="s">
        <v>2243</v>
      </c>
      <c r="B2234" s="4">
        <v>660675</v>
      </c>
      <c r="C2234" s="4">
        <f>IF(DatiOriginali!C2234 &gt;= SogliaPicchi!$B$24,"",DatiOriginali!C2234)</f>
        <v>5594700</v>
      </c>
      <c r="D2234" s="4">
        <v>341599</v>
      </c>
      <c r="E2234" s="4">
        <f>IF(DatiOriginali!E2234 &gt;= SogliaPicchi!$B$24,"",DatiOriginali!E2234)</f>
        <v>1175500</v>
      </c>
      <c r="F2234" s="4">
        <v>10673199</v>
      </c>
      <c r="G2234" s="4">
        <f>IF(DatiOriginali!G2234 &gt;= SogliaPicchi!$B$24,"",DatiOriginali!G2234)</f>
        <v>429800</v>
      </c>
      <c r="H2234" s="4">
        <v>13370659</v>
      </c>
      <c r="I2234" s="4">
        <f>IF(DatiOriginali!I2234 &gt;= SogliaPicchi!$B$24,"",DatiOriginali!I2234)</f>
        <v>151700</v>
      </c>
      <c r="J2234" s="4">
        <v>13372534</v>
      </c>
      <c r="K2234" s="4">
        <f>IF(DatiOriginali!K2234 &gt;= SogliaPicchi!$B$24,"",DatiOriginali!K2234)</f>
        <v>164500</v>
      </c>
    </row>
    <row r="2235" spans="1:11" x14ac:dyDescent="0.3">
      <c r="A2235" s="4" t="s">
        <v>2244</v>
      </c>
      <c r="B2235" s="4">
        <v>660675</v>
      </c>
      <c r="C2235" s="4">
        <f>IF(DatiOriginali!C2235 &gt;= SogliaPicchi!$B$24,"",DatiOriginali!C2235)</f>
        <v>5659200</v>
      </c>
      <c r="D2235" s="4">
        <v>318751</v>
      </c>
      <c r="E2235" s="4">
        <f>IF(DatiOriginali!E2235 &gt;= SogliaPicchi!$B$24,"",DatiOriginali!E2235)</f>
        <v>1189500</v>
      </c>
      <c r="F2235" s="4">
        <v>10683479</v>
      </c>
      <c r="G2235" s="4">
        <f>IF(DatiOriginali!G2235 &gt;= SogliaPicchi!$B$24,"",DatiOriginali!G2235)</f>
        <v>436500</v>
      </c>
      <c r="H2235" s="4">
        <v>13383406</v>
      </c>
      <c r="I2235" s="4">
        <f>IF(DatiOriginali!I2235 &gt;= SogliaPicchi!$B$24,"",DatiOriginali!I2235)</f>
        <v>150800</v>
      </c>
      <c r="J2235" s="4">
        <v>13385249</v>
      </c>
      <c r="K2235" s="4">
        <f>IF(DatiOriginali!K2235 &gt;= SogliaPicchi!$B$24,"",DatiOriginali!K2235)</f>
        <v>160700</v>
      </c>
    </row>
    <row r="2236" spans="1:11" x14ac:dyDescent="0.3">
      <c r="A2236" s="4" t="s">
        <v>2245</v>
      </c>
      <c r="B2236" s="4">
        <v>660675</v>
      </c>
      <c r="C2236" s="4">
        <f>IF(DatiOriginali!C2236 &gt;= SogliaPicchi!$B$24,"",DatiOriginali!C2236)</f>
        <v>5633800</v>
      </c>
      <c r="D2236" s="4">
        <v>343538</v>
      </c>
      <c r="E2236" s="4">
        <f>IF(DatiOriginali!E2236 &gt;= SogliaPicchi!$B$24,"",DatiOriginali!E2236)</f>
        <v>1192400</v>
      </c>
      <c r="F2236" s="4">
        <v>10693759</v>
      </c>
      <c r="G2236" s="4">
        <f>IF(DatiOriginali!G2236 &gt;= SogliaPicchi!$B$24,"",DatiOriginali!G2236)</f>
        <v>437400</v>
      </c>
      <c r="H2236" s="4">
        <v>13396753</v>
      </c>
      <c r="I2236" s="4">
        <f>IF(DatiOriginali!I2236 &gt;= SogliaPicchi!$B$24,"",DatiOriginali!I2236)</f>
        <v>146500</v>
      </c>
      <c r="J2236" s="4">
        <v>13397997</v>
      </c>
      <c r="K2236" s="4">
        <f>IF(DatiOriginali!K2236 &gt;= SogliaPicchi!$B$24,"",DatiOriginali!K2236)</f>
        <v>163600</v>
      </c>
    </row>
    <row r="2237" spans="1:11" x14ac:dyDescent="0.3">
      <c r="A2237" s="4" t="s">
        <v>2246</v>
      </c>
      <c r="B2237" s="4">
        <v>660675</v>
      </c>
      <c r="C2237" s="4">
        <f>IF(DatiOriginali!C2237 &gt;= SogliaPicchi!$B$24,"",DatiOriginali!C2237)</f>
        <v>5543700</v>
      </c>
      <c r="D2237" s="4">
        <v>329181</v>
      </c>
      <c r="E2237" s="4">
        <f>IF(DatiOriginali!E2237 &gt;= SogliaPicchi!$B$24,"",DatiOriginali!E2237)</f>
        <v>1143300</v>
      </c>
      <c r="F2237" s="4">
        <v>10703993</v>
      </c>
      <c r="G2237" s="4">
        <f>IF(DatiOriginali!G2237 &gt;= SogliaPicchi!$B$24,"",DatiOriginali!G2237)</f>
        <v>440800</v>
      </c>
      <c r="H2237" s="4">
        <v>13409488</v>
      </c>
      <c r="I2237" s="4">
        <f>IF(DatiOriginali!I2237 &gt;= SogliaPicchi!$B$24,"",DatiOriginali!I2237)</f>
        <v>151200</v>
      </c>
      <c r="J2237" s="4">
        <v>13410621</v>
      </c>
      <c r="K2237" s="4">
        <f>IF(DatiOriginali!K2237 &gt;= SogliaPicchi!$B$24,"",DatiOriginali!K2237)</f>
        <v>189000</v>
      </c>
    </row>
    <row r="2238" spans="1:11" x14ac:dyDescent="0.3">
      <c r="A2238" s="4" t="s">
        <v>2247</v>
      </c>
      <c r="B2238" s="4">
        <v>660675</v>
      </c>
      <c r="C2238" s="4">
        <f>IF(DatiOriginali!C2238 &gt;= SogliaPicchi!$B$24,"",DatiOriginali!C2238)</f>
        <v>5579000</v>
      </c>
      <c r="D2238" s="4">
        <v>338521</v>
      </c>
      <c r="E2238" s="4">
        <f>IF(DatiOriginali!E2238 &gt;= SogliaPicchi!$B$24,"",DatiOriginali!E2238)</f>
        <v>1259700</v>
      </c>
      <c r="F2238" s="4">
        <v>10714255</v>
      </c>
      <c r="G2238" s="4">
        <f>IF(DatiOriginali!G2238 &gt;= SogliaPicchi!$B$24,"",DatiOriginali!G2238)</f>
        <v>443300</v>
      </c>
      <c r="H2238" s="4">
        <v>13421544</v>
      </c>
      <c r="I2238" s="4">
        <f>IF(DatiOriginali!I2238 &gt;= SogliaPicchi!$B$24,"",DatiOriginali!I2238)</f>
        <v>152100</v>
      </c>
      <c r="J2238" s="4">
        <v>13423209</v>
      </c>
      <c r="K2238" s="4">
        <f>IF(DatiOriginali!K2238 &gt;= SogliaPicchi!$B$24,"",DatiOriginali!K2238)</f>
        <v>168300</v>
      </c>
    </row>
    <row r="2239" spans="1:11" x14ac:dyDescent="0.3">
      <c r="A2239" s="4" t="s">
        <v>2248</v>
      </c>
      <c r="B2239" s="4">
        <v>660675</v>
      </c>
      <c r="C2239" s="4">
        <f>IF(DatiOriginali!C2239 &gt;= SogliaPicchi!$B$24,"",DatiOriginali!C2239)</f>
        <v>5835200</v>
      </c>
      <c r="D2239" s="4">
        <v>332141</v>
      </c>
      <c r="E2239" s="4">
        <f>IF(DatiOriginali!E2239 &gt;= SogliaPicchi!$B$24,"",DatiOriginali!E2239)</f>
        <v>1183000</v>
      </c>
      <c r="F2239" s="4">
        <v>10724509</v>
      </c>
      <c r="G2239" s="4">
        <f>IF(DatiOriginali!G2239 &gt;= SogliaPicchi!$B$24,"",DatiOriginali!G2239)</f>
        <v>440800</v>
      </c>
      <c r="H2239" s="4">
        <v>13435853</v>
      </c>
      <c r="I2239" s="4">
        <f>IF(DatiOriginali!I2239 &gt;= SogliaPicchi!$B$24,"",DatiOriginali!I2239)</f>
        <v>154800</v>
      </c>
      <c r="J2239" s="4">
        <v>13435577</v>
      </c>
      <c r="K2239" s="4">
        <f>IF(DatiOriginali!K2239 &gt;= SogliaPicchi!$B$24,"",DatiOriginali!K2239)</f>
        <v>161700</v>
      </c>
    </row>
    <row r="2240" spans="1:11" x14ac:dyDescent="0.3">
      <c r="A2240" s="4" t="s">
        <v>2249</v>
      </c>
      <c r="B2240" s="4">
        <v>660675</v>
      </c>
      <c r="C2240" s="4">
        <f>IF(DatiOriginali!C2240 &gt;= SogliaPicchi!$B$24,"",DatiOriginali!C2240)</f>
        <v>6251900</v>
      </c>
      <c r="D2240" s="4">
        <v>338817</v>
      </c>
      <c r="E2240" s="4">
        <f>IF(DatiOriginali!E2240 &gt;= SogliaPicchi!$B$24,"",DatiOriginali!E2240)</f>
        <v>1187800</v>
      </c>
      <c r="F2240" s="4">
        <v>10734746</v>
      </c>
      <c r="G2240" s="4">
        <f>IF(DatiOriginali!G2240 &gt;= SogliaPicchi!$B$24,"",DatiOriginali!G2240)</f>
        <v>439200</v>
      </c>
      <c r="H2240" s="4">
        <v>13449660</v>
      </c>
      <c r="I2240" s="4">
        <f>IF(DatiOriginali!I2240 &gt;= SogliaPicchi!$B$24,"",DatiOriginali!I2240)</f>
        <v>154700</v>
      </c>
      <c r="J2240" s="4">
        <v>13449316</v>
      </c>
      <c r="K2240" s="4">
        <f>IF(DatiOriginali!K2240 &gt;= SogliaPicchi!$B$24,"",DatiOriginali!K2240)</f>
        <v>166700</v>
      </c>
    </row>
    <row r="2241" spans="1:11" x14ac:dyDescent="0.3">
      <c r="A2241" s="4" t="s">
        <v>2250</v>
      </c>
      <c r="B2241" s="4">
        <v>660675</v>
      </c>
      <c r="C2241" s="4">
        <f>IF(DatiOriginali!C2241 &gt;= SogliaPicchi!$B$24,"",DatiOriginali!C2241)</f>
        <v>5661400</v>
      </c>
      <c r="D2241" s="4">
        <v>331756</v>
      </c>
      <c r="E2241" s="4">
        <f>IF(DatiOriginali!E2241 &gt;= SogliaPicchi!$B$24,"",DatiOriginali!E2241)</f>
        <v>1148200</v>
      </c>
      <c r="F2241" s="4">
        <v>10745043</v>
      </c>
      <c r="G2241" s="4">
        <f>IF(DatiOriginali!G2241 &gt;= SogliaPicchi!$B$24,"",DatiOriginali!G2241)</f>
        <v>430900</v>
      </c>
      <c r="H2241" s="4">
        <v>13461596</v>
      </c>
      <c r="I2241" s="4">
        <f>IF(DatiOriginali!I2241 &gt;= SogliaPicchi!$B$24,"",DatiOriginali!I2241)</f>
        <v>146400</v>
      </c>
      <c r="J2241" s="4">
        <v>13461120</v>
      </c>
      <c r="K2241" s="4">
        <f>IF(DatiOriginali!K2241 &gt;= SogliaPicchi!$B$24,"",DatiOriginali!K2241)</f>
        <v>200100</v>
      </c>
    </row>
    <row r="2242" spans="1:11" x14ac:dyDescent="0.3">
      <c r="A2242" s="4" t="s">
        <v>2251</v>
      </c>
      <c r="B2242" s="4">
        <v>660675</v>
      </c>
      <c r="C2242" s="4">
        <f>IF(DatiOriginali!C2242 &gt;= SogliaPicchi!$B$24,"",DatiOriginali!C2242)</f>
        <v>5956900</v>
      </c>
      <c r="D2242" s="4">
        <v>334682</v>
      </c>
      <c r="E2242" s="4">
        <f>IF(DatiOriginali!E2242 &gt;= SogliaPicchi!$B$24,"",DatiOriginali!E2242)</f>
        <v>1163300</v>
      </c>
      <c r="F2242" s="4">
        <v>10755304</v>
      </c>
      <c r="G2242" s="4">
        <f>IF(DatiOriginali!G2242 &gt;= SogliaPicchi!$B$24,"",DatiOriginali!G2242)</f>
        <v>437100</v>
      </c>
      <c r="H2242" s="4">
        <v>13474542</v>
      </c>
      <c r="I2242" s="4">
        <f>IF(DatiOriginali!I2242 &gt;= SogliaPicchi!$B$24,"",DatiOriginali!I2242)</f>
        <v>153100</v>
      </c>
      <c r="J2242" s="4">
        <v>13474117</v>
      </c>
      <c r="K2242" s="4">
        <f>IF(DatiOriginali!K2242 &gt;= SogliaPicchi!$B$24,"",DatiOriginali!K2242)</f>
        <v>163400</v>
      </c>
    </row>
    <row r="2243" spans="1:11" x14ac:dyDescent="0.3">
      <c r="A2243" s="4" t="s">
        <v>2252</v>
      </c>
      <c r="B2243" s="4">
        <v>660675</v>
      </c>
      <c r="C2243" s="4">
        <f>IF(DatiOriginali!C2243 &gt;= SogliaPicchi!$B$24,"",DatiOriginali!C2243)</f>
        <v>5906800</v>
      </c>
      <c r="D2243" s="4">
        <v>336174</v>
      </c>
      <c r="E2243" s="4">
        <f>IF(DatiOriginali!E2243 &gt;= SogliaPicchi!$B$24,"",DatiOriginali!E2243)</f>
        <v>1159100</v>
      </c>
      <c r="F2243" s="4">
        <v>10765540</v>
      </c>
      <c r="G2243" s="4">
        <f>IF(DatiOriginali!G2243 &gt;= SogliaPicchi!$B$24,"",DatiOriginali!G2243)</f>
        <v>434500</v>
      </c>
      <c r="H2243" s="4">
        <v>13487508</v>
      </c>
      <c r="I2243" s="4">
        <f>IF(DatiOriginali!I2243 &gt;= SogliaPicchi!$B$24,"",DatiOriginali!I2243)</f>
        <v>151600</v>
      </c>
      <c r="J2243" s="4">
        <v>13487861</v>
      </c>
      <c r="K2243" s="4">
        <f>IF(DatiOriginali!K2243 &gt;= SogliaPicchi!$B$24,"",DatiOriginali!K2243)</f>
        <v>167600</v>
      </c>
    </row>
    <row r="2244" spans="1:11" x14ac:dyDescent="0.3">
      <c r="A2244" s="4" t="s">
        <v>2253</v>
      </c>
      <c r="B2244" s="4">
        <v>660675</v>
      </c>
      <c r="C2244" s="4">
        <f>IF(DatiOriginali!C2244 &gt;= SogliaPicchi!$B$24,"",DatiOriginali!C2244)</f>
        <v>6016200</v>
      </c>
      <c r="D2244" s="4">
        <v>353638</v>
      </c>
      <c r="E2244" s="4">
        <f>IF(DatiOriginali!E2244 &gt;= SogliaPicchi!$B$24,"",DatiOriginali!E2244)</f>
        <v>1218700</v>
      </c>
      <c r="F2244" s="4">
        <v>10775789</v>
      </c>
      <c r="G2244" s="4">
        <f>IF(DatiOriginali!G2244 &gt;= SogliaPicchi!$B$24,"",DatiOriginali!G2244)</f>
        <v>441100</v>
      </c>
      <c r="H2244" s="4">
        <v>13500715</v>
      </c>
      <c r="I2244" s="4">
        <f>IF(DatiOriginali!I2244 &gt;= SogliaPicchi!$B$24,"",DatiOriginali!I2244)</f>
        <v>144800</v>
      </c>
      <c r="J2244" s="4">
        <v>13500792</v>
      </c>
      <c r="K2244" s="4">
        <f>IF(DatiOriginali!K2244 &gt;= SogliaPicchi!$B$24,"",DatiOriginali!K2244)</f>
        <v>167200</v>
      </c>
    </row>
    <row r="2245" spans="1:11" x14ac:dyDescent="0.3">
      <c r="A2245" s="4" t="s">
        <v>2254</v>
      </c>
      <c r="B2245" s="4">
        <v>660675</v>
      </c>
      <c r="C2245" s="4">
        <f>IF(DatiOriginali!C2245 &gt;= SogliaPicchi!$B$24,"",DatiOriginali!C2245)</f>
        <v>5876600</v>
      </c>
      <c r="D2245" s="4">
        <v>319122</v>
      </c>
      <c r="E2245" s="4">
        <f>IF(DatiOriginali!E2245 &gt;= SogliaPicchi!$B$24,"",DatiOriginali!E2245)</f>
        <v>1101800</v>
      </c>
      <c r="F2245" s="4">
        <v>10786061</v>
      </c>
      <c r="G2245" s="4">
        <f>IF(DatiOriginali!G2245 &gt;= SogliaPicchi!$B$24,"",DatiOriginali!G2245)</f>
        <v>436500</v>
      </c>
      <c r="H2245" s="4">
        <v>13513086</v>
      </c>
      <c r="I2245" s="4">
        <f>IF(DatiOriginali!I2245 &gt;= SogliaPicchi!$B$24,"",DatiOriginali!I2245)</f>
        <v>146100</v>
      </c>
      <c r="J2245" s="4">
        <v>13513211</v>
      </c>
      <c r="K2245" s="4">
        <f>IF(DatiOriginali!K2245 &gt;= SogliaPicchi!$B$24,"",DatiOriginali!K2245)</f>
        <v>164700</v>
      </c>
    </row>
    <row r="2246" spans="1:11" x14ac:dyDescent="0.3">
      <c r="A2246" s="4" t="s">
        <v>2255</v>
      </c>
      <c r="B2246" s="4">
        <v>660675</v>
      </c>
      <c r="C2246" s="4">
        <f>IF(DatiOriginali!C2246 &gt;= SogliaPicchi!$B$24,"",DatiOriginali!C2246)</f>
        <v>5494100</v>
      </c>
      <c r="D2246" s="4">
        <v>341831</v>
      </c>
      <c r="E2246" s="4">
        <f>IF(DatiOriginali!E2246 &gt;= SogliaPicchi!$B$24,"",DatiOriginali!E2246)</f>
        <v>1223400</v>
      </c>
      <c r="F2246" s="4">
        <v>10796296</v>
      </c>
      <c r="G2246" s="4">
        <f>IF(DatiOriginali!G2246 &gt;= SogliaPicchi!$B$24,"",DatiOriginali!G2246)</f>
        <v>439200</v>
      </c>
      <c r="H2246" s="4">
        <v>13526022</v>
      </c>
      <c r="I2246" s="4">
        <f>IF(DatiOriginali!I2246 &gt;= SogliaPicchi!$B$24,"",DatiOriginali!I2246)</f>
        <v>146600</v>
      </c>
      <c r="J2246" s="4">
        <v>13525697</v>
      </c>
      <c r="K2246" s="4">
        <f>IF(DatiOriginali!K2246 &gt;= SogliaPicchi!$B$24,"",DatiOriginali!K2246)</f>
        <v>168400</v>
      </c>
    </row>
    <row r="2247" spans="1:11" x14ac:dyDescent="0.3">
      <c r="A2247" s="4" t="s">
        <v>2256</v>
      </c>
      <c r="B2247" s="4">
        <v>660675</v>
      </c>
      <c r="C2247" s="4">
        <f>IF(DatiOriginali!C2247 &gt;= SogliaPicchi!$B$24,"",DatiOriginali!C2247)</f>
        <v>5815700</v>
      </c>
      <c r="D2247" s="4">
        <v>332400</v>
      </c>
      <c r="E2247" s="4">
        <f>IF(DatiOriginali!E2247 &gt;= SogliaPicchi!$B$24,"",DatiOriginali!E2247)</f>
        <v>1155200</v>
      </c>
      <c r="F2247" s="4">
        <v>10806599</v>
      </c>
      <c r="G2247" s="4">
        <f>IF(DatiOriginali!G2247 &gt;= SogliaPicchi!$B$24,"",DatiOriginali!G2247)</f>
        <v>442800</v>
      </c>
      <c r="H2247" s="4">
        <v>13538496</v>
      </c>
      <c r="I2247" s="4">
        <f>IF(DatiOriginali!I2247 &gt;= SogliaPicchi!$B$24,"",DatiOriginali!I2247)</f>
        <v>149300</v>
      </c>
      <c r="J2247" s="4">
        <v>13539316</v>
      </c>
      <c r="K2247" s="4">
        <f>IF(DatiOriginali!K2247 &gt;= SogliaPicchi!$B$24,"",DatiOriginali!K2247)</f>
        <v>172900</v>
      </c>
    </row>
    <row r="2248" spans="1:11" x14ac:dyDescent="0.3">
      <c r="A2248" s="4" t="s">
        <v>2257</v>
      </c>
      <c r="B2248" s="4">
        <v>660675</v>
      </c>
      <c r="C2248" s="4">
        <f>IF(DatiOriginali!C2248 &gt;= SogliaPicchi!$B$24,"",DatiOriginali!C2248)</f>
        <v>5528200</v>
      </c>
      <c r="D2248" s="4">
        <v>334502</v>
      </c>
      <c r="E2248" s="4">
        <f>IF(DatiOriginali!E2248 &gt;= SogliaPicchi!$B$24,"",DatiOriginali!E2248)</f>
        <v>1681200</v>
      </c>
      <c r="F2248" s="4">
        <v>10816880</v>
      </c>
      <c r="G2248" s="4">
        <f>IF(DatiOriginali!G2248 &gt;= SogliaPicchi!$B$24,"",DatiOriginali!G2248)</f>
        <v>441600</v>
      </c>
      <c r="H2248" s="4">
        <v>13550771</v>
      </c>
      <c r="I2248" s="4">
        <f>IF(DatiOriginali!I2248 &gt;= SogliaPicchi!$B$24,"",DatiOriginali!I2248)</f>
        <v>149800</v>
      </c>
      <c r="J2248" s="4">
        <v>13553050</v>
      </c>
      <c r="K2248" s="4">
        <f>IF(DatiOriginali!K2248 &gt;= SogliaPicchi!$B$24,"",DatiOriginali!K2248)</f>
        <v>166200</v>
      </c>
    </row>
    <row r="2249" spans="1:11" x14ac:dyDescent="0.3">
      <c r="A2249" s="4" t="s">
        <v>2258</v>
      </c>
      <c r="B2249" s="4">
        <v>660675</v>
      </c>
      <c r="C2249" s="4">
        <f>IF(DatiOriginali!C2249 &gt;= SogliaPicchi!$B$24,"",DatiOriginali!C2249)</f>
        <v>5748000</v>
      </c>
      <c r="D2249" s="4">
        <v>320434</v>
      </c>
      <c r="E2249" s="4">
        <f>IF(DatiOriginali!E2249 &gt;= SogliaPicchi!$B$24,"",DatiOriginali!E2249)</f>
        <v>1180000</v>
      </c>
      <c r="F2249" s="4">
        <v>10827151</v>
      </c>
      <c r="G2249" s="4">
        <f>IF(DatiOriginali!G2249 &gt;= SogliaPicchi!$B$24,"",DatiOriginali!G2249)</f>
        <v>436800</v>
      </c>
      <c r="H2249" s="4">
        <v>13564268</v>
      </c>
      <c r="I2249" s="4">
        <f>IF(DatiOriginali!I2249 &gt;= SogliaPicchi!$B$24,"",DatiOriginali!I2249)</f>
        <v>151400</v>
      </c>
      <c r="J2249" s="4">
        <v>13565414</v>
      </c>
      <c r="K2249" s="4">
        <f>IF(DatiOriginali!K2249 &gt;= SogliaPicchi!$B$24,"",DatiOriginali!K2249)</f>
        <v>171500</v>
      </c>
    </row>
    <row r="2250" spans="1:11" x14ac:dyDescent="0.3">
      <c r="A2250" s="4" t="s">
        <v>2259</v>
      </c>
      <c r="B2250" s="4">
        <v>660675</v>
      </c>
      <c r="C2250" s="4">
        <f>IF(DatiOriginali!C2250 &gt;= SogliaPicchi!$B$24,"",DatiOriginali!C2250)</f>
        <v>5937200</v>
      </c>
      <c r="D2250" s="4">
        <v>318257</v>
      </c>
      <c r="E2250" s="4">
        <f>IF(DatiOriginali!E2250 &gt;= SogliaPicchi!$B$24,"",DatiOriginali!E2250)</f>
        <v>1133200</v>
      </c>
      <c r="F2250" s="4">
        <v>10837412</v>
      </c>
      <c r="G2250" s="4">
        <f>IF(DatiOriginali!G2250 &gt;= SogliaPicchi!$B$24,"",DatiOriginali!G2250)</f>
        <v>438600</v>
      </c>
      <c r="H2250" s="4">
        <v>13576379</v>
      </c>
      <c r="I2250" s="4">
        <f>IF(DatiOriginali!I2250 &gt;= SogliaPicchi!$B$24,"",DatiOriginali!I2250)</f>
        <v>148700</v>
      </c>
      <c r="J2250" s="4">
        <v>13580017</v>
      </c>
      <c r="K2250" s="4">
        <f>IF(DatiOriginali!K2250 &gt;= SogliaPicchi!$B$24,"",DatiOriginali!K2250)</f>
        <v>160400</v>
      </c>
    </row>
    <row r="2251" spans="1:11" x14ac:dyDescent="0.3">
      <c r="A2251" s="4" t="s">
        <v>2260</v>
      </c>
      <c r="B2251" s="4">
        <v>660675</v>
      </c>
      <c r="C2251" s="4">
        <f>IF(DatiOriginali!C2251 &gt;= SogliaPicchi!$B$24,"",DatiOriginali!C2251)</f>
        <v>5753900</v>
      </c>
      <c r="D2251" s="4">
        <v>323262</v>
      </c>
      <c r="E2251" s="4">
        <f>IF(DatiOriginali!E2251 &gt;= SogliaPicchi!$B$24,"",DatiOriginali!E2251)</f>
        <v>1113000</v>
      </c>
      <c r="F2251" s="4">
        <v>10847666</v>
      </c>
      <c r="G2251" s="4">
        <f>IF(DatiOriginali!G2251 &gt;= SogliaPicchi!$B$24,"",DatiOriginali!G2251)</f>
        <v>438900</v>
      </c>
      <c r="H2251" s="4">
        <v>13588694</v>
      </c>
      <c r="I2251" s="4">
        <f>IF(DatiOriginali!I2251 &gt;= SogliaPicchi!$B$24,"",DatiOriginali!I2251)</f>
        <v>143000</v>
      </c>
      <c r="J2251" s="4">
        <v>13592434</v>
      </c>
      <c r="K2251" s="4">
        <f>IF(DatiOriginali!K2251 &gt;= SogliaPicchi!$B$24,"",DatiOriginali!K2251)</f>
        <v>165300</v>
      </c>
    </row>
    <row r="2252" spans="1:11" x14ac:dyDescent="0.3">
      <c r="A2252" s="4" t="s">
        <v>2261</v>
      </c>
      <c r="B2252" s="4">
        <v>660675</v>
      </c>
      <c r="C2252" s="4">
        <f>IF(DatiOriginali!C2252 &gt;= SogliaPicchi!$B$24,"",DatiOriginali!C2252)</f>
        <v>5946500</v>
      </c>
      <c r="D2252" s="4">
        <v>327292</v>
      </c>
      <c r="E2252" s="4">
        <f>IF(DatiOriginali!E2252 &gt;= SogliaPicchi!$B$24,"",DatiOriginali!E2252)</f>
        <v>1131400</v>
      </c>
      <c r="F2252" s="4">
        <v>10857939</v>
      </c>
      <c r="G2252" s="4">
        <f>IF(DatiOriginali!G2252 &gt;= SogliaPicchi!$B$24,"",DatiOriginali!G2252)</f>
        <v>433400</v>
      </c>
      <c r="H2252" s="4">
        <v>13602095</v>
      </c>
      <c r="I2252" s="4">
        <f>IF(DatiOriginali!I2252 &gt;= SogliaPicchi!$B$24,"",DatiOriginali!I2252)</f>
        <v>151800</v>
      </c>
      <c r="J2252" s="4">
        <v>13606366</v>
      </c>
      <c r="K2252" s="4">
        <f>IF(DatiOriginali!K2252 &gt;= SogliaPicchi!$B$24,"",DatiOriginali!K2252)</f>
        <v>170400</v>
      </c>
    </row>
    <row r="2253" spans="1:11" x14ac:dyDescent="0.3">
      <c r="A2253" s="4" t="s">
        <v>2262</v>
      </c>
      <c r="B2253" s="4">
        <v>660675</v>
      </c>
      <c r="C2253" s="4">
        <f>IF(DatiOriginali!C2253 &gt;= SogliaPicchi!$B$24,"",DatiOriginali!C2253)</f>
        <v>6051700</v>
      </c>
      <c r="D2253" s="4">
        <v>322028</v>
      </c>
      <c r="E2253" s="4">
        <f>IF(DatiOriginali!E2253 &gt;= SogliaPicchi!$B$24,"",DatiOriginali!E2253)</f>
        <v>1158300</v>
      </c>
      <c r="F2253" s="4">
        <v>10868210</v>
      </c>
      <c r="G2253" s="4">
        <f>IF(DatiOriginali!G2253 &gt;= SogliaPicchi!$B$24,"",DatiOriginali!G2253)</f>
        <v>434200</v>
      </c>
      <c r="H2253" s="4">
        <v>13614277</v>
      </c>
      <c r="I2253" s="4">
        <f>IF(DatiOriginali!I2253 &gt;= SogliaPicchi!$B$24,"",DatiOriginali!I2253)</f>
        <v>148200</v>
      </c>
      <c r="J2253" s="4">
        <v>13618655</v>
      </c>
      <c r="K2253" s="4">
        <f>IF(DatiOriginali!K2253 &gt;= SogliaPicchi!$B$24,"",DatiOriginali!K2253)</f>
        <v>191400</v>
      </c>
    </row>
    <row r="2254" spans="1:11" x14ac:dyDescent="0.3">
      <c r="A2254" s="4" t="s">
        <v>2263</v>
      </c>
      <c r="B2254" s="4">
        <v>660675</v>
      </c>
      <c r="C2254" s="4">
        <f>IF(DatiOriginali!C2254 &gt;= SogliaPicchi!$B$24,"",DatiOriginali!C2254)</f>
        <v>6043500</v>
      </c>
      <c r="D2254" s="4">
        <v>340404</v>
      </c>
      <c r="E2254" s="4">
        <f>IF(DatiOriginali!E2254 &gt;= SogliaPicchi!$B$24,"",DatiOriginali!E2254)</f>
        <v>1178500</v>
      </c>
      <c r="F2254" s="4">
        <v>10878490</v>
      </c>
      <c r="G2254" s="4">
        <f>IF(DatiOriginali!G2254 &gt;= SogliaPicchi!$B$24,"",DatiOriginali!G2254)</f>
        <v>435200</v>
      </c>
      <c r="H2254" s="4">
        <v>13627418</v>
      </c>
      <c r="I2254" s="4">
        <f>IF(DatiOriginali!I2254 &gt;= SogliaPicchi!$B$24,"",DatiOriginali!I2254)</f>
        <v>150400</v>
      </c>
      <c r="J2254" s="4">
        <v>13631342</v>
      </c>
      <c r="K2254" s="4">
        <f>IF(DatiOriginali!K2254 &gt;= SogliaPicchi!$B$24,"",DatiOriginali!K2254)</f>
        <v>167200</v>
      </c>
    </row>
    <row r="2255" spans="1:11" x14ac:dyDescent="0.3">
      <c r="A2255" s="4" t="s">
        <v>2264</v>
      </c>
      <c r="B2255" s="4">
        <v>660675</v>
      </c>
      <c r="C2255" s="4">
        <f>IF(DatiOriginali!C2255 &gt;= SogliaPicchi!$B$24,"",DatiOriginali!C2255)</f>
        <v>5992100</v>
      </c>
      <c r="D2255" s="4">
        <v>331820</v>
      </c>
      <c r="E2255" s="4">
        <f>IF(DatiOriginali!E2255 &gt;= SogliaPicchi!$B$24,"",DatiOriginali!E2255)</f>
        <v>1156900</v>
      </c>
      <c r="F2255" s="4">
        <v>10888741</v>
      </c>
      <c r="G2255" s="4">
        <f>IF(DatiOriginali!G2255 &gt;= SogliaPicchi!$B$24,"",DatiOriginali!G2255)</f>
        <v>437900</v>
      </c>
      <c r="H2255" s="4">
        <v>13639718</v>
      </c>
      <c r="I2255" s="4">
        <f>IF(DatiOriginali!I2255 &gt;= SogliaPicchi!$B$24,"",DatiOriginali!I2255)</f>
        <v>150300</v>
      </c>
      <c r="J2255" s="4">
        <v>13644044</v>
      </c>
      <c r="K2255" s="4">
        <f>IF(DatiOriginali!K2255 &gt;= SogliaPicchi!$B$24,"",DatiOriginali!K2255)</f>
        <v>164400</v>
      </c>
    </row>
    <row r="2256" spans="1:11" x14ac:dyDescent="0.3">
      <c r="A2256" s="4" t="s">
        <v>2265</v>
      </c>
      <c r="B2256" s="4">
        <v>660675</v>
      </c>
      <c r="C2256" s="4">
        <f>IF(DatiOriginali!C2256 &gt;= SogliaPicchi!$B$24,"",DatiOriginali!C2256)</f>
        <v>5690100</v>
      </c>
      <c r="D2256" s="4">
        <v>329922</v>
      </c>
      <c r="E2256" s="4">
        <f>IF(DatiOriginali!E2256 &gt;= SogliaPicchi!$B$24,"",DatiOriginali!E2256)</f>
        <v>1144400</v>
      </c>
      <c r="F2256" s="4">
        <v>10899021</v>
      </c>
      <c r="G2256" s="4">
        <f>IF(DatiOriginali!G2256 &gt;= SogliaPicchi!$B$24,"",DatiOriginali!G2256)</f>
        <v>445500</v>
      </c>
      <c r="H2256" s="4">
        <v>13653895</v>
      </c>
      <c r="I2256" s="4">
        <f>IF(DatiOriginali!I2256 &gt;= SogliaPicchi!$B$24,"",DatiOriginali!I2256)</f>
        <v>151300</v>
      </c>
      <c r="J2256" s="4">
        <v>13657625</v>
      </c>
      <c r="K2256" s="4">
        <f>IF(DatiOriginali!K2256 &gt;= SogliaPicchi!$B$24,"",DatiOriginali!K2256)</f>
        <v>161000</v>
      </c>
    </row>
    <row r="2257" spans="1:11" x14ac:dyDescent="0.3">
      <c r="A2257" s="4" t="s">
        <v>2266</v>
      </c>
      <c r="B2257" s="4">
        <v>660675</v>
      </c>
      <c r="C2257" s="4">
        <f>IF(DatiOriginali!C2257 &gt;= SogliaPicchi!$B$24,"",DatiOriginali!C2257)</f>
        <v>5893900</v>
      </c>
      <c r="D2257" s="4">
        <v>333227</v>
      </c>
      <c r="E2257" s="4">
        <f>IF(DatiOriginali!E2257 &gt;= SogliaPicchi!$B$24,"",DatiOriginali!E2257)</f>
        <v>1278100</v>
      </c>
      <c r="F2257" s="4">
        <v>10909272</v>
      </c>
      <c r="G2257" s="4">
        <f>IF(DatiOriginali!G2257 &gt;= SogliaPicchi!$B$24,"",DatiOriginali!G2257)</f>
        <v>446000</v>
      </c>
      <c r="H2257" s="4">
        <v>13666367</v>
      </c>
      <c r="I2257" s="4">
        <f>IF(DatiOriginali!I2257 &gt;= SogliaPicchi!$B$24,"",DatiOriginali!I2257)</f>
        <v>146900</v>
      </c>
      <c r="J2257" s="4">
        <v>13670280</v>
      </c>
      <c r="K2257" s="4">
        <f>IF(DatiOriginali!K2257 &gt;= SogliaPicchi!$B$24,"",DatiOriginali!K2257)</f>
        <v>164700</v>
      </c>
    </row>
    <row r="2258" spans="1:11" x14ac:dyDescent="0.3">
      <c r="A2258" s="4" t="s">
        <v>2267</v>
      </c>
      <c r="B2258" s="4">
        <v>660675</v>
      </c>
      <c r="C2258" s="4">
        <f>IF(DatiOriginali!C2258 &gt;= SogliaPicchi!$B$24,"",DatiOriginali!C2258)</f>
        <v>6154500</v>
      </c>
      <c r="D2258" s="4">
        <v>345500</v>
      </c>
      <c r="E2258" s="4">
        <f>IF(DatiOriginali!E2258 &gt;= SogliaPicchi!$B$24,"",DatiOriginali!E2258)</f>
        <v>1314800</v>
      </c>
      <c r="F2258" s="4">
        <v>10919521</v>
      </c>
      <c r="G2258" s="4">
        <f>IF(DatiOriginali!G2258 &gt;= SogliaPicchi!$B$24,"",DatiOriginali!G2258)</f>
        <v>439100</v>
      </c>
      <c r="H2258" s="4">
        <v>13678713</v>
      </c>
      <c r="I2258" s="4">
        <f>IF(DatiOriginali!I2258 &gt;= SogliaPicchi!$B$24,"",DatiOriginali!I2258)</f>
        <v>160400</v>
      </c>
      <c r="J2258" s="4">
        <v>13684347</v>
      </c>
      <c r="K2258" s="4">
        <f>IF(DatiOriginali!K2258 &gt;= SogliaPicchi!$B$24,"",DatiOriginali!K2258)</f>
        <v>166900</v>
      </c>
    </row>
    <row r="2259" spans="1:11" x14ac:dyDescent="0.3">
      <c r="A2259" s="4" t="s">
        <v>2268</v>
      </c>
      <c r="B2259" s="4">
        <v>660675</v>
      </c>
      <c r="C2259" s="4">
        <f>IF(DatiOriginali!C2259 &gt;= SogliaPicchi!$B$24,"",DatiOriginali!C2259)</f>
        <v>5914900</v>
      </c>
      <c r="D2259" s="4">
        <v>335364</v>
      </c>
      <c r="E2259" s="4">
        <f>IF(DatiOriginali!E2259 &gt;= SogliaPicchi!$B$24,"",DatiOriginali!E2259)</f>
        <v>1259700</v>
      </c>
      <c r="F2259" s="4">
        <v>10929767</v>
      </c>
      <c r="G2259" s="4">
        <f>IF(DatiOriginali!G2259 &gt;= SogliaPicchi!$B$24,"",DatiOriginali!G2259)</f>
        <v>441100</v>
      </c>
      <c r="H2259" s="4">
        <v>13691212</v>
      </c>
      <c r="I2259" s="4">
        <f>IF(DatiOriginali!I2259 &gt;= SogliaPicchi!$B$24,"",DatiOriginali!I2259)</f>
        <v>154300</v>
      </c>
      <c r="J2259" s="4">
        <v>13698310</v>
      </c>
      <c r="K2259" s="4">
        <f>IF(DatiOriginali!K2259 &gt;= SogliaPicchi!$B$24,"",DatiOriginali!K2259)</f>
        <v>173400</v>
      </c>
    </row>
    <row r="2260" spans="1:11" x14ac:dyDescent="0.3">
      <c r="A2260" s="4" t="s">
        <v>2269</v>
      </c>
      <c r="B2260" s="4">
        <v>660675</v>
      </c>
      <c r="C2260" s="4">
        <f>IF(DatiOriginali!C2260 &gt;= SogliaPicchi!$B$24,"",DatiOriginali!C2260)</f>
        <v>5939700</v>
      </c>
      <c r="D2260" s="4">
        <v>335358</v>
      </c>
      <c r="E2260" s="4">
        <f>IF(DatiOriginali!E2260 &gt;= SogliaPicchi!$B$24,"",DatiOriginali!E2260)</f>
        <v>1177700</v>
      </c>
      <c r="F2260" s="4">
        <v>10940004</v>
      </c>
      <c r="G2260" s="4">
        <f>IF(DatiOriginali!G2260 &gt;= SogliaPicchi!$B$24,"",DatiOriginali!G2260)</f>
        <v>433000</v>
      </c>
      <c r="H2260" s="4">
        <v>13705987</v>
      </c>
      <c r="I2260" s="4">
        <f>IF(DatiOriginali!I2260 &gt;= SogliaPicchi!$B$24,"",DatiOriginali!I2260)</f>
        <v>144000</v>
      </c>
      <c r="J2260" s="4">
        <v>13711293</v>
      </c>
      <c r="K2260" s="4">
        <f>IF(DatiOriginali!K2260 &gt;= SogliaPicchi!$B$24,"",DatiOriginali!K2260)</f>
        <v>166200</v>
      </c>
    </row>
    <row r="2261" spans="1:11" x14ac:dyDescent="0.3">
      <c r="A2261" s="4" t="s">
        <v>2270</v>
      </c>
      <c r="B2261" s="4">
        <v>660675</v>
      </c>
      <c r="C2261" s="4">
        <f>IF(DatiOriginali!C2261 &gt;= SogliaPicchi!$B$24,"",DatiOriginali!C2261)</f>
        <v>5694800</v>
      </c>
      <c r="D2261" s="4">
        <v>317738</v>
      </c>
      <c r="E2261" s="4">
        <f>IF(DatiOriginali!E2261 &gt;= SogliaPicchi!$B$24,"",DatiOriginali!E2261)</f>
        <v>1126500</v>
      </c>
      <c r="F2261" s="4">
        <v>10950269</v>
      </c>
      <c r="G2261" s="4">
        <f>IF(DatiOriginali!G2261 &gt;= SogliaPicchi!$B$24,"",DatiOriginali!G2261)</f>
        <v>432100</v>
      </c>
      <c r="H2261" s="4">
        <v>13718739</v>
      </c>
      <c r="I2261" s="4">
        <f>IF(DatiOriginali!I2261 &gt;= SogliaPicchi!$B$24,"",DatiOriginali!I2261)</f>
        <v>147400</v>
      </c>
      <c r="J2261" s="4">
        <v>13723582</v>
      </c>
      <c r="K2261" s="4">
        <f>IF(DatiOriginali!K2261 &gt;= SogliaPicchi!$B$24,"",DatiOriginali!K2261)</f>
        <v>162200</v>
      </c>
    </row>
    <row r="2262" spans="1:11" x14ac:dyDescent="0.3">
      <c r="A2262" s="4" t="s">
        <v>2271</v>
      </c>
      <c r="B2262" s="4">
        <v>660675</v>
      </c>
      <c r="C2262" s="4">
        <f>IF(DatiOriginali!C2262 &gt;= SogliaPicchi!$B$24,"",DatiOriginali!C2262)</f>
        <v>5760200</v>
      </c>
      <c r="D2262" s="4">
        <v>327136</v>
      </c>
      <c r="E2262" s="4">
        <f>IF(DatiOriginali!E2262 &gt;= SogliaPicchi!$B$24,"",DatiOriginali!E2262)</f>
        <v>1131800</v>
      </c>
      <c r="F2262" s="4">
        <v>10960544</v>
      </c>
      <c r="G2262" s="4">
        <f>IF(DatiOriginali!G2262 &gt;= SogliaPicchi!$B$24,"",DatiOriginali!G2262)</f>
        <v>433800</v>
      </c>
      <c r="H2262" s="4">
        <v>13731686</v>
      </c>
      <c r="I2262" s="4">
        <f>IF(DatiOriginali!I2262 &gt;= SogliaPicchi!$B$24,"",DatiOriginali!I2262)</f>
        <v>148600</v>
      </c>
      <c r="J2262" s="4">
        <v>13737413</v>
      </c>
      <c r="K2262" s="4">
        <f>IF(DatiOriginali!K2262 &gt;= SogliaPicchi!$B$24,"",DatiOriginali!K2262)</f>
        <v>170500</v>
      </c>
    </row>
    <row r="2263" spans="1:11" x14ac:dyDescent="0.3">
      <c r="A2263" s="4" t="s">
        <v>2272</v>
      </c>
      <c r="B2263" s="4">
        <v>660675</v>
      </c>
      <c r="C2263" s="4">
        <f>IF(DatiOriginali!C2263 &gt;= SogliaPicchi!$B$24,"",DatiOriginali!C2263)</f>
        <v>5467900</v>
      </c>
      <c r="D2263" s="4">
        <v>325947</v>
      </c>
      <c r="E2263" s="4">
        <f>IF(DatiOriginali!E2263 &gt;= SogliaPicchi!$B$24,"",DatiOriginali!E2263)</f>
        <v>1125500</v>
      </c>
      <c r="F2263" s="4">
        <v>10970797</v>
      </c>
      <c r="G2263" s="4">
        <f>IF(DatiOriginali!G2263 &gt;= SogliaPicchi!$B$24,"",DatiOriginali!G2263)</f>
        <v>440200</v>
      </c>
      <c r="H2263" s="4">
        <v>13744247</v>
      </c>
      <c r="I2263" s="4">
        <f>IF(DatiOriginali!I2263 &gt;= SogliaPicchi!$B$24,"",DatiOriginali!I2263)</f>
        <v>139800</v>
      </c>
      <c r="J2263" s="4">
        <v>13751027</v>
      </c>
      <c r="K2263" s="4">
        <f>IF(DatiOriginali!K2263 &gt;= SogliaPicchi!$B$24,"",DatiOriginali!K2263)</f>
        <v>163300</v>
      </c>
    </row>
    <row r="2264" spans="1:11" x14ac:dyDescent="0.3">
      <c r="A2264" s="4" t="s">
        <v>2273</v>
      </c>
      <c r="B2264" s="4">
        <v>660675</v>
      </c>
      <c r="C2264" s="4">
        <f>IF(DatiOriginali!C2264 &gt;= SogliaPicchi!$B$24,"",DatiOriginali!C2264)</f>
        <v>5531700</v>
      </c>
      <c r="D2264" s="4">
        <v>327917</v>
      </c>
      <c r="E2264" s="4">
        <f>IF(DatiOriginali!E2264 &gt;= SogliaPicchi!$B$24,"",DatiOriginali!E2264)</f>
        <v>1159000</v>
      </c>
      <c r="F2264" s="4">
        <v>10981051</v>
      </c>
      <c r="G2264" s="4">
        <f>IF(DatiOriginali!G2264 &gt;= SogliaPicchi!$B$24,"",DatiOriginali!G2264)</f>
        <v>442100</v>
      </c>
      <c r="H2264" s="4">
        <v>13758650</v>
      </c>
      <c r="I2264" s="4">
        <f>IF(DatiOriginali!I2264 &gt;= SogliaPicchi!$B$24,"",DatiOriginali!I2264)</f>
        <v>152300</v>
      </c>
      <c r="J2264" s="4">
        <v>13763073</v>
      </c>
      <c r="K2264" s="4">
        <f>IF(DatiOriginali!K2264 &gt;= SogliaPicchi!$B$24,"",DatiOriginali!K2264)</f>
        <v>160300</v>
      </c>
    </row>
    <row r="2265" spans="1:11" x14ac:dyDescent="0.3">
      <c r="A2265" s="4" t="s">
        <v>2274</v>
      </c>
      <c r="B2265" s="4">
        <v>660675</v>
      </c>
      <c r="C2265" s="4">
        <f>IF(DatiOriginali!C2265 &gt;= SogliaPicchi!$B$24,"",DatiOriginali!C2265)</f>
        <v>6189300</v>
      </c>
      <c r="D2265" s="4">
        <v>339239</v>
      </c>
      <c r="E2265" s="4">
        <f>IF(DatiOriginali!E2265 &gt;= SogliaPicchi!$B$24,"",DatiOriginali!E2265)</f>
        <v>1204800</v>
      </c>
      <c r="F2265" s="4">
        <v>10991313</v>
      </c>
      <c r="G2265" s="4">
        <f>IF(DatiOriginali!G2265 &gt;= SogliaPicchi!$B$24,"",DatiOriginali!G2265)</f>
        <v>438600</v>
      </c>
      <c r="H2265" s="4">
        <v>13771227</v>
      </c>
      <c r="I2265" s="4">
        <f>IF(DatiOriginali!I2265 &gt;= SogliaPicchi!$B$24,"",DatiOriginali!I2265)</f>
        <v>147900</v>
      </c>
      <c r="J2265" s="4">
        <v>13776327</v>
      </c>
      <c r="K2265" s="4">
        <f>IF(DatiOriginali!K2265 &gt;= SogliaPicchi!$B$24,"",DatiOriginali!K2265)</f>
        <v>170500</v>
      </c>
    </row>
    <row r="2266" spans="1:11" x14ac:dyDescent="0.3">
      <c r="A2266" s="4" t="s">
        <v>2275</v>
      </c>
      <c r="B2266" s="4">
        <v>660675</v>
      </c>
      <c r="C2266" s="4">
        <f>IF(DatiOriginali!C2266 &gt;= SogliaPicchi!$B$24,"",DatiOriginali!C2266)</f>
        <v>5819800</v>
      </c>
      <c r="D2266" s="4">
        <v>333872</v>
      </c>
      <c r="E2266" s="4">
        <f>IF(DatiOriginali!E2266 &gt;= SogliaPicchi!$B$24,"",DatiOriginali!E2266)</f>
        <v>1162700</v>
      </c>
      <c r="F2266" s="4">
        <v>11001587</v>
      </c>
      <c r="G2266" s="4">
        <f>IF(DatiOriginali!G2266 &gt;= SogliaPicchi!$B$24,"",DatiOriginali!G2266)</f>
        <v>463700</v>
      </c>
      <c r="H2266" s="4">
        <v>13784044</v>
      </c>
      <c r="I2266" s="4">
        <f>IF(DatiOriginali!I2266 &gt;= SogliaPicchi!$B$24,"",DatiOriginali!I2266)</f>
        <v>149500</v>
      </c>
      <c r="J2266" s="4">
        <v>13789234</v>
      </c>
      <c r="K2266" s="4">
        <f>IF(DatiOriginali!K2266 &gt;= SogliaPicchi!$B$24,"",DatiOriginali!K2266)</f>
        <v>160400</v>
      </c>
    </row>
    <row r="2267" spans="1:11" x14ac:dyDescent="0.3">
      <c r="A2267" s="4" t="s">
        <v>2276</v>
      </c>
      <c r="B2267" s="4">
        <v>660675</v>
      </c>
      <c r="C2267" s="4">
        <f>IF(DatiOriginali!C2267 &gt;= SogliaPicchi!$B$24,"",DatiOriginali!C2267)</f>
        <v>5616300</v>
      </c>
      <c r="D2267" s="4">
        <v>335438</v>
      </c>
      <c r="E2267" s="4">
        <f>IF(DatiOriginali!E2267 &gt;= SogliaPicchi!$B$24,"",DatiOriginali!E2267)</f>
        <v>1208700</v>
      </c>
      <c r="F2267" s="4">
        <v>11011842</v>
      </c>
      <c r="G2267" s="4">
        <f>IF(DatiOriginali!G2267 &gt;= SogliaPicchi!$B$24,"",DatiOriginali!G2267)</f>
        <v>451800</v>
      </c>
      <c r="H2267" s="4">
        <v>13799377</v>
      </c>
      <c r="I2267" s="4">
        <f>IF(DatiOriginali!I2267 &gt;= SogliaPicchi!$B$24,"",DatiOriginali!I2267)</f>
        <v>151200</v>
      </c>
      <c r="J2267" s="4">
        <v>13801352</v>
      </c>
      <c r="K2267" s="4">
        <f>IF(DatiOriginali!K2267 &gt;= SogliaPicchi!$B$24,"",DatiOriginali!K2267)</f>
        <v>160700</v>
      </c>
    </row>
    <row r="2268" spans="1:11" x14ac:dyDescent="0.3">
      <c r="A2268" s="4" t="s">
        <v>2277</v>
      </c>
      <c r="B2268" s="4">
        <v>660675</v>
      </c>
      <c r="C2268" s="4">
        <f>IF(DatiOriginali!C2268 &gt;= SogliaPicchi!$B$24,"",DatiOriginali!C2268)</f>
        <v>5511600</v>
      </c>
      <c r="D2268" s="4">
        <v>345101</v>
      </c>
      <c r="E2268" s="4">
        <f>IF(DatiOriginali!E2268 &gt;= SogliaPicchi!$B$24,"",DatiOriginali!E2268)</f>
        <v>1193500</v>
      </c>
      <c r="F2268" s="4">
        <v>11022090</v>
      </c>
      <c r="G2268" s="4">
        <f>IF(DatiOriginali!G2268 &gt;= SogliaPicchi!$B$24,"",DatiOriginali!G2268)</f>
        <v>436200</v>
      </c>
      <c r="H2268" s="4">
        <v>13812023</v>
      </c>
      <c r="I2268" s="4">
        <f>IF(DatiOriginali!I2268 &gt;= SogliaPicchi!$B$24,"",DatiOriginali!I2268)</f>
        <v>148700</v>
      </c>
      <c r="J2268" s="4">
        <v>13814438</v>
      </c>
      <c r="K2268" s="4">
        <f>IF(DatiOriginali!K2268 &gt;= SogliaPicchi!$B$24,"",DatiOriginali!K2268)</f>
        <v>168100</v>
      </c>
    </row>
    <row r="2269" spans="1:11" x14ac:dyDescent="0.3">
      <c r="A2269" s="4" t="s">
        <v>2278</v>
      </c>
      <c r="B2269" s="4">
        <v>660675</v>
      </c>
      <c r="C2269" s="4">
        <f>IF(DatiOriginali!C2269 &gt;= SogliaPicchi!$B$24,"",DatiOriginali!C2269)</f>
        <v>5562500</v>
      </c>
      <c r="D2269" s="4">
        <v>330407</v>
      </c>
      <c r="E2269" s="4">
        <f>IF(DatiOriginali!E2269 &gt;= SogliaPicchi!$B$24,"",DatiOriginali!E2269)</f>
        <v>1174500</v>
      </c>
      <c r="F2269" s="4">
        <v>11032328</v>
      </c>
      <c r="G2269" s="4">
        <f>IF(DatiOriginali!G2269 &gt;= SogliaPicchi!$B$24,"",DatiOriginali!G2269)</f>
        <v>434100</v>
      </c>
      <c r="H2269" s="4">
        <v>13823888</v>
      </c>
      <c r="I2269" s="4">
        <f>IF(DatiOriginali!I2269 &gt;= SogliaPicchi!$B$24,"",DatiOriginali!I2269)</f>
        <v>150900</v>
      </c>
      <c r="J2269" s="4">
        <v>13827083</v>
      </c>
      <c r="K2269" s="4">
        <f>IF(DatiOriginali!K2269 &gt;= SogliaPicchi!$B$24,"",DatiOriginali!K2269)</f>
        <v>167600</v>
      </c>
    </row>
    <row r="2270" spans="1:11" x14ac:dyDescent="0.3">
      <c r="A2270" s="4" t="s">
        <v>2279</v>
      </c>
      <c r="B2270" s="4">
        <v>660675</v>
      </c>
      <c r="C2270" s="4">
        <f>IF(DatiOriginali!C2270 &gt;= SogliaPicchi!$B$24,"",DatiOriginali!C2270)</f>
        <v>5630500</v>
      </c>
      <c r="D2270" s="4">
        <v>321979</v>
      </c>
      <c r="E2270" s="4">
        <f>IF(DatiOriginali!E2270 &gt;= SogliaPicchi!$B$24,"",DatiOriginali!E2270)</f>
        <v>1116400</v>
      </c>
      <c r="F2270" s="4">
        <v>11042567</v>
      </c>
      <c r="G2270" s="4">
        <f>IF(DatiOriginali!G2270 &gt;= SogliaPicchi!$B$24,"",DatiOriginali!G2270)</f>
        <v>436300</v>
      </c>
      <c r="H2270" s="4">
        <v>13836941</v>
      </c>
      <c r="I2270" s="4">
        <f>IF(DatiOriginali!I2270 &gt;= SogliaPicchi!$B$24,"",DatiOriginali!I2270)</f>
        <v>143700</v>
      </c>
      <c r="J2270" s="4">
        <v>13840239</v>
      </c>
      <c r="K2270" s="4">
        <f>IF(DatiOriginali!K2270 &gt;= SogliaPicchi!$B$24,"",DatiOriginali!K2270)</f>
        <v>164000</v>
      </c>
    </row>
    <row r="2271" spans="1:11" x14ac:dyDescent="0.3">
      <c r="A2271" s="4" t="s">
        <v>2280</v>
      </c>
      <c r="B2271" s="4">
        <v>660675</v>
      </c>
      <c r="C2271" s="4">
        <f>IF(DatiOriginali!C2271 &gt;= SogliaPicchi!$B$24,"",DatiOriginali!C2271)</f>
        <v>5809700</v>
      </c>
      <c r="D2271" s="4">
        <v>331735</v>
      </c>
      <c r="E2271" s="4">
        <f>IF(DatiOriginali!E2271 &gt;= SogliaPicchi!$B$24,"",DatiOriginali!E2271)</f>
        <v>1152800</v>
      </c>
      <c r="F2271" s="4">
        <v>11052830</v>
      </c>
      <c r="G2271" s="4">
        <f>IF(DatiOriginali!G2271 &gt;= SogliaPicchi!$B$24,"",DatiOriginali!G2271)</f>
        <v>433800</v>
      </c>
      <c r="H2271" s="4">
        <v>13850176</v>
      </c>
      <c r="I2271" s="4">
        <f>IF(DatiOriginali!I2271 &gt;= SogliaPicchi!$B$24,"",DatiOriginali!I2271)</f>
        <v>149200</v>
      </c>
      <c r="J2271" s="4">
        <v>13854050</v>
      </c>
      <c r="K2271" s="4">
        <f>IF(DatiOriginali!K2271 &gt;= SogliaPicchi!$B$24,"",DatiOriginali!K2271)</f>
        <v>165900</v>
      </c>
    </row>
    <row r="2272" spans="1:11" x14ac:dyDescent="0.3">
      <c r="A2272" s="4" t="s">
        <v>2281</v>
      </c>
      <c r="B2272" s="4">
        <v>660675</v>
      </c>
      <c r="C2272" s="4">
        <f>IF(DatiOriginali!C2272 &gt;= SogliaPicchi!$B$24,"",DatiOriginali!C2272)</f>
        <v>5620300</v>
      </c>
      <c r="D2272" s="4">
        <v>334914</v>
      </c>
      <c r="E2272" s="4">
        <f>IF(DatiOriginali!E2272 &gt;= SogliaPicchi!$B$24,"",DatiOriginali!E2272)</f>
        <v>1183400</v>
      </c>
      <c r="F2272" s="4">
        <v>11063073</v>
      </c>
      <c r="G2272" s="4">
        <f>IF(DatiOriginali!G2272 &gt;= SogliaPicchi!$B$24,"",DatiOriginali!G2272)</f>
        <v>435500</v>
      </c>
      <c r="H2272" s="4">
        <v>13862726</v>
      </c>
      <c r="I2272" s="4">
        <f>IF(DatiOriginali!I2272 &gt;= SogliaPicchi!$B$24,"",DatiOriginali!I2272)</f>
        <v>147000</v>
      </c>
      <c r="J2272" s="4">
        <v>13866966</v>
      </c>
      <c r="K2272" s="4">
        <f>IF(DatiOriginali!K2272 &gt;= SogliaPicchi!$B$24,"",DatiOriginali!K2272)</f>
        <v>161400</v>
      </c>
    </row>
    <row r="2273" spans="1:11" x14ac:dyDescent="0.3">
      <c r="A2273" s="4" t="s">
        <v>2282</v>
      </c>
      <c r="B2273" s="4">
        <v>660675</v>
      </c>
      <c r="C2273" s="4">
        <f>IF(DatiOriginali!C2273 &gt;= SogliaPicchi!$B$24,"",DatiOriginali!C2273)</f>
        <v>5843100</v>
      </c>
      <c r="D2273" s="4">
        <v>340000</v>
      </c>
      <c r="E2273" s="4">
        <f>IF(DatiOriginali!E2273 &gt;= SogliaPicchi!$B$24,"",DatiOriginali!E2273)</f>
        <v>1212500</v>
      </c>
      <c r="F2273" s="4">
        <v>11073346</v>
      </c>
      <c r="G2273" s="4">
        <f>IF(DatiOriginali!G2273 &gt;= SogliaPicchi!$B$24,"",DatiOriginali!G2273)</f>
        <v>433700</v>
      </c>
      <c r="H2273" s="4">
        <v>13875397</v>
      </c>
      <c r="I2273" s="4">
        <f>IF(DatiOriginali!I2273 &gt;= SogliaPicchi!$B$24,"",DatiOriginali!I2273)</f>
        <v>149900</v>
      </c>
      <c r="J2273" s="4">
        <v>13880389</v>
      </c>
      <c r="K2273" s="4">
        <f>IF(DatiOriginali!K2273 &gt;= SogliaPicchi!$B$24,"",DatiOriginali!K2273)</f>
        <v>169900</v>
      </c>
    </row>
    <row r="2274" spans="1:11" x14ac:dyDescent="0.3">
      <c r="A2274" s="4" t="s">
        <v>2283</v>
      </c>
      <c r="B2274" s="4">
        <v>660675</v>
      </c>
      <c r="C2274" s="4">
        <f>IF(DatiOriginali!C2274 &gt;= SogliaPicchi!$B$24,"",DatiOriginali!C2274)</f>
        <v>5708500</v>
      </c>
      <c r="D2274" s="4">
        <v>324366</v>
      </c>
      <c r="E2274" s="4">
        <f>IF(DatiOriginali!E2274 &gt;= SogliaPicchi!$B$24,"",DatiOriginali!E2274)</f>
        <v>1123200</v>
      </c>
      <c r="F2274" s="4">
        <v>11083589</v>
      </c>
      <c r="G2274" s="4">
        <f>IF(DatiOriginali!G2274 &gt;= SogliaPicchi!$B$24,"",DatiOriginali!G2274)</f>
        <v>450500</v>
      </c>
      <c r="H2274" s="4">
        <v>13887917</v>
      </c>
      <c r="I2274" s="4">
        <f>IF(DatiOriginali!I2274 &gt;= SogliaPicchi!$B$24,"",DatiOriginali!I2274)</f>
        <v>235900</v>
      </c>
      <c r="J2274" s="4">
        <v>13891829</v>
      </c>
      <c r="K2274" s="4">
        <f>IF(DatiOriginali!K2274 &gt;= SogliaPicchi!$B$24,"",DatiOriginali!K2274)</f>
        <v>224800</v>
      </c>
    </row>
    <row r="2275" spans="1:11" x14ac:dyDescent="0.3">
      <c r="A2275" s="4" t="s">
        <v>2284</v>
      </c>
      <c r="B2275" s="4">
        <v>660675</v>
      </c>
      <c r="C2275" s="4">
        <f>IF(DatiOriginali!C2275 &gt;= SogliaPicchi!$B$24,"",DatiOriginali!C2275)</f>
        <v>5678300</v>
      </c>
      <c r="D2275" s="4">
        <v>324393</v>
      </c>
      <c r="E2275" s="4">
        <f>IF(DatiOriginali!E2275 &gt;= SogliaPicchi!$B$24,"",DatiOriginali!E2275)</f>
        <v>1222900</v>
      </c>
      <c r="F2275" s="4">
        <v>11093839</v>
      </c>
      <c r="G2275" s="4">
        <f>IF(DatiOriginali!G2275 &gt;= SogliaPicchi!$B$24,"",DatiOriginali!G2275)</f>
        <v>450800</v>
      </c>
      <c r="H2275" s="4">
        <v>13901299</v>
      </c>
      <c r="I2275" s="4">
        <f>IF(DatiOriginali!I2275 &gt;= SogliaPicchi!$B$24,"",DatiOriginali!I2275)</f>
        <v>151600</v>
      </c>
      <c r="J2275" s="4">
        <v>13905053</v>
      </c>
      <c r="K2275" s="4">
        <f>IF(DatiOriginali!K2275 &gt;= SogliaPicchi!$B$24,"",DatiOriginali!K2275)</f>
        <v>168000</v>
      </c>
    </row>
    <row r="2276" spans="1:11" x14ac:dyDescent="0.3">
      <c r="A2276" s="4" t="s">
        <v>2285</v>
      </c>
      <c r="B2276" s="4">
        <v>660675</v>
      </c>
      <c r="C2276" s="4">
        <f>IF(DatiOriginali!C2276 &gt;= SogliaPicchi!$B$24,"",DatiOriginali!C2276)</f>
        <v>6172700</v>
      </c>
      <c r="D2276" s="4">
        <v>320466</v>
      </c>
      <c r="E2276" s="4">
        <f>IF(DatiOriginali!E2276 &gt;= SogliaPicchi!$B$24,"",DatiOriginali!E2276)</f>
        <v>1129400</v>
      </c>
      <c r="F2276" s="4">
        <v>11104092</v>
      </c>
      <c r="G2276" s="4">
        <f>IF(DatiOriginali!G2276 &gt;= SogliaPicchi!$B$24,"",DatiOriginali!G2276)</f>
        <v>433100</v>
      </c>
      <c r="H2276" s="4">
        <v>13913786</v>
      </c>
      <c r="I2276" s="4">
        <f>IF(DatiOriginali!I2276 &gt;= SogliaPicchi!$B$24,"",DatiOriginali!I2276)</f>
        <v>151200</v>
      </c>
      <c r="J2276" s="4">
        <v>13919664</v>
      </c>
      <c r="K2276" s="4">
        <f>IF(DatiOriginali!K2276 &gt;= SogliaPicchi!$B$24,"",DatiOriginali!K2276)</f>
        <v>170800</v>
      </c>
    </row>
    <row r="2277" spans="1:11" x14ac:dyDescent="0.3">
      <c r="A2277" s="4" t="s">
        <v>2286</v>
      </c>
      <c r="B2277" s="4">
        <v>660675</v>
      </c>
      <c r="C2277" s="4">
        <f>IF(DatiOriginali!C2277 &gt;= SogliaPicchi!$B$24,"",DatiOriginali!C2277)</f>
        <v>6362500</v>
      </c>
      <c r="D2277" s="4">
        <v>329953</v>
      </c>
      <c r="E2277" s="4">
        <f>IF(DatiOriginali!E2277 &gt;= SogliaPicchi!$B$24,"",DatiOriginali!E2277)</f>
        <v>1151400</v>
      </c>
      <c r="F2277" s="4">
        <v>11114314</v>
      </c>
      <c r="G2277" s="4">
        <f>IF(DatiOriginali!G2277 &gt;= SogliaPicchi!$B$24,"",DatiOriginali!G2277)</f>
        <v>440200</v>
      </c>
      <c r="H2277" s="4">
        <v>13926641</v>
      </c>
      <c r="I2277" s="4">
        <f>IF(DatiOriginali!I2277 &gt;= SogliaPicchi!$B$24,"",DatiOriginali!I2277)</f>
        <v>146800</v>
      </c>
      <c r="J2277" s="4">
        <v>13932212</v>
      </c>
      <c r="K2277" s="4">
        <f>IF(DatiOriginali!K2277 &gt;= SogliaPicchi!$B$24,"",DatiOriginali!K2277)</f>
        <v>167100</v>
      </c>
    </row>
    <row r="2278" spans="1:11" x14ac:dyDescent="0.3">
      <c r="A2278" s="4" t="s">
        <v>2287</v>
      </c>
      <c r="B2278" s="4">
        <v>660675</v>
      </c>
      <c r="C2278" s="4">
        <f>IF(DatiOriginali!C2278 &gt;= SogliaPicchi!$B$24,"",DatiOriginali!C2278)</f>
        <v>6897400</v>
      </c>
      <c r="D2278" s="4">
        <v>340725</v>
      </c>
      <c r="E2278" s="4">
        <f>IF(DatiOriginali!E2278 &gt;= SogliaPicchi!$B$24,"",DatiOriginali!E2278)</f>
        <v>1209700</v>
      </c>
      <c r="F2278" s="4">
        <v>11124576</v>
      </c>
      <c r="G2278" s="4">
        <f>IF(DatiOriginali!G2278 &gt;= SogliaPicchi!$B$24,"",DatiOriginali!G2278)</f>
        <v>436500</v>
      </c>
      <c r="H2278" s="4">
        <v>13939829</v>
      </c>
      <c r="I2278" s="4">
        <f>IF(DatiOriginali!I2278 &gt;= SogliaPicchi!$B$24,"",DatiOriginali!I2278)</f>
        <v>147900</v>
      </c>
      <c r="J2278" s="4">
        <v>13946443</v>
      </c>
      <c r="K2278" s="4">
        <f>IF(DatiOriginali!K2278 &gt;= SogliaPicchi!$B$24,"",DatiOriginali!K2278)</f>
        <v>177000</v>
      </c>
    </row>
    <row r="2279" spans="1:11" x14ac:dyDescent="0.3">
      <c r="A2279" s="4" t="s">
        <v>2288</v>
      </c>
      <c r="B2279" s="4">
        <v>660675</v>
      </c>
      <c r="C2279" s="4">
        <f>IF(DatiOriginali!C2279 &gt;= SogliaPicchi!$B$24,"",DatiOriginali!C2279)</f>
        <v>6318800</v>
      </c>
      <c r="D2279" s="4">
        <v>320578</v>
      </c>
      <c r="E2279" s="4">
        <f>IF(DatiOriginali!E2279 &gt;= SogliaPicchi!$B$24,"",DatiOriginali!E2279)</f>
        <v>1106000</v>
      </c>
      <c r="F2279" s="4">
        <v>11134832</v>
      </c>
      <c r="G2279" s="4">
        <f>IF(DatiOriginali!G2279 &gt;= SogliaPicchi!$B$24,"",DatiOriginali!G2279)</f>
        <v>432500</v>
      </c>
      <c r="H2279" s="4">
        <v>13952893</v>
      </c>
      <c r="I2279" s="4">
        <f>IF(DatiOriginali!I2279 &gt;= SogliaPicchi!$B$24,"",DatiOriginali!I2279)</f>
        <v>152500</v>
      </c>
      <c r="J2279" s="4">
        <v>13959397</v>
      </c>
      <c r="K2279" s="4">
        <f>IF(DatiOriginali!K2279 &gt;= SogliaPicchi!$B$24,"",DatiOriginali!K2279)</f>
        <v>170700</v>
      </c>
    </row>
    <row r="2280" spans="1:11" x14ac:dyDescent="0.3">
      <c r="A2280" s="4" t="s">
        <v>2289</v>
      </c>
      <c r="B2280" s="4">
        <v>660675</v>
      </c>
      <c r="C2280" s="4">
        <f>IF(DatiOriginali!C2280 &gt;= SogliaPicchi!$B$24,"",DatiOriginali!C2280)</f>
        <v>6219500</v>
      </c>
      <c r="D2280" s="4">
        <v>335716</v>
      </c>
      <c r="E2280" s="4">
        <f>IF(DatiOriginali!E2280 &gt;= SogliaPicchi!$B$24,"",DatiOriginali!E2280)</f>
        <v>1705700</v>
      </c>
      <c r="F2280" s="4">
        <v>11145095</v>
      </c>
      <c r="G2280" s="4">
        <f>IF(DatiOriginali!G2280 &gt;= SogliaPicchi!$B$24,"",DatiOriginali!G2280)</f>
        <v>454900</v>
      </c>
      <c r="H2280" s="4">
        <v>13965334</v>
      </c>
      <c r="I2280" s="4">
        <f>IF(DatiOriginali!I2280 &gt;= SogliaPicchi!$B$24,"",DatiOriginali!I2280)</f>
        <v>156600</v>
      </c>
      <c r="J2280" s="4">
        <v>13971818</v>
      </c>
      <c r="K2280" s="4">
        <f>IF(DatiOriginali!K2280 &gt;= SogliaPicchi!$B$24,"",DatiOriginali!K2280)</f>
        <v>176600</v>
      </c>
    </row>
    <row r="2281" spans="1:11" x14ac:dyDescent="0.3">
      <c r="A2281" s="4" t="s">
        <v>2290</v>
      </c>
      <c r="B2281" s="4">
        <v>660675</v>
      </c>
      <c r="C2281" s="4">
        <f>IF(DatiOriginali!C2281 &gt;= SogliaPicchi!$B$24,"",DatiOriginali!C2281)</f>
        <v>5954500</v>
      </c>
      <c r="D2281" s="4">
        <v>328302</v>
      </c>
      <c r="E2281" s="4">
        <f>IF(DatiOriginali!E2281 &gt;= SogliaPicchi!$B$24,"",DatiOriginali!E2281)</f>
        <v>1251900</v>
      </c>
      <c r="F2281" s="4">
        <v>11155316</v>
      </c>
      <c r="G2281" s="4">
        <f>IF(DatiOriginali!G2281 &gt;= SogliaPicchi!$B$24,"",DatiOriginali!G2281)</f>
        <v>443700</v>
      </c>
      <c r="H2281" s="4">
        <v>13978203</v>
      </c>
      <c r="I2281" s="4">
        <f>IF(DatiOriginali!I2281 &gt;= SogliaPicchi!$B$24,"",DatiOriginali!I2281)</f>
        <v>148400</v>
      </c>
      <c r="J2281" s="4">
        <v>13985116</v>
      </c>
      <c r="K2281" s="4">
        <f>IF(DatiOriginali!K2281 &gt;= SogliaPicchi!$B$24,"",DatiOriginali!K2281)</f>
        <v>172000</v>
      </c>
    </row>
    <row r="2282" spans="1:11" x14ac:dyDescent="0.3">
      <c r="A2282" s="4" t="s">
        <v>2291</v>
      </c>
      <c r="B2282" s="4">
        <v>660675</v>
      </c>
      <c r="C2282" s="4">
        <f>IF(DatiOriginali!C2282 &gt;= SogliaPicchi!$B$24,"",DatiOriginali!C2282)</f>
        <v>5909300</v>
      </c>
      <c r="D2282" s="4">
        <v>320982</v>
      </c>
      <c r="E2282" s="4">
        <f>IF(DatiOriginali!E2282 &gt;= SogliaPicchi!$B$24,"",DatiOriginali!E2282)</f>
        <v>1153000</v>
      </c>
      <c r="F2282" s="4">
        <v>11165545</v>
      </c>
      <c r="G2282" s="4">
        <f>IF(DatiOriginali!G2282 &gt;= SogliaPicchi!$B$24,"",DatiOriginali!G2282)</f>
        <v>442000</v>
      </c>
      <c r="H2282" s="4">
        <v>13990674</v>
      </c>
      <c r="I2282" s="4">
        <f>IF(DatiOriginali!I2282 &gt;= SogliaPicchi!$B$24,"",DatiOriginali!I2282)</f>
        <v>151000</v>
      </c>
      <c r="J2282" s="4">
        <v>13997913</v>
      </c>
      <c r="K2282" s="4">
        <f>IF(DatiOriginali!K2282 &gt;= SogliaPicchi!$B$24,"",DatiOriginali!K2282)</f>
        <v>177100</v>
      </c>
    </row>
    <row r="2283" spans="1:11" x14ac:dyDescent="0.3">
      <c r="A2283" s="4" t="s">
        <v>2292</v>
      </c>
      <c r="B2283" s="4">
        <v>660675</v>
      </c>
      <c r="C2283" s="4">
        <f>IF(DatiOriginali!C2283 &gt;= SogliaPicchi!$B$24,"",DatiOriginali!C2283)</f>
        <v>5942000</v>
      </c>
      <c r="D2283" s="4">
        <v>339829</v>
      </c>
      <c r="E2283" s="4">
        <f>IF(DatiOriginali!E2283 &gt;= SogliaPicchi!$B$24,"",DatiOriginali!E2283)</f>
        <v>1180000</v>
      </c>
      <c r="F2283" s="4">
        <v>11175812</v>
      </c>
      <c r="G2283" s="4">
        <f>IF(DatiOriginali!G2283 &gt;= SogliaPicchi!$B$24,"",DatiOriginali!G2283)</f>
        <v>431700</v>
      </c>
      <c r="H2283" s="4">
        <v>14003811</v>
      </c>
      <c r="I2283" s="4">
        <f>IF(DatiOriginali!I2283 &gt;= SogliaPicchi!$B$24,"",DatiOriginali!I2283)</f>
        <v>150200</v>
      </c>
      <c r="J2283" s="4">
        <v>14011410</v>
      </c>
      <c r="K2283" s="4">
        <f>IF(DatiOriginali!K2283 &gt;= SogliaPicchi!$B$24,"",DatiOriginali!K2283)</f>
        <v>163400</v>
      </c>
    </row>
    <row r="2284" spans="1:11" x14ac:dyDescent="0.3">
      <c r="A2284" s="4" t="s">
        <v>2293</v>
      </c>
      <c r="B2284" s="4">
        <v>660675</v>
      </c>
      <c r="C2284" s="4">
        <f>IF(DatiOriginali!C2284 &gt;= SogliaPicchi!$B$24,"",DatiOriginali!C2284)</f>
        <v>6302800</v>
      </c>
      <c r="D2284" s="4">
        <v>336196</v>
      </c>
      <c r="E2284" s="4">
        <f>IF(DatiOriginali!E2284 &gt;= SogliaPicchi!$B$24,"",DatiOriginali!E2284)</f>
        <v>1161200</v>
      </c>
      <c r="F2284" s="4">
        <v>11186058</v>
      </c>
      <c r="G2284" s="4">
        <f>IF(DatiOriginali!G2284 &gt;= SogliaPicchi!$B$24,"",DatiOriginali!G2284)</f>
        <v>440700</v>
      </c>
      <c r="H2284" s="4">
        <v>14016886</v>
      </c>
      <c r="I2284" s="4">
        <f>IF(DatiOriginali!I2284 &gt;= SogliaPicchi!$B$24,"",DatiOriginali!I2284)</f>
        <v>146100</v>
      </c>
      <c r="J2284" s="4">
        <v>14024583</v>
      </c>
      <c r="K2284" s="4">
        <f>IF(DatiOriginali!K2284 &gt;= SogliaPicchi!$B$24,"",DatiOriginali!K2284)</f>
        <v>165100</v>
      </c>
    </row>
    <row r="2285" spans="1:11" x14ac:dyDescent="0.3">
      <c r="A2285" s="4" t="s">
        <v>2294</v>
      </c>
      <c r="B2285" s="4">
        <v>660675</v>
      </c>
      <c r="C2285" s="4">
        <f>IF(DatiOriginali!C2285 &gt;= SogliaPicchi!$B$24,"",DatiOriginali!C2285)</f>
        <v>6136000</v>
      </c>
      <c r="D2285" s="4">
        <v>323110</v>
      </c>
      <c r="E2285" s="4">
        <f>IF(DatiOriginali!E2285 &gt;= SogliaPicchi!$B$24,"",DatiOriginali!E2285)</f>
        <v>1120900</v>
      </c>
      <c r="F2285" s="4">
        <v>11196288</v>
      </c>
      <c r="G2285" s="4">
        <f>IF(DatiOriginali!G2285 &gt;= SogliaPicchi!$B$24,"",DatiOriginali!G2285)</f>
        <v>430000</v>
      </c>
      <c r="H2285" s="4">
        <v>14029469</v>
      </c>
      <c r="I2285" s="4">
        <f>IF(DatiOriginali!I2285 &gt;= SogliaPicchi!$B$24,"",DatiOriginali!I2285)</f>
        <v>150800</v>
      </c>
      <c r="J2285" s="4">
        <v>14036699</v>
      </c>
      <c r="K2285" s="4">
        <f>IF(DatiOriginali!K2285 &gt;= SogliaPicchi!$B$24,"",DatiOriginali!K2285)</f>
        <v>164200</v>
      </c>
    </row>
    <row r="2286" spans="1:11" x14ac:dyDescent="0.3">
      <c r="A2286" s="4" t="s">
        <v>2295</v>
      </c>
      <c r="B2286" s="4">
        <v>660675</v>
      </c>
      <c r="C2286" s="4">
        <f>IF(DatiOriginali!C2286 &gt;= SogliaPicchi!$B$24,"",DatiOriginali!C2286)</f>
        <v>5575900</v>
      </c>
      <c r="D2286" s="4">
        <v>329516</v>
      </c>
      <c r="E2286" s="4">
        <f>IF(DatiOriginali!E2286 &gt;= SogliaPicchi!$B$24,"",DatiOriginali!E2286)</f>
        <v>1165800</v>
      </c>
      <c r="F2286" s="4">
        <v>11206533</v>
      </c>
      <c r="G2286" s="4">
        <f>IF(DatiOriginali!G2286 &gt;= SogliaPicchi!$B$24,"",DatiOriginali!G2286)</f>
        <v>434000</v>
      </c>
      <c r="H2286" s="4">
        <v>14041320</v>
      </c>
      <c r="I2286" s="4">
        <f>IF(DatiOriginali!I2286 &gt;= SogliaPicchi!$B$24,"",DatiOriginali!I2286)</f>
        <v>148300</v>
      </c>
      <c r="J2286" s="4">
        <v>14049666</v>
      </c>
      <c r="K2286" s="4">
        <f>IF(DatiOriginali!K2286 &gt;= SogliaPicchi!$B$24,"",DatiOriginali!K2286)</f>
        <v>163200</v>
      </c>
    </row>
    <row r="2287" spans="1:11" x14ac:dyDescent="0.3">
      <c r="A2287" s="4" t="s">
        <v>2296</v>
      </c>
      <c r="B2287" s="4">
        <v>660675</v>
      </c>
      <c r="C2287" s="4">
        <f>IF(DatiOriginali!C2287 &gt;= SogliaPicchi!$B$24,"",DatiOriginali!C2287)</f>
        <v>5488300</v>
      </c>
      <c r="D2287" s="4">
        <v>319786</v>
      </c>
      <c r="E2287" s="4">
        <f>IF(DatiOriginali!E2287 &gt;= SogliaPicchi!$B$24,"",DatiOriginali!E2287)</f>
        <v>1132800</v>
      </c>
      <c r="F2287" s="4">
        <v>11216775</v>
      </c>
      <c r="G2287" s="4">
        <f>IF(DatiOriginali!G2287 &gt;= SogliaPicchi!$B$24,"",DatiOriginali!G2287)</f>
        <v>431700</v>
      </c>
      <c r="H2287" s="4">
        <v>14053816</v>
      </c>
      <c r="I2287" s="4">
        <f>IF(DatiOriginali!I2287 &gt;= SogliaPicchi!$B$24,"",DatiOriginali!I2287)</f>
        <v>148600</v>
      </c>
      <c r="J2287" s="4">
        <v>14063442</v>
      </c>
      <c r="K2287" s="4">
        <f>IF(DatiOriginali!K2287 &gt;= SogliaPicchi!$B$24,"",DatiOriginali!K2287)</f>
        <v>162700</v>
      </c>
    </row>
    <row r="2288" spans="1:11" x14ac:dyDescent="0.3">
      <c r="A2288" s="4" t="s">
        <v>2297</v>
      </c>
      <c r="B2288" s="4">
        <v>660675</v>
      </c>
      <c r="C2288" s="4">
        <f>IF(DatiOriginali!C2288 &gt;= SogliaPicchi!$B$24,"",DatiOriginali!C2288)</f>
        <v>5744400</v>
      </c>
      <c r="D2288" s="4">
        <v>324704</v>
      </c>
      <c r="E2288" s="4">
        <f>IF(DatiOriginali!E2288 &gt;= SogliaPicchi!$B$24,"",DatiOriginali!E2288)</f>
        <v>1124100</v>
      </c>
      <c r="F2288" s="4">
        <v>11227025</v>
      </c>
      <c r="G2288" s="4">
        <f>IF(DatiOriginali!G2288 &gt;= SogliaPicchi!$B$24,"",DatiOriginali!G2288)</f>
        <v>438500</v>
      </c>
      <c r="H2288" s="4">
        <v>14066983</v>
      </c>
      <c r="I2288" s="4">
        <f>IF(DatiOriginali!I2288 &gt;= SogliaPicchi!$B$24,"",DatiOriginali!I2288)</f>
        <v>149200</v>
      </c>
      <c r="J2288" s="4">
        <v>14076870</v>
      </c>
      <c r="K2288" s="4">
        <f>IF(DatiOriginali!K2288 &gt;= SogliaPicchi!$B$24,"",DatiOriginali!K2288)</f>
        <v>160700</v>
      </c>
    </row>
    <row r="2289" spans="1:11" x14ac:dyDescent="0.3">
      <c r="A2289" s="4" t="s">
        <v>2298</v>
      </c>
      <c r="B2289" s="4">
        <v>660675</v>
      </c>
      <c r="C2289" s="4">
        <f>IF(DatiOriginali!C2289 &gt;= SogliaPicchi!$B$24,"",DatiOriginali!C2289)</f>
        <v>5837100</v>
      </c>
      <c r="D2289" s="4">
        <v>331541</v>
      </c>
      <c r="E2289" s="4">
        <f>IF(DatiOriginali!E2289 &gt;= SogliaPicchi!$B$24,"",DatiOriginali!E2289)</f>
        <v>1213700</v>
      </c>
      <c r="F2289" s="4">
        <v>11237315</v>
      </c>
      <c r="G2289" s="4">
        <f>IF(DatiOriginali!G2289 &gt;= SogliaPicchi!$B$24,"",DatiOriginali!G2289)</f>
        <v>441500</v>
      </c>
      <c r="H2289" s="4">
        <v>14081258</v>
      </c>
      <c r="I2289" s="4">
        <f>IF(DatiOriginali!I2289 &gt;= SogliaPicchi!$B$24,"",DatiOriginali!I2289)</f>
        <v>159400</v>
      </c>
      <c r="J2289" s="4">
        <v>14091681</v>
      </c>
      <c r="K2289" s="4">
        <f>IF(DatiOriginali!K2289 &gt;= SogliaPicchi!$B$24,"",DatiOriginali!K2289)</f>
        <v>163300</v>
      </c>
    </row>
    <row r="2290" spans="1:11" x14ac:dyDescent="0.3">
      <c r="A2290" s="4" t="s">
        <v>2299</v>
      </c>
      <c r="B2290" s="4">
        <v>660675</v>
      </c>
      <c r="C2290" s="4">
        <f>IF(DatiOriginali!C2290 &gt;= SogliaPicchi!$B$24,"",DatiOriginali!C2290)</f>
        <v>6069000</v>
      </c>
      <c r="D2290" s="4">
        <v>329084</v>
      </c>
      <c r="E2290" s="4">
        <f>IF(DatiOriginali!E2290 &gt;= SogliaPicchi!$B$24,"",DatiOriginali!E2290)</f>
        <v>1379600</v>
      </c>
      <c r="F2290" s="4">
        <v>11247541</v>
      </c>
      <c r="G2290" s="4">
        <f>IF(DatiOriginali!G2290 &gt;= SogliaPicchi!$B$24,"",DatiOriginali!G2290)</f>
        <v>674300</v>
      </c>
      <c r="H2290" s="4">
        <v>14093129</v>
      </c>
      <c r="I2290" s="4">
        <f>IF(DatiOriginali!I2290 &gt;= SogliaPicchi!$B$24,"",DatiOriginali!I2290)</f>
        <v>207300</v>
      </c>
      <c r="J2290" s="4">
        <v>14104174</v>
      </c>
      <c r="K2290" s="4">
        <f>IF(DatiOriginali!K2290 &gt;= SogliaPicchi!$B$24,"",DatiOriginali!K2290)</f>
        <v>181200</v>
      </c>
    </row>
    <row r="2291" spans="1:11" x14ac:dyDescent="0.3">
      <c r="A2291" s="4" t="s">
        <v>2300</v>
      </c>
      <c r="B2291" s="4">
        <v>660675</v>
      </c>
      <c r="C2291" s="4">
        <f>IF(DatiOriginali!C2291 &gt;= SogliaPicchi!$B$24,"",DatiOriginali!C2291)</f>
        <v>6654300</v>
      </c>
      <c r="D2291" s="4">
        <v>334012</v>
      </c>
      <c r="E2291" s="4">
        <f>IF(DatiOriginali!E2291 &gt;= SogliaPicchi!$B$24,"",DatiOriginali!E2291)</f>
        <v>1189800</v>
      </c>
      <c r="F2291" s="4">
        <v>11257823</v>
      </c>
      <c r="G2291" s="4">
        <f>IF(DatiOriginali!G2291 &gt;= SogliaPicchi!$B$24,"",DatiOriginali!G2291)</f>
        <v>442200</v>
      </c>
      <c r="H2291" s="4">
        <v>14105815</v>
      </c>
      <c r="I2291" s="4">
        <f>IF(DatiOriginali!I2291 &gt;= SogliaPicchi!$B$24,"",DatiOriginali!I2291)</f>
        <v>145300</v>
      </c>
      <c r="J2291" s="4">
        <v>14116651</v>
      </c>
      <c r="K2291" s="4">
        <f>IF(DatiOriginali!K2291 &gt;= SogliaPicchi!$B$24,"",DatiOriginali!K2291)</f>
        <v>165500</v>
      </c>
    </row>
    <row r="2292" spans="1:11" x14ac:dyDescent="0.3">
      <c r="A2292" s="4" t="s">
        <v>2301</v>
      </c>
      <c r="B2292" s="4">
        <v>660675</v>
      </c>
      <c r="C2292" s="4">
        <f>IF(DatiOriginali!C2292 &gt;= SogliaPicchi!$B$24,"",DatiOriginali!C2292)</f>
        <v>5808900</v>
      </c>
      <c r="D2292" s="4">
        <v>332284</v>
      </c>
      <c r="E2292" s="4">
        <f>IF(DatiOriginali!E2292 &gt;= SogliaPicchi!$B$24,"",DatiOriginali!E2292)</f>
        <v>1177600</v>
      </c>
      <c r="F2292" s="4">
        <v>11268092</v>
      </c>
      <c r="G2292" s="4">
        <f>IF(DatiOriginali!G2292 &gt;= SogliaPicchi!$B$24,"",DatiOriginali!G2292)</f>
        <v>434300</v>
      </c>
      <c r="H2292" s="4">
        <v>14117927</v>
      </c>
      <c r="I2292" s="4">
        <f>IF(DatiOriginali!I2292 &gt;= SogliaPicchi!$B$24,"",DatiOriginali!I2292)</f>
        <v>148600</v>
      </c>
      <c r="J2292" s="4">
        <v>14130032</v>
      </c>
      <c r="K2292" s="4">
        <f>IF(DatiOriginali!K2292 &gt;= SogliaPicchi!$B$24,"",DatiOriginali!K2292)</f>
        <v>177500</v>
      </c>
    </row>
    <row r="2293" spans="1:11" x14ac:dyDescent="0.3">
      <c r="A2293" s="4" t="s">
        <v>2302</v>
      </c>
      <c r="B2293" s="4">
        <v>660675</v>
      </c>
      <c r="C2293" s="4">
        <f>IF(DatiOriginali!C2293 &gt;= SogliaPicchi!$B$24,"",DatiOriginali!C2293)</f>
        <v>5777700</v>
      </c>
      <c r="D2293" s="4">
        <v>335681</v>
      </c>
      <c r="E2293" s="4">
        <f>IF(DatiOriginali!E2293 &gt;= SogliaPicchi!$B$24,"",DatiOriginali!E2293)</f>
        <v>1185000</v>
      </c>
      <c r="F2293" s="4">
        <v>11278368</v>
      </c>
      <c r="G2293" s="4">
        <f>IF(DatiOriginali!G2293 &gt;= SogliaPicchi!$B$24,"",DatiOriginali!G2293)</f>
        <v>439900</v>
      </c>
      <c r="H2293" s="4">
        <v>14130160</v>
      </c>
      <c r="I2293" s="4">
        <f>IF(DatiOriginali!I2293 &gt;= SogliaPicchi!$B$24,"",DatiOriginali!I2293)</f>
        <v>145600</v>
      </c>
      <c r="J2293" s="4">
        <v>14143243</v>
      </c>
      <c r="K2293" s="4">
        <f>IF(DatiOriginali!K2293 &gt;= SogliaPicchi!$B$24,"",DatiOriginali!K2293)</f>
        <v>163400</v>
      </c>
    </row>
    <row r="2294" spans="1:11" x14ac:dyDescent="0.3">
      <c r="A2294" s="4" t="s">
        <v>2303</v>
      </c>
      <c r="B2294" s="4">
        <v>660675</v>
      </c>
      <c r="C2294" s="4">
        <f>IF(DatiOriginali!C2294 &gt;= SogliaPicchi!$B$24,"",DatiOriginali!C2294)</f>
        <v>6238600</v>
      </c>
      <c r="D2294" s="4">
        <v>317411</v>
      </c>
      <c r="E2294" s="4">
        <f>IF(DatiOriginali!E2294 &gt;= SogliaPicchi!$B$24,"",DatiOriginali!E2294)</f>
        <v>1288300</v>
      </c>
      <c r="F2294" s="4">
        <v>11288597</v>
      </c>
      <c r="G2294" s="4">
        <f>IF(DatiOriginali!G2294 &gt;= SogliaPicchi!$B$24,"",DatiOriginali!G2294)</f>
        <v>447300</v>
      </c>
      <c r="H2294" s="4">
        <v>14143470</v>
      </c>
      <c r="I2294" s="4">
        <f>IF(DatiOriginali!I2294 &gt;= SogliaPicchi!$B$24,"",DatiOriginali!I2294)</f>
        <v>153800</v>
      </c>
      <c r="J2294" s="4">
        <v>14155547</v>
      </c>
      <c r="K2294" s="4">
        <f>IF(DatiOriginali!K2294 &gt;= SogliaPicchi!$B$24,"",DatiOriginali!K2294)</f>
        <v>167400</v>
      </c>
    </row>
    <row r="2295" spans="1:11" x14ac:dyDescent="0.3">
      <c r="A2295" s="4" t="s">
        <v>2304</v>
      </c>
      <c r="B2295" s="4">
        <v>660675</v>
      </c>
      <c r="C2295" s="4">
        <f>IF(DatiOriginali!C2295 &gt;= SogliaPicchi!$B$24,"",DatiOriginali!C2295)</f>
        <v>5762100</v>
      </c>
      <c r="D2295" s="4">
        <v>325933</v>
      </c>
      <c r="E2295" s="4">
        <f>IF(DatiOriginali!E2295 &gt;= SogliaPicchi!$B$24,"",DatiOriginali!E2295)</f>
        <v>1138900</v>
      </c>
      <c r="F2295" s="4">
        <v>11298830</v>
      </c>
      <c r="G2295" s="4">
        <f>IF(DatiOriginali!G2295 &gt;= SogliaPicchi!$B$24,"",DatiOriginali!G2295)</f>
        <v>439900</v>
      </c>
      <c r="H2295" s="4">
        <v>14156571</v>
      </c>
      <c r="I2295" s="4">
        <f>IF(DatiOriginali!I2295 &gt;= SogliaPicchi!$B$24,"",DatiOriginali!I2295)</f>
        <v>148300</v>
      </c>
      <c r="J2295" s="4">
        <v>14167854</v>
      </c>
      <c r="K2295" s="4">
        <f>IF(DatiOriginali!K2295 &gt;= SogliaPicchi!$B$24,"",DatiOriginali!K2295)</f>
        <v>162600</v>
      </c>
    </row>
    <row r="2296" spans="1:11" x14ac:dyDescent="0.3">
      <c r="A2296" s="4" t="s">
        <v>2305</v>
      </c>
      <c r="B2296" s="4">
        <v>660675</v>
      </c>
      <c r="C2296" s="4">
        <f>IF(DatiOriginali!C2296 &gt;= SogliaPicchi!$B$24,"",DatiOriginali!C2296)</f>
        <v>5819100</v>
      </c>
      <c r="D2296" s="4">
        <v>337517</v>
      </c>
      <c r="E2296" s="4">
        <f>IF(DatiOriginali!E2296 &gt;= SogliaPicchi!$B$24,"",DatiOriginali!E2296)</f>
        <v>1168700</v>
      </c>
      <c r="F2296" s="4">
        <v>11309108</v>
      </c>
      <c r="G2296" s="4">
        <f>IF(DatiOriginali!G2296 &gt;= SogliaPicchi!$B$24,"",DatiOriginali!G2296)</f>
        <v>434400</v>
      </c>
      <c r="H2296" s="4">
        <v>14169794</v>
      </c>
      <c r="I2296" s="4">
        <f>IF(DatiOriginali!I2296 &gt;= SogliaPicchi!$B$24,"",DatiOriginali!I2296)</f>
        <v>150800</v>
      </c>
      <c r="J2296" s="4">
        <v>14181443</v>
      </c>
      <c r="K2296" s="4">
        <f>IF(DatiOriginali!K2296 &gt;= SogliaPicchi!$B$24,"",DatiOriginali!K2296)</f>
        <v>170300</v>
      </c>
    </row>
    <row r="2297" spans="1:11" x14ac:dyDescent="0.3">
      <c r="A2297" s="4" t="s">
        <v>2306</v>
      </c>
      <c r="B2297" s="4">
        <v>660675</v>
      </c>
      <c r="C2297" s="4">
        <f>IF(DatiOriginali!C2297 &gt;= SogliaPicchi!$B$24,"",DatiOriginali!C2297)</f>
        <v>5667000</v>
      </c>
      <c r="D2297" s="4">
        <v>335487</v>
      </c>
      <c r="E2297" s="4">
        <f>IF(DatiOriginali!E2297 &gt;= SogliaPicchi!$B$24,"",DatiOriginali!E2297)</f>
        <v>1162200</v>
      </c>
      <c r="F2297" s="4">
        <v>11319312</v>
      </c>
      <c r="G2297" s="4">
        <f>IF(DatiOriginali!G2297 &gt;= SogliaPicchi!$B$24,"",DatiOriginali!G2297)</f>
        <v>435900</v>
      </c>
      <c r="H2297" s="4">
        <v>14181685</v>
      </c>
      <c r="I2297" s="4">
        <f>IF(DatiOriginali!I2297 &gt;= SogliaPicchi!$B$24,"",DatiOriginali!I2297)</f>
        <v>210600</v>
      </c>
      <c r="J2297" s="4">
        <v>14193300</v>
      </c>
      <c r="K2297" s="4">
        <f>IF(DatiOriginali!K2297 &gt;= SogliaPicchi!$B$24,"",DatiOriginali!K2297)</f>
        <v>165600</v>
      </c>
    </row>
    <row r="2298" spans="1:11" x14ac:dyDescent="0.3">
      <c r="A2298" s="4" t="s">
        <v>2307</v>
      </c>
      <c r="B2298" s="4">
        <v>660675</v>
      </c>
      <c r="C2298" s="4">
        <f>IF(DatiOriginali!C2298 &gt;= SogliaPicchi!$B$24,"",DatiOriginali!C2298)</f>
        <v>5964000</v>
      </c>
      <c r="D2298" s="4">
        <v>341054</v>
      </c>
      <c r="E2298" s="4">
        <f>IF(DatiOriginali!E2298 &gt;= SogliaPicchi!$B$24,"",DatiOriginali!E2298)</f>
        <v>1375700</v>
      </c>
      <c r="F2298" s="4">
        <v>11329549</v>
      </c>
      <c r="G2298" s="4">
        <f>IF(DatiOriginali!G2298 &gt;= SogliaPicchi!$B$24,"",DatiOriginali!G2298)</f>
        <v>457000</v>
      </c>
      <c r="H2298" s="4">
        <v>14193916</v>
      </c>
      <c r="I2298" s="4">
        <f>IF(DatiOriginali!I2298 &gt;= SogliaPicchi!$B$24,"",DatiOriginali!I2298)</f>
        <v>150900</v>
      </c>
      <c r="J2298" s="4">
        <v>14206496</v>
      </c>
      <c r="K2298" s="4">
        <f>IF(DatiOriginali!K2298 &gt;= SogliaPicchi!$B$24,"",DatiOriginali!K2298)</f>
        <v>166300</v>
      </c>
    </row>
    <row r="2299" spans="1:11" x14ac:dyDescent="0.3">
      <c r="A2299" s="4" t="s">
        <v>2308</v>
      </c>
      <c r="B2299" s="4">
        <v>660675</v>
      </c>
      <c r="C2299" s="4">
        <f>IF(DatiOriginali!C2299 &gt;= SogliaPicchi!$B$24,"",DatiOriginali!C2299)</f>
        <v>6638700</v>
      </c>
      <c r="D2299" s="4">
        <v>337740</v>
      </c>
      <c r="E2299" s="4">
        <f>IF(DatiOriginali!E2299 &gt;= SogliaPicchi!$B$24,"",DatiOriginali!E2299)</f>
        <v>1465300</v>
      </c>
      <c r="F2299" s="4">
        <v>11339828</v>
      </c>
      <c r="G2299" s="4">
        <f>IF(DatiOriginali!G2299 &gt;= SogliaPicchi!$B$24,"",DatiOriginali!G2299)</f>
        <v>438500</v>
      </c>
      <c r="H2299" s="4">
        <v>14206272</v>
      </c>
      <c r="I2299" s="4">
        <f>IF(DatiOriginali!I2299 &gt;= SogliaPicchi!$B$24,"",DatiOriginali!I2299)</f>
        <v>150900</v>
      </c>
      <c r="J2299" s="4">
        <v>14219960</v>
      </c>
      <c r="K2299" s="4">
        <f>IF(DatiOriginali!K2299 &gt;= SogliaPicchi!$B$24,"",DatiOriginali!K2299)</f>
        <v>171600</v>
      </c>
    </row>
    <row r="2300" spans="1:11" x14ac:dyDescent="0.3">
      <c r="A2300" s="4" t="s">
        <v>2309</v>
      </c>
      <c r="B2300" s="4">
        <v>660675</v>
      </c>
      <c r="C2300" s="4">
        <f>IF(DatiOriginali!C2300 &gt;= SogliaPicchi!$B$24,"",DatiOriginali!C2300)</f>
        <v>5887200</v>
      </c>
      <c r="D2300" s="4">
        <v>326878</v>
      </c>
      <c r="E2300" s="4">
        <f>IF(DatiOriginali!E2300 &gt;= SogliaPicchi!$B$24,"",DatiOriginali!E2300)</f>
        <v>1126600</v>
      </c>
      <c r="F2300" s="4">
        <v>11350077</v>
      </c>
      <c r="G2300" s="4">
        <f>IF(DatiOriginali!G2300 &gt;= SogliaPicchi!$B$24,"",DatiOriginali!G2300)</f>
        <v>444900</v>
      </c>
      <c r="H2300" s="4">
        <v>14219915</v>
      </c>
      <c r="I2300" s="4">
        <f>IF(DatiOriginali!I2300 &gt;= SogliaPicchi!$B$24,"",DatiOriginali!I2300)</f>
        <v>151400</v>
      </c>
      <c r="J2300" s="4">
        <v>14232344</v>
      </c>
      <c r="K2300" s="4">
        <f>IF(DatiOriginali!K2300 &gt;= SogliaPicchi!$B$24,"",DatiOriginali!K2300)</f>
        <v>166000</v>
      </c>
    </row>
    <row r="2301" spans="1:11" x14ac:dyDescent="0.3">
      <c r="A2301" s="4" t="s">
        <v>2310</v>
      </c>
      <c r="B2301" s="4">
        <v>660675</v>
      </c>
      <c r="C2301" s="4">
        <f>IF(DatiOriginali!C2301 &gt;= SogliaPicchi!$B$24,"",DatiOriginali!C2301)</f>
        <v>5893500</v>
      </c>
      <c r="D2301" s="4">
        <v>330234</v>
      </c>
      <c r="E2301" s="4">
        <f>IF(DatiOriginali!E2301 &gt;= SogliaPicchi!$B$24,"",DatiOriginali!E2301)</f>
        <v>1141500</v>
      </c>
      <c r="F2301" s="4">
        <v>11360344</v>
      </c>
      <c r="G2301" s="4">
        <f>IF(DatiOriginali!G2301 &gt;= SogliaPicchi!$B$25,"",DatiOriginali!G2301)</f>
        <v>436800</v>
      </c>
      <c r="H2301" s="4">
        <v>14232452</v>
      </c>
      <c r="I2301" s="4">
        <f>IF(DatiOriginali!I2301 &gt;= SogliaPicchi!$B$25,"",DatiOriginali!I2301)</f>
        <v>147900</v>
      </c>
      <c r="J2301" s="4">
        <v>14244273</v>
      </c>
      <c r="K2301" s="4">
        <f>IF(DatiOriginali!K2301 &gt;= SogliaPicchi!$B$25,"",DatiOriginali!K2301)</f>
        <v>162400</v>
      </c>
    </row>
    <row r="2302" spans="1:11" x14ac:dyDescent="0.3">
      <c r="A2302" s="4" t="s">
        <v>2311</v>
      </c>
      <c r="B2302" s="4">
        <v>719400</v>
      </c>
      <c r="C2302" s="4">
        <f>IF(DatiOriginali!C2302 &gt;= SogliaPicchi!$B$25,"",DatiOriginali!C2302)</f>
        <v>6331700</v>
      </c>
      <c r="D2302" s="4">
        <v>365731</v>
      </c>
      <c r="E2302" s="4">
        <f>IF(DatiOriginali!E2302 &gt;= SogliaPicchi!$B$25,"",DatiOriginali!E2302)</f>
        <v>1262500</v>
      </c>
      <c r="F2302" s="4">
        <v>11371145</v>
      </c>
      <c r="G2302" s="4">
        <f>IF(DatiOriginali!G2302 &gt;= SogliaPicchi!$B$25,"",DatiOriginali!G2302)</f>
        <v>453900</v>
      </c>
      <c r="H2302" s="4">
        <v>14247432</v>
      </c>
      <c r="I2302" s="4">
        <f>IF(DatiOriginali!I2302 &gt;= SogliaPicchi!$B$25,"",DatiOriginali!I2302)</f>
        <v>155300</v>
      </c>
      <c r="J2302" s="4">
        <v>14260124</v>
      </c>
      <c r="K2302" s="4">
        <f>IF(DatiOriginali!K2302 &gt;= SogliaPicchi!$B$25,"",DatiOriginali!K2302)</f>
        <v>180800</v>
      </c>
    </row>
    <row r="2303" spans="1:11" x14ac:dyDescent="0.3">
      <c r="A2303" s="4" t="s">
        <v>2312</v>
      </c>
      <c r="B2303" s="4">
        <v>719400</v>
      </c>
      <c r="C2303" s="4">
        <f>IF(DatiOriginali!C2303 &gt;= SogliaPicchi!$B$25,"",DatiOriginali!C2303)</f>
        <v>6311700</v>
      </c>
      <c r="D2303" s="4">
        <v>364179</v>
      </c>
      <c r="E2303" s="4">
        <f>IF(DatiOriginali!E2303 &gt;= SogliaPicchi!$B$25,"",DatiOriginali!E2303)</f>
        <v>1258000</v>
      </c>
      <c r="F2303" s="4">
        <v>11381958</v>
      </c>
      <c r="G2303" s="4">
        <f>IF(DatiOriginali!G2303 &gt;= SogliaPicchi!$B$25,"",DatiOriginali!G2303)</f>
        <v>460700</v>
      </c>
      <c r="H2303" s="4">
        <v>14260367</v>
      </c>
      <c r="I2303" s="4">
        <f>IF(DatiOriginali!I2303 &gt;= SogliaPicchi!$B$25,"",DatiOriginali!I2303)</f>
        <v>156100</v>
      </c>
      <c r="J2303" s="4">
        <v>14273770</v>
      </c>
      <c r="K2303" s="4">
        <f>IF(DatiOriginali!K2303 &gt;= SogliaPicchi!$B$25,"",DatiOriginali!K2303)</f>
        <v>169800</v>
      </c>
    </row>
    <row r="2304" spans="1:11" x14ac:dyDescent="0.3">
      <c r="A2304" s="4" t="s">
        <v>2313</v>
      </c>
      <c r="B2304" s="4">
        <v>719400</v>
      </c>
      <c r="C2304" s="4">
        <f>IF(DatiOriginali!C2304 &gt;= SogliaPicchi!$B$25,"",DatiOriginali!C2304)</f>
        <v>6135400</v>
      </c>
      <c r="D2304" s="4">
        <v>366250</v>
      </c>
      <c r="E2304" s="4">
        <f>IF(DatiOriginali!E2304 &gt;= SogliaPicchi!$B$25,"",DatiOriginali!E2304)</f>
        <v>1846600</v>
      </c>
      <c r="F2304" s="4">
        <v>11392740</v>
      </c>
      <c r="G2304" s="4">
        <f>IF(DatiOriginali!G2304 &gt;= SogliaPicchi!$B$25,"",DatiOriginali!G2304)</f>
        <v>466600</v>
      </c>
      <c r="H2304" s="4">
        <v>14273876</v>
      </c>
      <c r="I2304" s="4">
        <f>IF(DatiOriginali!I2304 &gt;= SogliaPicchi!$B$25,"",DatiOriginali!I2304)</f>
        <v>160700</v>
      </c>
      <c r="J2304" s="4">
        <v>14288259</v>
      </c>
      <c r="K2304" s="4">
        <f>IF(DatiOriginali!K2304 &gt;= SogliaPicchi!$B$25,"",DatiOriginali!K2304)</f>
        <v>176300</v>
      </c>
    </row>
    <row r="2305" spans="1:11" x14ac:dyDescent="0.3">
      <c r="A2305" s="4" t="s">
        <v>2314</v>
      </c>
      <c r="B2305" s="4">
        <v>719400</v>
      </c>
      <c r="C2305" s="4">
        <f>IF(DatiOriginali!C2305 &gt;= SogliaPicchi!$B$25,"",DatiOriginali!C2305)</f>
        <v>6585900</v>
      </c>
      <c r="D2305" s="4">
        <v>363191</v>
      </c>
      <c r="E2305" s="4">
        <f>IF(DatiOriginali!E2305 &gt;= SogliaPicchi!$B$25,"",DatiOriginali!E2305)</f>
        <v>1302500</v>
      </c>
      <c r="F2305" s="4">
        <v>11403545</v>
      </c>
      <c r="G2305" s="4">
        <f>IF(DatiOriginali!G2305 &gt;= SogliaPicchi!$B$25,"",DatiOriginali!G2305)</f>
        <v>462100</v>
      </c>
      <c r="H2305" s="4">
        <v>14288073</v>
      </c>
      <c r="I2305" s="4">
        <f>IF(DatiOriginali!I2305 &gt;= SogliaPicchi!$B$25,"",DatiOriginali!I2305)</f>
        <v>156400</v>
      </c>
      <c r="J2305" s="4">
        <v>14301353</v>
      </c>
      <c r="K2305" s="4">
        <f>IF(DatiOriginali!K2305 &gt;= SogliaPicchi!$B$25,"",DatiOriginali!K2305)</f>
        <v>173800</v>
      </c>
    </row>
    <row r="2306" spans="1:11" x14ac:dyDescent="0.3">
      <c r="A2306" s="4" t="s">
        <v>2315</v>
      </c>
      <c r="B2306" s="4">
        <v>719400</v>
      </c>
      <c r="C2306" s="4">
        <f>IF(DatiOriginali!C2306 &gt;= SogliaPicchi!$B$25,"",DatiOriginali!C2306)</f>
        <v>6450900</v>
      </c>
      <c r="D2306" s="4">
        <v>355233</v>
      </c>
      <c r="E2306" s="4">
        <f>IF(DatiOriginali!E2306 &gt;= SogliaPicchi!$B$25,"",DatiOriginali!E2306)</f>
        <v>1224900</v>
      </c>
      <c r="F2306" s="4">
        <v>11414325</v>
      </c>
      <c r="G2306" s="4">
        <f>IF(DatiOriginali!G2306 &gt;= SogliaPicchi!$B$25,"",DatiOriginali!G2306)</f>
        <v>456500</v>
      </c>
      <c r="H2306" s="4">
        <v>14301218</v>
      </c>
      <c r="I2306" s="4">
        <f>IF(DatiOriginali!I2306 &gt;= SogliaPicchi!$B$25,"",DatiOriginali!I2306)</f>
        <v>152200</v>
      </c>
      <c r="J2306" s="4">
        <v>14316493</v>
      </c>
      <c r="K2306" s="4">
        <f>IF(DatiOriginali!K2306 &gt;= SogliaPicchi!$B$25,"",DatiOriginali!K2306)</f>
        <v>174700</v>
      </c>
    </row>
    <row r="2307" spans="1:11" x14ac:dyDescent="0.3">
      <c r="A2307" s="4" t="s">
        <v>2316</v>
      </c>
      <c r="B2307" s="4">
        <v>719400</v>
      </c>
      <c r="C2307" s="4">
        <f>IF(DatiOriginali!C2307 &gt;= SogliaPicchi!$B$25,"",DatiOriginali!C2307)</f>
        <v>6375600</v>
      </c>
      <c r="D2307" s="4">
        <v>353587</v>
      </c>
      <c r="E2307" s="4">
        <f>IF(DatiOriginali!E2307 &gt;= SogliaPicchi!$B$25,"",DatiOriginali!E2307)</f>
        <v>1223200</v>
      </c>
      <c r="F2307" s="4">
        <v>11425130</v>
      </c>
      <c r="G2307" s="4">
        <f>IF(DatiOriginali!G2307 &gt;= SogliaPicchi!$B$25,"",DatiOriginali!G2307)</f>
        <v>455700</v>
      </c>
      <c r="H2307" s="4">
        <v>14314187</v>
      </c>
      <c r="I2307" s="4">
        <f>IF(DatiOriginali!I2307 &gt;= SogliaPicchi!$B$25,"",DatiOriginali!I2307)</f>
        <v>153700</v>
      </c>
      <c r="J2307" s="4">
        <v>14330136</v>
      </c>
      <c r="K2307" s="4">
        <f>IF(DatiOriginali!K2307 &gt;= SogliaPicchi!$B$25,"",DatiOriginali!K2307)</f>
        <v>176300</v>
      </c>
    </row>
    <row r="2308" spans="1:11" x14ac:dyDescent="0.3">
      <c r="A2308" s="4" t="s">
        <v>2317</v>
      </c>
      <c r="B2308" s="4">
        <v>719400</v>
      </c>
      <c r="C2308" s="4">
        <f>IF(DatiOriginali!C2308 &gt;= SogliaPicchi!$B$25,"",DatiOriginali!C2308)</f>
        <v>6180500</v>
      </c>
      <c r="D2308" s="4">
        <v>359186</v>
      </c>
      <c r="E2308" s="4">
        <f>IF(DatiOriginali!E2308 &gt;= SogliaPicchi!$B$25,"",DatiOriginali!E2308)</f>
        <v>1331700</v>
      </c>
      <c r="F2308" s="4">
        <v>11435939</v>
      </c>
      <c r="G2308" s="4">
        <f>IF(DatiOriginali!G2308 &gt;= SogliaPicchi!$B$25,"",DatiOriginali!G2308)</f>
        <v>467500</v>
      </c>
      <c r="H2308" s="4">
        <v>14327761</v>
      </c>
      <c r="I2308" s="4">
        <f>IF(DatiOriginali!I2308 &gt;= SogliaPicchi!$B$25,"",DatiOriginali!I2308)</f>
        <v>160400</v>
      </c>
      <c r="J2308" s="4">
        <v>14343177</v>
      </c>
      <c r="K2308" s="4">
        <f>IF(DatiOriginali!K2308 &gt;= SogliaPicchi!$B$25,"",DatiOriginali!K2308)</f>
        <v>175100</v>
      </c>
    </row>
    <row r="2309" spans="1:11" x14ac:dyDescent="0.3">
      <c r="A2309" s="4" t="s">
        <v>2318</v>
      </c>
      <c r="B2309" s="4">
        <v>719400</v>
      </c>
      <c r="C2309" s="4">
        <f>IF(DatiOriginali!C2309 &gt;= SogliaPicchi!$B$25,"",DatiOriginali!C2309)</f>
        <v>6541600</v>
      </c>
      <c r="D2309" s="4">
        <v>353779</v>
      </c>
      <c r="E2309" s="4">
        <f>IF(DatiOriginali!E2309 &gt;= SogliaPicchi!$B$25,"",DatiOriginali!E2309)</f>
        <v>1235500</v>
      </c>
      <c r="F2309" s="4">
        <v>11446711</v>
      </c>
      <c r="G2309" s="4">
        <f>IF(DatiOriginali!G2309 &gt;= SogliaPicchi!$B$25,"",DatiOriginali!G2309)</f>
        <v>460700</v>
      </c>
      <c r="H2309" s="4">
        <v>14340741</v>
      </c>
      <c r="I2309" s="4">
        <f>IF(DatiOriginali!I2309 &gt;= SogliaPicchi!$B$25,"",DatiOriginali!I2309)</f>
        <v>158400</v>
      </c>
      <c r="J2309" s="4">
        <v>14356635</v>
      </c>
      <c r="K2309" s="4">
        <f>IF(DatiOriginali!K2309 &gt;= SogliaPicchi!$B$25,"",DatiOriginali!K2309)</f>
        <v>176000</v>
      </c>
    </row>
    <row r="2310" spans="1:11" x14ac:dyDescent="0.3">
      <c r="A2310" s="4" t="s">
        <v>2319</v>
      </c>
      <c r="B2310" s="4">
        <v>719400</v>
      </c>
      <c r="C2310" s="4">
        <f>IF(DatiOriginali!C2310 &gt;= SogliaPicchi!$B$25,"",DatiOriginali!C2310)</f>
        <v>6176700</v>
      </c>
      <c r="D2310" s="4">
        <v>356284</v>
      </c>
      <c r="E2310" s="4">
        <f>IF(DatiOriginali!E2310 &gt;= SogliaPicchi!$B$25,"",DatiOriginali!E2310)</f>
        <v>1260600</v>
      </c>
      <c r="F2310" s="4">
        <v>11457471</v>
      </c>
      <c r="G2310" s="4">
        <f>IF(DatiOriginali!G2310 &gt;= SogliaPicchi!$B$25,"",DatiOriginali!G2310)</f>
        <v>529400</v>
      </c>
      <c r="H2310" s="4">
        <v>14353947</v>
      </c>
      <c r="I2310" s="4">
        <f>IF(DatiOriginali!I2310 &gt;= SogliaPicchi!$B$25,"",DatiOriginali!I2310)</f>
        <v>154600</v>
      </c>
      <c r="J2310" s="4">
        <v>14369966</v>
      </c>
      <c r="K2310" s="4">
        <f>IF(DatiOriginali!K2310 &gt;= SogliaPicchi!$B$25,"",DatiOriginali!K2310)</f>
        <v>169100</v>
      </c>
    </row>
    <row r="2311" spans="1:11" x14ac:dyDescent="0.3">
      <c r="A2311" s="4" t="s">
        <v>2320</v>
      </c>
      <c r="B2311" s="4">
        <v>719400</v>
      </c>
      <c r="C2311" s="4">
        <f>IF(DatiOriginali!C2311 &gt;= SogliaPicchi!$B$25,"",DatiOriginali!C2311)</f>
        <v>6701700</v>
      </c>
      <c r="D2311" s="4">
        <v>346827</v>
      </c>
      <c r="E2311" s="4">
        <f>IF(DatiOriginali!E2311 &gt;= SogliaPicchi!$B$25,"",DatiOriginali!E2311)</f>
        <v>1229500</v>
      </c>
      <c r="F2311" s="4">
        <v>11468217</v>
      </c>
      <c r="G2311" s="4">
        <f>IF(DatiOriginali!G2311 &gt;= SogliaPicchi!$B$25,"",DatiOriginali!G2311)</f>
        <v>452900</v>
      </c>
      <c r="H2311" s="4">
        <v>14366674</v>
      </c>
      <c r="I2311" s="4">
        <f>IF(DatiOriginali!I2311 &gt;= SogliaPicchi!$B$25,"",DatiOriginali!I2311)</f>
        <v>154100</v>
      </c>
      <c r="J2311" s="4">
        <v>14383505</v>
      </c>
      <c r="K2311" s="4">
        <f>IF(DatiOriginali!K2311 &gt;= SogliaPicchi!$B$25,"",DatiOriginali!K2311)</f>
        <v>169900</v>
      </c>
    </row>
    <row r="2312" spans="1:11" x14ac:dyDescent="0.3">
      <c r="A2312" s="4" t="s">
        <v>2321</v>
      </c>
      <c r="B2312" s="4">
        <v>719400</v>
      </c>
      <c r="C2312" s="4">
        <f>IF(DatiOriginali!C2312 &gt;= SogliaPicchi!$B$25,"",DatiOriginali!C2312)</f>
        <v>6619400</v>
      </c>
      <c r="D2312" s="4">
        <v>367176</v>
      </c>
      <c r="E2312" s="4">
        <f>IF(DatiOriginali!E2312 &gt;= SogliaPicchi!$B$25,"",DatiOriginali!E2312)</f>
        <v>1274500</v>
      </c>
      <c r="F2312" s="4">
        <v>11479020</v>
      </c>
      <c r="G2312" s="4">
        <f>IF(DatiOriginali!G2312 &gt;= SogliaPicchi!$B$25,"",DatiOriginali!G2312)</f>
        <v>461500</v>
      </c>
      <c r="H2312" s="4">
        <v>14380948</v>
      </c>
      <c r="I2312" s="4">
        <f>IF(DatiOriginali!I2312 &gt;= SogliaPicchi!$B$25,"",DatiOriginali!I2312)</f>
        <v>158400</v>
      </c>
      <c r="J2312" s="4">
        <v>14397945</v>
      </c>
      <c r="K2312" s="4">
        <f>IF(DatiOriginali!K2312 &gt;= SogliaPicchi!$B$25,"",DatiOriginali!K2312)</f>
        <v>172800</v>
      </c>
    </row>
    <row r="2313" spans="1:11" x14ac:dyDescent="0.3">
      <c r="A2313" s="4" t="s">
        <v>2322</v>
      </c>
      <c r="B2313" s="4">
        <v>719400</v>
      </c>
      <c r="C2313" s="4">
        <f>IF(DatiOriginali!C2313 &gt;= SogliaPicchi!$B$25,"",DatiOriginali!C2313)</f>
        <v>6203300</v>
      </c>
      <c r="D2313" s="4">
        <v>369330</v>
      </c>
      <c r="E2313" s="4">
        <f>IF(DatiOriginali!E2313 &gt;= SogliaPicchi!$B$25,"",DatiOriginali!E2313)</f>
        <v>1302700</v>
      </c>
      <c r="F2313" s="4">
        <v>11489811</v>
      </c>
      <c r="G2313" s="4">
        <f>IF(DatiOriginali!G2313 &gt;= SogliaPicchi!$B$25,"",DatiOriginali!G2313)</f>
        <v>455300</v>
      </c>
      <c r="H2313" s="4">
        <v>14395048</v>
      </c>
      <c r="I2313" s="4">
        <f>IF(DatiOriginali!I2313 &gt;= SogliaPicchi!$B$25,"",DatiOriginali!I2313)</f>
        <v>160200</v>
      </c>
      <c r="J2313" s="4">
        <v>14410786</v>
      </c>
      <c r="K2313" s="4">
        <f>IF(DatiOriginali!K2313 &gt;= SogliaPicchi!$B$25,"",DatiOriginali!K2313)</f>
        <v>170600</v>
      </c>
    </row>
    <row r="2314" spans="1:11" x14ac:dyDescent="0.3">
      <c r="A2314" s="4" t="s">
        <v>2323</v>
      </c>
      <c r="B2314" s="4">
        <v>719400</v>
      </c>
      <c r="C2314" s="4">
        <f>IF(DatiOriginali!C2314 &gt;= SogliaPicchi!$B$25,"",DatiOriginali!C2314)</f>
        <v>5975800</v>
      </c>
      <c r="D2314" s="4">
        <v>367455</v>
      </c>
      <c r="E2314" s="4">
        <f>IF(DatiOriginali!E2314 &gt;= SogliaPicchi!$B$25,"",DatiOriginali!E2314)</f>
        <v>1292600</v>
      </c>
      <c r="F2314" s="4">
        <v>11500585</v>
      </c>
      <c r="G2314" s="4">
        <f>IF(DatiOriginali!G2314 &gt;= SogliaPicchi!$B$25,"",DatiOriginali!G2314)</f>
        <v>454800</v>
      </c>
      <c r="H2314" s="4">
        <v>14410574</v>
      </c>
      <c r="I2314" s="4">
        <f>IF(DatiOriginali!I2314 &gt;= SogliaPicchi!$B$25,"",DatiOriginali!I2314)</f>
        <v>169900</v>
      </c>
      <c r="J2314" s="4">
        <v>14423881</v>
      </c>
      <c r="K2314" s="4">
        <f>IF(DatiOriginali!K2314 &gt;= SogliaPicchi!$B$25,"",DatiOriginali!K2314)</f>
        <v>172200</v>
      </c>
    </row>
    <row r="2315" spans="1:11" x14ac:dyDescent="0.3">
      <c r="A2315" s="4" t="s">
        <v>2324</v>
      </c>
      <c r="B2315" s="4">
        <v>719400</v>
      </c>
      <c r="C2315" s="4">
        <f>IF(DatiOriginali!C2315 &gt;= SogliaPicchi!$B$25,"",DatiOriginali!C2315)</f>
        <v>6189800</v>
      </c>
      <c r="D2315" s="4">
        <v>364370</v>
      </c>
      <c r="E2315" s="4">
        <f>IF(DatiOriginali!E2315 &gt;= SogliaPicchi!$B$25,"",DatiOriginali!E2315)</f>
        <v>1270800</v>
      </c>
      <c r="F2315" s="4">
        <v>11511375</v>
      </c>
      <c r="G2315" s="4">
        <f>IF(DatiOriginali!G2315 &gt;= SogliaPicchi!$B$25,"",DatiOriginali!G2315)</f>
        <v>462700</v>
      </c>
      <c r="H2315" s="4">
        <v>14424212</v>
      </c>
      <c r="I2315" s="4">
        <f>IF(DatiOriginali!I2315 &gt;= SogliaPicchi!$B$25,"",DatiOriginali!I2315)</f>
        <v>158300</v>
      </c>
      <c r="J2315" s="4">
        <v>14436653</v>
      </c>
      <c r="K2315" s="4">
        <f>IF(DatiOriginali!K2315 &gt;= SogliaPicchi!$B$25,"",DatiOriginali!K2315)</f>
        <v>172000</v>
      </c>
    </row>
    <row r="2316" spans="1:11" x14ac:dyDescent="0.3">
      <c r="A2316" s="4" t="s">
        <v>2325</v>
      </c>
      <c r="B2316" s="4">
        <v>719400</v>
      </c>
      <c r="C2316" s="4">
        <f>IF(DatiOriginali!C2316 &gt;= SogliaPicchi!$B$25,"",DatiOriginali!C2316)</f>
        <v>6101000</v>
      </c>
      <c r="D2316" s="4">
        <v>360471</v>
      </c>
      <c r="E2316" s="4">
        <f>IF(DatiOriginali!E2316 &gt;= SogliaPicchi!$B$25,"",DatiOriginali!E2316)</f>
        <v>1589600</v>
      </c>
      <c r="F2316" s="4">
        <v>11522180</v>
      </c>
      <c r="G2316" s="4">
        <f>IF(DatiOriginali!G2316 &gt;= SogliaPicchi!$B$25,"",DatiOriginali!G2316)</f>
        <v>472400</v>
      </c>
      <c r="H2316" s="4">
        <v>14437926</v>
      </c>
      <c r="I2316" s="4">
        <f>IF(DatiOriginali!I2316 &gt;= SogliaPicchi!$B$25,"",DatiOriginali!I2316)</f>
        <v>162500</v>
      </c>
      <c r="J2316" s="4">
        <v>14450863</v>
      </c>
      <c r="K2316" s="4">
        <f>IF(DatiOriginali!K2316 &gt;= SogliaPicchi!$B$25,"",DatiOriginali!K2316)</f>
        <v>175700</v>
      </c>
    </row>
    <row r="2317" spans="1:11" x14ac:dyDescent="0.3">
      <c r="A2317" s="4" t="s">
        <v>2326</v>
      </c>
      <c r="B2317" s="4">
        <v>719400</v>
      </c>
      <c r="C2317" s="4">
        <f>IF(DatiOriginali!C2317 &gt;= SogliaPicchi!$B$25,"",DatiOriginali!C2317)</f>
        <v>6352000</v>
      </c>
      <c r="D2317" s="4">
        <v>362786</v>
      </c>
      <c r="E2317" s="4">
        <f>IF(DatiOriginali!E2317 &gt;= SogliaPicchi!$B$25,"",DatiOriginali!E2317)</f>
        <v>1318500</v>
      </c>
      <c r="F2317" s="4">
        <v>11532941</v>
      </c>
      <c r="G2317" s="4">
        <f>IF(DatiOriginali!G2317 &gt;= SogliaPicchi!$B$25,"",DatiOriginali!G2317)</f>
        <v>456900</v>
      </c>
      <c r="H2317" s="4">
        <v>14450878</v>
      </c>
      <c r="I2317" s="4">
        <f>IF(DatiOriginali!I2317 &gt;= SogliaPicchi!$B$25,"",DatiOriginali!I2317)</f>
        <v>157500</v>
      </c>
      <c r="J2317" s="4">
        <v>14464750</v>
      </c>
      <c r="K2317" s="4">
        <f>IF(DatiOriginali!K2317 &gt;= SogliaPicchi!$B$25,"",DatiOriginali!K2317)</f>
        <v>170700</v>
      </c>
    </row>
    <row r="2318" spans="1:11" x14ac:dyDescent="0.3">
      <c r="A2318" s="4" t="s">
        <v>2327</v>
      </c>
      <c r="B2318" s="4">
        <v>719400</v>
      </c>
      <c r="C2318" s="4">
        <f>IF(DatiOriginali!C2318 &gt;= SogliaPicchi!$B$25,"",DatiOriginali!C2318)</f>
        <v>6247000</v>
      </c>
      <c r="D2318" s="4">
        <v>353147</v>
      </c>
      <c r="E2318" s="4">
        <f>IF(DatiOriginali!E2318 &gt;= SogliaPicchi!$B$25,"",DatiOriginali!E2318)</f>
        <v>1215900</v>
      </c>
      <c r="F2318" s="4">
        <v>11543759</v>
      </c>
      <c r="G2318" s="4">
        <f>IF(DatiOriginali!G2318 &gt;= SogliaPicchi!$B$25,"",DatiOriginali!G2318)</f>
        <v>456900</v>
      </c>
      <c r="H2318" s="4">
        <v>14464154</v>
      </c>
      <c r="I2318" s="4">
        <f>IF(DatiOriginali!I2318 &gt;= SogliaPicchi!$B$25,"",DatiOriginali!I2318)</f>
        <v>157300</v>
      </c>
      <c r="J2318" s="4">
        <v>14477847</v>
      </c>
      <c r="K2318" s="4">
        <f>IF(DatiOriginali!K2318 &gt;= SogliaPicchi!$B$25,"",DatiOriginali!K2318)</f>
        <v>172300</v>
      </c>
    </row>
    <row r="2319" spans="1:11" x14ac:dyDescent="0.3">
      <c r="A2319" s="4" t="s">
        <v>2328</v>
      </c>
      <c r="B2319" s="4">
        <v>719400</v>
      </c>
      <c r="C2319" s="4">
        <f>IF(DatiOriginali!C2319 &gt;= SogliaPicchi!$B$25,"",DatiOriginali!C2319)</f>
        <v>6824000</v>
      </c>
      <c r="D2319" s="4">
        <v>352805</v>
      </c>
      <c r="E2319" s="4">
        <f>IF(DatiOriginali!E2319 &gt;= SogliaPicchi!$B$25,"",DatiOriginali!E2319)</f>
        <v>1259200</v>
      </c>
      <c r="F2319" s="4">
        <v>11554544</v>
      </c>
      <c r="G2319" s="4">
        <f>IF(DatiOriginali!G2319 &gt;= SogliaPicchi!$B$25,"",DatiOriginali!G2319)</f>
        <v>458700</v>
      </c>
      <c r="H2319" s="4">
        <v>14479688</v>
      </c>
      <c r="I2319" s="4">
        <f>IF(DatiOriginali!I2319 &gt;= SogliaPicchi!$B$25,"",DatiOriginali!I2319)</f>
        <v>154600</v>
      </c>
      <c r="J2319" s="4">
        <v>14491398</v>
      </c>
      <c r="K2319" s="4">
        <f>IF(DatiOriginali!K2319 &gt;= SogliaPicchi!$B$25,"",DatiOriginali!K2319)</f>
        <v>171300</v>
      </c>
    </row>
    <row r="2320" spans="1:11" x14ac:dyDescent="0.3">
      <c r="A2320" s="4" t="s">
        <v>2329</v>
      </c>
      <c r="B2320" s="4">
        <v>719400</v>
      </c>
      <c r="C2320" s="4">
        <f>IF(DatiOriginali!C2320 &gt;= SogliaPicchi!$B$25,"",DatiOriginali!C2320)</f>
        <v>6077600</v>
      </c>
      <c r="D2320" s="4">
        <v>374255</v>
      </c>
      <c r="E2320" s="4">
        <f>IF(DatiOriginali!E2320 &gt;= SogliaPicchi!$B$25,"",DatiOriginali!E2320)</f>
        <v>1358900</v>
      </c>
      <c r="F2320" s="4">
        <v>11565327</v>
      </c>
      <c r="G2320" s="4">
        <f>IF(DatiOriginali!G2320 &gt;= SogliaPicchi!$B$25,"",DatiOriginali!G2320)</f>
        <v>470300</v>
      </c>
      <c r="H2320" s="4">
        <v>14493519</v>
      </c>
      <c r="I2320" s="4">
        <f>IF(DatiOriginali!I2320 &gt;= SogliaPicchi!$B$25,"",DatiOriginali!I2320)</f>
        <v>158500</v>
      </c>
      <c r="J2320" s="4">
        <v>14503661</v>
      </c>
      <c r="K2320" s="4">
        <f>IF(DatiOriginali!K2320 &gt;= SogliaPicchi!$B$25,"",DatiOriginali!K2320)</f>
        <v>172700</v>
      </c>
    </row>
    <row r="2321" spans="1:11" x14ac:dyDescent="0.3">
      <c r="A2321" s="4" t="s">
        <v>2330</v>
      </c>
      <c r="B2321" s="4">
        <v>719400</v>
      </c>
      <c r="C2321" s="4">
        <f>IF(DatiOriginali!C2321 &gt;= SogliaPicchi!$B$25,"",DatiOriginali!C2321)</f>
        <v>6251700</v>
      </c>
      <c r="D2321" s="4">
        <v>361371</v>
      </c>
      <c r="E2321" s="4">
        <f>IF(DatiOriginali!E2321 &gt;= SogliaPicchi!$B$25,"",DatiOriginali!E2321)</f>
        <v>1257900</v>
      </c>
      <c r="F2321" s="4">
        <v>11576141</v>
      </c>
      <c r="G2321" s="4">
        <f>IF(DatiOriginali!G2321 &gt;= SogliaPicchi!$B$25,"",DatiOriginali!G2321)</f>
        <v>460900</v>
      </c>
      <c r="H2321" s="4">
        <v>14507675</v>
      </c>
      <c r="I2321" s="4">
        <f>IF(DatiOriginali!I2321 &gt;= SogliaPicchi!$B$25,"",DatiOriginali!I2321)</f>
        <v>157200</v>
      </c>
      <c r="J2321" s="4">
        <v>14517605</v>
      </c>
      <c r="K2321" s="4">
        <f>IF(DatiOriginali!K2321 &gt;= SogliaPicchi!$B$25,"",DatiOriginali!K2321)</f>
        <v>176000</v>
      </c>
    </row>
    <row r="2322" spans="1:11" x14ac:dyDescent="0.3">
      <c r="A2322" s="4" t="s">
        <v>2331</v>
      </c>
      <c r="B2322" s="4">
        <v>719400</v>
      </c>
      <c r="C2322" s="4">
        <f>IF(DatiOriginali!C2322 &gt;= SogliaPicchi!$B$25,"",DatiOriginali!C2322)</f>
        <v>6022400</v>
      </c>
      <c r="D2322" s="4">
        <v>359037</v>
      </c>
      <c r="E2322" s="4">
        <f>IF(DatiOriginali!E2322 &gt;= SogliaPicchi!$B$25,"",DatiOriginali!E2322)</f>
        <v>1419000</v>
      </c>
      <c r="F2322" s="4">
        <v>11586898</v>
      </c>
      <c r="G2322" s="4">
        <f>IF(DatiOriginali!G2322 &gt;= SogliaPicchi!$B$25,"",DatiOriginali!G2322)</f>
        <v>461800</v>
      </c>
      <c r="H2322" s="4">
        <v>14520880</v>
      </c>
      <c r="I2322" s="4">
        <f>IF(DatiOriginali!I2322 &gt;= SogliaPicchi!$B$25,"",DatiOriginali!I2322)</f>
        <v>158400</v>
      </c>
      <c r="J2322" s="4">
        <v>14531173</v>
      </c>
      <c r="K2322" s="4">
        <f>IF(DatiOriginali!K2322 &gt;= SogliaPicchi!$B$25,"",DatiOriginali!K2322)</f>
        <v>177900</v>
      </c>
    </row>
    <row r="2323" spans="1:11" x14ac:dyDescent="0.3">
      <c r="A2323" s="4" t="s">
        <v>2332</v>
      </c>
      <c r="B2323" s="4">
        <v>719400</v>
      </c>
      <c r="C2323" s="4">
        <f>IF(DatiOriginali!C2323 &gt;= SogliaPicchi!$B$25,"",DatiOriginali!C2323)</f>
        <v>6330600</v>
      </c>
      <c r="D2323" s="4">
        <v>379285</v>
      </c>
      <c r="E2323" s="4">
        <f>IF(DatiOriginali!E2323 &gt;= SogliaPicchi!$B$25,"",DatiOriginali!E2323)</f>
        <v>1337500</v>
      </c>
      <c r="F2323" s="4">
        <v>11597666</v>
      </c>
      <c r="G2323" s="4">
        <f>IF(DatiOriginali!G2323 &gt;= SogliaPicchi!$B$25,"",DatiOriginali!G2323)</f>
        <v>462200</v>
      </c>
      <c r="H2323" s="4">
        <v>14534704</v>
      </c>
      <c r="I2323" s="4">
        <f>IF(DatiOriginali!I2323 &gt;= SogliaPicchi!$B$25,"",DatiOriginali!I2323)</f>
        <v>149800</v>
      </c>
      <c r="J2323" s="4">
        <v>14546069</v>
      </c>
      <c r="K2323" s="4">
        <f>IF(DatiOriginali!K2323 &gt;= SogliaPicchi!$B$25,"",DatiOriginali!K2323)</f>
        <v>172400</v>
      </c>
    </row>
    <row r="2324" spans="1:11" x14ac:dyDescent="0.3">
      <c r="A2324" s="4" t="s">
        <v>2333</v>
      </c>
      <c r="B2324" s="4">
        <v>719400</v>
      </c>
      <c r="C2324" s="4">
        <f>IF(DatiOriginali!C2324 &gt;= SogliaPicchi!$B$25,"",DatiOriginali!C2324)</f>
        <v>6200400</v>
      </c>
      <c r="D2324" s="4">
        <v>359709</v>
      </c>
      <c r="E2324" s="4">
        <f>IF(DatiOriginali!E2324 &gt;= SogliaPicchi!$B$25,"",DatiOriginali!E2324)</f>
        <v>1383000</v>
      </c>
      <c r="F2324" s="4">
        <v>11608451</v>
      </c>
      <c r="G2324" s="4">
        <f>IF(DatiOriginali!G2324 &gt;= SogliaPicchi!$B$25,"",DatiOriginali!G2324)</f>
        <v>508700</v>
      </c>
      <c r="H2324" s="4">
        <v>14549262</v>
      </c>
      <c r="I2324" s="4">
        <f>IF(DatiOriginali!I2324 &gt;= SogliaPicchi!$B$25,"",DatiOriginali!I2324)</f>
        <v>165300</v>
      </c>
      <c r="J2324" s="4">
        <v>14559262</v>
      </c>
      <c r="K2324" s="4">
        <f>IF(DatiOriginali!K2324 &gt;= SogliaPicchi!$B$25,"",DatiOriginali!K2324)</f>
        <v>170700</v>
      </c>
    </row>
    <row r="2325" spans="1:11" x14ac:dyDescent="0.3">
      <c r="A2325" s="4" t="s">
        <v>2334</v>
      </c>
      <c r="B2325" s="4">
        <v>719400</v>
      </c>
      <c r="C2325" s="4">
        <f>IF(DatiOriginali!C2325 &gt;= SogliaPicchi!$B$25,"",DatiOriginali!C2325)</f>
        <v>6387300</v>
      </c>
      <c r="D2325" s="4">
        <v>364410</v>
      </c>
      <c r="E2325" s="4">
        <f>IF(DatiOriginali!E2325 &gt;= SogliaPicchi!$B$25,"",DatiOriginali!E2325)</f>
        <v>1259400</v>
      </c>
      <c r="F2325" s="4">
        <v>11619242</v>
      </c>
      <c r="G2325" s="4">
        <f>IF(DatiOriginali!G2325 &gt;= SogliaPicchi!$B$25,"",DatiOriginali!G2325)</f>
        <v>452100</v>
      </c>
      <c r="H2325" s="4">
        <v>14563318</v>
      </c>
      <c r="I2325" s="4">
        <f>IF(DatiOriginali!I2325 &gt;= SogliaPicchi!$B$25,"",DatiOriginali!I2325)</f>
        <v>159200</v>
      </c>
      <c r="J2325" s="4">
        <v>14572997</v>
      </c>
      <c r="K2325" s="4">
        <f>IF(DatiOriginali!K2325 &gt;= SogliaPicchi!$B$25,"",DatiOriginali!K2325)</f>
        <v>174200</v>
      </c>
    </row>
    <row r="2326" spans="1:11" x14ac:dyDescent="0.3">
      <c r="A2326" s="4" t="s">
        <v>2335</v>
      </c>
      <c r="B2326" s="4">
        <v>719400</v>
      </c>
      <c r="C2326" s="4">
        <f>IF(DatiOriginali!C2326 &gt;= SogliaPicchi!$B$25,"",DatiOriginali!C2326)</f>
        <v>6273100</v>
      </c>
      <c r="D2326" s="4">
        <v>364617</v>
      </c>
      <c r="E2326" s="4">
        <f>IF(DatiOriginali!E2326 &gt;= SogliaPicchi!$B$25,"",DatiOriginali!E2326)</f>
        <v>1259700</v>
      </c>
      <c r="F2326" s="4">
        <v>11630045</v>
      </c>
      <c r="G2326" s="4">
        <f>IF(DatiOriginali!G2326 &gt;= SogliaPicchi!$B$25,"",DatiOriginali!G2326)</f>
        <v>453900</v>
      </c>
      <c r="H2326" s="4">
        <v>14578017</v>
      </c>
      <c r="I2326" s="4">
        <f>IF(DatiOriginali!I2326 &gt;= SogliaPicchi!$B$25,"",DatiOriginali!I2326)</f>
        <v>165200</v>
      </c>
      <c r="J2326" s="4">
        <v>14586070</v>
      </c>
      <c r="K2326" s="4">
        <f>IF(DatiOriginali!K2326 &gt;= SogliaPicchi!$B$25,"",DatiOriginali!K2326)</f>
        <v>170600</v>
      </c>
    </row>
    <row r="2327" spans="1:11" x14ac:dyDescent="0.3">
      <c r="A2327" s="4" t="s">
        <v>2336</v>
      </c>
      <c r="B2327" s="4">
        <v>719400</v>
      </c>
      <c r="C2327" s="4">
        <f>IF(DatiOriginali!C2327 &gt;= SogliaPicchi!$B$25,"",DatiOriginali!C2327)</f>
        <v>6545900</v>
      </c>
      <c r="D2327" s="4">
        <v>344780</v>
      </c>
      <c r="E2327" s="4">
        <f>IF(DatiOriginali!E2327 &gt;= SogliaPicchi!$B$25,"",DatiOriginali!E2327)</f>
        <v>1199400</v>
      </c>
      <c r="F2327" s="4">
        <v>11640855</v>
      </c>
      <c r="G2327" s="4">
        <f>IF(DatiOriginali!G2327 &gt;= SogliaPicchi!$B$25,"",DatiOriginali!G2327)</f>
        <v>460900</v>
      </c>
      <c r="H2327" s="4">
        <v>14591167</v>
      </c>
      <c r="I2327" s="4">
        <f>IF(DatiOriginali!I2327 &gt;= SogliaPicchi!$B$25,"",DatiOriginali!I2327)</f>
        <v>155700</v>
      </c>
      <c r="J2327" s="4">
        <v>14599988</v>
      </c>
      <c r="K2327" s="4">
        <f>IF(DatiOriginali!K2327 &gt;= SogliaPicchi!$B$25,"",DatiOriginali!K2327)</f>
        <v>178800</v>
      </c>
    </row>
    <row r="2328" spans="1:11" x14ac:dyDescent="0.3">
      <c r="A2328" s="4" t="s">
        <v>2337</v>
      </c>
      <c r="B2328" s="4">
        <v>719400</v>
      </c>
      <c r="C2328" s="4">
        <f>IF(DatiOriginali!C2328 &gt;= SogliaPicchi!$B$25,"",DatiOriginali!C2328)</f>
        <v>6405700</v>
      </c>
      <c r="D2328" s="4">
        <v>365002</v>
      </c>
      <c r="E2328" s="4">
        <f>IF(DatiOriginali!E2328 &gt;= SogliaPicchi!$B$25,"",DatiOriginali!E2328)</f>
        <v>1569500</v>
      </c>
      <c r="F2328" s="4">
        <v>11651623</v>
      </c>
      <c r="G2328" s="4">
        <f>IF(DatiOriginali!G2328 &gt;= SogliaPicchi!$B$25,"",DatiOriginali!G2328)</f>
        <v>473200</v>
      </c>
      <c r="H2328" s="4">
        <v>14603676</v>
      </c>
      <c r="I2328" s="4">
        <f>IF(DatiOriginali!I2328 &gt;= SogliaPicchi!$B$25,"",DatiOriginali!I2328)</f>
        <v>173900</v>
      </c>
      <c r="J2328" s="4">
        <v>14613959</v>
      </c>
      <c r="K2328" s="4">
        <f>IF(DatiOriginali!K2328 &gt;= SogliaPicchi!$B$25,"",DatiOriginali!K2328)</f>
        <v>175900</v>
      </c>
    </row>
    <row r="2329" spans="1:11" x14ac:dyDescent="0.3">
      <c r="A2329" s="4" t="s">
        <v>2338</v>
      </c>
      <c r="B2329" s="4">
        <v>719400</v>
      </c>
      <c r="C2329" s="4">
        <f>IF(DatiOriginali!C2329 &gt;= SogliaPicchi!$B$25,"",DatiOriginali!C2329)</f>
        <v>6469100</v>
      </c>
      <c r="D2329" s="4">
        <v>363193</v>
      </c>
      <c r="E2329" s="4">
        <f>IF(DatiOriginali!E2329 &gt;= SogliaPicchi!$B$25,"",DatiOriginali!E2329)</f>
        <v>1301000</v>
      </c>
      <c r="F2329" s="4">
        <v>11662407</v>
      </c>
      <c r="G2329" s="4">
        <f>IF(DatiOriginali!G2329 &gt;= SogliaPicchi!$B$25,"",DatiOriginali!G2329)</f>
        <v>453800</v>
      </c>
      <c r="H2329" s="4">
        <v>14617332</v>
      </c>
      <c r="I2329" s="4">
        <f>IF(DatiOriginali!I2329 &gt;= SogliaPicchi!$B$25,"",DatiOriginali!I2329)</f>
        <v>163800</v>
      </c>
      <c r="J2329" s="4">
        <v>14626776</v>
      </c>
      <c r="K2329" s="4">
        <f>IF(DatiOriginali!K2329 &gt;= SogliaPicchi!$B$25,"",DatiOriginali!K2329)</f>
        <v>175500</v>
      </c>
    </row>
    <row r="2330" spans="1:11" x14ac:dyDescent="0.3">
      <c r="A2330" s="4" t="s">
        <v>2339</v>
      </c>
      <c r="B2330" s="4">
        <v>719400</v>
      </c>
      <c r="C2330" s="4">
        <f>IF(DatiOriginali!C2330 &gt;= SogliaPicchi!$B$25,"",DatiOriginali!C2330)</f>
        <v>6509400</v>
      </c>
      <c r="D2330" s="4">
        <v>363128</v>
      </c>
      <c r="E2330" s="4">
        <f>IF(DatiOriginali!E2330 &gt;= SogliaPicchi!$B$25,"",DatiOriginali!E2330)</f>
        <v>1284600</v>
      </c>
      <c r="F2330" s="4">
        <v>11673182</v>
      </c>
      <c r="G2330" s="4">
        <f>IF(DatiOriginali!G2330 &gt;= SogliaPicchi!$B$25,"",DatiOriginali!G2330)</f>
        <v>463400</v>
      </c>
      <c r="H2330" s="4">
        <v>14632230</v>
      </c>
      <c r="I2330" s="4">
        <f>IF(DatiOriginali!I2330 &gt;= SogliaPicchi!$B$25,"",DatiOriginali!I2330)</f>
        <v>154000</v>
      </c>
      <c r="J2330" s="4">
        <v>14639207</v>
      </c>
      <c r="K2330" s="4">
        <f>IF(DatiOriginali!K2330 &gt;= SogliaPicchi!$B$25,"",DatiOriginali!K2330)</f>
        <v>174700</v>
      </c>
    </row>
    <row r="2331" spans="1:11" x14ac:dyDescent="0.3">
      <c r="A2331" s="4" t="s">
        <v>2340</v>
      </c>
      <c r="B2331" s="4">
        <v>719400</v>
      </c>
      <c r="C2331" s="4">
        <f>IF(DatiOriginali!C2331 &gt;= SogliaPicchi!$B$25,"",DatiOriginali!C2331)</f>
        <v>6821500</v>
      </c>
      <c r="D2331" s="4">
        <v>360701</v>
      </c>
      <c r="E2331" s="4">
        <f>IF(DatiOriginali!E2331 &gt;= SogliaPicchi!$B$25,"",DatiOriginali!E2331)</f>
        <v>1277100</v>
      </c>
      <c r="F2331" s="4">
        <v>11683962</v>
      </c>
      <c r="G2331" s="4">
        <f>IF(DatiOriginali!G2331 &gt;= SogliaPicchi!$B$25,"",DatiOriginali!G2331)</f>
        <v>453600</v>
      </c>
      <c r="H2331" s="4">
        <v>14646686</v>
      </c>
      <c r="I2331" s="4">
        <f>IF(DatiOriginali!I2331 &gt;= SogliaPicchi!$B$25,"",DatiOriginali!I2331)</f>
        <v>156600</v>
      </c>
      <c r="J2331" s="4">
        <v>14653448</v>
      </c>
      <c r="K2331" s="4">
        <f>IF(DatiOriginali!K2331 &gt;= SogliaPicchi!$B$25,"",DatiOriginali!K2331)</f>
        <v>183700</v>
      </c>
    </row>
    <row r="2332" spans="1:11" x14ac:dyDescent="0.3">
      <c r="A2332" s="4" t="s">
        <v>2341</v>
      </c>
      <c r="B2332" s="4">
        <v>719400</v>
      </c>
      <c r="C2332" s="4">
        <f>IF(DatiOriginali!C2332 &gt;= SogliaPicchi!$B$25,"",DatiOriginali!C2332)</f>
        <v>6209600</v>
      </c>
      <c r="D2332" s="4">
        <v>360797</v>
      </c>
      <c r="E2332" s="4">
        <f>IF(DatiOriginali!E2332 &gt;= SogliaPicchi!$B$25,"",DatiOriginali!E2332)</f>
        <v>1290100</v>
      </c>
      <c r="F2332" s="4">
        <v>11694760</v>
      </c>
      <c r="G2332" s="4">
        <f>IF(DatiOriginali!G2332 &gt;= SogliaPicchi!$B$25,"",DatiOriginali!G2332)</f>
        <v>460000</v>
      </c>
      <c r="H2332" s="4">
        <v>14659649</v>
      </c>
      <c r="I2332" s="4">
        <f>IF(DatiOriginali!I2332 &gt;= SogliaPicchi!$B$25,"",DatiOriginali!I2332)</f>
        <v>155200</v>
      </c>
      <c r="J2332" s="4">
        <v>14666147</v>
      </c>
      <c r="K2332" s="4">
        <f>IF(DatiOriginali!K2332 &gt;= SogliaPicchi!$B$25,"",DatiOriginali!K2332)</f>
        <v>171400</v>
      </c>
    </row>
    <row r="2333" spans="1:11" x14ac:dyDescent="0.3">
      <c r="A2333" s="4" t="s">
        <v>2342</v>
      </c>
      <c r="B2333" s="4">
        <v>719400</v>
      </c>
      <c r="C2333" s="4">
        <f>IF(DatiOriginali!C2333 &gt;= SogliaPicchi!$B$25,"",DatiOriginali!C2333)</f>
        <v>6332100</v>
      </c>
      <c r="D2333" s="4">
        <v>367098</v>
      </c>
      <c r="E2333" s="4">
        <f>IF(DatiOriginali!E2333 &gt;= SogliaPicchi!$B$25,"",DatiOriginali!E2333)</f>
        <v>1269600</v>
      </c>
      <c r="F2333" s="4">
        <v>11705531</v>
      </c>
      <c r="G2333" s="4">
        <f>IF(DatiOriginali!G2333 &gt;= SogliaPicchi!$B$25,"",DatiOriginali!G2333)</f>
        <v>487000</v>
      </c>
      <c r="H2333" s="4">
        <v>14673574</v>
      </c>
      <c r="I2333" s="4">
        <f>IF(DatiOriginali!I2333 &gt;= SogliaPicchi!$B$25,"",DatiOriginali!I2333)</f>
        <v>182100</v>
      </c>
      <c r="J2333" s="4">
        <v>14679033</v>
      </c>
      <c r="K2333" s="4">
        <f>IF(DatiOriginali!K2333 &gt;= SogliaPicchi!$B$25,"",DatiOriginali!K2333)</f>
        <v>175400</v>
      </c>
    </row>
    <row r="2334" spans="1:11" x14ac:dyDescent="0.3">
      <c r="A2334" s="4" t="s">
        <v>2343</v>
      </c>
      <c r="B2334" s="4">
        <v>719400</v>
      </c>
      <c r="C2334" s="4">
        <f>IF(DatiOriginali!C2334 &gt;= SogliaPicchi!$B$25,"",DatiOriginali!C2334)</f>
        <v>6570300</v>
      </c>
      <c r="D2334" s="4">
        <v>366879</v>
      </c>
      <c r="E2334" s="4">
        <f>IF(DatiOriginali!E2334 &gt;= SogliaPicchi!$B$25,"",DatiOriginali!E2334)</f>
        <v>1321900</v>
      </c>
      <c r="F2334" s="4">
        <v>11716337</v>
      </c>
      <c r="G2334" s="4">
        <f>IF(DatiOriginali!G2334 &gt;= SogliaPicchi!$B$25,"",DatiOriginali!G2334)</f>
        <v>461500</v>
      </c>
      <c r="H2334" s="4">
        <v>14688532</v>
      </c>
      <c r="I2334" s="4">
        <f>IF(DatiOriginali!I2334 &gt;= SogliaPicchi!$B$25,"",DatiOriginali!I2334)</f>
        <v>164000</v>
      </c>
      <c r="J2334" s="4">
        <v>14692237</v>
      </c>
      <c r="K2334" s="4">
        <f>IF(DatiOriginali!K2334 &gt;= SogliaPicchi!$B$25,"",DatiOriginali!K2334)</f>
        <v>172500</v>
      </c>
    </row>
    <row r="2335" spans="1:11" x14ac:dyDescent="0.3">
      <c r="A2335" s="4" t="s">
        <v>2344</v>
      </c>
      <c r="B2335" s="4">
        <v>719400</v>
      </c>
      <c r="C2335" s="4">
        <f>IF(DatiOriginali!C2335 &gt;= SogliaPicchi!$B$25,"",DatiOriginali!C2335)</f>
        <v>6316000</v>
      </c>
      <c r="D2335" s="4">
        <v>359564</v>
      </c>
      <c r="E2335" s="4">
        <f>IF(DatiOriginali!E2335 &gt;= SogliaPicchi!$B$25,"",DatiOriginali!E2335)</f>
        <v>1240000</v>
      </c>
      <c r="F2335" s="4">
        <v>11727121</v>
      </c>
      <c r="G2335" s="4">
        <f>IF(DatiOriginali!G2335 &gt;= SogliaPicchi!$B$25,"",DatiOriginali!G2335)</f>
        <v>453100</v>
      </c>
      <c r="H2335" s="4">
        <v>14702775</v>
      </c>
      <c r="I2335" s="4">
        <f>IF(DatiOriginali!I2335 &gt;= SogliaPicchi!$B$25,"",DatiOriginali!I2335)</f>
        <v>160000</v>
      </c>
      <c r="J2335" s="4">
        <v>14707475</v>
      </c>
      <c r="K2335" s="4">
        <f>IF(DatiOriginali!K2335 &gt;= SogliaPicchi!$B$25,"",DatiOriginali!K2335)</f>
        <v>171500</v>
      </c>
    </row>
    <row r="2336" spans="1:11" x14ac:dyDescent="0.3">
      <c r="A2336" s="4" t="s">
        <v>2345</v>
      </c>
      <c r="B2336" s="4">
        <v>719400</v>
      </c>
      <c r="C2336" s="4">
        <f>IF(DatiOriginali!C2336 &gt;= SogliaPicchi!$B$25,"",DatiOriginali!C2336)</f>
        <v>6327500</v>
      </c>
      <c r="D2336" s="4">
        <v>353539</v>
      </c>
      <c r="E2336" s="4">
        <f>IF(DatiOriginali!E2336 &gt;= SogliaPicchi!$B$25,"",DatiOriginali!E2336)</f>
        <v>1433800</v>
      </c>
      <c r="F2336" s="4">
        <v>11737914</v>
      </c>
      <c r="G2336" s="4">
        <f>IF(DatiOriginali!G2336 &gt;= SogliaPicchi!$B$25,"",DatiOriginali!G2336)</f>
        <v>459000</v>
      </c>
      <c r="H2336" s="4">
        <v>14717019</v>
      </c>
      <c r="I2336" s="4">
        <f>IF(DatiOriginali!I2336 &gt;= SogliaPicchi!$B$25,"",DatiOriginali!I2336)</f>
        <v>160000</v>
      </c>
      <c r="J2336" s="4">
        <v>14720386</v>
      </c>
      <c r="K2336" s="4">
        <f>IF(DatiOriginali!K2336 &gt;= SogliaPicchi!$B$25,"",DatiOriginali!K2336)</f>
        <v>173800</v>
      </c>
    </row>
    <row r="2337" spans="1:11" x14ac:dyDescent="0.3">
      <c r="A2337" s="4" t="s">
        <v>2346</v>
      </c>
      <c r="B2337" s="4">
        <v>719400</v>
      </c>
      <c r="C2337" s="4">
        <f>IF(DatiOriginali!C2337 &gt;= SogliaPicchi!$B$25,"",DatiOriginali!C2337)</f>
        <v>6487600</v>
      </c>
      <c r="D2337" s="4">
        <v>353497</v>
      </c>
      <c r="E2337" s="4">
        <f>IF(DatiOriginali!E2337 &gt;= SogliaPicchi!$B$25,"",DatiOriginali!E2337)</f>
        <v>1248000</v>
      </c>
      <c r="F2337" s="4">
        <v>11748689</v>
      </c>
      <c r="G2337" s="4">
        <f>IF(DatiOriginali!G2337 &gt;= SogliaPicchi!$B$25,"",DatiOriginali!G2337)</f>
        <v>460800</v>
      </c>
      <c r="H2337" s="4">
        <v>14729593</v>
      </c>
      <c r="I2337" s="4">
        <f>IF(DatiOriginali!I2337 &gt;= SogliaPicchi!$B$25,"",DatiOriginali!I2337)</f>
        <v>153400</v>
      </c>
      <c r="J2337" s="4">
        <v>14733882</v>
      </c>
      <c r="K2337" s="4">
        <f>IF(DatiOriginali!K2337 &gt;= SogliaPicchi!$B$25,"",DatiOriginali!K2337)</f>
        <v>175800</v>
      </c>
    </row>
    <row r="2338" spans="1:11" x14ac:dyDescent="0.3">
      <c r="A2338" s="4" t="s">
        <v>2347</v>
      </c>
      <c r="B2338" s="4">
        <v>719400</v>
      </c>
      <c r="C2338" s="4">
        <f>IF(DatiOriginali!C2338 &gt;= SogliaPicchi!$B$25,"",DatiOriginali!C2338)</f>
        <v>6356600</v>
      </c>
      <c r="D2338" s="4">
        <v>355559</v>
      </c>
      <c r="E2338" s="4">
        <f>IF(DatiOriginali!E2338 &gt;= SogliaPicchi!$B$25,"",DatiOriginali!E2338)</f>
        <v>1238000</v>
      </c>
      <c r="F2338" s="4">
        <v>11759481</v>
      </c>
      <c r="G2338" s="4">
        <f>IF(DatiOriginali!G2338 &gt;= SogliaPicchi!$B$25,"",DatiOriginali!G2338)</f>
        <v>458200</v>
      </c>
      <c r="H2338" s="4">
        <v>14744174</v>
      </c>
      <c r="I2338" s="4">
        <f>IF(DatiOriginali!I2338 &gt;= SogliaPicchi!$B$25,"",DatiOriginali!I2338)</f>
        <v>157700</v>
      </c>
      <c r="J2338" s="4">
        <v>14747365</v>
      </c>
      <c r="K2338" s="4">
        <f>IF(DatiOriginali!K2338 &gt;= SogliaPicchi!$B$25,"",DatiOriginali!K2338)</f>
        <v>170200</v>
      </c>
    </row>
    <row r="2339" spans="1:11" x14ac:dyDescent="0.3">
      <c r="A2339" s="4" t="s">
        <v>2348</v>
      </c>
      <c r="B2339" s="4">
        <v>719400</v>
      </c>
      <c r="C2339" s="4">
        <f>IF(DatiOriginali!C2339 &gt;= SogliaPicchi!$B$25,"",DatiOriginali!C2339)</f>
        <v>6781500</v>
      </c>
      <c r="D2339" s="4">
        <v>347639</v>
      </c>
      <c r="E2339" s="4">
        <f>IF(DatiOriginali!E2339 &gt;= SogliaPicchi!$B$25,"",DatiOriginali!E2339)</f>
        <v>1237800</v>
      </c>
      <c r="F2339" s="4">
        <v>11770258</v>
      </c>
      <c r="G2339" s="4">
        <f>IF(DatiOriginali!G2339 &gt;= SogliaPicchi!$B$25,"",DatiOriginali!G2339)</f>
        <v>474300</v>
      </c>
      <c r="H2339" s="4">
        <v>14757626</v>
      </c>
      <c r="I2339" s="4">
        <f>IF(DatiOriginali!I2339 &gt;= SogliaPicchi!$B$25,"",DatiOriginali!I2339)</f>
        <v>156600</v>
      </c>
      <c r="J2339" s="4">
        <v>14760853</v>
      </c>
      <c r="K2339" s="4">
        <f>IF(DatiOriginali!K2339 &gt;= SogliaPicchi!$B$25,"",DatiOriginali!K2339)</f>
        <v>175800</v>
      </c>
    </row>
    <row r="2340" spans="1:11" x14ac:dyDescent="0.3">
      <c r="A2340" s="4" t="s">
        <v>2349</v>
      </c>
      <c r="B2340" s="4">
        <v>719400</v>
      </c>
      <c r="C2340" s="4">
        <f>IF(DatiOriginali!C2340 &gt;= SogliaPicchi!$B$25,"",DatiOriginali!C2340)</f>
        <v>6402500</v>
      </c>
      <c r="D2340" s="4">
        <v>359151</v>
      </c>
      <c r="E2340" s="4">
        <f>IF(DatiOriginali!E2340 &gt;= SogliaPicchi!$B$25,"",DatiOriginali!E2340)</f>
        <v>1271500</v>
      </c>
      <c r="F2340" s="4">
        <v>11781051</v>
      </c>
      <c r="G2340" s="4">
        <f>IF(DatiOriginali!G2340 &gt;= SogliaPicchi!$B$25,"",DatiOriginali!G2340)</f>
        <v>456000</v>
      </c>
      <c r="H2340" s="4">
        <v>14770827</v>
      </c>
      <c r="I2340" s="4">
        <f>IF(DatiOriginali!I2340 &gt;= SogliaPicchi!$B$25,"",DatiOriginali!I2340)</f>
        <v>157100</v>
      </c>
      <c r="J2340" s="4">
        <v>14775650</v>
      </c>
      <c r="K2340" s="4">
        <f>IF(DatiOriginali!K2340 &gt;= SogliaPicchi!$B$25,"",DatiOriginali!K2340)</f>
        <v>171200</v>
      </c>
    </row>
    <row r="2341" spans="1:11" x14ac:dyDescent="0.3">
      <c r="A2341" s="4" t="s">
        <v>2350</v>
      </c>
      <c r="B2341" s="4">
        <v>719400</v>
      </c>
      <c r="C2341" s="4">
        <f>IF(DatiOriginali!C2341 &gt;= SogliaPicchi!$B$25,"",DatiOriginali!C2341)</f>
        <v>6412500</v>
      </c>
      <c r="D2341" s="4">
        <v>356705</v>
      </c>
      <c r="E2341" s="4">
        <f>IF(DatiOriginali!E2341 &gt;= SogliaPicchi!$B$25,"",DatiOriginali!E2341)</f>
        <v>1233100</v>
      </c>
      <c r="F2341" s="4">
        <v>11791837</v>
      </c>
      <c r="G2341" s="4">
        <f>IF(DatiOriginali!G2341 &gt;= SogliaPicchi!$B$25,"",DatiOriginali!G2341)</f>
        <v>456500</v>
      </c>
      <c r="H2341" s="4">
        <v>14784777</v>
      </c>
      <c r="I2341" s="4">
        <f>IF(DatiOriginali!I2341 &gt;= SogliaPicchi!$B$25,"",DatiOriginali!I2341)</f>
        <v>155400</v>
      </c>
      <c r="J2341" s="4">
        <v>14788742</v>
      </c>
      <c r="K2341" s="4">
        <f>IF(DatiOriginali!K2341 &gt;= SogliaPicchi!$B$25,"",DatiOriginali!K2341)</f>
        <v>170300</v>
      </c>
    </row>
    <row r="2342" spans="1:11" x14ac:dyDescent="0.3">
      <c r="A2342" s="4" t="s">
        <v>2351</v>
      </c>
      <c r="B2342" s="4">
        <v>719400</v>
      </c>
      <c r="C2342" s="4">
        <f>IF(DatiOriginali!C2342 &gt;= SogliaPicchi!$B$25,"",DatiOriginali!C2342)</f>
        <v>6454900</v>
      </c>
      <c r="D2342" s="4">
        <v>352495</v>
      </c>
      <c r="E2342" s="4">
        <f>IF(DatiOriginali!E2342 &gt;= SogliaPicchi!$B$25,"",DatiOriginali!E2342)</f>
        <v>1219200</v>
      </c>
      <c r="F2342" s="4">
        <v>11802608</v>
      </c>
      <c r="G2342" s="4">
        <f>IF(DatiOriginali!G2342 &gt;= SogliaPicchi!$B$25,"",DatiOriginali!G2342)</f>
        <v>458200</v>
      </c>
      <c r="H2342" s="4">
        <v>14798110</v>
      </c>
      <c r="I2342" s="4">
        <f>IF(DatiOriginali!I2342 &gt;= SogliaPicchi!$B$25,"",DatiOriginali!I2342)</f>
        <v>155600</v>
      </c>
      <c r="J2342" s="4">
        <v>14804029</v>
      </c>
      <c r="K2342" s="4">
        <f>IF(DatiOriginali!K2342 &gt;= SogliaPicchi!$B$25,"",DatiOriginali!K2342)</f>
        <v>184700</v>
      </c>
    </row>
    <row r="2343" spans="1:11" x14ac:dyDescent="0.3">
      <c r="A2343" s="4" t="s">
        <v>2352</v>
      </c>
      <c r="B2343" s="4">
        <v>719400</v>
      </c>
      <c r="C2343" s="4">
        <f>IF(DatiOriginali!C2343 &gt;= SogliaPicchi!$B$25,"",DatiOriginali!C2343)</f>
        <v>6470800</v>
      </c>
      <c r="D2343" s="4">
        <v>366745</v>
      </c>
      <c r="E2343" s="4">
        <f>IF(DatiOriginali!E2343 &gt;= SogliaPicchi!$B$25,"",DatiOriginali!E2343)</f>
        <v>1280900</v>
      </c>
      <c r="F2343" s="4">
        <v>11813388</v>
      </c>
      <c r="G2343" s="4">
        <f>IF(DatiOriginali!G2343 &gt;= SogliaPicchi!$B$25,"",DatiOriginali!G2343)</f>
        <v>458900</v>
      </c>
      <c r="H2343" s="4">
        <v>14811706</v>
      </c>
      <c r="I2343" s="4">
        <f>IF(DatiOriginali!I2343 &gt;= SogliaPicchi!$B$25,"",DatiOriginali!I2343)</f>
        <v>154000</v>
      </c>
      <c r="J2343" s="4">
        <v>14817107</v>
      </c>
      <c r="K2343" s="4">
        <f>IF(DatiOriginali!K2343 &gt;= SogliaPicchi!$B$25,"",DatiOriginali!K2343)</f>
        <v>176400</v>
      </c>
    </row>
    <row r="2344" spans="1:11" x14ac:dyDescent="0.3">
      <c r="A2344" s="4" t="s">
        <v>2353</v>
      </c>
      <c r="B2344" s="4">
        <v>719400</v>
      </c>
      <c r="C2344" s="4">
        <f>IF(DatiOriginali!C2344 &gt;= SogliaPicchi!$B$25,"",DatiOriginali!C2344)</f>
        <v>6487100</v>
      </c>
      <c r="D2344" s="4">
        <v>365985</v>
      </c>
      <c r="E2344" s="4">
        <f>IF(DatiOriginali!E2344 &gt;= SogliaPicchi!$B$25,"",DatiOriginali!E2344)</f>
        <v>1319400</v>
      </c>
      <c r="F2344" s="4">
        <v>11824192</v>
      </c>
      <c r="G2344" s="4">
        <f>IF(DatiOriginali!G2344 &gt;= SogliaPicchi!$B$25,"",DatiOriginali!G2344)</f>
        <v>464100</v>
      </c>
      <c r="H2344" s="4">
        <v>14825665</v>
      </c>
      <c r="I2344" s="4">
        <f>IF(DatiOriginali!I2344 &gt;= SogliaPicchi!$B$25,"",DatiOriginali!I2344)</f>
        <v>163700</v>
      </c>
      <c r="J2344" s="4">
        <v>14831534</v>
      </c>
      <c r="K2344" s="4">
        <f>IF(DatiOriginali!K2344 &gt;= SogliaPicchi!$B$25,"",DatiOriginali!K2344)</f>
        <v>183700</v>
      </c>
    </row>
    <row r="2345" spans="1:11" x14ac:dyDescent="0.3">
      <c r="A2345" s="4" t="s">
        <v>2354</v>
      </c>
      <c r="B2345" s="4">
        <v>719400</v>
      </c>
      <c r="C2345" s="4">
        <f>IF(DatiOriginali!C2345 &gt;= SogliaPicchi!$B$25,"",DatiOriginali!C2345)</f>
        <v>6382500</v>
      </c>
      <c r="D2345" s="4">
        <v>370217</v>
      </c>
      <c r="E2345" s="4">
        <f>IF(DatiOriginali!E2345 &gt;= SogliaPicchi!$B$25,"",DatiOriginali!E2345)</f>
        <v>1347600</v>
      </c>
      <c r="F2345" s="4">
        <v>11834990</v>
      </c>
      <c r="G2345" s="4">
        <f>IF(DatiOriginali!G2345 &gt;= SogliaPicchi!$B$25,"",DatiOriginali!G2345)</f>
        <v>453100</v>
      </c>
      <c r="H2345" s="4">
        <v>14839831</v>
      </c>
      <c r="I2345" s="4">
        <f>IF(DatiOriginali!I2345 &gt;= SogliaPicchi!$B$25,"",DatiOriginali!I2345)</f>
        <v>156700</v>
      </c>
      <c r="J2345" s="4">
        <v>14844811</v>
      </c>
      <c r="K2345" s="4">
        <f>IF(DatiOriginali!K2345 &gt;= SogliaPicchi!$B$25,"",DatiOriginali!K2345)</f>
        <v>171100</v>
      </c>
    </row>
    <row r="2346" spans="1:11" x14ac:dyDescent="0.3">
      <c r="A2346" s="4" t="s">
        <v>2355</v>
      </c>
      <c r="B2346" s="4">
        <v>719400</v>
      </c>
      <c r="C2346" s="4">
        <f>IF(DatiOriginali!C2346 &gt;= SogliaPicchi!$B$25,"",DatiOriginali!C2346)</f>
        <v>6263300</v>
      </c>
      <c r="D2346" s="4">
        <v>366111</v>
      </c>
      <c r="E2346" s="4">
        <f>IF(DatiOriginali!E2346 &gt;= SogliaPicchi!$B$25,"",DatiOriginali!E2346)</f>
        <v>1267600</v>
      </c>
      <c r="F2346" s="4">
        <v>11845796</v>
      </c>
      <c r="G2346" s="4">
        <f>IF(DatiOriginali!G2346 &gt;= SogliaPicchi!$B$25,"",DatiOriginali!G2346)</f>
        <v>457000</v>
      </c>
      <c r="H2346" s="4">
        <v>14854761</v>
      </c>
      <c r="I2346" s="4">
        <f>IF(DatiOriginali!I2346 &gt;= SogliaPicchi!$B$25,"",DatiOriginali!I2346)</f>
        <v>161500</v>
      </c>
      <c r="J2346" s="4">
        <v>14858691</v>
      </c>
      <c r="K2346" s="4">
        <f>IF(DatiOriginali!K2346 &gt;= SogliaPicchi!$B$25,"",DatiOriginali!K2346)</f>
        <v>172300</v>
      </c>
    </row>
    <row r="2347" spans="1:11" x14ac:dyDescent="0.3">
      <c r="A2347" s="4" t="s">
        <v>2356</v>
      </c>
      <c r="B2347" s="4">
        <v>719400</v>
      </c>
      <c r="C2347" s="4">
        <f>IF(DatiOriginali!C2347 &gt;= SogliaPicchi!$B$25,"",DatiOriginali!C2347)</f>
        <v>6297400</v>
      </c>
      <c r="D2347" s="4">
        <v>372424</v>
      </c>
      <c r="E2347" s="4">
        <f>IF(DatiOriginali!E2347 &gt;= SogliaPicchi!$B$25,"",DatiOriginali!E2347)</f>
        <v>1544700</v>
      </c>
      <c r="F2347" s="4">
        <v>11856628</v>
      </c>
      <c r="G2347" s="4">
        <f>IF(DatiOriginali!G2347 &gt;= SogliaPicchi!$B$25,"",DatiOriginali!G2347)</f>
        <v>457600</v>
      </c>
      <c r="H2347" s="4">
        <v>14869042</v>
      </c>
      <c r="I2347" s="4">
        <f>IF(DatiOriginali!I2347 &gt;= SogliaPicchi!$B$25,"",DatiOriginali!I2347)</f>
        <v>157900</v>
      </c>
      <c r="J2347" s="4">
        <v>14872941</v>
      </c>
      <c r="K2347" s="4">
        <f>IF(DatiOriginali!K2347 &gt;= SogliaPicchi!$B$25,"",DatiOriginali!K2347)</f>
        <v>178000</v>
      </c>
    </row>
    <row r="2348" spans="1:11" x14ac:dyDescent="0.3">
      <c r="A2348" s="4" t="s">
        <v>2357</v>
      </c>
      <c r="B2348" s="4">
        <v>719400</v>
      </c>
      <c r="C2348" s="4">
        <f>IF(DatiOriginali!C2348 &gt;= SogliaPicchi!$B$25,"",DatiOriginali!C2348)</f>
        <v>6468400</v>
      </c>
      <c r="D2348" s="4">
        <v>362608</v>
      </c>
      <c r="E2348" s="4">
        <f>IF(DatiOriginali!E2348 &gt;= SogliaPicchi!$B$25,"",DatiOriginali!E2348)</f>
        <v>1250900</v>
      </c>
      <c r="F2348" s="4">
        <v>11867402</v>
      </c>
      <c r="G2348" s="4">
        <f>IF(DatiOriginali!G2348 &gt;= SogliaPicchi!$B$25,"",DatiOriginali!G2348)</f>
        <v>460600</v>
      </c>
      <c r="H2348" s="4">
        <v>14882730</v>
      </c>
      <c r="I2348" s="4">
        <f>IF(DatiOriginali!I2348 &gt;= SogliaPicchi!$B$25,"",DatiOriginali!I2348)</f>
        <v>156900</v>
      </c>
      <c r="J2348" s="4">
        <v>14886481</v>
      </c>
      <c r="K2348" s="4">
        <f>IF(DatiOriginali!K2348 &gt;= SogliaPicchi!$B$25,"",DatiOriginali!K2348)</f>
        <v>173000</v>
      </c>
    </row>
    <row r="2349" spans="1:11" x14ac:dyDescent="0.3">
      <c r="A2349" s="4" t="s">
        <v>2358</v>
      </c>
      <c r="B2349" s="4">
        <v>719400</v>
      </c>
      <c r="C2349" s="4">
        <f>IF(DatiOriginali!C2349 &gt;= SogliaPicchi!$B$25,"",DatiOriginali!C2349)</f>
        <v>6463600</v>
      </c>
      <c r="D2349" s="4">
        <v>358523</v>
      </c>
      <c r="E2349" s="4">
        <f>IF(DatiOriginali!E2349 &gt;= SogliaPicchi!$B$25,"",DatiOriginali!E2349)</f>
        <v>1245100</v>
      </c>
      <c r="F2349" s="4">
        <v>11878182</v>
      </c>
      <c r="G2349" s="4">
        <f>IF(DatiOriginali!G2349 &gt;= SogliaPicchi!$B$25,"",DatiOriginali!G2349)</f>
        <v>454700</v>
      </c>
      <c r="H2349" s="4">
        <v>14895389</v>
      </c>
      <c r="I2349" s="4">
        <f>IF(DatiOriginali!I2349 &gt;= SogliaPicchi!$B$25,"",DatiOriginali!I2349)</f>
        <v>165700</v>
      </c>
      <c r="J2349" s="4">
        <v>14901446</v>
      </c>
      <c r="K2349" s="4">
        <f>IF(DatiOriginali!K2349 &gt;= SogliaPicchi!$B$25,"",DatiOriginali!K2349)</f>
        <v>179100</v>
      </c>
    </row>
    <row r="2350" spans="1:11" x14ac:dyDescent="0.3">
      <c r="A2350" s="4" t="s">
        <v>2359</v>
      </c>
      <c r="B2350" s="4">
        <v>719400</v>
      </c>
      <c r="C2350" s="4">
        <f>IF(DatiOriginali!C2350 &gt;= SogliaPicchi!$B$25,"",DatiOriginali!C2350)</f>
        <v>6215700</v>
      </c>
      <c r="D2350" s="4">
        <v>349276</v>
      </c>
      <c r="E2350" s="4">
        <f>IF(DatiOriginali!E2350 &gt;= SogliaPicchi!$B$25,"",DatiOriginali!E2350)</f>
        <v>1442800</v>
      </c>
      <c r="F2350" s="4">
        <v>11888975</v>
      </c>
      <c r="G2350" s="4">
        <f>IF(DatiOriginali!G2350 &gt;= SogliaPicchi!$B$25,"",DatiOriginali!G2350)</f>
        <v>557900</v>
      </c>
      <c r="H2350" s="4">
        <v>14907711</v>
      </c>
      <c r="I2350" s="4">
        <f>IF(DatiOriginali!I2350 &gt;= SogliaPicchi!$B$25,"",DatiOriginali!I2350)</f>
        <v>201300</v>
      </c>
      <c r="J2350" s="4">
        <v>14915689</v>
      </c>
      <c r="K2350" s="4">
        <f>IF(DatiOriginali!K2350 &gt;= SogliaPicchi!$B$25,"",DatiOriginali!K2350)</f>
        <v>276900</v>
      </c>
    </row>
    <row r="2351" spans="1:11" x14ac:dyDescent="0.3">
      <c r="A2351" s="4" t="s">
        <v>2360</v>
      </c>
      <c r="B2351" s="4">
        <v>719400</v>
      </c>
      <c r="C2351" s="4">
        <f>IF(DatiOriginali!C2351 &gt;= SogliaPicchi!$B$25,"",DatiOriginali!C2351)</f>
        <v>6803300</v>
      </c>
      <c r="D2351" s="4">
        <v>355191</v>
      </c>
      <c r="E2351" s="4">
        <f>IF(DatiOriginali!E2351 &gt;= SogliaPicchi!$B$25,"",DatiOriginali!E2351)</f>
        <v>1225300</v>
      </c>
      <c r="F2351" s="4">
        <v>11899790</v>
      </c>
      <c r="G2351" s="4">
        <f>IF(DatiOriginali!G2351 &gt;= SogliaPicchi!$B$25,"",DatiOriginali!G2351)</f>
        <v>455500</v>
      </c>
      <c r="H2351" s="4">
        <v>14920234</v>
      </c>
      <c r="I2351" s="4">
        <f>IF(DatiOriginali!I2351 &gt;= SogliaPicchi!$B$25,"",DatiOriginali!I2351)</f>
        <v>159200</v>
      </c>
      <c r="J2351" s="4">
        <v>14929634</v>
      </c>
      <c r="K2351" s="4">
        <f>IF(DatiOriginali!K2351 &gt;= SogliaPicchi!$B$25,"",DatiOriginali!K2351)</f>
        <v>174900</v>
      </c>
    </row>
    <row r="2352" spans="1:11" x14ac:dyDescent="0.3">
      <c r="A2352" s="4" t="s">
        <v>2361</v>
      </c>
      <c r="B2352" s="4">
        <v>719400</v>
      </c>
      <c r="C2352" s="4">
        <f>IF(DatiOriginali!C2352 &gt;= SogliaPicchi!$B$25,"",DatiOriginali!C2352)</f>
        <v>7330600</v>
      </c>
      <c r="D2352" s="4">
        <v>358969</v>
      </c>
      <c r="E2352" s="4">
        <f>IF(DatiOriginali!E2352 &gt;= SogliaPicchi!$B$25,"",DatiOriginali!E2352)</f>
        <v>1243300</v>
      </c>
      <c r="F2352" s="4">
        <v>11910597</v>
      </c>
      <c r="G2352" s="4">
        <f>IF(DatiOriginali!G2352 &gt;= SogliaPicchi!$B$25,"",DatiOriginali!G2352)</f>
        <v>452100</v>
      </c>
      <c r="H2352" s="4">
        <v>14935360</v>
      </c>
      <c r="I2352" s="4">
        <f>IF(DatiOriginali!I2352 &gt;= SogliaPicchi!$B$25,"",DatiOriginali!I2352)</f>
        <v>162400</v>
      </c>
      <c r="J2352" s="4">
        <v>14942611</v>
      </c>
      <c r="K2352" s="4">
        <f>IF(DatiOriginali!K2352 &gt;= SogliaPicchi!$B$25,"",DatiOriginali!K2352)</f>
        <v>174400</v>
      </c>
    </row>
    <row r="2353" spans="1:11" x14ac:dyDescent="0.3">
      <c r="A2353" s="4" t="s">
        <v>2362</v>
      </c>
      <c r="B2353" s="4">
        <v>719400</v>
      </c>
      <c r="C2353" s="4">
        <f>IF(DatiOriginali!C2353 &gt;= SogliaPicchi!$B$25,"",DatiOriginali!C2353)</f>
        <v>6167700</v>
      </c>
      <c r="D2353" s="4">
        <v>361620</v>
      </c>
      <c r="E2353" s="4">
        <f>IF(DatiOriginali!E2353 &gt;= SogliaPicchi!$B$25,"",DatiOriginali!E2353)</f>
        <v>1250800</v>
      </c>
      <c r="F2353" s="4">
        <v>11921363</v>
      </c>
      <c r="G2353" s="4">
        <f>IF(DatiOriginali!G2353 &gt;= SogliaPicchi!$B$25,"",DatiOriginali!G2353)</f>
        <v>455500</v>
      </c>
      <c r="H2353" s="4">
        <v>14948437</v>
      </c>
      <c r="I2353" s="4">
        <f>IF(DatiOriginali!I2353 &gt;= SogliaPicchi!$B$25,"",DatiOriginali!I2353)</f>
        <v>158000</v>
      </c>
      <c r="J2353" s="4">
        <v>14955847</v>
      </c>
      <c r="K2353" s="4">
        <f>IF(DatiOriginali!K2353 &gt;= SogliaPicchi!$B$25,"",DatiOriginali!K2353)</f>
        <v>173000</v>
      </c>
    </row>
    <row r="2354" spans="1:11" x14ac:dyDescent="0.3">
      <c r="A2354" s="4" t="s">
        <v>2363</v>
      </c>
      <c r="B2354" s="4">
        <v>719400</v>
      </c>
      <c r="C2354" s="4">
        <f>IF(DatiOriginali!C2354 &gt;= SogliaPicchi!$B$25,"",DatiOriginali!C2354)</f>
        <v>6329100</v>
      </c>
      <c r="D2354" s="4">
        <v>351568</v>
      </c>
      <c r="E2354" s="4">
        <f>IF(DatiOriginali!E2354 &gt;= SogliaPicchi!$B$25,"",DatiOriginali!E2354)</f>
        <v>1224800</v>
      </c>
      <c r="F2354" s="4">
        <v>11932138</v>
      </c>
      <c r="G2354" s="4">
        <f>IF(DatiOriginali!G2354 &gt;= SogliaPicchi!$B$25,"",DatiOriginali!G2354)</f>
        <v>454000</v>
      </c>
      <c r="H2354" s="4">
        <v>14962470</v>
      </c>
      <c r="I2354" s="4">
        <f>IF(DatiOriginali!I2354 &gt;= SogliaPicchi!$B$25,"",DatiOriginali!I2354)</f>
        <v>157600</v>
      </c>
      <c r="J2354" s="4">
        <v>14969465</v>
      </c>
      <c r="K2354" s="4">
        <f>IF(DatiOriginali!K2354 &gt;= SogliaPicchi!$B$25,"",DatiOriginali!K2354)</f>
        <v>171400</v>
      </c>
    </row>
    <row r="2355" spans="1:11" x14ac:dyDescent="0.3">
      <c r="A2355" s="4" t="s">
        <v>2364</v>
      </c>
      <c r="B2355" s="4">
        <v>719400</v>
      </c>
      <c r="C2355" s="4">
        <f>IF(DatiOriginali!C2355 &gt;= SogliaPicchi!$B$25,"",DatiOriginali!C2355)</f>
        <v>6302000</v>
      </c>
      <c r="D2355" s="4">
        <v>361330</v>
      </c>
      <c r="E2355" s="4">
        <f>IF(DatiOriginali!E2355 &gt;= SogliaPicchi!$B$25,"",DatiOriginali!E2355)</f>
        <v>1259000</v>
      </c>
      <c r="F2355" s="4">
        <v>11942921</v>
      </c>
      <c r="G2355" s="4">
        <f>IF(DatiOriginali!G2355 &gt;= SogliaPicchi!$B$25,"",DatiOriginali!G2355)</f>
        <v>499100</v>
      </c>
      <c r="H2355" s="4">
        <v>14977215</v>
      </c>
      <c r="I2355" s="4">
        <f>IF(DatiOriginali!I2355 &gt;= SogliaPicchi!$B$25,"",DatiOriginali!I2355)</f>
        <v>186300</v>
      </c>
      <c r="J2355" s="4">
        <v>14982914</v>
      </c>
      <c r="K2355" s="4">
        <f>IF(DatiOriginali!K2355 &gt;= SogliaPicchi!$B$25,"",DatiOriginali!K2355)</f>
        <v>170000</v>
      </c>
    </row>
    <row r="2356" spans="1:11" x14ac:dyDescent="0.3">
      <c r="A2356" s="4" t="s">
        <v>2365</v>
      </c>
      <c r="B2356" s="4">
        <v>719400</v>
      </c>
      <c r="C2356" s="4">
        <f>IF(DatiOriginali!C2356 &gt;= SogliaPicchi!$B$25,"",DatiOriginali!C2356)</f>
        <v>6487500</v>
      </c>
      <c r="D2356" s="4">
        <v>358084</v>
      </c>
      <c r="E2356" s="4">
        <f>IF(DatiOriginali!E2356 &gt;= SogliaPicchi!$B$25,"",DatiOriginali!E2356)</f>
        <v>1264900</v>
      </c>
      <c r="F2356" s="4">
        <v>11953663</v>
      </c>
      <c r="G2356" s="4">
        <f>IF(DatiOriginali!G2356 &gt;= SogliaPicchi!$B$25,"",DatiOriginali!G2356)</f>
        <v>454200</v>
      </c>
      <c r="H2356" s="4">
        <v>14992009</v>
      </c>
      <c r="I2356" s="4">
        <f>IF(DatiOriginali!I2356 &gt;= SogliaPicchi!$B$25,"",DatiOriginali!I2356)</f>
        <v>158900</v>
      </c>
      <c r="J2356" s="4">
        <v>14996836</v>
      </c>
      <c r="K2356" s="4">
        <f>IF(DatiOriginali!K2356 &gt;= SogliaPicchi!$B$25,"",DatiOriginali!K2356)</f>
        <v>173500</v>
      </c>
    </row>
    <row r="2357" spans="1:11" x14ac:dyDescent="0.3">
      <c r="A2357" s="4" t="s">
        <v>2366</v>
      </c>
      <c r="B2357" s="4">
        <v>719400</v>
      </c>
      <c r="C2357" s="4">
        <f>IF(DatiOriginali!C2357 &gt;= SogliaPicchi!$B$25,"",DatiOriginali!C2357)</f>
        <v>6553100</v>
      </c>
      <c r="D2357" s="4">
        <v>361525</v>
      </c>
      <c r="E2357" s="4">
        <f>IF(DatiOriginali!E2357 &gt;= SogliaPicchi!$B$25,"",DatiOriginali!E2357)</f>
        <v>1248400</v>
      </c>
      <c r="F2357" s="4">
        <v>11964432</v>
      </c>
      <c r="G2357" s="4">
        <f>IF(DatiOriginali!G2357 &gt;= SogliaPicchi!$B$25,"",DatiOriginali!G2357)</f>
        <v>463300</v>
      </c>
      <c r="H2357" s="4">
        <v>15006066</v>
      </c>
      <c r="I2357" s="4">
        <f>IF(DatiOriginali!I2357 &gt;= SogliaPicchi!$B$25,"",DatiOriginali!I2357)</f>
        <v>158700</v>
      </c>
      <c r="J2357" s="4">
        <v>15009931</v>
      </c>
      <c r="K2357" s="4">
        <f>IF(DatiOriginali!K2357 &gt;= SogliaPicchi!$B$25,"",DatiOriginali!K2357)</f>
        <v>176400</v>
      </c>
    </row>
    <row r="2358" spans="1:11" x14ac:dyDescent="0.3">
      <c r="A2358" s="4" t="s">
        <v>2367</v>
      </c>
      <c r="B2358" s="4">
        <v>719400</v>
      </c>
      <c r="C2358" s="4">
        <f>IF(DatiOriginali!C2358 &gt;= SogliaPicchi!$B$25,"",DatiOriginali!C2358)</f>
        <v>6136000</v>
      </c>
      <c r="D2358" s="4">
        <v>361941</v>
      </c>
      <c r="E2358" s="4">
        <f>IF(DatiOriginali!E2358 &gt;= SogliaPicchi!$B$25,"",DatiOriginali!E2358)</f>
        <v>1248100</v>
      </c>
      <c r="F2358" s="4">
        <v>11975168</v>
      </c>
      <c r="G2358" s="4">
        <f>IF(DatiOriginali!G2358 &gt;= SogliaPicchi!$B$25,"",DatiOriginali!G2358)</f>
        <v>450700</v>
      </c>
      <c r="H2358" s="4">
        <v>15020283</v>
      </c>
      <c r="I2358" s="4">
        <f>IF(DatiOriginali!I2358 &gt;= SogliaPicchi!$B$25,"",DatiOriginali!I2358)</f>
        <v>154300</v>
      </c>
      <c r="J2358" s="4">
        <v>15022902</v>
      </c>
      <c r="K2358" s="4">
        <f>IF(DatiOriginali!K2358 &gt;= SogliaPicchi!$B$25,"",DatiOriginali!K2358)</f>
        <v>172700</v>
      </c>
    </row>
    <row r="2359" spans="1:11" x14ac:dyDescent="0.3">
      <c r="A2359" s="4" t="s">
        <v>2368</v>
      </c>
      <c r="B2359" s="4">
        <v>719400</v>
      </c>
      <c r="C2359" s="4">
        <f>IF(DatiOriginali!C2359 &gt;= SogliaPicchi!$B$25,"",DatiOriginali!C2359)</f>
        <v>6135400</v>
      </c>
      <c r="D2359" s="4">
        <v>361276</v>
      </c>
      <c r="E2359" s="4">
        <f>IF(DatiOriginali!E2359 &gt;= SogliaPicchi!$B$25,"",DatiOriginali!E2359)</f>
        <v>1284800</v>
      </c>
      <c r="F2359" s="4">
        <v>11985953</v>
      </c>
      <c r="G2359" s="4">
        <f>IF(DatiOriginali!G2359 &gt;= SogliaPicchi!$B$25,"",DatiOriginali!G2359)</f>
        <v>456900</v>
      </c>
      <c r="H2359" s="4">
        <v>15033114</v>
      </c>
      <c r="I2359" s="4">
        <f>IF(DatiOriginali!I2359 &gt;= SogliaPicchi!$B$25,"",DatiOriginali!I2359)</f>
        <v>156800</v>
      </c>
      <c r="J2359" s="4">
        <v>15036550</v>
      </c>
      <c r="K2359" s="4">
        <f>IF(DatiOriginali!K2359 &gt;= SogliaPicchi!$B$25,"",DatiOriginali!K2359)</f>
        <v>173100</v>
      </c>
    </row>
    <row r="2360" spans="1:11" x14ac:dyDescent="0.3">
      <c r="A2360" s="4" t="s">
        <v>2369</v>
      </c>
      <c r="B2360" s="4">
        <v>719400</v>
      </c>
      <c r="C2360" s="4">
        <f>IF(DatiOriginali!C2360 &gt;= SogliaPicchi!$B$25,"",DatiOriginali!C2360)</f>
        <v>6564000</v>
      </c>
      <c r="D2360" s="4">
        <v>353771</v>
      </c>
      <c r="E2360" s="4">
        <f>IF(DatiOriginali!E2360 &gt;= SogliaPicchi!$B$25,"",DatiOriginali!E2360)</f>
        <v>1239500</v>
      </c>
      <c r="F2360" s="4">
        <v>11996732</v>
      </c>
      <c r="G2360" s="4">
        <f>IF(DatiOriginali!G2360 &gt;= SogliaPicchi!$B$25,"",DatiOriginali!G2360)</f>
        <v>459500</v>
      </c>
      <c r="H2360" s="4">
        <v>15047916</v>
      </c>
      <c r="I2360" s="4">
        <f>IF(DatiOriginali!I2360 &gt;= SogliaPicchi!$B$25,"",DatiOriginali!I2360)</f>
        <v>220700</v>
      </c>
      <c r="J2360" s="4">
        <v>15049939</v>
      </c>
      <c r="K2360" s="4">
        <f>IF(DatiOriginali!K2360 &gt;= SogliaPicchi!$B$25,"",DatiOriginali!K2360)</f>
        <v>213000</v>
      </c>
    </row>
    <row r="2361" spans="1:11" x14ac:dyDescent="0.3">
      <c r="A2361" s="4" t="s">
        <v>2370</v>
      </c>
      <c r="B2361" s="4">
        <v>719400</v>
      </c>
      <c r="C2361" s="4">
        <f>IF(DatiOriginali!C2361 &gt;= SogliaPicchi!$B$25,"",DatiOriginali!C2361)</f>
        <v>6936700</v>
      </c>
      <c r="D2361" s="4">
        <v>347109</v>
      </c>
      <c r="E2361" s="4">
        <f>IF(DatiOriginali!E2361 &gt;= SogliaPicchi!$B$25,"",DatiOriginali!E2361)</f>
        <v>1244300</v>
      </c>
      <c r="F2361" s="4">
        <v>12007548</v>
      </c>
      <c r="G2361" s="4">
        <f>IF(DatiOriginali!G2361 &gt;= SogliaPicchi!$B$25,"",DatiOriginali!G2361)</f>
        <v>456300</v>
      </c>
      <c r="H2361" s="4">
        <v>15061045</v>
      </c>
      <c r="I2361" s="4">
        <f>IF(DatiOriginali!I2361 &gt;= SogliaPicchi!$B$25,"",DatiOriginali!I2361)</f>
        <v>154000</v>
      </c>
      <c r="J2361" s="4">
        <v>15062982</v>
      </c>
      <c r="K2361" s="4">
        <f>IF(DatiOriginali!K2361 &gt;= SogliaPicchi!$B$25,"",DatiOriginali!K2361)</f>
        <v>169900</v>
      </c>
    </row>
    <row r="2362" spans="1:11" x14ac:dyDescent="0.3">
      <c r="A2362" s="4" t="s">
        <v>2371</v>
      </c>
      <c r="B2362" s="4">
        <v>719400</v>
      </c>
      <c r="C2362" s="4">
        <f>IF(DatiOriginali!C2362 &gt;= SogliaPicchi!$B$25,"",DatiOriginali!C2362)</f>
        <v>6400100</v>
      </c>
      <c r="D2362" s="4">
        <v>361866</v>
      </c>
      <c r="E2362" s="4">
        <f>IF(DatiOriginali!E2362 &gt;= SogliaPicchi!$B$25,"",DatiOriginali!E2362)</f>
        <v>1248800</v>
      </c>
      <c r="F2362" s="4">
        <v>12018352</v>
      </c>
      <c r="G2362" s="4">
        <f>IF(DatiOriginali!G2362 &gt;= SogliaPicchi!$B$25,"",DatiOriginali!G2362)</f>
        <v>463800</v>
      </c>
      <c r="H2362" s="4">
        <v>15075423</v>
      </c>
      <c r="I2362" s="4">
        <f>IF(DatiOriginali!I2362 &gt;= SogliaPicchi!$B$25,"",DatiOriginali!I2362)</f>
        <v>160200</v>
      </c>
      <c r="J2362" s="4">
        <v>15075540</v>
      </c>
      <c r="K2362" s="4">
        <f>IF(DatiOriginali!K2362 &gt;= SogliaPicchi!$B$25,"",DatiOriginali!K2362)</f>
        <v>172500</v>
      </c>
    </row>
    <row r="2363" spans="1:11" x14ac:dyDescent="0.3">
      <c r="A2363" s="4" t="s">
        <v>2372</v>
      </c>
      <c r="B2363" s="4">
        <v>719400</v>
      </c>
      <c r="C2363" s="4">
        <f>IF(DatiOriginali!C2363 &gt;= SogliaPicchi!$B$25,"",DatiOriginali!C2363)</f>
        <v>6158300</v>
      </c>
      <c r="D2363" s="4">
        <v>368225</v>
      </c>
      <c r="E2363" s="4">
        <f>IF(DatiOriginali!E2363 &gt;= SogliaPicchi!$B$25,"",DatiOriginali!E2363)</f>
        <v>1269900</v>
      </c>
      <c r="F2363" s="4">
        <v>12029133</v>
      </c>
      <c r="G2363" s="4">
        <f>IF(DatiOriginali!G2363 &gt;= SogliaPicchi!$B$25,"",DatiOriginali!G2363)</f>
        <v>457800</v>
      </c>
      <c r="H2363" s="4">
        <v>15090353</v>
      </c>
      <c r="I2363" s="4">
        <f>IF(DatiOriginali!I2363 &gt;= SogliaPicchi!$B$25,"",DatiOriginali!I2363)</f>
        <v>158000</v>
      </c>
      <c r="J2363" s="4">
        <v>15088840</v>
      </c>
      <c r="K2363" s="4">
        <f>IF(DatiOriginali!K2363 &gt;= SogliaPicchi!$B$25,"",DatiOriginali!K2363)</f>
        <v>167500</v>
      </c>
    </row>
    <row r="2364" spans="1:11" x14ac:dyDescent="0.3">
      <c r="A2364" s="4" t="s">
        <v>2373</v>
      </c>
      <c r="B2364" s="4">
        <v>719400</v>
      </c>
      <c r="C2364" s="4">
        <f>IF(DatiOriginali!C2364 &gt;= SogliaPicchi!$B$25,"",DatiOriginali!C2364)</f>
        <v>6221900</v>
      </c>
      <c r="D2364" s="4">
        <v>362499</v>
      </c>
      <c r="E2364" s="4">
        <f>IF(DatiOriginali!E2364 &gt;= SogliaPicchi!$B$25,"",DatiOriginali!E2364)</f>
        <v>1249600</v>
      </c>
      <c r="F2364" s="4">
        <v>12039956</v>
      </c>
      <c r="G2364" s="4">
        <f>IF(DatiOriginali!G2364 &gt;= SogliaPicchi!$B$25,"",DatiOriginali!G2364)</f>
        <v>459400</v>
      </c>
      <c r="H2364" s="4">
        <v>15103764</v>
      </c>
      <c r="I2364" s="4">
        <f>IF(DatiOriginali!I2364 &gt;= SogliaPicchi!$B$25,"",DatiOriginali!I2364)</f>
        <v>190300</v>
      </c>
      <c r="J2364" s="4">
        <v>15102834</v>
      </c>
      <c r="K2364" s="4">
        <f>IF(DatiOriginali!K2364 &gt;= SogliaPicchi!$B$25,"",DatiOriginali!K2364)</f>
        <v>205100</v>
      </c>
    </row>
    <row r="2365" spans="1:11" x14ac:dyDescent="0.3">
      <c r="A2365" s="4" t="s">
        <v>2374</v>
      </c>
      <c r="B2365" s="4">
        <v>719400</v>
      </c>
      <c r="C2365" s="4">
        <f>IF(DatiOriginali!C2365 &gt;= SogliaPicchi!$B$25,"",DatiOriginali!C2365)</f>
        <v>6260100</v>
      </c>
      <c r="D2365" s="4">
        <v>353576</v>
      </c>
      <c r="E2365" s="4">
        <f>IF(DatiOriginali!E2365 &gt;= SogliaPicchi!$B$25,"",DatiOriginali!E2365)</f>
        <v>1237700</v>
      </c>
      <c r="F2365" s="4">
        <v>12050750</v>
      </c>
      <c r="G2365" s="4">
        <f>IF(DatiOriginali!G2365 &gt;= SogliaPicchi!$B$25,"",DatiOriginali!G2365)</f>
        <v>459800</v>
      </c>
      <c r="H2365" s="4">
        <v>15117373</v>
      </c>
      <c r="I2365" s="4">
        <f>IF(DatiOriginali!I2365 &gt;= SogliaPicchi!$B$25,"",DatiOriginali!I2365)</f>
        <v>155100</v>
      </c>
      <c r="J2365" s="4">
        <v>15117170</v>
      </c>
      <c r="K2365" s="4">
        <f>IF(DatiOriginali!K2365 &gt;= SogliaPicchi!$B$25,"",DatiOriginali!K2365)</f>
        <v>174500</v>
      </c>
    </row>
    <row r="2366" spans="1:11" x14ac:dyDescent="0.3">
      <c r="A2366" s="4" t="s">
        <v>2375</v>
      </c>
      <c r="B2366" s="4">
        <v>719400</v>
      </c>
      <c r="C2366" s="4">
        <f>IF(DatiOriginali!C2366 &gt;= SogliaPicchi!$B$25,"",DatiOriginali!C2366)</f>
        <v>6294000</v>
      </c>
      <c r="D2366" s="4">
        <v>362145</v>
      </c>
      <c r="E2366" s="4">
        <f>IF(DatiOriginali!E2366 &gt;= SogliaPicchi!$B$25,"",DatiOriginali!E2366)</f>
        <v>1255700</v>
      </c>
      <c r="F2366" s="4">
        <v>12061530</v>
      </c>
      <c r="G2366" s="4">
        <f>IF(DatiOriginali!G2366 &gt;= SogliaPicchi!$B$25,"",DatiOriginali!G2366)</f>
        <v>481300</v>
      </c>
      <c r="H2366" s="4">
        <v>15130698</v>
      </c>
      <c r="I2366" s="4">
        <f>IF(DatiOriginali!I2366 &gt;= SogliaPicchi!$B$25,"",DatiOriginali!I2366)</f>
        <v>207900</v>
      </c>
      <c r="J2366" s="4">
        <v>15130659</v>
      </c>
      <c r="K2366" s="4">
        <f>IF(DatiOriginali!K2366 &gt;= SogliaPicchi!$B$25,"",DatiOriginali!K2366)</f>
        <v>238900</v>
      </c>
    </row>
    <row r="2367" spans="1:11" x14ac:dyDescent="0.3">
      <c r="A2367" s="4" t="s">
        <v>2376</v>
      </c>
      <c r="B2367" s="4">
        <v>719400</v>
      </c>
      <c r="C2367" s="4">
        <f>IF(DatiOriginali!C2367 &gt;= SogliaPicchi!$B$25,"",DatiOriginali!C2367)</f>
        <v>6910600</v>
      </c>
      <c r="D2367" s="4">
        <v>357719</v>
      </c>
      <c r="E2367" s="4">
        <f>IF(DatiOriginali!E2367 &gt;= SogliaPicchi!$B$25,"",DatiOriginali!E2367)</f>
        <v>1368500</v>
      </c>
      <c r="F2367" s="4">
        <v>12072328</v>
      </c>
      <c r="G2367" s="4">
        <f>IF(DatiOriginali!G2367 &gt;= SogliaPicchi!$B$25,"",DatiOriginali!G2367)</f>
        <v>461100</v>
      </c>
      <c r="H2367" s="4">
        <v>15143642</v>
      </c>
      <c r="I2367" s="4">
        <f>IF(DatiOriginali!I2367 &gt;= SogliaPicchi!$B$25,"",DatiOriginali!I2367)</f>
        <v>152900</v>
      </c>
      <c r="J2367" s="4">
        <v>15144581</v>
      </c>
      <c r="K2367" s="4">
        <f>IF(DatiOriginali!K2367 &gt;= SogliaPicchi!$B$25,"",DatiOriginali!K2367)</f>
        <v>177300</v>
      </c>
    </row>
    <row r="2368" spans="1:11" x14ac:dyDescent="0.3">
      <c r="A2368" s="4" t="s">
        <v>2377</v>
      </c>
      <c r="B2368" s="4">
        <v>719400</v>
      </c>
      <c r="C2368" s="4">
        <f>IF(DatiOriginali!C2368 &gt;= SogliaPicchi!$B$25,"",DatiOriginali!C2368)</f>
        <v>6903400</v>
      </c>
      <c r="D2368" s="4">
        <v>369239</v>
      </c>
      <c r="E2368" s="4">
        <f>IF(DatiOriginali!E2368 &gt;= SogliaPicchi!$B$25,"",DatiOriginali!E2368)</f>
        <v>1305800</v>
      </c>
      <c r="F2368" s="4">
        <v>12083124</v>
      </c>
      <c r="G2368" s="4">
        <f>IF(DatiOriginali!G2368 &gt;= SogliaPicchi!$B$25,"",DatiOriginali!G2368)</f>
        <v>458200</v>
      </c>
      <c r="H2368" s="4">
        <v>15157613</v>
      </c>
      <c r="I2368" s="4">
        <f>IF(DatiOriginali!I2368 &gt;= SogliaPicchi!$B$25,"",DatiOriginali!I2368)</f>
        <v>156800</v>
      </c>
      <c r="J2368" s="4">
        <v>15158568</v>
      </c>
      <c r="K2368" s="4">
        <f>IF(DatiOriginali!K2368 &gt;= SogliaPicchi!$B$25,"",DatiOriginali!K2368)</f>
        <v>174800</v>
      </c>
    </row>
    <row r="2369" spans="1:11" x14ac:dyDescent="0.3">
      <c r="A2369" s="4" t="s">
        <v>2378</v>
      </c>
      <c r="B2369" s="4">
        <v>719400</v>
      </c>
      <c r="C2369" s="4">
        <f>IF(DatiOriginali!C2369 &gt;= SogliaPicchi!$B$25,"",DatiOriginali!C2369)</f>
        <v>6682900</v>
      </c>
      <c r="D2369" s="4">
        <v>357437</v>
      </c>
      <c r="E2369" s="4">
        <f>IF(DatiOriginali!E2369 &gt;= SogliaPicchi!$B$25,"",DatiOriginali!E2369)</f>
        <v>1236400</v>
      </c>
      <c r="F2369" s="4">
        <v>12093913</v>
      </c>
      <c r="G2369" s="4">
        <f>IF(DatiOriginali!G2369 &gt;= SogliaPicchi!$B$25,"",DatiOriginali!G2369)</f>
        <v>457100</v>
      </c>
      <c r="H2369" s="4">
        <v>15170158</v>
      </c>
      <c r="I2369" s="4">
        <f>IF(DatiOriginali!I2369 &gt;= SogliaPicchi!$B$25,"",DatiOriginali!I2369)</f>
        <v>155800</v>
      </c>
      <c r="J2369" s="4">
        <v>15171486</v>
      </c>
      <c r="K2369" s="4">
        <f>IF(DatiOriginali!K2369 &gt;= SogliaPicchi!$B$25,"",DatiOriginali!K2369)</f>
        <v>170200</v>
      </c>
    </row>
    <row r="2370" spans="1:11" x14ac:dyDescent="0.3">
      <c r="A2370" s="4" t="s">
        <v>2379</v>
      </c>
      <c r="B2370" s="4">
        <v>719400</v>
      </c>
      <c r="C2370" s="4">
        <f>IF(DatiOriginali!C2370 &gt;= SogliaPicchi!$B$25,"",DatiOriginali!C2370)</f>
        <v>6256100</v>
      </c>
      <c r="D2370" s="4">
        <v>363232</v>
      </c>
      <c r="E2370" s="4">
        <f>IF(DatiOriginali!E2370 &gt;= SogliaPicchi!$B$25,"",DatiOriginali!E2370)</f>
        <v>1268800</v>
      </c>
      <c r="F2370" s="4">
        <v>12104721</v>
      </c>
      <c r="G2370" s="4">
        <f>IF(DatiOriginali!G2370 &gt;= SogliaPicchi!$B$25,"",DatiOriginali!G2370)</f>
        <v>460300</v>
      </c>
      <c r="H2370" s="4">
        <v>15182708</v>
      </c>
      <c r="I2370" s="4">
        <f>IF(DatiOriginali!I2370 &gt;= SogliaPicchi!$B$25,"",DatiOriginali!I2370)</f>
        <v>156700</v>
      </c>
      <c r="J2370" s="4">
        <v>15184364</v>
      </c>
      <c r="K2370" s="4">
        <f>IF(DatiOriginali!K2370 &gt;= SogliaPicchi!$B$25,"",DatiOriginali!K2370)</f>
        <v>173900</v>
      </c>
    </row>
    <row r="2371" spans="1:11" x14ac:dyDescent="0.3">
      <c r="A2371" s="4" t="s">
        <v>2380</v>
      </c>
      <c r="B2371" s="4">
        <v>719400</v>
      </c>
      <c r="C2371" s="4">
        <f>IF(DatiOriginali!C2371 &gt;= SogliaPicchi!$B$25,"",DatiOriginali!C2371)</f>
        <v>6063900</v>
      </c>
      <c r="D2371" s="4">
        <v>362196</v>
      </c>
      <c r="E2371" s="4">
        <f>IF(DatiOriginali!E2371 &gt;= SogliaPicchi!$B$25,"",DatiOriginali!E2371)</f>
        <v>1913800</v>
      </c>
      <c r="F2371" s="4">
        <v>12115529</v>
      </c>
      <c r="G2371" s="4">
        <f>IF(DatiOriginali!G2371 &gt;= SogliaPicchi!$B$25,"",DatiOriginali!G2371)</f>
        <v>711500</v>
      </c>
      <c r="H2371" s="4">
        <v>15196983</v>
      </c>
      <c r="I2371" s="4">
        <f>IF(DatiOriginali!I2371 &gt;= SogliaPicchi!$B$25,"",DatiOriginali!I2371)</f>
        <v>209800</v>
      </c>
      <c r="J2371" s="4">
        <v>15199496</v>
      </c>
      <c r="K2371" s="4">
        <f>IF(DatiOriginali!K2371 &gt;= SogliaPicchi!$B$25,"",DatiOriginali!K2371)</f>
        <v>281600</v>
      </c>
    </row>
    <row r="2372" spans="1:11" x14ac:dyDescent="0.3">
      <c r="A2372" s="4" t="s">
        <v>2381</v>
      </c>
      <c r="B2372" s="4">
        <v>719400</v>
      </c>
      <c r="C2372" s="4">
        <f>IF(DatiOriginali!C2372 &gt;= SogliaPicchi!$B$25,"",DatiOriginali!C2372)</f>
        <v>6375000</v>
      </c>
      <c r="D2372" s="4">
        <v>359061</v>
      </c>
      <c r="E2372" s="4">
        <f>IF(DatiOriginali!E2372 &gt;= SogliaPicchi!$B$25,"",DatiOriginali!E2372)</f>
        <v>1240900</v>
      </c>
      <c r="F2372" s="4">
        <v>12126336</v>
      </c>
      <c r="G2372" s="4">
        <f>IF(DatiOriginali!G2372 &gt;= SogliaPicchi!$B$25,"",DatiOriginali!G2372)</f>
        <v>459000</v>
      </c>
      <c r="H2372" s="4">
        <v>15210158</v>
      </c>
      <c r="I2372" s="4">
        <f>IF(DatiOriginali!I2372 &gt;= SogliaPicchi!$B$25,"",DatiOriginali!I2372)</f>
        <v>156500</v>
      </c>
      <c r="J2372" s="4">
        <v>15214662</v>
      </c>
      <c r="K2372" s="4">
        <f>IF(DatiOriginali!K2372 &gt;= SogliaPicchi!$B$25,"",DatiOriginali!K2372)</f>
        <v>171200</v>
      </c>
    </row>
    <row r="2373" spans="1:11" x14ac:dyDescent="0.3">
      <c r="A2373" s="4" t="s">
        <v>2382</v>
      </c>
      <c r="B2373" s="4">
        <v>719400</v>
      </c>
      <c r="C2373" s="4">
        <f>IF(DatiOriginali!C2373 &gt;= SogliaPicchi!$B$25,"",DatiOriginali!C2373)</f>
        <v>6457600</v>
      </c>
      <c r="D2373" s="4">
        <v>352844</v>
      </c>
      <c r="E2373" s="4">
        <f>IF(DatiOriginali!E2373 &gt;= SogliaPicchi!$B$25,"",DatiOriginali!E2373)</f>
        <v>1219800</v>
      </c>
      <c r="F2373" s="4">
        <v>12137139</v>
      </c>
      <c r="G2373" s="4">
        <f>IF(DatiOriginali!G2373 &gt;= SogliaPicchi!$B$25,"",DatiOriginali!G2373)</f>
        <v>458300</v>
      </c>
      <c r="H2373" s="4">
        <v>15223467</v>
      </c>
      <c r="I2373" s="4">
        <f>IF(DatiOriginali!I2373 &gt;= SogliaPicchi!$B$25,"",DatiOriginali!I2373)</f>
        <v>151000</v>
      </c>
      <c r="J2373" s="4">
        <v>15229670</v>
      </c>
      <c r="K2373" s="4">
        <f>IF(DatiOriginali!K2373 &gt;= SogliaPicchi!$B$25,"",DatiOriginali!K2373)</f>
        <v>178700</v>
      </c>
    </row>
    <row r="2374" spans="1:11" x14ac:dyDescent="0.3">
      <c r="A2374" s="4" t="s">
        <v>2383</v>
      </c>
      <c r="B2374" s="4">
        <v>719400</v>
      </c>
      <c r="C2374" s="4">
        <f>IF(DatiOriginali!C2374 &gt;= SogliaPicchi!$B$25,"",DatiOriginali!C2374)</f>
        <v>6197200</v>
      </c>
      <c r="D2374" s="4">
        <v>357741</v>
      </c>
      <c r="E2374" s="4">
        <f>IF(DatiOriginali!E2374 &gt;= SogliaPicchi!$B$25,"",DatiOriginali!E2374)</f>
        <v>1236400</v>
      </c>
      <c r="F2374" s="4">
        <v>12147939</v>
      </c>
      <c r="G2374" s="4">
        <f>IF(DatiOriginali!G2374 &gt;= SogliaPicchi!$B$25,"",DatiOriginali!G2374)</f>
        <v>456500</v>
      </c>
      <c r="H2374" s="4">
        <v>15236576</v>
      </c>
      <c r="I2374" s="4">
        <f>IF(DatiOriginali!I2374 &gt;= SogliaPicchi!$B$25,"",DatiOriginali!I2374)</f>
        <v>155400</v>
      </c>
      <c r="J2374" s="4">
        <v>15242617</v>
      </c>
      <c r="K2374" s="4">
        <f>IF(DatiOriginali!K2374 &gt;= SogliaPicchi!$B$25,"",DatiOriginali!K2374)</f>
        <v>167000</v>
      </c>
    </row>
    <row r="2375" spans="1:11" x14ac:dyDescent="0.3">
      <c r="A2375" s="4" t="s">
        <v>2384</v>
      </c>
      <c r="B2375" s="4">
        <v>719400</v>
      </c>
      <c r="C2375" s="4">
        <f>IF(DatiOriginali!C2375 &gt;= SogliaPicchi!$B$25,"",DatiOriginali!C2375)</f>
        <v>5986700</v>
      </c>
      <c r="D2375" s="4">
        <v>367036</v>
      </c>
      <c r="E2375" s="4">
        <f>IF(DatiOriginali!E2375 &gt;= SogliaPicchi!$B$25,"",DatiOriginali!E2375)</f>
        <v>1276200</v>
      </c>
      <c r="F2375" s="4">
        <v>12158736</v>
      </c>
      <c r="G2375" s="4">
        <f>IF(DatiOriginali!G2375 &gt;= SogliaPicchi!$B$25,"",DatiOriginali!G2375)</f>
        <v>459200</v>
      </c>
      <c r="H2375" s="4">
        <v>15249462</v>
      </c>
      <c r="I2375" s="4">
        <f>IF(DatiOriginali!I2375 &gt;= SogliaPicchi!$B$25,"",DatiOriginali!I2375)</f>
        <v>157700</v>
      </c>
      <c r="J2375" s="4">
        <v>15255586</v>
      </c>
      <c r="K2375" s="4">
        <f>IF(DatiOriginali!K2375 &gt;= SogliaPicchi!$B$25,"",DatiOriginali!K2375)</f>
        <v>169900</v>
      </c>
    </row>
    <row r="2376" spans="1:11" x14ac:dyDescent="0.3">
      <c r="A2376" s="4" t="s">
        <v>2385</v>
      </c>
      <c r="B2376" s="4">
        <v>719400</v>
      </c>
      <c r="C2376" s="4">
        <f>IF(DatiOriginali!C2376 &gt;= SogliaPicchi!$B$25,"",DatiOriginali!C2376)</f>
        <v>6194300</v>
      </c>
      <c r="D2376" s="4">
        <v>358629</v>
      </c>
      <c r="E2376" s="4">
        <f>IF(DatiOriginali!E2376 &gt;= SogliaPicchi!$B$25,"",DatiOriginali!E2376)</f>
        <v>1526400</v>
      </c>
      <c r="F2376" s="4">
        <v>12169540</v>
      </c>
      <c r="G2376" s="4">
        <f>IF(DatiOriginali!G2376 &gt;= SogliaPicchi!$B$25,"",DatiOriginali!G2376)</f>
        <v>730300</v>
      </c>
      <c r="H2376" s="4">
        <v>15262803</v>
      </c>
      <c r="I2376" s="4">
        <f>IF(DatiOriginali!I2376 &gt;= SogliaPicchi!$B$25,"",DatiOriginali!I2376)</f>
        <v>169500</v>
      </c>
      <c r="J2376" s="4">
        <v>15268478</v>
      </c>
      <c r="K2376" s="4">
        <f>IF(DatiOriginali!K2376 &gt;= SogliaPicchi!$B$25,"",DatiOriginali!K2376)</f>
        <v>208100</v>
      </c>
    </row>
    <row r="2377" spans="1:11" x14ac:dyDescent="0.3">
      <c r="A2377" s="4" t="s">
        <v>2386</v>
      </c>
      <c r="B2377" s="4">
        <v>719400</v>
      </c>
      <c r="C2377" s="4">
        <f>IF(DatiOriginali!C2377 &gt;= SogliaPicchi!$B$25,"",DatiOriginali!C2377)</f>
        <v>6472200</v>
      </c>
      <c r="D2377" s="4">
        <v>354108</v>
      </c>
      <c r="E2377" s="4">
        <f>IF(DatiOriginali!E2377 &gt;= SogliaPicchi!$B$25,"",DatiOriginali!E2377)</f>
        <v>1257600</v>
      </c>
      <c r="F2377" s="4">
        <v>12180364</v>
      </c>
      <c r="G2377" s="4">
        <f>IF(DatiOriginali!G2377 &gt;= SogliaPicchi!$B$25,"",DatiOriginali!G2377)</f>
        <v>460400</v>
      </c>
      <c r="H2377" s="4">
        <v>15276084</v>
      </c>
      <c r="I2377" s="4">
        <f>IF(DatiOriginali!I2377 &gt;= SogliaPicchi!$B$25,"",DatiOriginali!I2377)</f>
        <v>154400</v>
      </c>
      <c r="J2377" s="4">
        <v>15282214</v>
      </c>
      <c r="K2377" s="4">
        <f>IF(DatiOriginali!K2377 &gt;= SogliaPicchi!$B$25,"",DatiOriginali!K2377)</f>
        <v>170000</v>
      </c>
    </row>
    <row r="2378" spans="1:11" x14ac:dyDescent="0.3">
      <c r="A2378" s="4" t="s">
        <v>2387</v>
      </c>
      <c r="B2378" s="4">
        <v>719400</v>
      </c>
      <c r="C2378" s="4">
        <f>IF(DatiOriginali!C2378 &gt;= SogliaPicchi!$B$25,"",DatiOriginali!C2378)</f>
        <v>6299100</v>
      </c>
      <c r="D2378" s="4">
        <v>364390</v>
      </c>
      <c r="E2378" s="4">
        <f>IF(DatiOriginali!E2378 &gt;= SogliaPicchi!$B$25,"",DatiOriginali!E2378)</f>
        <v>1253500</v>
      </c>
      <c r="F2378" s="4">
        <v>12191144</v>
      </c>
      <c r="G2378" s="4">
        <f>IF(DatiOriginali!G2378 &gt;= SogliaPicchi!$B$25,"",DatiOriginali!G2378)</f>
        <v>457300</v>
      </c>
      <c r="H2378" s="4">
        <v>15288198</v>
      </c>
      <c r="I2378" s="4">
        <f>IF(DatiOriginali!I2378 &gt;= SogliaPicchi!$B$25,"",DatiOriginali!I2378)</f>
        <v>156000</v>
      </c>
      <c r="J2378" s="4">
        <v>15295095</v>
      </c>
      <c r="K2378" s="4">
        <f>IF(DatiOriginali!K2378 &gt;= SogliaPicchi!$B$25,"",DatiOriginali!K2378)</f>
        <v>172600</v>
      </c>
    </row>
    <row r="2379" spans="1:11" x14ac:dyDescent="0.3">
      <c r="A2379" s="4" t="s">
        <v>2388</v>
      </c>
      <c r="B2379" s="4">
        <v>719400</v>
      </c>
      <c r="C2379" s="4">
        <f>IF(DatiOriginali!C2379 &gt;= SogliaPicchi!$B$25,"",DatiOriginali!C2379)</f>
        <v>6452000</v>
      </c>
      <c r="D2379" s="4">
        <v>358070</v>
      </c>
      <c r="E2379" s="4">
        <f>IF(DatiOriginali!E2379 &gt;= SogliaPicchi!$B$25,"",DatiOriginali!E2379)</f>
        <v>1282500</v>
      </c>
      <c r="F2379" s="4">
        <v>12201924</v>
      </c>
      <c r="G2379" s="4">
        <f>IF(DatiOriginali!G2379 &gt;= SogliaPicchi!$B$25,"",DatiOriginali!G2379)</f>
        <v>460300</v>
      </c>
      <c r="H2379" s="4">
        <v>15301910</v>
      </c>
      <c r="I2379" s="4">
        <f>IF(DatiOriginali!I2379 &gt;= SogliaPicchi!$B$25,"",DatiOriginali!I2379)</f>
        <v>154000</v>
      </c>
      <c r="J2379" s="4">
        <v>15308525</v>
      </c>
      <c r="K2379" s="4">
        <f>IF(DatiOriginali!K2379 &gt;= SogliaPicchi!$B$25,"",DatiOriginali!K2379)</f>
        <v>177800</v>
      </c>
    </row>
    <row r="2380" spans="1:11" x14ac:dyDescent="0.3">
      <c r="A2380" s="4" t="s">
        <v>2389</v>
      </c>
      <c r="B2380" s="4">
        <v>719400</v>
      </c>
      <c r="C2380" s="4">
        <f>IF(DatiOriginali!C2380 &gt;= SogliaPicchi!$B$25,"",DatiOriginali!C2380)</f>
        <v>6095700</v>
      </c>
      <c r="D2380" s="4">
        <v>365329</v>
      </c>
      <c r="E2380" s="4">
        <f>IF(DatiOriginali!E2380 &gt;= SogliaPicchi!$B$25,"",DatiOriginali!E2380)</f>
        <v>1293000</v>
      </c>
      <c r="F2380" s="4">
        <v>12212708</v>
      </c>
      <c r="G2380" s="4">
        <f>IF(DatiOriginali!G2380 &gt;= SogliaPicchi!$B$25,"",DatiOriginali!G2380)</f>
        <v>451800</v>
      </c>
      <c r="H2380" s="4">
        <v>15315607</v>
      </c>
      <c r="I2380" s="4">
        <f>IF(DatiOriginali!I2380 &gt;= SogliaPicchi!$B$25,"",DatiOriginali!I2380)</f>
        <v>151900</v>
      </c>
      <c r="J2380" s="4">
        <v>15322931</v>
      </c>
      <c r="K2380" s="4">
        <f>IF(DatiOriginali!K2380 &gt;= SogliaPicchi!$B$25,"",DatiOriginali!K2380)</f>
        <v>179600</v>
      </c>
    </row>
    <row r="2381" spans="1:11" x14ac:dyDescent="0.3">
      <c r="A2381" s="4" t="s">
        <v>2390</v>
      </c>
      <c r="B2381" s="4">
        <v>719400</v>
      </c>
      <c r="C2381" s="4">
        <f>IF(DatiOriginali!C2381 &gt;= SogliaPicchi!$B$25,"",DatiOriginali!C2381)</f>
        <v>6512800</v>
      </c>
      <c r="D2381" s="4">
        <v>361102</v>
      </c>
      <c r="E2381" s="4">
        <f>IF(DatiOriginali!E2381 &gt;= SogliaPicchi!$B$25,"",DatiOriginali!E2381)</f>
        <v>1252000</v>
      </c>
      <c r="F2381" s="4">
        <v>12223489</v>
      </c>
      <c r="G2381" s="4">
        <f>IF(DatiOriginali!G2381 &gt;= SogliaPicchi!$B$25,"",DatiOriginali!G2381)</f>
        <v>456900</v>
      </c>
      <c r="H2381" s="4">
        <v>15328750</v>
      </c>
      <c r="I2381" s="4">
        <f>IF(DatiOriginali!I2381 &gt;= SogliaPicchi!$B$25,"",DatiOriginali!I2381)</f>
        <v>159200</v>
      </c>
      <c r="J2381" s="4">
        <v>15336064</v>
      </c>
      <c r="K2381" s="4">
        <f>IF(DatiOriginali!K2381 &gt;= SogliaPicchi!$B$25,"",DatiOriginali!K2381)</f>
        <v>177900</v>
      </c>
    </row>
    <row r="2382" spans="1:11" x14ac:dyDescent="0.3">
      <c r="A2382" s="4" t="s">
        <v>2391</v>
      </c>
      <c r="B2382" s="4">
        <v>719400</v>
      </c>
      <c r="C2382" s="4">
        <f>IF(DatiOriginali!C2382 &gt;= SogliaPicchi!$B$25,"",DatiOriginali!C2382)</f>
        <v>6184200</v>
      </c>
      <c r="D2382" s="4">
        <v>359096</v>
      </c>
      <c r="E2382" s="4">
        <f>IF(DatiOriginali!E2382 &gt;= SogliaPicchi!$B$25,"",DatiOriginali!E2382)</f>
        <v>1339200</v>
      </c>
      <c r="F2382" s="4">
        <v>12234257</v>
      </c>
      <c r="G2382" s="4">
        <f>IF(DatiOriginali!G2382 &gt;= SogliaPicchi!$B$25,"",DatiOriginali!G2382)</f>
        <v>469100</v>
      </c>
      <c r="H2382" s="4">
        <v>15341861</v>
      </c>
      <c r="I2382" s="4">
        <f>IF(DatiOriginali!I2382 &gt;= SogliaPicchi!$B$25,"",DatiOriginali!I2382)</f>
        <v>174100</v>
      </c>
      <c r="J2382" s="4">
        <v>15350050</v>
      </c>
      <c r="K2382" s="4">
        <f>IF(DatiOriginali!K2382 &gt;= SogliaPicchi!$B$25,"",DatiOriginali!K2382)</f>
        <v>172400</v>
      </c>
    </row>
    <row r="2383" spans="1:11" x14ac:dyDescent="0.3">
      <c r="A2383" s="4" t="s">
        <v>2392</v>
      </c>
      <c r="B2383" s="4">
        <v>719400</v>
      </c>
      <c r="C2383" s="4">
        <f>IF(DatiOriginali!C2383 &gt;= SogliaPicchi!$B$25,"",DatiOriginali!C2383)</f>
        <v>6693600</v>
      </c>
      <c r="D2383" s="4">
        <v>367062</v>
      </c>
      <c r="E2383" s="4">
        <f>IF(DatiOriginali!E2383 &gt;= SogliaPicchi!$B$25,"",DatiOriginali!E2383)</f>
        <v>1268700</v>
      </c>
      <c r="F2383" s="4">
        <v>12245028</v>
      </c>
      <c r="G2383" s="4">
        <f>IF(DatiOriginali!G2383 &gt;= SogliaPicchi!$B$25,"",DatiOriginali!G2383)</f>
        <v>456600</v>
      </c>
      <c r="H2383" s="4">
        <v>15355370</v>
      </c>
      <c r="I2383" s="4">
        <f>IF(DatiOriginali!I2383 &gt;= SogliaPicchi!$B$25,"",DatiOriginali!I2383)</f>
        <v>158600</v>
      </c>
      <c r="J2383" s="4">
        <v>15362767</v>
      </c>
      <c r="K2383" s="4">
        <f>IF(DatiOriginali!K2383 &gt;= SogliaPicchi!$B$25,"",DatiOriginali!K2383)</f>
        <v>169500</v>
      </c>
    </row>
    <row r="2384" spans="1:11" x14ac:dyDescent="0.3">
      <c r="A2384" s="4" t="s">
        <v>2393</v>
      </c>
      <c r="B2384" s="4">
        <v>719400</v>
      </c>
      <c r="C2384" s="4">
        <f>IF(DatiOriginali!C2384 &gt;= SogliaPicchi!$B$25,"",DatiOriginali!C2384)</f>
        <v>6551500</v>
      </c>
      <c r="D2384" s="4">
        <v>368521</v>
      </c>
      <c r="E2384" s="4">
        <f>IF(DatiOriginali!E2384 &gt;= SogliaPicchi!$B$25,"",DatiOriginali!E2384)</f>
        <v>1276500</v>
      </c>
      <c r="F2384" s="4">
        <v>12255792</v>
      </c>
      <c r="G2384" s="4">
        <f>IF(DatiOriginali!G2384 &gt;= SogliaPicchi!$B$25,"",DatiOriginali!G2384)</f>
        <v>496900</v>
      </c>
      <c r="H2384" s="4">
        <v>15368580</v>
      </c>
      <c r="I2384" s="4">
        <f>IF(DatiOriginali!I2384 &gt;= SogliaPicchi!$B$25,"",DatiOriginali!I2384)</f>
        <v>158300</v>
      </c>
      <c r="J2384" s="4">
        <v>15375510</v>
      </c>
      <c r="K2384" s="4">
        <f>IF(DatiOriginali!K2384 &gt;= SogliaPicchi!$B$25,"",DatiOriginali!K2384)</f>
        <v>176800</v>
      </c>
    </row>
    <row r="2385" spans="1:11" x14ac:dyDescent="0.3">
      <c r="A2385" s="4" t="s">
        <v>2394</v>
      </c>
      <c r="B2385" s="4">
        <v>719400</v>
      </c>
      <c r="C2385" s="4">
        <f>IF(DatiOriginali!C2385 &gt;= SogliaPicchi!$B$25,"",DatiOriginali!C2385)</f>
        <v>6258400</v>
      </c>
      <c r="D2385" s="4">
        <v>358412</v>
      </c>
      <c r="E2385" s="4">
        <f>IF(DatiOriginali!E2385 &gt;= SogliaPicchi!$B$25,"",DatiOriginali!E2385)</f>
        <v>1235900</v>
      </c>
      <c r="F2385" s="4">
        <v>12266573</v>
      </c>
      <c r="G2385" s="4">
        <f>IF(DatiOriginali!G2385 &gt;= SogliaPicchi!$B$25,"",DatiOriginali!G2385)</f>
        <v>460800</v>
      </c>
      <c r="H2385" s="4">
        <v>15382575</v>
      </c>
      <c r="I2385" s="4">
        <f>IF(DatiOriginali!I2385 &gt;= SogliaPicchi!$B$25,"",DatiOriginali!I2385)</f>
        <v>162300</v>
      </c>
      <c r="J2385" s="4">
        <v>15389494</v>
      </c>
      <c r="K2385" s="4">
        <f>IF(DatiOriginali!K2385 &gt;= SogliaPicchi!$B$25,"",DatiOriginali!K2385)</f>
        <v>168900</v>
      </c>
    </row>
    <row r="2386" spans="1:11" x14ac:dyDescent="0.3">
      <c r="A2386" s="4" t="s">
        <v>2395</v>
      </c>
      <c r="B2386" s="4">
        <v>719400</v>
      </c>
      <c r="C2386" s="4">
        <f>IF(DatiOriginali!C2386 &gt;= SogliaPicchi!$B$25,"",DatiOriginali!C2386)</f>
        <v>6311800</v>
      </c>
      <c r="D2386" s="4">
        <v>357122</v>
      </c>
      <c r="E2386" s="4">
        <f>IF(DatiOriginali!E2386 &gt;= SogliaPicchi!$B$25,"",DatiOriginali!E2386)</f>
        <v>1236400</v>
      </c>
      <c r="F2386" s="4">
        <v>12277369</v>
      </c>
      <c r="G2386" s="4">
        <f>IF(DatiOriginali!G2386 &gt;= SogliaPicchi!$B$25,"",DatiOriginali!G2386)</f>
        <v>470500</v>
      </c>
      <c r="H2386" s="4">
        <v>15395798</v>
      </c>
      <c r="I2386" s="4">
        <f>IF(DatiOriginali!I2386 &gt;= SogliaPicchi!$B$25,"",DatiOriginali!I2386)</f>
        <v>157900</v>
      </c>
      <c r="J2386" s="4">
        <v>15402370</v>
      </c>
      <c r="K2386" s="4">
        <f>IF(DatiOriginali!K2386 &gt;= SogliaPicchi!$B$25,"",DatiOriginali!K2386)</f>
        <v>172400</v>
      </c>
    </row>
    <row r="2387" spans="1:11" x14ac:dyDescent="0.3">
      <c r="A2387" s="4" t="s">
        <v>2396</v>
      </c>
      <c r="B2387" s="4">
        <v>719400</v>
      </c>
      <c r="C2387" s="4">
        <f>IF(DatiOriginali!C2387 &gt;= SogliaPicchi!$B$25,"",DatiOriginali!C2387)</f>
        <v>6264200</v>
      </c>
      <c r="D2387" s="4">
        <v>363444</v>
      </c>
      <c r="E2387" s="4">
        <f>IF(DatiOriginali!E2387 &gt;= SogliaPicchi!$B$25,"",DatiOriginali!E2387)</f>
        <v>1259000</v>
      </c>
      <c r="F2387" s="4">
        <v>12288167</v>
      </c>
      <c r="G2387" s="4">
        <f>IF(DatiOriginali!G2387 &gt;= SogliaPicchi!$B$25,"",DatiOriginali!G2387)</f>
        <v>457500</v>
      </c>
      <c r="H2387" s="4">
        <v>15408722</v>
      </c>
      <c r="I2387" s="4">
        <f>IF(DatiOriginali!I2387 &gt;= SogliaPicchi!$B$25,"",DatiOriginali!I2387)</f>
        <v>155200</v>
      </c>
      <c r="J2387" s="4">
        <v>15416235</v>
      </c>
      <c r="K2387" s="4">
        <f>IF(DatiOriginali!K2387 &gt;= SogliaPicchi!$B$25,"",DatiOriginali!K2387)</f>
        <v>170600</v>
      </c>
    </row>
    <row r="2388" spans="1:11" x14ac:dyDescent="0.3">
      <c r="A2388" s="4" t="s">
        <v>2397</v>
      </c>
      <c r="B2388" s="4">
        <v>719400</v>
      </c>
      <c r="C2388" s="4">
        <f>IF(DatiOriginali!C2388 &gt;= SogliaPicchi!$B$25,"",DatiOriginali!C2388)</f>
        <v>6400300</v>
      </c>
      <c r="D2388" s="4">
        <v>365273</v>
      </c>
      <c r="E2388" s="4">
        <f>IF(DatiOriginali!E2388 &gt;= SogliaPicchi!$B$25,"",DatiOriginali!E2388)</f>
        <v>1301900</v>
      </c>
      <c r="F2388" s="4">
        <v>12298949</v>
      </c>
      <c r="G2388" s="4">
        <f>IF(DatiOriginali!G2388 &gt;= SogliaPicchi!$B$25,"",DatiOriginali!G2388)</f>
        <v>453200</v>
      </c>
      <c r="H2388" s="4">
        <v>15422189</v>
      </c>
      <c r="I2388" s="4">
        <f>IF(DatiOriginali!I2388 &gt;= SogliaPicchi!$B$25,"",DatiOriginali!I2388)</f>
        <v>155600</v>
      </c>
      <c r="J2388" s="4">
        <v>15429104</v>
      </c>
      <c r="K2388" s="4">
        <f>IF(DatiOriginali!K2388 &gt;= SogliaPicchi!$B$25,"",DatiOriginali!K2388)</f>
        <v>178900</v>
      </c>
    </row>
    <row r="2389" spans="1:11" x14ac:dyDescent="0.3">
      <c r="A2389" s="4" t="s">
        <v>2398</v>
      </c>
      <c r="B2389" s="4">
        <v>719400</v>
      </c>
      <c r="C2389" s="4">
        <f>IF(DatiOriginali!C2389 &gt;= SogliaPicchi!$B$25,"",DatiOriginali!C2389)</f>
        <v>6235200</v>
      </c>
      <c r="D2389" s="4">
        <v>355739</v>
      </c>
      <c r="E2389" s="4">
        <f>IF(DatiOriginali!E2389 &gt;= SogliaPicchi!$B$25,"",DatiOriginali!E2389)</f>
        <v>1266200</v>
      </c>
      <c r="F2389" s="4">
        <v>12309716</v>
      </c>
      <c r="G2389" s="4">
        <f>IF(DatiOriginali!G2389 &gt;= SogliaPicchi!$B$25,"",DatiOriginali!G2389)</f>
        <v>458700</v>
      </c>
      <c r="H2389" s="4">
        <v>15436627</v>
      </c>
      <c r="I2389" s="4">
        <f>IF(DatiOriginali!I2389 &gt;= SogliaPicchi!$B$25,"",DatiOriginali!I2389)</f>
        <v>160100</v>
      </c>
      <c r="J2389" s="4">
        <v>15441382</v>
      </c>
      <c r="K2389" s="4">
        <f>IF(DatiOriginali!K2389 &gt;= SogliaPicchi!$B$25,"",DatiOriginali!K2389)</f>
        <v>173400</v>
      </c>
    </row>
    <row r="2390" spans="1:11" x14ac:dyDescent="0.3">
      <c r="A2390" s="4" t="s">
        <v>2399</v>
      </c>
      <c r="B2390" s="4">
        <v>719400</v>
      </c>
      <c r="C2390" s="4">
        <f>IF(DatiOriginali!C2390 &gt;= SogliaPicchi!$B$25,"",DatiOriginali!C2390)</f>
        <v>6609600</v>
      </c>
      <c r="D2390" s="4">
        <v>370121</v>
      </c>
      <c r="E2390" s="4">
        <f>IF(DatiOriginali!E2390 &gt;= SogliaPicchi!$B$25,"",DatiOriginali!E2390)</f>
        <v>1272000</v>
      </c>
      <c r="F2390" s="4">
        <v>12320483</v>
      </c>
      <c r="G2390" s="4">
        <f>IF(DatiOriginali!G2390 &gt;= SogliaPicchi!$B$25,"",DatiOriginali!G2390)</f>
        <v>463100</v>
      </c>
      <c r="H2390" s="4">
        <v>15448953</v>
      </c>
      <c r="I2390" s="4">
        <f>IF(DatiOriginali!I2390 &gt;= SogliaPicchi!$B$25,"",DatiOriginali!I2390)</f>
        <v>155400</v>
      </c>
      <c r="J2390" s="4">
        <v>15455407</v>
      </c>
      <c r="K2390" s="4">
        <f>IF(DatiOriginali!K2390 &gt;= SogliaPicchi!$B$25,"",DatiOriginali!K2390)</f>
        <v>169500</v>
      </c>
    </row>
    <row r="2391" spans="1:11" x14ac:dyDescent="0.3">
      <c r="A2391" s="4" t="s">
        <v>2400</v>
      </c>
      <c r="B2391" s="4">
        <v>719400</v>
      </c>
      <c r="C2391" s="4">
        <f>IF(DatiOriginali!C2391 &gt;= SogliaPicchi!$B$25,"",DatiOriginali!C2391)</f>
        <v>6479100</v>
      </c>
      <c r="D2391" s="4">
        <v>355737</v>
      </c>
      <c r="E2391" s="4">
        <f>IF(DatiOriginali!E2391 &gt;= SogliaPicchi!$B$25,"",DatiOriginali!E2391)</f>
        <v>1238400</v>
      </c>
      <c r="F2391" s="4">
        <v>12331279</v>
      </c>
      <c r="G2391" s="4">
        <f>IF(DatiOriginali!G2391 &gt;= SogliaPicchi!$B$25,"",DatiOriginali!G2391)</f>
        <v>460500</v>
      </c>
      <c r="H2391" s="4">
        <v>15462585</v>
      </c>
      <c r="I2391" s="4">
        <f>IF(DatiOriginali!I2391 &gt;= SogliaPicchi!$B$25,"",DatiOriginali!I2391)</f>
        <v>157500</v>
      </c>
      <c r="J2391" s="4">
        <v>15469867</v>
      </c>
      <c r="K2391" s="4">
        <f>IF(DatiOriginali!K2391 &gt;= SogliaPicchi!$B$25,"",DatiOriginali!K2391)</f>
        <v>172400</v>
      </c>
    </row>
    <row r="2392" spans="1:11" x14ac:dyDescent="0.3">
      <c r="A2392" s="4" t="s">
        <v>2401</v>
      </c>
      <c r="B2392" s="4">
        <v>719400</v>
      </c>
      <c r="C2392" s="4">
        <f>IF(DatiOriginali!C2392 &gt;= SogliaPicchi!$B$25,"",DatiOriginali!C2392)</f>
        <v>6586600</v>
      </c>
      <c r="D2392" s="4">
        <v>364300</v>
      </c>
      <c r="E2392" s="4">
        <f>IF(DatiOriginali!E2392 &gt;= SogliaPicchi!$B$25,"",DatiOriginali!E2392)</f>
        <v>1269700</v>
      </c>
      <c r="F2392" s="4">
        <v>12342049</v>
      </c>
      <c r="G2392" s="4">
        <f>IF(DatiOriginali!G2392 &gt;= SogliaPicchi!$B$25,"",DatiOriginali!G2392)</f>
        <v>457300</v>
      </c>
      <c r="H2392" s="4">
        <v>15476197</v>
      </c>
      <c r="I2392" s="4">
        <f>IF(DatiOriginali!I2392 &gt;= SogliaPicchi!$B$25,"",DatiOriginali!I2392)</f>
        <v>153700</v>
      </c>
      <c r="J2392" s="4">
        <v>15482665</v>
      </c>
      <c r="K2392" s="4">
        <f>IF(DatiOriginali!K2392 &gt;= SogliaPicchi!$B$25,"",DatiOriginali!K2392)</f>
        <v>172900</v>
      </c>
    </row>
    <row r="2393" spans="1:11" x14ac:dyDescent="0.3">
      <c r="A2393" s="4" t="s">
        <v>2402</v>
      </c>
      <c r="B2393" s="4">
        <v>719400</v>
      </c>
      <c r="C2393" s="4">
        <f>IF(DatiOriginali!C2393 &gt;= SogliaPicchi!$B$25,"",DatiOriginali!C2393)</f>
        <v>6098400</v>
      </c>
      <c r="D2393" s="4">
        <v>349565</v>
      </c>
      <c r="E2393" s="4">
        <f>IF(DatiOriginali!E2393 &gt;= SogliaPicchi!$B$25,"",DatiOriginali!E2393)</f>
        <v>1341300</v>
      </c>
      <c r="F2393" s="4">
        <v>12352806</v>
      </c>
      <c r="G2393" s="4">
        <f>IF(DatiOriginali!G2393 &gt;= SogliaPicchi!$B$25,"",DatiOriginali!G2393)</f>
        <v>539300</v>
      </c>
      <c r="H2393" s="4">
        <v>15491330</v>
      </c>
      <c r="I2393" s="4">
        <f>IF(DatiOriginali!I2393 &gt;= SogliaPicchi!$B$25,"",DatiOriginali!I2393)</f>
        <v>160200</v>
      </c>
      <c r="J2393" s="4">
        <v>15497032</v>
      </c>
      <c r="K2393" s="4">
        <f>IF(DatiOriginali!K2393 &gt;= SogliaPicchi!$B$25,"",DatiOriginali!K2393)</f>
        <v>180700</v>
      </c>
    </row>
    <row r="2394" spans="1:11" x14ac:dyDescent="0.3">
      <c r="A2394" s="4" t="s">
        <v>2403</v>
      </c>
      <c r="B2394" s="4">
        <v>719400</v>
      </c>
      <c r="C2394" s="4">
        <f>IF(DatiOriginali!C2394 &gt;= SogliaPicchi!$B$25,"",DatiOriginali!C2394)</f>
        <v>6438800</v>
      </c>
      <c r="D2394" s="4">
        <v>343809</v>
      </c>
      <c r="E2394" s="4">
        <f>IF(DatiOriginali!E2394 &gt;= SogliaPicchi!$B$25,"",DatiOriginali!E2394)</f>
        <v>1288300</v>
      </c>
      <c r="F2394" s="4">
        <v>12363585</v>
      </c>
      <c r="G2394" s="4">
        <f>IF(DatiOriginali!G2394 &gt;= SogliaPicchi!$B$25,"",DatiOriginali!G2394)</f>
        <v>463100</v>
      </c>
      <c r="H2394" s="4">
        <v>15505496</v>
      </c>
      <c r="I2394" s="4">
        <f>IF(DatiOriginali!I2394 &gt;= SogliaPicchi!$B$25,"",DatiOriginali!I2394)</f>
        <v>160100</v>
      </c>
      <c r="J2394" s="4">
        <v>15511035</v>
      </c>
      <c r="K2394" s="4">
        <f>IF(DatiOriginali!K2394 &gt;= SogliaPicchi!$B$25,"",DatiOriginali!K2394)</f>
        <v>173700</v>
      </c>
    </row>
    <row r="2395" spans="1:11" x14ac:dyDescent="0.3">
      <c r="A2395" s="4" t="s">
        <v>2404</v>
      </c>
      <c r="B2395" s="4">
        <v>719400</v>
      </c>
      <c r="C2395" s="4">
        <f>IF(DatiOriginali!C2395 &gt;= SogliaPicchi!$B$25,"",DatiOriginali!C2395)</f>
        <v>6337900</v>
      </c>
      <c r="D2395" s="4">
        <v>346653</v>
      </c>
      <c r="E2395" s="4">
        <f>IF(DatiOriginali!E2395 &gt;= SogliaPicchi!$B$25,"",DatiOriginali!E2395)</f>
        <v>1197900</v>
      </c>
      <c r="F2395" s="4">
        <v>12374340</v>
      </c>
      <c r="G2395" s="4">
        <f>IF(DatiOriginali!G2395 &gt;= SogliaPicchi!$B$25,"",DatiOriginali!G2395)</f>
        <v>459000</v>
      </c>
      <c r="H2395" s="4">
        <v>15518546</v>
      </c>
      <c r="I2395" s="4">
        <f>IF(DatiOriginali!I2395 &gt;= SogliaPicchi!$B$25,"",DatiOriginali!I2395)</f>
        <v>153400</v>
      </c>
      <c r="J2395" s="4">
        <v>15525365</v>
      </c>
      <c r="K2395" s="4">
        <f>IF(DatiOriginali!K2395 &gt;= SogliaPicchi!$B$25,"",DatiOriginali!K2395)</f>
        <v>175600</v>
      </c>
    </row>
    <row r="2396" spans="1:11" x14ac:dyDescent="0.3">
      <c r="A2396" s="4" t="s">
        <v>2405</v>
      </c>
      <c r="B2396" s="4">
        <v>719400</v>
      </c>
      <c r="C2396" s="4">
        <f>IF(DatiOriginali!C2396 &gt;= SogliaPicchi!$B$25,"",DatiOriginali!C2396)</f>
        <v>6247600</v>
      </c>
      <c r="D2396" s="4">
        <v>358010</v>
      </c>
      <c r="E2396" s="4">
        <f>IF(DatiOriginali!E2396 &gt;= SogliaPicchi!$B$25,"",DatiOriginali!E2396)</f>
        <v>1240200</v>
      </c>
      <c r="F2396" s="4">
        <v>12385113</v>
      </c>
      <c r="G2396" s="4">
        <f>IF(DatiOriginali!G2396 &gt;= SogliaPicchi!$B$25,"",DatiOriginali!G2396)</f>
        <v>451100</v>
      </c>
      <c r="H2396" s="4">
        <v>15532154</v>
      </c>
      <c r="I2396" s="4">
        <f>IF(DatiOriginali!I2396 &gt;= SogliaPicchi!$B$25,"",DatiOriginali!I2396)</f>
        <v>156500</v>
      </c>
      <c r="J2396" s="4">
        <v>15537977</v>
      </c>
      <c r="K2396" s="4">
        <f>IF(DatiOriginali!K2396 &gt;= SogliaPicchi!$B$25,"",DatiOriginali!K2396)</f>
        <v>170100</v>
      </c>
    </row>
    <row r="2397" spans="1:11" x14ac:dyDescent="0.3">
      <c r="A2397" s="4" t="s">
        <v>2406</v>
      </c>
      <c r="B2397" s="4">
        <v>719400</v>
      </c>
      <c r="C2397" s="4">
        <f>IF(DatiOriginali!C2397 &gt;= SogliaPicchi!$B$25,"",DatiOriginali!C2397)</f>
        <v>5992900</v>
      </c>
      <c r="D2397" s="4">
        <v>373682</v>
      </c>
      <c r="E2397" s="4">
        <f>IF(DatiOriginali!E2397 &gt;= SogliaPicchi!$B$25,"",DatiOriginali!E2397)</f>
        <v>1292900</v>
      </c>
      <c r="F2397" s="4">
        <v>12395886</v>
      </c>
      <c r="G2397" s="4">
        <f>IF(DatiOriginali!G2397 &gt;= SogliaPicchi!$B$25,"",DatiOriginali!G2397)</f>
        <v>457800</v>
      </c>
      <c r="H2397" s="4">
        <v>15546169</v>
      </c>
      <c r="I2397" s="4">
        <f>IF(DatiOriginali!I2397 &gt;= SogliaPicchi!$B$25,"",DatiOriginali!I2397)</f>
        <v>158000</v>
      </c>
      <c r="J2397" s="4">
        <v>15551993</v>
      </c>
      <c r="K2397" s="4">
        <f>IF(DatiOriginali!K2397 &gt;= SogliaPicchi!$B$25,"",DatiOriginali!K2397)</f>
        <v>172300</v>
      </c>
    </row>
    <row r="2398" spans="1:11" x14ac:dyDescent="0.3">
      <c r="A2398" s="4" t="s">
        <v>2407</v>
      </c>
      <c r="B2398" s="4">
        <v>719400</v>
      </c>
      <c r="C2398" s="4">
        <f>IF(DatiOriginali!C2398 &gt;= SogliaPicchi!$B$25,"",DatiOriginali!C2398)</f>
        <v>6505900</v>
      </c>
      <c r="D2398" s="4">
        <v>349596</v>
      </c>
      <c r="E2398" s="4">
        <f>IF(DatiOriginali!E2398 &gt;= SogliaPicchi!$B$25,"",DatiOriginali!E2398)</f>
        <v>1239000</v>
      </c>
      <c r="F2398" s="4">
        <v>12406617</v>
      </c>
      <c r="G2398" s="4">
        <f>IF(DatiOriginali!G2398 &gt;= SogliaPicchi!$B$25,"",DatiOriginali!G2398)</f>
        <v>458400</v>
      </c>
      <c r="H2398" s="4">
        <v>15560671</v>
      </c>
      <c r="I2398" s="4">
        <f>IF(DatiOriginali!I2398 &gt;= SogliaPicchi!$B$25,"",DatiOriginali!I2398)</f>
        <v>164500</v>
      </c>
      <c r="J2398" s="4">
        <v>15564903</v>
      </c>
      <c r="K2398" s="4">
        <f>IF(DatiOriginali!K2398 &gt;= SogliaPicchi!$B$25,"",DatiOriginali!K2398)</f>
        <v>175100</v>
      </c>
    </row>
    <row r="2399" spans="1:11" x14ac:dyDescent="0.3">
      <c r="A2399" s="4" t="s">
        <v>2408</v>
      </c>
      <c r="B2399" s="4">
        <v>719400</v>
      </c>
      <c r="C2399" s="4">
        <f>IF(DatiOriginali!C2399 &gt;= SogliaPicchi!$B$25,"",DatiOriginali!C2399)</f>
        <v>6523300</v>
      </c>
      <c r="D2399" s="4">
        <v>371589</v>
      </c>
      <c r="E2399" s="4">
        <f>IF(DatiOriginali!E2399 &gt;= SogliaPicchi!$B$25,"",DatiOriginali!E2399)</f>
        <v>1293800</v>
      </c>
      <c r="F2399" s="4">
        <v>12417386</v>
      </c>
      <c r="G2399" s="4">
        <f>IF(DatiOriginali!G2399 &gt;= SogliaPicchi!$B$25,"",DatiOriginali!G2399)</f>
        <v>565700</v>
      </c>
      <c r="H2399" s="4">
        <v>15574996</v>
      </c>
      <c r="I2399" s="4">
        <f>IF(DatiOriginali!I2399 &gt;= SogliaPicchi!$B$25,"",DatiOriginali!I2399)</f>
        <v>232200</v>
      </c>
      <c r="J2399" s="4">
        <v>15578693</v>
      </c>
      <c r="K2399" s="4">
        <f>IF(DatiOriginali!K2399 &gt;= SogliaPicchi!$B$25,"",DatiOriginali!K2399)</f>
        <v>210500</v>
      </c>
    </row>
    <row r="2400" spans="1:11" x14ac:dyDescent="0.3">
      <c r="A2400" s="4" t="s">
        <v>2409</v>
      </c>
      <c r="B2400" s="4">
        <v>719400</v>
      </c>
      <c r="C2400" s="4">
        <f>IF(DatiOriginali!C2400 &gt;= SogliaPicchi!$B$25,"",DatiOriginali!C2400)</f>
        <v>6166000</v>
      </c>
      <c r="D2400" s="4">
        <v>356076</v>
      </c>
      <c r="E2400" s="4">
        <f>IF(DatiOriginali!E2400 &gt;= SogliaPicchi!$B$25,"",DatiOriginali!E2400)</f>
        <v>1275200</v>
      </c>
      <c r="F2400" s="4">
        <v>12428183</v>
      </c>
      <c r="G2400" s="4">
        <f>IF(DatiOriginali!G2400 &gt;= SogliaPicchi!$B$25,"",DatiOriginali!G2400)</f>
        <v>455100</v>
      </c>
      <c r="H2400" s="4">
        <v>15588314</v>
      </c>
      <c r="I2400" s="4">
        <f>IF(DatiOriginali!I2400 &gt;= SogliaPicchi!$B$25,"",DatiOriginali!I2400)</f>
        <v>158100</v>
      </c>
      <c r="J2400" s="4">
        <v>15592061</v>
      </c>
      <c r="K2400" s="4">
        <f>IF(DatiOriginali!K2400 &gt;= SogliaPicchi!$B$25,"",DatiOriginali!K2400)</f>
        <v>176600</v>
      </c>
    </row>
    <row r="2401" spans="1:11" x14ac:dyDescent="0.3">
      <c r="A2401" s="4" t="s">
        <v>2410</v>
      </c>
      <c r="B2401" s="4">
        <v>719400</v>
      </c>
      <c r="C2401" s="4">
        <f>IF(DatiOriginali!C2401 &gt;= SogliaPicchi!$B$25,"",DatiOriginali!C2401)</f>
        <v>6761300</v>
      </c>
      <c r="D2401" s="4">
        <v>373629</v>
      </c>
      <c r="E2401" s="4">
        <f>IF(DatiOriginali!E2401 &gt;= SogliaPicchi!$B$25,"",DatiOriginali!E2401)</f>
        <v>1331800</v>
      </c>
      <c r="F2401" s="4">
        <v>12438960</v>
      </c>
      <c r="G2401" s="4">
        <f>IF(DatiOriginali!G2401 &gt;= SogliaPicchi!$B$26,"",DatiOriginali!G2401)</f>
        <v>450300</v>
      </c>
      <c r="H2401" s="4">
        <v>15601505</v>
      </c>
      <c r="I2401" s="4">
        <f>IF(DatiOriginali!I2401 &gt;= SogliaPicchi!$B$26,"",DatiOriginali!I2401)</f>
        <v>154700</v>
      </c>
      <c r="J2401" s="4">
        <v>15606607</v>
      </c>
      <c r="K2401" s="4">
        <f>IF(DatiOriginali!K2401 &gt;= SogliaPicchi!$B$26,"",DatiOriginali!K2401)</f>
        <v>172900</v>
      </c>
    </row>
    <row r="2402" spans="1:11" x14ac:dyDescent="0.3">
      <c r="A2402" s="4" t="s">
        <v>2411</v>
      </c>
      <c r="B2402" s="4">
        <v>780625</v>
      </c>
      <c r="C2402" s="4">
        <f>IF(DatiOriginali!C2402 &gt;= SogliaPicchi!$B$26,"",DatiOriginali!C2402)</f>
        <v>6893200</v>
      </c>
      <c r="D2402" s="4">
        <v>389614</v>
      </c>
      <c r="E2402" s="4">
        <f>IF(DatiOriginali!E2402 &gt;= SogliaPicchi!$B$26,"",DatiOriginali!E2402)</f>
        <v>1343900</v>
      </c>
      <c r="F2402" s="4">
        <v>12450264</v>
      </c>
      <c r="G2402" s="4">
        <f>IF(DatiOriginali!G2402 &gt;= SogliaPicchi!$B$26,"",DatiOriginali!G2402)</f>
        <v>473900</v>
      </c>
      <c r="H2402" s="4">
        <v>15616980</v>
      </c>
      <c r="I2402" s="4">
        <f>IF(DatiOriginali!I2402 &gt;= SogliaPicchi!$B$26,"",DatiOriginali!I2402)</f>
        <v>170700</v>
      </c>
      <c r="J2402" s="4">
        <v>15619682</v>
      </c>
      <c r="K2402" s="4">
        <f>IF(DatiOriginali!K2402 &gt;= SogliaPicchi!$B$26,"",DatiOriginali!K2402)</f>
        <v>179200</v>
      </c>
    </row>
    <row r="2403" spans="1:11" x14ac:dyDescent="0.3">
      <c r="A2403" s="4" t="s">
        <v>2412</v>
      </c>
      <c r="B2403" s="4">
        <v>780625</v>
      </c>
      <c r="C2403" s="4">
        <f>IF(DatiOriginali!C2403 &gt;= SogliaPicchi!$B$26,"",DatiOriginali!C2403)</f>
        <v>7053200</v>
      </c>
      <c r="D2403" s="4">
        <v>377773</v>
      </c>
      <c r="E2403" s="4">
        <f>IF(DatiOriginali!E2403 &gt;= SogliaPicchi!$B$26,"",DatiOriginali!E2403)</f>
        <v>1306700</v>
      </c>
      <c r="F2403" s="4">
        <v>12461577</v>
      </c>
      <c r="G2403" s="4">
        <f>IF(DatiOriginali!G2403 &gt;= SogliaPicchi!$B$26,"",DatiOriginali!G2403)</f>
        <v>473200</v>
      </c>
      <c r="H2403" s="4">
        <v>15630773</v>
      </c>
      <c r="I2403" s="4">
        <f>IF(DatiOriginali!I2403 &gt;= SogliaPicchi!$B$26,"",DatiOriginali!I2403)</f>
        <v>162300</v>
      </c>
      <c r="J2403" s="4">
        <v>15633860</v>
      </c>
      <c r="K2403" s="4">
        <f>IF(DatiOriginali!K2403 &gt;= SogliaPicchi!$B$26,"",DatiOriginali!K2403)</f>
        <v>187200</v>
      </c>
    </row>
    <row r="2404" spans="1:11" x14ac:dyDescent="0.3">
      <c r="A2404" s="4" t="s">
        <v>2413</v>
      </c>
      <c r="B2404" s="4">
        <v>780625</v>
      </c>
      <c r="C2404" s="4">
        <f>IF(DatiOriginali!C2404 &gt;= SogliaPicchi!$B$26,"",DatiOriginali!C2404)</f>
        <v>6916200</v>
      </c>
      <c r="D2404" s="4">
        <v>383235</v>
      </c>
      <c r="E2404" s="4">
        <f>IF(DatiOriginali!E2404 &gt;= SogliaPicchi!$B$26,"",DatiOriginali!E2404)</f>
        <v>1433200</v>
      </c>
      <c r="F2404" s="4">
        <v>12472879</v>
      </c>
      <c r="G2404" s="4">
        <f>IF(DatiOriginali!G2404 &gt;= SogliaPicchi!$B$26,"",DatiOriginali!G2404)</f>
        <v>482100</v>
      </c>
      <c r="H2404" s="4">
        <v>15645103</v>
      </c>
      <c r="I2404" s="4">
        <f>IF(DatiOriginali!I2404 &gt;= SogliaPicchi!$B$26,"",DatiOriginali!I2404)</f>
        <v>171400</v>
      </c>
      <c r="J2404" s="4">
        <v>15648420</v>
      </c>
      <c r="K2404" s="4">
        <f>IF(DatiOriginali!K2404 &gt;= SogliaPicchi!$B$26,"",DatiOriginali!K2404)</f>
        <v>179500</v>
      </c>
    </row>
    <row r="2405" spans="1:11" x14ac:dyDescent="0.3">
      <c r="A2405" s="4" t="s">
        <v>2414</v>
      </c>
      <c r="B2405" s="4">
        <v>780625</v>
      </c>
      <c r="C2405" s="4">
        <f>IF(DatiOriginali!C2405 &gt;= SogliaPicchi!$B$26,"",DatiOriginali!C2405)</f>
        <v>7029000</v>
      </c>
      <c r="D2405" s="4">
        <v>389966</v>
      </c>
      <c r="E2405" s="4">
        <f>IF(DatiOriginali!E2405 &gt;= SogliaPicchi!$B$26,"",DatiOriginali!E2405)</f>
        <v>1554400</v>
      </c>
      <c r="F2405" s="4">
        <v>12484205</v>
      </c>
      <c r="G2405" s="4">
        <f>IF(DatiOriginali!G2405 &gt;= SogliaPicchi!$B$26,"",DatiOriginali!G2405)</f>
        <v>488900</v>
      </c>
      <c r="H2405" s="4">
        <v>15660035</v>
      </c>
      <c r="I2405" s="4">
        <f>IF(DatiOriginali!I2405 &gt;= SogliaPicchi!$B$26,"",DatiOriginali!I2405)</f>
        <v>165900</v>
      </c>
      <c r="J2405" s="4">
        <v>15663578</v>
      </c>
      <c r="K2405" s="4">
        <f>IF(DatiOriginali!K2405 &gt;= SogliaPicchi!$B$26,"",DatiOriginali!K2405)</f>
        <v>179100</v>
      </c>
    </row>
    <row r="2406" spans="1:11" x14ac:dyDescent="0.3">
      <c r="A2406" s="4" t="s">
        <v>2415</v>
      </c>
      <c r="B2406" s="4">
        <v>780625</v>
      </c>
      <c r="C2406" s="4">
        <f>IF(DatiOriginali!C2406 &gt;= SogliaPicchi!$B$26,"",DatiOriginali!C2406)</f>
        <v>7139900</v>
      </c>
      <c r="D2406" s="4">
        <v>389330</v>
      </c>
      <c r="E2406" s="4">
        <f>IF(DatiOriginali!E2406 &gt;= SogliaPicchi!$B$26,"",DatiOriginali!E2406)</f>
        <v>1339500</v>
      </c>
      <c r="F2406" s="4">
        <v>12495523</v>
      </c>
      <c r="G2406" s="4">
        <f>IF(DatiOriginali!G2406 &gt;= SogliaPicchi!$B$26,"",DatiOriginali!G2406)</f>
        <v>486300</v>
      </c>
      <c r="H2406" s="4">
        <v>15673910</v>
      </c>
      <c r="I2406" s="4">
        <f>IF(DatiOriginali!I2406 &gt;= SogliaPicchi!$B$26,"",DatiOriginali!I2406)</f>
        <v>164400</v>
      </c>
      <c r="J2406" s="4">
        <v>15678221</v>
      </c>
      <c r="K2406" s="4">
        <f>IF(DatiOriginali!K2406 &gt;= SogliaPicchi!$B$26,"",DatiOriginali!K2406)</f>
        <v>185800</v>
      </c>
    </row>
    <row r="2407" spans="1:11" x14ac:dyDescent="0.3">
      <c r="A2407" s="4" t="s">
        <v>2416</v>
      </c>
      <c r="B2407" s="4">
        <v>780625</v>
      </c>
      <c r="C2407" s="4">
        <f>IF(DatiOriginali!C2407 &gt;= SogliaPicchi!$B$26,"",DatiOriginali!C2407)</f>
        <v>7160100</v>
      </c>
      <c r="D2407" s="4">
        <v>398019</v>
      </c>
      <c r="E2407" s="4">
        <f>IF(DatiOriginali!E2407 &gt;= SogliaPicchi!$B$26,"",DatiOriginali!E2407)</f>
        <v>1374900</v>
      </c>
      <c r="F2407" s="4">
        <v>12506856</v>
      </c>
      <c r="G2407" s="4">
        <f>IF(DatiOriginali!G2407 &gt;= SogliaPicchi!$B$26,"",DatiOriginali!G2407)</f>
        <v>480500</v>
      </c>
      <c r="H2407" s="4">
        <v>15688682</v>
      </c>
      <c r="I2407" s="4">
        <f>IF(DatiOriginali!I2407 &gt;= SogliaPicchi!$B$26,"",DatiOriginali!I2407)</f>
        <v>168200</v>
      </c>
      <c r="J2407" s="4">
        <v>15692864</v>
      </c>
      <c r="K2407" s="4">
        <f>IF(DatiOriginali!K2407 &gt;= SogliaPicchi!$B$26,"",DatiOriginali!K2407)</f>
        <v>186300</v>
      </c>
    </row>
    <row r="2408" spans="1:11" x14ac:dyDescent="0.3">
      <c r="A2408" s="4" t="s">
        <v>2417</v>
      </c>
      <c r="B2408" s="4">
        <v>780625</v>
      </c>
      <c r="C2408" s="4">
        <f>IF(DatiOriginali!C2408 &gt;= SogliaPicchi!$B$26,"",DatiOriginali!C2408)</f>
        <v>6819300</v>
      </c>
      <c r="D2408" s="4">
        <v>390154</v>
      </c>
      <c r="E2408" s="4">
        <f>IF(DatiOriginali!E2408 &gt;= SogliaPicchi!$B$26,"",DatiOriginali!E2408)</f>
        <v>1766400</v>
      </c>
      <c r="F2408" s="4">
        <v>12518160</v>
      </c>
      <c r="G2408" s="4">
        <f>IF(DatiOriginali!G2408 &gt;= SogliaPicchi!$B$26,"",DatiOriginali!G2408)</f>
        <v>517500</v>
      </c>
      <c r="H2408" s="4">
        <v>15702271</v>
      </c>
      <c r="I2408" s="4">
        <f>IF(DatiOriginali!I2408 &gt;= SogliaPicchi!$B$26,"",DatiOriginali!I2408)</f>
        <v>187800</v>
      </c>
      <c r="J2408" s="4">
        <v>15706246</v>
      </c>
      <c r="K2408" s="4">
        <f>IF(DatiOriginali!K2408 &gt;= SogliaPicchi!$B$26,"",DatiOriginali!K2408)</f>
        <v>182200</v>
      </c>
    </row>
    <row r="2409" spans="1:11" x14ac:dyDescent="0.3">
      <c r="A2409" s="4" t="s">
        <v>2418</v>
      </c>
      <c r="B2409" s="4">
        <v>780625</v>
      </c>
      <c r="C2409" s="4">
        <f>IF(DatiOriginali!C2409 &gt;= SogliaPicchi!$B$26,"",DatiOriginali!C2409)</f>
        <v>7227200</v>
      </c>
      <c r="D2409" s="4">
        <v>388048</v>
      </c>
      <c r="E2409" s="4">
        <f>IF(DatiOriginali!E2409 &gt;= SogliaPicchi!$B$26,"",DatiOriginali!E2409)</f>
        <v>1335000</v>
      </c>
      <c r="F2409" s="4">
        <v>12529466</v>
      </c>
      <c r="G2409" s="4">
        <f>IF(DatiOriginali!G2409 &gt;= SogliaPicchi!$B$26,"",DatiOriginali!G2409)</f>
        <v>479600</v>
      </c>
      <c r="H2409" s="4">
        <v>15715532</v>
      </c>
      <c r="I2409" s="4">
        <f>IF(DatiOriginali!I2409 &gt;= SogliaPicchi!$B$26,"",DatiOriginali!I2409)</f>
        <v>158200</v>
      </c>
      <c r="J2409" s="4">
        <v>15720595</v>
      </c>
      <c r="K2409" s="4">
        <f>IF(DatiOriginali!K2409 &gt;= SogliaPicchi!$B$26,"",DatiOriginali!K2409)</f>
        <v>178400</v>
      </c>
    </row>
    <row r="2410" spans="1:11" x14ac:dyDescent="0.3">
      <c r="A2410" s="4" t="s">
        <v>2419</v>
      </c>
      <c r="B2410" s="4">
        <v>780625</v>
      </c>
      <c r="C2410" s="4">
        <f>IF(DatiOriginali!C2410 &gt;= SogliaPicchi!$B$26,"",DatiOriginali!C2410)</f>
        <v>6942400</v>
      </c>
      <c r="D2410" s="4">
        <v>381143</v>
      </c>
      <c r="E2410" s="4">
        <f>IF(DatiOriginali!E2410 &gt;= SogliaPicchi!$B$26,"",DatiOriginali!E2410)</f>
        <v>1311800</v>
      </c>
      <c r="F2410" s="4">
        <v>12540791</v>
      </c>
      <c r="G2410" s="4">
        <f>IF(DatiOriginali!G2410 &gt;= SogliaPicchi!$B$26,"",DatiOriginali!G2410)</f>
        <v>481200</v>
      </c>
      <c r="H2410" s="4">
        <v>15731160</v>
      </c>
      <c r="I2410" s="4">
        <f>IF(DatiOriginali!I2410 &gt;= SogliaPicchi!$B$26,"",DatiOriginali!I2410)</f>
        <v>176100</v>
      </c>
      <c r="J2410" s="4">
        <v>15734625</v>
      </c>
      <c r="K2410" s="4">
        <f>IF(DatiOriginali!K2410 &gt;= SogliaPicchi!$B$26,"",DatiOriginali!K2410)</f>
        <v>176300</v>
      </c>
    </row>
    <row r="2411" spans="1:11" x14ac:dyDescent="0.3">
      <c r="A2411" s="4" t="s">
        <v>2420</v>
      </c>
      <c r="B2411" s="4">
        <v>780625</v>
      </c>
      <c r="C2411" s="4">
        <f>IF(DatiOriginali!C2411 &gt;= SogliaPicchi!$B$26,"",DatiOriginali!C2411)</f>
        <v>6998100</v>
      </c>
      <c r="D2411" s="4">
        <v>387297</v>
      </c>
      <c r="E2411" s="4">
        <f>IF(DatiOriginali!E2411 &gt;= SogliaPicchi!$B$26,"",DatiOriginali!E2411)</f>
        <v>1585500</v>
      </c>
      <c r="F2411" s="4">
        <v>12552109</v>
      </c>
      <c r="G2411" s="4">
        <f>IF(DatiOriginali!G2411 &gt;= SogliaPicchi!$B$26,"",DatiOriginali!G2411)</f>
        <v>487900</v>
      </c>
      <c r="H2411" s="4">
        <v>15745792</v>
      </c>
      <c r="I2411" s="4">
        <f>IF(DatiOriginali!I2411 &gt;= SogliaPicchi!$B$26,"",DatiOriginali!I2411)</f>
        <v>166500</v>
      </c>
      <c r="J2411" s="4">
        <v>15748892</v>
      </c>
      <c r="K2411" s="4">
        <f>IF(DatiOriginali!K2411 &gt;= SogliaPicchi!$B$26,"",DatiOriginali!K2411)</f>
        <v>187700</v>
      </c>
    </row>
    <row r="2412" spans="1:11" x14ac:dyDescent="0.3">
      <c r="A2412" s="4" t="s">
        <v>2421</v>
      </c>
      <c r="B2412" s="4">
        <v>780625</v>
      </c>
      <c r="C2412" s="4">
        <f>IF(DatiOriginali!C2412 &gt;= SogliaPicchi!$B$26,"",DatiOriginali!C2412)</f>
        <v>6979000</v>
      </c>
      <c r="D2412" s="4">
        <v>387182</v>
      </c>
      <c r="E2412" s="4">
        <f>IF(DatiOriginali!E2412 &gt;= SogliaPicchi!$B$26,"",DatiOriginali!E2412)</f>
        <v>1332600</v>
      </c>
      <c r="F2412" s="4">
        <v>12563439</v>
      </c>
      <c r="G2412" s="4">
        <f>IF(DatiOriginali!G2412 &gt;= SogliaPicchi!$B$26,"",DatiOriginali!G2412)</f>
        <v>473300</v>
      </c>
      <c r="H2412" s="4">
        <v>15760443</v>
      </c>
      <c r="I2412" s="4">
        <f>IF(DatiOriginali!I2412 &gt;= SogliaPicchi!$B$26,"",DatiOriginali!I2412)</f>
        <v>166200</v>
      </c>
      <c r="J2412" s="4">
        <v>15764151</v>
      </c>
      <c r="K2412" s="4">
        <f>IF(DatiOriginali!K2412 &gt;= SogliaPicchi!$B$26,"",DatiOriginali!K2412)</f>
        <v>184600</v>
      </c>
    </row>
    <row r="2413" spans="1:11" x14ac:dyDescent="0.3">
      <c r="A2413" s="4" t="s">
        <v>2422</v>
      </c>
      <c r="B2413" s="4">
        <v>780625</v>
      </c>
      <c r="C2413" s="4">
        <f>IF(DatiOriginali!C2413 &gt;= SogliaPicchi!$B$26,"",DatiOriginali!C2413)</f>
        <v>6890000</v>
      </c>
      <c r="D2413" s="4">
        <v>389857</v>
      </c>
      <c r="E2413" s="4">
        <f>IF(DatiOriginali!E2413 &gt;= SogliaPicchi!$B$26,"",DatiOriginali!E2413)</f>
        <v>1348500</v>
      </c>
      <c r="F2413" s="4">
        <v>12574723</v>
      </c>
      <c r="G2413" s="4">
        <f>IF(DatiOriginali!G2413 &gt;= SogliaPicchi!$B$26,"",DatiOriginali!G2413)</f>
        <v>566000</v>
      </c>
      <c r="H2413" s="4">
        <v>15774798</v>
      </c>
      <c r="I2413" s="4">
        <f>IF(DatiOriginali!I2413 &gt;= SogliaPicchi!$B$26,"",DatiOriginali!I2413)</f>
        <v>173900</v>
      </c>
      <c r="J2413" s="4">
        <v>15778165</v>
      </c>
      <c r="K2413" s="4">
        <f>IF(DatiOriginali!K2413 &gt;= SogliaPicchi!$B$26,"",DatiOriginali!K2413)</f>
        <v>183600</v>
      </c>
    </row>
    <row r="2414" spans="1:11" x14ac:dyDescent="0.3">
      <c r="A2414" s="4" t="s">
        <v>2423</v>
      </c>
      <c r="B2414" s="4">
        <v>780625</v>
      </c>
      <c r="C2414" s="4">
        <f>IF(DatiOriginali!C2414 &gt;= SogliaPicchi!$B$26,"",DatiOriginali!C2414)</f>
        <v>7257500</v>
      </c>
      <c r="D2414" s="4">
        <v>372146</v>
      </c>
      <c r="E2414" s="4">
        <f>IF(DatiOriginali!E2414 &gt;= SogliaPicchi!$B$26,"",DatiOriginali!E2414)</f>
        <v>1295500</v>
      </c>
      <c r="F2414" s="4">
        <v>12586061</v>
      </c>
      <c r="G2414" s="4">
        <f>IF(DatiOriginali!G2414 &gt;= SogliaPicchi!$B$26,"",DatiOriginali!G2414)</f>
        <v>482100</v>
      </c>
      <c r="H2414" s="4">
        <v>15789046</v>
      </c>
      <c r="I2414" s="4">
        <f>IF(DatiOriginali!I2414 &gt;= SogliaPicchi!$B$26,"",DatiOriginali!I2414)</f>
        <v>165300</v>
      </c>
      <c r="J2414" s="4">
        <v>15792559</v>
      </c>
      <c r="K2414" s="4">
        <f>IF(DatiOriginali!K2414 &gt;= SogliaPicchi!$B$26,"",DatiOriginali!K2414)</f>
        <v>262300</v>
      </c>
    </row>
    <row r="2415" spans="1:11" x14ac:dyDescent="0.3">
      <c r="A2415" s="4" t="s">
        <v>2424</v>
      </c>
      <c r="B2415" s="4">
        <v>780625</v>
      </c>
      <c r="C2415" s="4">
        <f>IF(DatiOriginali!C2415 &gt;= SogliaPicchi!$B$26,"",DatiOriginali!C2415)</f>
        <v>7058800</v>
      </c>
      <c r="D2415" s="4">
        <v>398285</v>
      </c>
      <c r="E2415" s="4">
        <f>IF(DatiOriginali!E2415 &gt;= SogliaPicchi!$B$26,"",DatiOriginali!E2415)</f>
        <v>1369600</v>
      </c>
      <c r="F2415" s="4">
        <v>12597371</v>
      </c>
      <c r="G2415" s="4">
        <f>IF(DatiOriginali!G2415 &gt;= SogliaPicchi!$B$26,"",DatiOriginali!G2415)</f>
        <v>483400</v>
      </c>
      <c r="H2415" s="4">
        <v>15804015</v>
      </c>
      <c r="I2415" s="4">
        <f>IF(DatiOriginali!I2415 &gt;= SogliaPicchi!$B$26,"",DatiOriginali!I2415)</f>
        <v>163200</v>
      </c>
      <c r="J2415" s="4">
        <v>15806411</v>
      </c>
      <c r="K2415" s="4">
        <f>IF(DatiOriginali!K2415 &gt;= SogliaPicchi!$B$26,"",DatiOriginali!K2415)</f>
        <v>177700</v>
      </c>
    </row>
    <row r="2416" spans="1:11" x14ac:dyDescent="0.3">
      <c r="A2416" s="4" t="s">
        <v>2425</v>
      </c>
      <c r="B2416" s="4">
        <v>780625</v>
      </c>
      <c r="C2416" s="4">
        <f>IF(DatiOriginali!C2416 &gt;= SogliaPicchi!$B$26,"",DatiOriginali!C2416)</f>
        <v>7055300</v>
      </c>
      <c r="D2416" s="4">
        <v>391785</v>
      </c>
      <c r="E2416" s="4">
        <f>IF(DatiOriginali!E2416 &gt;= SogliaPicchi!$B$26,"",DatiOriginali!E2416)</f>
        <v>1378700</v>
      </c>
      <c r="F2416" s="4">
        <v>12608657</v>
      </c>
      <c r="G2416" s="4">
        <f>IF(DatiOriginali!G2416 &gt;= SogliaPicchi!$B$26,"",DatiOriginali!G2416)</f>
        <v>483000</v>
      </c>
      <c r="H2416" s="4">
        <v>15818192</v>
      </c>
      <c r="I2416" s="4">
        <f>IF(DatiOriginali!I2416 &gt;= SogliaPicchi!$B$26,"",DatiOriginali!I2416)</f>
        <v>165000</v>
      </c>
      <c r="J2416" s="4">
        <v>15819828</v>
      </c>
      <c r="K2416" s="4">
        <f>IF(DatiOriginali!K2416 &gt;= SogliaPicchi!$B$26,"",DatiOriginali!K2416)</f>
        <v>182800</v>
      </c>
    </row>
    <row r="2417" spans="1:11" x14ac:dyDescent="0.3">
      <c r="A2417" s="4" t="s">
        <v>2426</v>
      </c>
      <c r="B2417" s="4">
        <v>780625</v>
      </c>
      <c r="C2417" s="4">
        <f>IF(DatiOriginali!C2417 &gt;= SogliaPicchi!$B$26,"",DatiOriginali!C2417)</f>
        <v>6762600</v>
      </c>
      <c r="D2417" s="4">
        <v>402677</v>
      </c>
      <c r="E2417" s="4">
        <f>IF(DatiOriginali!E2417 &gt;= SogliaPicchi!$B$26,"",DatiOriginali!E2417)</f>
        <v>1395400</v>
      </c>
      <c r="F2417" s="4">
        <v>12619947</v>
      </c>
      <c r="G2417" s="4">
        <f>IF(DatiOriginali!G2417 &gt;= SogliaPicchi!$B$26,"",DatiOriginali!G2417)</f>
        <v>482800</v>
      </c>
      <c r="H2417" s="4">
        <v>15833085</v>
      </c>
      <c r="I2417" s="4">
        <f>IF(DatiOriginali!I2417 &gt;= SogliaPicchi!$B$26,"",DatiOriginali!I2417)</f>
        <v>173500</v>
      </c>
      <c r="J2417" s="4">
        <v>15834369</v>
      </c>
      <c r="K2417" s="4">
        <f>IF(DatiOriginali!K2417 &gt;= SogliaPicchi!$B$26,"",DatiOriginali!K2417)</f>
        <v>180200</v>
      </c>
    </row>
    <row r="2418" spans="1:11" x14ac:dyDescent="0.3">
      <c r="A2418" s="4" t="s">
        <v>2427</v>
      </c>
      <c r="B2418" s="4">
        <v>780625</v>
      </c>
      <c r="C2418" s="4">
        <f>IF(DatiOriginali!C2418 &gt;= SogliaPicchi!$B$26,"",DatiOriginali!C2418)</f>
        <v>7171100</v>
      </c>
      <c r="D2418" s="4">
        <v>384000</v>
      </c>
      <c r="E2418" s="4">
        <f>IF(DatiOriginali!E2418 &gt;= SogliaPicchi!$B$26,"",DatiOriginali!E2418)</f>
        <v>1325800</v>
      </c>
      <c r="F2418" s="4">
        <v>12631232</v>
      </c>
      <c r="G2418" s="4">
        <f>IF(DatiOriginali!G2418 &gt;= SogliaPicchi!$B$26,"",DatiOriginali!G2418)</f>
        <v>616100</v>
      </c>
      <c r="H2418" s="4">
        <v>15847146</v>
      </c>
      <c r="I2418" s="4">
        <f>IF(DatiOriginali!I2418 &gt;= SogliaPicchi!$B$26,"",DatiOriginali!I2418)</f>
        <v>170500</v>
      </c>
      <c r="J2418" s="4">
        <v>15848389</v>
      </c>
      <c r="K2418" s="4">
        <f>IF(DatiOriginali!K2418 &gt;= SogliaPicchi!$B$26,"",DatiOriginali!K2418)</f>
        <v>184400</v>
      </c>
    </row>
    <row r="2419" spans="1:11" x14ac:dyDescent="0.3">
      <c r="A2419" s="4" t="s">
        <v>2428</v>
      </c>
      <c r="B2419" s="4">
        <v>780625</v>
      </c>
      <c r="C2419" s="4">
        <f>IF(DatiOriginali!C2419 &gt;= SogliaPicchi!$B$26,"",DatiOriginali!C2419)</f>
        <v>6940400</v>
      </c>
      <c r="D2419" s="4">
        <v>408706</v>
      </c>
      <c r="E2419" s="4">
        <f>IF(DatiOriginali!E2419 &gt;= SogliaPicchi!$B$26,"",DatiOriginali!E2419)</f>
        <v>1435600</v>
      </c>
      <c r="F2419" s="4">
        <v>12642534</v>
      </c>
      <c r="G2419" s="4">
        <f>IF(DatiOriginali!G2419 &gt;= SogliaPicchi!$B$26,"",DatiOriginali!G2419)</f>
        <v>470000</v>
      </c>
      <c r="H2419" s="4">
        <v>15860737</v>
      </c>
      <c r="I2419" s="4">
        <f>IF(DatiOriginali!I2419 &gt;= SogliaPicchi!$B$26,"",DatiOriginali!I2419)</f>
        <v>167000</v>
      </c>
      <c r="J2419" s="4">
        <v>15862972</v>
      </c>
      <c r="K2419" s="4">
        <f>IF(DatiOriginali!K2419 &gt;= SogliaPicchi!$B$26,"",DatiOriginali!K2419)</f>
        <v>187700</v>
      </c>
    </row>
    <row r="2420" spans="1:11" x14ac:dyDescent="0.3">
      <c r="A2420" s="4" t="s">
        <v>2429</v>
      </c>
      <c r="B2420" s="4">
        <v>780625</v>
      </c>
      <c r="C2420" s="4">
        <f>IF(DatiOriginali!C2420 &gt;= SogliaPicchi!$B$26,"",DatiOriginali!C2420)</f>
        <v>6651000</v>
      </c>
      <c r="D2420" s="4">
        <v>379260</v>
      </c>
      <c r="E2420" s="4">
        <f>IF(DatiOriginali!E2420 &gt;= SogliaPicchi!$B$26,"",DatiOriginali!E2420)</f>
        <v>1321800</v>
      </c>
      <c r="F2420" s="4">
        <v>12653857</v>
      </c>
      <c r="G2420" s="4">
        <f>IF(DatiOriginali!G2420 &gt;= SogliaPicchi!$B$26,"",DatiOriginali!G2420)</f>
        <v>473100</v>
      </c>
      <c r="H2420" s="4">
        <v>15876063</v>
      </c>
      <c r="I2420" s="4">
        <f>IF(DatiOriginali!I2420 &gt;= SogliaPicchi!$B$26,"",DatiOriginali!I2420)</f>
        <v>173700</v>
      </c>
      <c r="J2420" s="4">
        <v>15876458</v>
      </c>
      <c r="K2420" s="4">
        <f>IF(DatiOriginali!K2420 &gt;= SogliaPicchi!$B$26,"",DatiOriginali!K2420)</f>
        <v>180700</v>
      </c>
    </row>
    <row r="2421" spans="1:11" x14ac:dyDescent="0.3">
      <c r="A2421" s="4" t="s">
        <v>2430</v>
      </c>
      <c r="B2421" s="4">
        <v>780625</v>
      </c>
      <c r="C2421" s="4">
        <f>IF(DatiOriginali!C2421 &gt;= SogliaPicchi!$B$26,"",DatiOriginali!C2421)</f>
        <v>6727200</v>
      </c>
      <c r="D2421" s="4">
        <v>400105</v>
      </c>
      <c r="E2421" s="4">
        <f>IF(DatiOriginali!E2421 &gt;= SogliaPicchi!$B$26,"",DatiOriginali!E2421)</f>
        <v>1644500</v>
      </c>
      <c r="F2421" s="4">
        <v>12665183</v>
      </c>
      <c r="G2421" s="4">
        <f>IF(DatiOriginali!G2421 &gt;= SogliaPicchi!$B$26,"",DatiOriginali!G2421)</f>
        <v>482500</v>
      </c>
      <c r="H2421" s="4">
        <v>15891794</v>
      </c>
      <c r="I2421" s="4">
        <f>IF(DatiOriginali!I2421 &gt;= SogliaPicchi!$B$26,"",DatiOriginali!I2421)</f>
        <v>171600</v>
      </c>
      <c r="J2421" s="4">
        <v>15891220</v>
      </c>
      <c r="K2421" s="4">
        <f>IF(DatiOriginali!K2421 &gt;= SogliaPicchi!$B$26,"",DatiOriginali!K2421)</f>
        <v>184000</v>
      </c>
    </row>
    <row r="2422" spans="1:11" x14ac:dyDescent="0.3">
      <c r="A2422" s="4" t="s">
        <v>2431</v>
      </c>
      <c r="B2422" s="4">
        <v>780625</v>
      </c>
      <c r="C2422" s="4">
        <f>IF(DatiOriginali!C2422 &gt;= SogliaPicchi!$B$26,"",DatiOriginali!C2422)</f>
        <v>7144200</v>
      </c>
      <c r="D2422" s="4">
        <v>396957</v>
      </c>
      <c r="E2422" s="4">
        <f>IF(DatiOriginali!E2422 &gt;= SogliaPicchi!$B$26,"",DatiOriginali!E2422)</f>
        <v>1365600</v>
      </c>
      <c r="F2422" s="4">
        <v>12676548</v>
      </c>
      <c r="G2422" s="4">
        <f>IF(DatiOriginali!G2422 &gt;= SogliaPicchi!$B$26,"",DatiOriginali!G2422)</f>
        <v>473200</v>
      </c>
      <c r="H2422" s="4">
        <v>15906418</v>
      </c>
      <c r="I2422" s="4">
        <f>IF(DatiOriginali!I2422 &gt;= SogliaPicchi!$B$26,"",DatiOriginali!I2422)</f>
        <v>162500</v>
      </c>
      <c r="J2422" s="4">
        <v>15905448</v>
      </c>
      <c r="K2422" s="4">
        <f>IF(DatiOriginali!K2422 &gt;= SogliaPicchi!$B$26,"",DatiOriginali!K2422)</f>
        <v>175000</v>
      </c>
    </row>
    <row r="2423" spans="1:11" x14ac:dyDescent="0.3">
      <c r="A2423" s="4" t="s">
        <v>2432</v>
      </c>
      <c r="B2423" s="4">
        <v>780625</v>
      </c>
      <c r="C2423" s="4">
        <f>IF(DatiOriginali!C2423 &gt;= SogliaPicchi!$B$26,"",DatiOriginali!C2423)</f>
        <v>6872700</v>
      </c>
      <c r="D2423" s="4">
        <v>384590</v>
      </c>
      <c r="E2423" s="4">
        <f>IF(DatiOriginali!E2423 &gt;= SogliaPicchi!$B$26,"",DatiOriginali!E2423)</f>
        <v>1323600</v>
      </c>
      <c r="F2423" s="4">
        <v>12687882</v>
      </c>
      <c r="G2423" s="4">
        <f>IF(DatiOriginali!G2423 &gt;= SogliaPicchi!$B$26,"",DatiOriginali!G2423)</f>
        <v>474400</v>
      </c>
      <c r="H2423" s="4">
        <v>15919841</v>
      </c>
      <c r="I2423" s="4">
        <f>IF(DatiOriginali!I2423 &gt;= SogliaPicchi!$B$26,"",DatiOriginali!I2423)</f>
        <v>162200</v>
      </c>
      <c r="J2423" s="4">
        <v>15919485</v>
      </c>
      <c r="K2423" s="4">
        <f>IF(DatiOriginali!K2423 &gt;= SogliaPicchi!$B$26,"",DatiOriginali!K2423)</f>
        <v>177400</v>
      </c>
    </row>
    <row r="2424" spans="1:11" x14ac:dyDescent="0.3">
      <c r="A2424" s="4" t="s">
        <v>2433</v>
      </c>
      <c r="B2424" s="4">
        <v>780625</v>
      </c>
      <c r="C2424" s="4">
        <f>IF(DatiOriginali!C2424 &gt;= SogliaPicchi!$B$26,"",DatiOriginali!C2424)</f>
        <v>7082900</v>
      </c>
      <c r="D2424" s="4">
        <v>390250</v>
      </c>
      <c r="E2424" s="4">
        <f>IF(DatiOriginali!E2424 &gt;= SogliaPicchi!$B$26,"",DatiOriginali!E2424)</f>
        <v>1597000</v>
      </c>
      <c r="F2424" s="4">
        <v>12699163</v>
      </c>
      <c r="G2424" s="4">
        <f>IF(DatiOriginali!G2424 &gt;= SogliaPicchi!$B$26,"",DatiOriginali!G2424)</f>
        <v>492200</v>
      </c>
      <c r="H2424" s="4">
        <v>15933395</v>
      </c>
      <c r="I2424" s="4">
        <f>IF(DatiOriginali!I2424 &gt;= SogliaPicchi!$B$26,"",DatiOriginali!I2424)</f>
        <v>168800</v>
      </c>
      <c r="J2424" s="4">
        <v>15932954</v>
      </c>
      <c r="K2424" s="4">
        <f>IF(DatiOriginali!K2424 &gt;= SogliaPicchi!$B$26,"",DatiOriginali!K2424)</f>
        <v>181500</v>
      </c>
    </row>
    <row r="2425" spans="1:11" x14ac:dyDescent="0.3">
      <c r="A2425" s="4" t="s">
        <v>2434</v>
      </c>
      <c r="B2425" s="4">
        <v>780625</v>
      </c>
      <c r="C2425" s="4">
        <f>IF(DatiOriginali!C2425 &gt;= SogliaPicchi!$B$26,"",DatiOriginali!C2425)</f>
        <v>7447200</v>
      </c>
      <c r="D2425" s="4">
        <v>385287</v>
      </c>
      <c r="E2425" s="4">
        <f>IF(DatiOriginali!E2425 &gt;= SogliaPicchi!$B$26,"",DatiOriginali!E2425)</f>
        <v>1338900</v>
      </c>
      <c r="F2425" s="4">
        <v>12710479</v>
      </c>
      <c r="G2425" s="4">
        <f>IF(DatiOriginali!G2425 &gt;= SogliaPicchi!$B$26,"",DatiOriginali!G2425)</f>
        <v>473800</v>
      </c>
      <c r="H2425" s="4">
        <v>15948701</v>
      </c>
      <c r="I2425" s="4">
        <f>IF(DatiOriginali!I2425 &gt;= SogliaPicchi!$B$26,"",DatiOriginali!I2425)</f>
        <v>167800</v>
      </c>
      <c r="J2425" s="4">
        <v>15946947</v>
      </c>
      <c r="K2425" s="4">
        <f>IF(DatiOriginali!K2425 &gt;= SogliaPicchi!$B$26,"",DatiOriginali!K2425)</f>
        <v>183400</v>
      </c>
    </row>
    <row r="2426" spans="1:11" x14ac:dyDescent="0.3">
      <c r="A2426" s="4" t="s">
        <v>2435</v>
      </c>
      <c r="B2426" s="4">
        <v>780625</v>
      </c>
      <c r="C2426" s="4">
        <f>IF(DatiOriginali!C2426 &gt;= SogliaPicchi!$B$26,"",DatiOriginali!C2426)</f>
        <v>6909900</v>
      </c>
      <c r="D2426" s="4">
        <v>391291</v>
      </c>
      <c r="E2426" s="4">
        <f>IF(DatiOriginali!E2426 &gt;= SogliaPicchi!$B$26,"",DatiOriginali!E2426)</f>
        <v>1347300</v>
      </c>
      <c r="F2426" s="4">
        <v>12721757</v>
      </c>
      <c r="G2426" s="4">
        <f>IF(DatiOriginali!G2426 &gt;= SogliaPicchi!$B$26,"",DatiOriginali!G2426)</f>
        <v>475600</v>
      </c>
      <c r="H2426" s="4">
        <v>15962543</v>
      </c>
      <c r="I2426" s="4">
        <f>IF(DatiOriginali!I2426 &gt;= SogliaPicchi!$B$26,"",DatiOriginali!I2426)</f>
        <v>164500</v>
      </c>
      <c r="J2426" s="4">
        <v>15961225</v>
      </c>
      <c r="K2426" s="4">
        <f>IF(DatiOriginali!K2426 &gt;= SogliaPicchi!$B$26,"",DatiOriginali!K2426)</f>
        <v>181000</v>
      </c>
    </row>
    <row r="2427" spans="1:11" x14ac:dyDescent="0.3">
      <c r="A2427" s="4" t="s">
        <v>2436</v>
      </c>
      <c r="B2427" s="4">
        <v>780625</v>
      </c>
      <c r="C2427" s="4">
        <f>IF(DatiOriginali!C2427 &gt;= SogliaPicchi!$B$26,"",DatiOriginali!C2427)</f>
        <v>6812800</v>
      </c>
      <c r="D2427" s="4">
        <v>396930</v>
      </c>
      <c r="E2427" s="4">
        <f>IF(DatiOriginali!E2427 &gt;= SogliaPicchi!$B$26,"",DatiOriginali!E2427)</f>
        <v>1466000</v>
      </c>
      <c r="F2427" s="4">
        <v>12733031</v>
      </c>
      <c r="G2427" s="4">
        <f>IF(DatiOriginali!G2427 &gt;= SogliaPicchi!$B$26,"",DatiOriginali!G2427)</f>
        <v>592200</v>
      </c>
      <c r="H2427" s="4">
        <v>15977127</v>
      </c>
      <c r="I2427" s="4">
        <f>IF(DatiOriginali!I2427 &gt;= SogliaPicchi!$B$26,"",DatiOriginali!I2427)</f>
        <v>169300</v>
      </c>
      <c r="J2427" s="4">
        <v>15974805</v>
      </c>
      <c r="K2427" s="4">
        <f>IF(DatiOriginali!K2427 &gt;= SogliaPicchi!$B$26,"",DatiOriginali!K2427)</f>
        <v>180500</v>
      </c>
    </row>
    <row r="2428" spans="1:11" x14ac:dyDescent="0.3">
      <c r="A2428" s="4" t="s">
        <v>2437</v>
      </c>
      <c r="B2428" s="4">
        <v>780625</v>
      </c>
      <c r="C2428" s="4">
        <f>IF(DatiOriginali!C2428 &gt;= SogliaPicchi!$B$26,"",DatiOriginali!C2428)</f>
        <v>7410200</v>
      </c>
      <c r="D2428" s="4">
        <v>398518</v>
      </c>
      <c r="E2428" s="4">
        <f>IF(DatiOriginali!E2428 &gt;= SogliaPicchi!$B$26,"",DatiOriginali!E2428)</f>
        <v>1377700</v>
      </c>
      <c r="F2428" s="4">
        <v>12744309</v>
      </c>
      <c r="G2428" s="4">
        <f>IF(DatiOriginali!G2428 &gt;= SogliaPicchi!$B$26,"",DatiOriginali!G2428)</f>
        <v>475700</v>
      </c>
      <c r="H2428" s="4">
        <v>15990760</v>
      </c>
      <c r="I2428" s="4">
        <f>IF(DatiOriginali!I2428 &gt;= SogliaPicchi!$B$26,"",DatiOriginali!I2428)</f>
        <v>164700</v>
      </c>
      <c r="J2428" s="4">
        <v>15989252</v>
      </c>
      <c r="K2428" s="4">
        <f>IF(DatiOriginali!K2428 &gt;= SogliaPicchi!$B$26,"",DatiOriginali!K2428)</f>
        <v>184800</v>
      </c>
    </row>
    <row r="2429" spans="1:11" x14ac:dyDescent="0.3">
      <c r="A2429" s="4" t="s">
        <v>2438</v>
      </c>
      <c r="B2429" s="4">
        <v>780625</v>
      </c>
      <c r="C2429" s="4">
        <f>IF(DatiOriginali!C2429 &gt;= SogliaPicchi!$B$26,"",DatiOriginali!C2429)</f>
        <v>7231000</v>
      </c>
      <c r="D2429" s="4">
        <v>394893</v>
      </c>
      <c r="E2429" s="4">
        <f>IF(DatiOriginali!E2429 &gt;= SogliaPicchi!$B$26,"",DatiOriginali!E2429)</f>
        <v>1357000</v>
      </c>
      <c r="F2429" s="4">
        <v>12755591</v>
      </c>
      <c r="G2429" s="4">
        <f>IF(DatiOriginali!G2429 &gt;= SogliaPicchi!$B$26,"",DatiOriginali!G2429)</f>
        <v>479700</v>
      </c>
      <c r="H2429" s="4">
        <v>16006208</v>
      </c>
      <c r="I2429" s="4">
        <f>IF(DatiOriginali!I2429 &gt;= SogliaPicchi!$B$26,"",DatiOriginali!I2429)</f>
        <v>168300</v>
      </c>
      <c r="J2429" s="4">
        <v>16004359</v>
      </c>
      <c r="K2429" s="4">
        <f>IF(DatiOriginali!K2429 &gt;= SogliaPicchi!$B$26,"",DatiOriginali!K2429)</f>
        <v>185600</v>
      </c>
    </row>
    <row r="2430" spans="1:11" x14ac:dyDescent="0.3">
      <c r="A2430" s="4" t="s">
        <v>2439</v>
      </c>
      <c r="B2430" s="4">
        <v>780625</v>
      </c>
      <c r="C2430" s="4">
        <f>IF(DatiOriginali!C2430 &gt;= SogliaPicchi!$B$26,"",DatiOriginali!C2430)</f>
        <v>7281900</v>
      </c>
      <c r="D2430" s="4">
        <v>393350</v>
      </c>
      <c r="E2430" s="4">
        <f>IF(DatiOriginali!E2430 &gt;= SogliaPicchi!$B$26,"",DatiOriginali!E2430)</f>
        <v>1532700</v>
      </c>
      <c r="F2430" s="4">
        <v>12766877</v>
      </c>
      <c r="G2430" s="4">
        <f>IF(DatiOriginali!G2430 &gt;= SogliaPicchi!$B$26,"",DatiOriginali!G2430)</f>
        <v>517700</v>
      </c>
      <c r="H2430" s="4">
        <v>16020178</v>
      </c>
      <c r="I2430" s="4">
        <f>IF(DatiOriginali!I2430 &gt;= SogliaPicchi!$B$26,"",DatiOriginali!I2430)</f>
        <v>162800</v>
      </c>
      <c r="J2430" s="4">
        <v>16018646</v>
      </c>
      <c r="K2430" s="4">
        <f>IF(DatiOriginali!K2430 &gt;= SogliaPicchi!$B$26,"",DatiOriginali!K2430)</f>
        <v>187200</v>
      </c>
    </row>
    <row r="2431" spans="1:11" x14ac:dyDescent="0.3">
      <c r="A2431" s="4" t="s">
        <v>2440</v>
      </c>
      <c r="B2431" s="4">
        <v>780625</v>
      </c>
      <c r="C2431" s="4">
        <f>IF(DatiOriginali!C2431 &gt;= SogliaPicchi!$B$26,"",DatiOriginali!C2431)</f>
        <v>6953500</v>
      </c>
      <c r="D2431" s="4">
        <v>388870</v>
      </c>
      <c r="E2431" s="4">
        <f>IF(DatiOriginali!E2431 &gt;= SogliaPicchi!$B$26,"",DatiOriginali!E2431)</f>
        <v>1360100</v>
      </c>
      <c r="F2431" s="4">
        <v>12778148</v>
      </c>
      <c r="G2431" s="4">
        <f>IF(DatiOriginali!G2431 &gt;= SogliaPicchi!$B$26,"",DatiOriginali!G2431)</f>
        <v>470900</v>
      </c>
      <c r="H2431" s="4">
        <v>16033744</v>
      </c>
      <c r="I2431" s="4">
        <f>IF(DatiOriginali!I2431 &gt;= SogliaPicchi!$B$26,"",DatiOriginali!I2431)</f>
        <v>159200</v>
      </c>
      <c r="J2431" s="4">
        <v>16034259</v>
      </c>
      <c r="K2431" s="4">
        <f>IF(DatiOriginali!K2431 &gt;= SogliaPicchi!$B$26,"",DatiOriginali!K2431)</f>
        <v>180700</v>
      </c>
    </row>
    <row r="2432" spans="1:11" x14ac:dyDescent="0.3">
      <c r="A2432" s="4" t="s">
        <v>2441</v>
      </c>
      <c r="B2432" s="4">
        <v>780625</v>
      </c>
      <c r="C2432" s="4">
        <f>IF(DatiOriginali!C2432 &gt;= SogliaPicchi!$B$26,"",DatiOriginali!C2432)</f>
        <v>7485300</v>
      </c>
      <c r="D2432" s="4">
        <v>382564</v>
      </c>
      <c r="E2432" s="4">
        <f>IF(DatiOriginali!E2432 &gt;= SogliaPicchi!$B$26,"",DatiOriginali!E2432)</f>
        <v>1322900</v>
      </c>
      <c r="F2432" s="4">
        <v>12789458</v>
      </c>
      <c r="G2432" s="4">
        <f>IF(DatiOriginali!G2432 &gt;= SogliaPicchi!$B$26,"",DatiOriginali!G2432)</f>
        <v>476300</v>
      </c>
      <c r="H2432" s="4">
        <v>16049391</v>
      </c>
      <c r="I2432" s="4">
        <f>IF(DatiOriginali!I2432 &gt;= SogliaPicchi!$B$26,"",DatiOriginali!I2432)</f>
        <v>168700</v>
      </c>
      <c r="J2432" s="4">
        <v>16047806</v>
      </c>
      <c r="K2432" s="4">
        <f>IF(DatiOriginali!K2432 &gt;= SogliaPicchi!$B$26,"",DatiOriginali!K2432)</f>
        <v>182500</v>
      </c>
    </row>
    <row r="2433" spans="1:11" x14ac:dyDescent="0.3">
      <c r="A2433" s="4" t="s">
        <v>2442</v>
      </c>
      <c r="B2433" s="4">
        <v>780625</v>
      </c>
      <c r="C2433" s="4">
        <f>IF(DatiOriginali!C2433 &gt;= SogliaPicchi!$B$26,"",DatiOriginali!C2433)</f>
        <v>6929100</v>
      </c>
      <c r="D2433" s="4">
        <v>380196</v>
      </c>
      <c r="E2433" s="4">
        <f>IF(DatiOriginali!E2433 &gt;= SogliaPicchi!$B$26,"",DatiOriginali!E2433)</f>
        <v>1335600</v>
      </c>
      <c r="F2433" s="4">
        <v>12800742</v>
      </c>
      <c r="G2433" s="4">
        <f>IF(DatiOriginali!G2433 &gt;= SogliaPicchi!$B$26,"",DatiOriginali!G2433)</f>
        <v>548400</v>
      </c>
      <c r="H2433" s="4">
        <v>16064895</v>
      </c>
      <c r="I2433" s="4">
        <f>IF(DatiOriginali!I2433 &gt;= SogliaPicchi!$B$26,"",DatiOriginali!I2433)</f>
        <v>240700</v>
      </c>
      <c r="J2433" s="4">
        <v>16062270</v>
      </c>
      <c r="K2433" s="4">
        <f>IF(DatiOriginali!K2433 &gt;= SogliaPicchi!$B$26,"",DatiOriginali!K2433)</f>
        <v>202200</v>
      </c>
    </row>
    <row r="2434" spans="1:11" x14ac:dyDescent="0.3">
      <c r="A2434" s="4" t="s">
        <v>2443</v>
      </c>
      <c r="B2434" s="4">
        <v>780625</v>
      </c>
      <c r="C2434" s="4">
        <f>IF(DatiOriginali!C2434 &gt;= SogliaPicchi!$B$26,"",DatiOriginali!C2434)</f>
        <v>7245500</v>
      </c>
      <c r="D2434" s="4">
        <v>391748</v>
      </c>
      <c r="E2434" s="4">
        <f>IF(DatiOriginali!E2434 &gt;= SogliaPicchi!$B$26,"",DatiOriginali!E2434)</f>
        <v>1439700</v>
      </c>
      <c r="F2434" s="4">
        <v>12812021</v>
      </c>
      <c r="G2434" s="4">
        <f>IF(DatiOriginali!G2434 &gt;= SogliaPicchi!$B$26,"",DatiOriginali!G2434)</f>
        <v>478700</v>
      </c>
      <c r="H2434" s="4">
        <v>16080380</v>
      </c>
      <c r="I2434" s="4">
        <f>IF(DatiOriginali!I2434 &gt;= SogliaPicchi!$B$26,"",DatiOriginali!I2434)</f>
        <v>200200</v>
      </c>
      <c r="J2434" s="4">
        <v>16076953</v>
      </c>
      <c r="K2434" s="4">
        <f>IF(DatiOriginali!K2434 &gt;= SogliaPicchi!$B$26,"",DatiOriginali!K2434)</f>
        <v>186000</v>
      </c>
    </row>
    <row r="2435" spans="1:11" x14ac:dyDescent="0.3">
      <c r="A2435" s="4" t="s">
        <v>2444</v>
      </c>
      <c r="B2435" s="4">
        <v>780625</v>
      </c>
      <c r="C2435" s="4">
        <f>IF(DatiOriginali!C2435 &gt;= SogliaPicchi!$B$26,"",DatiOriginali!C2435)</f>
        <v>7246000</v>
      </c>
      <c r="D2435" s="4">
        <v>383139</v>
      </c>
      <c r="E2435" s="4">
        <f>IF(DatiOriginali!E2435 &gt;= SogliaPicchi!$B$26,"",DatiOriginali!E2435)</f>
        <v>1318000</v>
      </c>
      <c r="F2435" s="4">
        <v>12823317</v>
      </c>
      <c r="G2435" s="4">
        <f>IF(DatiOriginali!G2435 &gt;= SogliaPicchi!$B$26,"",DatiOriginali!G2435)</f>
        <v>471000</v>
      </c>
      <c r="H2435" s="4">
        <v>16094689</v>
      </c>
      <c r="I2435" s="4">
        <f>IF(DatiOriginali!I2435 &gt;= SogliaPicchi!$B$26,"",DatiOriginali!I2435)</f>
        <v>168200</v>
      </c>
      <c r="J2435" s="4">
        <v>16090529</v>
      </c>
      <c r="K2435" s="4">
        <f>IF(DatiOriginali!K2435 &gt;= SogliaPicchi!$B$26,"",DatiOriginali!K2435)</f>
        <v>179500</v>
      </c>
    </row>
    <row r="2436" spans="1:11" x14ac:dyDescent="0.3">
      <c r="A2436" s="4" t="s">
        <v>2445</v>
      </c>
      <c r="B2436" s="4">
        <v>780625</v>
      </c>
      <c r="C2436" s="4">
        <f>IF(DatiOriginali!C2436 &gt;= SogliaPicchi!$B$26,"",DatiOriginali!C2436)</f>
        <v>6563100</v>
      </c>
      <c r="D2436" s="4">
        <v>401624</v>
      </c>
      <c r="E2436" s="4">
        <f>IF(DatiOriginali!E2436 &gt;= SogliaPicchi!$B$26,"",DatiOriginali!E2436)</f>
        <v>1394500</v>
      </c>
      <c r="F2436" s="4">
        <v>12834593</v>
      </c>
      <c r="G2436" s="4">
        <f>IF(DatiOriginali!G2436 &gt;= SogliaPicchi!$B$26,"",DatiOriginali!G2436)</f>
        <v>477900</v>
      </c>
      <c r="H2436" s="4">
        <v>16108796</v>
      </c>
      <c r="I2436" s="4">
        <f>IF(DatiOriginali!I2436 &gt;= SogliaPicchi!$B$26,"",DatiOriginali!I2436)</f>
        <v>162200</v>
      </c>
      <c r="J2436" s="4">
        <v>16106226</v>
      </c>
      <c r="K2436" s="4">
        <f>IF(DatiOriginali!K2436 &gt;= SogliaPicchi!$B$26,"",DatiOriginali!K2436)</f>
        <v>193200</v>
      </c>
    </row>
    <row r="2437" spans="1:11" x14ac:dyDescent="0.3">
      <c r="A2437" s="4" t="s">
        <v>2446</v>
      </c>
      <c r="B2437" s="4">
        <v>780625</v>
      </c>
      <c r="C2437" s="4">
        <f>IF(DatiOriginali!C2437 &gt;= SogliaPicchi!$B$26,"",DatiOriginali!C2437)</f>
        <v>7351700</v>
      </c>
      <c r="D2437" s="4">
        <v>411658</v>
      </c>
      <c r="E2437" s="4">
        <f>IF(DatiOriginali!E2437 &gt;= SogliaPicchi!$B$26,"",DatiOriginali!E2437)</f>
        <v>1626200</v>
      </c>
      <c r="F2437" s="4">
        <v>12845904</v>
      </c>
      <c r="G2437" s="4">
        <f>IF(DatiOriginali!G2437 &gt;= SogliaPicchi!$B$26,"",DatiOriginali!G2437)</f>
        <v>477300</v>
      </c>
      <c r="H2437" s="4">
        <v>16123103</v>
      </c>
      <c r="I2437" s="4">
        <f>IF(DatiOriginali!I2437 &gt;= SogliaPicchi!$B$26,"",DatiOriginali!I2437)</f>
        <v>170400</v>
      </c>
      <c r="J2437" s="4">
        <v>16121645</v>
      </c>
      <c r="K2437" s="4">
        <f>IF(DatiOriginali!K2437 &gt;= SogliaPicchi!$B$26,"",DatiOriginali!K2437)</f>
        <v>192600</v>
      </c>
    </row>
    <row r="2438" spans="1:11" x14ac:dyDescent="0.3">
      <c r="A2438" s="4" t="s">
        <v>2447</v>
      </c>
      <c r="B2438" s="4">
        <v>780625</v>
      </c>
      <c r="C2438" s="4">
        <f>IF(DatiOriginali!C2438 &gt;= SogliaPicchi!$B$26,"",DatiOriginali!C2438)</f>
        <v>7232300</v>
      </c>
      <c r="D2438" s="4">
        <v>396316</v>
      </c>
      <c r="E2438" s="4">
        <f>IF(DatiOriginali!E2438 &gt;= SogliaPicchi!$B$26,"",DatiOriginali!E2438)</f>
        <v>1368600</v>
      </c>
      <c r="F2438" s="4">
        <v>12857225</v>
      </c>
      <c r="G2438" s="4">
        <f>IF(DatiOriginali!G2438 &gt;= SogliaPicchi!$B$26,"",DatiOriginali!G2438)</f>
        <v>482300</v>
      </c>
      <c r="H2438" s="4">
        <v>16137407</v>
      </c>
      <c r="I2438" s="4">
        <f>IF(DatiOriginali!I2438 &gt;= SogliaPicchi!$B$26,"",DatiOriginali!I2438)</f>
        <v>165400</v>
      </c>
      <c r="J2438" s="4">
        <v>16135321</v>
      </c>
      <c r="K2438" s="4">
        <f>IF(DatiOriginali!K2438 &gt;= SogliaPicchi!$B$26,"",DatiOriginali!K2438)</f>
        <v>183000</v>
      </c>
    </row>
    <row r="2439" spans="1:11" x14ac:dyDescent="0.3">
      <c r="A2439" s="4" t="s">
        <v>2448</v>
      </c>
      <c r="B2439" s="4">
        <v>780625</v>
      </c>
      <c r="C2439" s="4">
        <f>IF(DatiOriginali!C2439 &gt;= SogliaPicchi!$B$26,"",DatiOriginali!C2439)</f>
        <v>6954700</v>
      </c>
      <c r="D2439" s="4">
        <v>386195</v>
      </c>
      <c r="E2439" s="4">
        <f>IF(DatiOriginali!E2439 &gt;= SogliaPicchi!$B$26,"",DatiOriginali!E2439)</f>
        <v>1375200</v>
      </c>
      <c r="F2439" s="4">
        <v>12868537</v>
      </c>
      <c r="G2439" s="4">
        <f>IF(DatiOriginali!G2439 &gt;= SogliaPicchi!$B$26,"",DatiOriginali!G2439)</f>
        <v>477700</v>
      </c>
      <c r="H2439" s="4">
        <v>16152035</v>
      </c>
      <c r="I2439" s="4">
        <f>IF(DatiOriginali!I2439 &gt;= SogliaPicchi!$B$26,"",DatiOriginali!I2439)</f>
        <v>166500</v>
      </c>
      <c r="J2439" s="4">
        <v>16148789</v>
      </c>
      <c r="K2439" s="4">
        <f>IF(DatiOriginali!K2439 &gt;= SogliaPicchi!$B$26,"",DatiOriginali!K2439)</f>
        <v>181000</v>
      </c>
    </row>
    <row r="2440" spans="1:11" x14ac:dyDescent="0.3">
      <c r="A2440" s="4" t="s">
        <v>2449</v>
      </c>
      <c r="B2440" s="4">
        <v>780625</v>
      </c>
      <c r="C2440" s="4">
        <f>IF(DatiOriginali!C2440 &gt;= SogliaPicchi!$B$26,"",DatiOriginali!C2440)</f>
        <v>7062500</v>
      </c>
      <c r="D2440" s="4">
        <v>380216</v>
      </c>
      <c r="E2440" s="4">
        <f>IF(DatiOriginali!E2440 &gt;= SogliaPicchi!$B$26,"",DatiOriginali!E2440)</f>
        <v>1774700</v>
      </c>
      <c r="F2440" s="4">
        <v>12879858</v>
      </c>
      <c r="G2440" s="4">
        <f>IF(DatiOriginali!G2440 &gt;= SogliaPicchi!$B$26,"",DatiOriginali!G2440)</f>
        <v>517200</v>
      </c>
      <c r="H2440" s="4">
        <v>16165545</v>
      </c>
      <c r="I2440" s="4">
        <f>IF(DatiOriginali!I2440 &gt;= SogliaPicchi!$B$26,"",DatiOriginali!I2440)</f>
        <v>180000</v>
      </c>
      <c r="J2440" s="4">
        <v>16162774</v>
      </c>
      <c r="K2440" s="4">
        <f>IF(DatiOriginali!K2440 &gt;= SogliaPicchi!$B$26,"",DatiOriginali!K2440)</f>
        <v>180800</v>
      </c>
    </row>
    <row r="2441" spans="1:11" x14ac:dyDescent="0.3">
      <c r="A2441" s="4" t="s">
        <v>2450</v>
      </c>
      <c r="B2441" s="4">
        <v>780625</v>
      </c>
      <c r="C2441" s="4">
        <f>IF(DatiOriginali!C2441 &gt;= SogliaPicchi!$B$26,"",DatiOriginali!C2441)</f>
        <v>7376900</v>
      </c>
      <c r="D2441" s="4">
        <v>395863</v>
      </c>
      <c r="E2441" s="4">
        <f>IF(DatiOriginali!E2441 &gt;= SogliaPicchi!$B$26,"",DatiOriginali!E2441)</f>
        <v>1363800</v>
      </c>
      <c r="F2441" s="4">
        <v>12891141</v>
      </c>
      <c r="G2441" s="4">
        <f>IF(DatiOriginali!G2441 &gt;= SogliaPicchi!$B$26,"",DatiOriginali!G2441)</f>
        <v>481100</v>
      </c>
      <c r="H2441" s="4">
        <v>16180162</v>
      </c>
      <c r="I2441" s="4">
        <f>IF(DatiOriginali!I2441 &gt;= SogliaPicchi!$B$26,"",DatiOriginali!I2441)</f>
        <v>165600</v>
      </c>
      <c r="J2441" s="4">
        <v>16176135</v>
      </c>
      <c r="K2441" s="4">
        <f>IF(DatiOriginali!K2441 &gt;= SogliaPicchi!$B$26,"",DatiOriginali!K2441)</f>
        <v>183100</v>
      </c>
    </row>
    <row r="2442" spans="1:11" x14ac:dyDescent="0.3">
      <c r="A2442" s="4" t="s">
        <v>2451</v>
      </c>
      <c r="B2442" s="4">
        <v>780625</v>
      </c>
      <c r="C2442" s="4">
        <f>IF(DatiOriginali!C2442 &gt;= SogliaPicchi!$B$26,"",DatiOriginali!C2442)</f>
        <v>7561400</v>
      </c>
      <c r="D2442" s="4">
        <v>382891</v>
      </c>
      <c r="E2442" s="4">
        <f>IF(DatiOriginali!E2442 &gt;= SogliaPicchi!$B$26,"",DatiOriginali!E2442)</f>
        <v>1381300</v>
      </c>
      <c r="F2442" s="4">
        <v>12902445</v>
      </c>
      <c r="G2442" s="4">
        <f>IF(DatiOriginali!G2442 &gt;= SogliaPicchi!$B$26,"",DatiOriginali!G2442)</f>
        <v>481000</v>
      </c>
      <c r="H2442" s="4">
        <v>16194746</v>
      </c>
      <c r="I2442" s="4">
        <f>IF(DatiOriginali!I2442 &gt;= SogliaPicchi!$B$26,"",DatiOriginali!I2442)</f>
        <v>164800</v>
      </c>
      <c r="J2442" s="4">
        <v>16192460</v>
      </c>
      <c r="K2442" s="4">
        <f>IF(DatiOriginali!K2442 &gt;= SogliaPicchi!$B$26,"",DatiOriginali!K2442)</f>
        <v>185400</v>
      </c>
    </row>
    <row r="2443" spans="1:11" x14ac:dyDescent="0.3">
      <c r="A2443" s="4" t="s">
        <v>2452</v>
      </c>
      <c r="B2443" s="4">
        <v>780625</v>
      </c>
      <c r="C2443" s="4">
        <f>IF(DatiOriginali!C2443 &gt;= SogliaPicchi!$B$26,"",DatiOriginali!C2443)</f>
        <v>6801000</v>
      </c>
      <c r="D2443" s="4">
        <v>382576</v>
      </c>
      <c r="E2443" s="4">
        <f>IF(DatiOriginali!E2443 &gt;= SogliaPicchi!$B$26,"",DatiOriginali!E2443)</f>
        <v>1557800</v>
      </c>
      <c r="F2443" s="4">
        <v>12913750</v>
      </c>
      <c r="G2443" s="4">
        <f>IF(DatiOriginali!G2443 &gt;= SogliaPicchi!$B$26,"",DatiOriginali!G2443)</f>
        <v>494700</v>
      </c>
      <c r="H2443" s="4">
        <v>16210296</v>
      </c>
      <c r="I2443" s="4">
        <f>IF(DatiOriginali!I2443 &gt;= SogliaPicchi!$B$26,"",DatiOriginali!I2443)</f>
        <v>180400</v>
      </c>
      <c r="J2443" s="4">
        <v>16206887</v>
      </c>
      <c r="K2443" s="4">
        <f>IF(DatiOriginali!K2443 &gt;= SogliaPicchi!$B$26,"",DatiOriginali!K2443)</f>
        <v>184600</v>
      </c>
    </row>
    <row r="2444" spans="1:11" x14ac:dyDescent="0.3">
      <c r="A2444" s="4" t="s">
        <v>2453</v>
      </c>
      <c r="B2444" s="4">
        <v>780625</v>
      </c>
      <c r="C2444" s="4">
        <f>IF(DatiOriginali!C2444 &gt;= SogliaPicchi!$B$26,"",DatiOriginali!C2444)</f>
        <v>6751300</v>
      </c>
      <c r="D2444" s="4">
        <v>387178</v>
      </c>
      <c r="E2444" s="4">
        <f>IF(DatiOriginali!E2444 &gt;= SogliaPicchi!$B$26,"",DatiOriginali!E2444)</f>
        <v>1381800</v>
      </c>
      <c r="F2444" s="4">
        <v>12925108</v>
      </c>
      <c r="G2444" s="4">
        <f>IF(DatiOriginali!G2444 &gt;= SogliaPicchi!$B$26,"",DatiOriginali!G2444)</f>
        <v>475800</v>
      </c>
      <c r="H2444" s="4">
        <v>16225474</v>
      </c>
      <c r="I2444" s="4">
        <f>IF(DatiOriginali!I2444 &gt;= SogliaPicchi!$B$26,"",DatiOriginali!I2444)</f>
        <v>170200</v>
      </c>
      <c r="J2444" s="4">
        <v>16221739</v>
      </c>
      <c r="K2444" s="4">
        <f>IF(DatiOriginali!K2444 &gt;= SogliaPicchi!$B$26,"",DatiOriginali!K2444)</f>
        <v>177100</v>
      </c>
    </row>
    <row r="2445" spans="1:11" x14ac:dyDescent="0.3">
      <c r="A2445" s="4" t="s">
        <v>2454</v>
      </c>
      <c r="B2445" s="4">
        <v>780625</v>
      </c>
      <c r="C2445" s="4">
        <f>IF(DatiOriginali!C2445 &gt;= SogliaPicchi!$B$26,"",DatiOriginali!C2445)</f>
        <v>6909900</v>
      </c>
      <c r="D2445" s="4">
        <v>388926</v>
      </c>
      <c r="E2445" s="4">
        <f>IF(DatiOriginali!E2445 &gt;= SogliaPicchi!$B$26,"",DatiOriginali!E2445)</f>
        <v>1339100</v>
      </c>
      <c r="F2445" s="4">
        <v>12936407</v>
      </c>
      <c r="G2445" s="4">
        <f>IF(DatiOriginali!G2445 &gt;= SogliaPicchi!$B$26,"",DatiOriginali!G2445)</f>
        <v>477200</v>
      </c>
      <c r="H2445" s="4">
        <v>16239587</v>
      </c>
      <c r="I2445" s="4">
        <f>IF(DatiOriginali!I2445 &gt;= SogliaPicchi!$B$26,"",DatiOriginali!I2445)</f>
        <v>167400</v>
      </c>
      <c r="J2445" s="4">
        <v>16236230</v>
      </c>
      <c r="K2445" s="4">
        <f>IF(DatiOriginali!K2445 &gt;= SogliaPicchi!$B$26,"",DatiOriginali!K2445)</f>
        <v>184500</v>
      </c>
    </row>
    <row r="2446" spans="1:11" x14ac:dyDescent="0.3">
      <c r="A2446" s="4" t="s">
        <v>2455</v>
      </c>
      <c r="B2446" s="4">
        <v>780625</v>
      </c>
      <c r="C2446" s="4">
        <f>IF(DatiOriginali!C2446 &gt;= SogliaPicchi!$B$26,"",DatiOriginali!C2446)</f>
        <v>6974900</v>
      </c>
      <c r="D2446" s="4">
        <v>381671</v>
      </c>
      <c r="E2446" s="4">
        <f>IF(DatiOriginali!E2446 &gt;= SogliaPicchi!$B$26,"",DatiOriginali!E2446)</f>
        <v>1562000</v>
      </c>
      <c r="F2446" s="4">
        <v>12947710</v>
      </c>
      <c r="G2446" s="4">
        <f>IF(DatiOriginali!G2446 &gt;= SogliaPicchi!$B$26,"",DatiOriginali!G2446)</f>
        <v>484400</v>
      </c>
      <c r="H2446" s="4">
        <v>16254564</v>
      </c>
      <c r="I2446" s="4">
        <f>IF(DatiOriginali!I2446 &gt;= SogliaPicchi!$B$26,"",DatiOriginali!I2446)</f>
        <v>158700</v>
      </c>
      <c r="J2446" s="4">
        <v>16251378</v>
      </c>
      <c r="K2446" s="4">
        <f>IF(DatiOriginali!K2446 &gt;= SogliaPicchi!$B$26,"",DatiOriginali!K2446)</f>
        <v>181000</v>
      </c>
    </row>
    <row r="2447" spans="1:11" x14ac:dyDescent="0.3">
      <c r="A2447" s="4" t="s">
        <v>2456</v>
      </c>
      <c r="B2447" s="4">
        <v>780625</v>
      </c>
      <c r="C2447" s="4">
        <f>IF(DatiOriginali!C2447 &gt;= SogliaPicchi!$B$26,"",DatiOriginali!C2447)</f>
        <v>7637600</v>
      </c>
      <c r="D2447" s="4">
        <v>401285</v>
      </c>
      <c r="E2447" s="4">
        <f>IF(DatiOriginali!E2447 &gt;= SogliaPicchi!$B$26,"",DatiOriginali!E2447)</f>
        <v>1674500</v>
      </c>
      <c r="F2447" s="4">
        <v>12959007</v>
      </c>
      <c r="G2447" s="4">
        <f>IF(DatiOriginali!G2447 &gt;= SogliaPicchi!$B$26,"",DatiOriginali!G2447)</f>
        <v>579700</v>
      </c>
      <c r="H2447" s="4">
        <v>16269945</v>
      </c>
      <c r="I2447" s="4">
        <f>IF(DatiOriginali!I2447 &gt;= SogliaPicchi!$B$26,"",DatiOriginali!I2447)</f>
        <v>193500</v>
      </c>
      <c r="J2447" s="4">
        <v>16265410</v>
      </c>
      <c r="K2447" s="4">
        <f>IF(DatiOriginali!K2447 &gt;= SogliaPicchi!$B$26,"",DatiOriginali!K2447)</f>
        <v>184900</v>
      </c>
    </row>
    <row r="2448" spans="1:11" x14ac:dyDescent="0.3">
      <c r="A2448" s="4" t="s">
        <v>2457</v>
      </c>
      <c r="B2448" s="4">
        <v>780625</v>
      </c>
      <c r="C2448" s="4">
        <f>IF(DatiOriginali!C2448 &gt;= SogliaPicchi!$B$26,"",DatiOriginali!C2448)</f>
        <v>7017900</v>
      </c>
      <c r="D2448" s="4">
        <v>399333</v>
      </c>
      <c r="E2448" s="4">
        <f>IF(DatiOriginali!E2448 &gt;= SogliaPicchi!$B$26,"",DatiOriginali!E2448)</f>
        <v>1411000</v>
      </c>
      <c r="F2448" s="4">
        <v>12970324</v>
      </c>
      <c r="G2448" s="4">
        <f>IF(DatiOriginali!G2448 &gt;= SogliaPicchi!$B$26,"",DatiOriginali!G2448)</f>
        <v>480200</v>
      </c>
      <c r="H2448" s="4">
        <v>16284470</v>
      </c>
      <c r="I2448" s="4">
        <f>IF(DatiOriginali!I2448 &gt;= SogliaPicchi!$B$26,"",DatiOriginali!I2448)</f>
        <v>170100</v>
      </c>
      <c r="J2448" s="4">
        <v>16279055</v>
      </c>
      <c r="K2448" s="4">
        <f>IF(DatiOriginali!K2448 &gt;= SogliaPicchi!$B$26,"",DatiOriginali!K2448)</f>
        <v>180000</v>
      </c>
    </row>
    <row r="2449" spans="1:11" x14ac:dyDescent="0.3">
      <c r="A2449" s="4" t="s">
        <v>2458</v>
      </c>
      <c r="B2449" s="4">
        <v>780625</v>
      </c>
      <c r="C2449" s="4">
        <f>IF(DatiOriginali!C2449 &gt;= SogliaPicchi!$B$26,"",DatiOriginali!C2449)</f>
        <v>6995300</v>
      </c>
      <c r="D2449" s="4">
        <v>401197</v>
      </c>
      <c r="E2449" s="4">
        <f>IF(DatiOriginali!E2449 &gt;= SogliaPicchi!$B$26,"",DatiOriginali!E2449)</f>
        <v>1496300</v>
      </c>
      <c r="F2449" s="4">
        <v>12981597</v>
      </c>
      <c r="G2449" s="4">
        <f>IF(DatiOriginali!G2449 &gt;= SogliaPicchi!$B$26,"",DatiOriginali!G2449)</f>
        <v>476500</v>
      </c>
      <c r="H2449" s="4">
        <v>16298377</v>
      </c>
      <c r="I2449" s="4">
        <f>IF(DatiOriginali!I2449 &gt;= SogliaPicchi!$B$26,"",DatiOriginali!I2449)</f>
        <v>167600</v>
      </c>
      <c r="J2449" s="4">
        <v>16292153</v>
      </c>
      <c r="K2449" s="4">
        <f>IF(DatiOriginali!K2449 &gt;= SogliaPicchi!$B$26,"",DatiOriginali!K2449)</f>
        <v>213100</v>
      </c>
    </row>
    <row r="2450" spans="1:11" x14ac:dyDescent="0.3">
      <c r="A2450" s="4" t="s">
        <v>2459</v>
      </c>
      <c r="B2450" s="4">
        <v>780625</v>
      </c>
      <c r="C2450" s="4">
        <f>IF(DatiOriginali!C2450 &gt;= SogliaPicchi!$B$26,"",DatiOriginali!C2450)</f>
        <v>7149900</v>
      </c>
      <c r="D2450" s="4">
        <v>389790</v>
      </c>
      <c r="E2450" s="4">
        <f>IF(DatiOriginali!E2450 &gt;= SogliaPicchi!$B$26,"",DatiOriginali!E2450)</f>
        <v>1347100</v>
      </c>
      <c r="F2450" s="4">
        <v>12992895</v>
      </c>
      <c r="G2450" s="4">
        <f>IF(DatiOriginali!G2450 &gt;= SogliaPicchi!$B$26,"",DatiOriginali!G2450)</f>
        <v>472200</v>
      </c>
      <c r="H2450" s="4">
        <v>16312677</v>
      </c>
      <c r="I2450" s="4">
        <f>IF(DatiOriginali!I2450 &gt;= SogliaPicchi!$B$26,"",DatiOriginali!I2450)</f>
        <v>162300</v>
      </c>
      <c r="J2450" s="4">
        <v>16307419</v>
      </c>
      <c r="K2450" s="4">
        <f>IF(DatiOriginali!K2450 &gt;= SogliaPicchi!$B$26,"",DatiOriginali!K2450)</f>
        <v>186400</v>
      </c>
    </row>
    <row r="2451" spans="1:11" x14ac:dyDescent="0.3">
      <c r="A2451" s="4" t="s">
        <v>2460</v>
      </c>
      <c r="B2451" s="4">
        <v>780625</v>
      </c>
      <c r="C2451" s="4">
        <f>IF(DatiOriginali!C2451 &gt;= SogliaPicchi!$B$26,"",DatiOriginali!C2451)</f>
        <v>7427000</v>
      </c>
      <c r="D2451" s="4">
        <v>389385</v>
      </c>
      <c r="E2451" s="4">
        <f>IF(DatiOriginali!E2451 &gt;= SogliaPicchi!$B$26,"",DatiOriginali!E2451)</f>
        <v>1349000</v>
      </c>
      <c r="F2451" s="4">
        <v>13004208</v>
      </c>
      <c r="G2451" s="4">
        <f>IF(DatiOriginali!G2451 &gt;= SogliaPicchi!$B$26,"",DatiOriginali!G2451)</f>
        <v>475100</v>
      </c>
      <c r="H2451" s="4">
        <v>16327241</v>
      </c>
      <c r="I2451" s="4">
        <f>IF(DatiOriginali!I2451 &gt;= SogliaPicchi!$B$26,"",DatiOriginali!I2451)</f>
        <v>163900</v>
      </c>
      <c r="J2451" s="4">
        <v>16321877</v>
      </c>
      <c r="K2451" s="4">
        <f>IF(DatiOriginali!K2451 &gt;= SogliaPicchi!$B$26,"",DatiOriginali!K2451)</f>
        <v>182700</v>
      </c>
    </row>
    <row r="2452" spans="1:11" x14ac:dyDescent="0.3">
      <c r="A2452" s="4" t="s">
        <v>2461</v>
      </c>
      <c r="B2452" s="4">
        <v>780625</v>
      </c>
      <c r="C2452" s="4">
        <f>IF(DatiOriginali!C2452 &gt;= SogliaPicchi!$B$26,"",DatiOriginali!C2452)</f>
        <v>6782900</v>
      </c>
      <c r="D2452" s="4">
        <v>383542</v>
      </c>
      <c r="E2452" s="4">
        <f>IF(DatiOriginali!E2452 &gt;= SogliaPicchi!$B$26,"",DatiOriginali!E2452)</f>
        <v>1394500</v>
      </c>
      <c r="F2452" s="4">
        <v>13015514</v>
      </c>
      <c r="G2452" s="4">
        <f>IF(DatiOriginali!G2452 &gt;= SogliaPicchi!$B$26,"",DatiOriginali!G2452)</f>
        <v>486400</v>
      </c>
      <c r="H2452" s="4">
        <v>16341201</v>
      </c>
      <c r="I2452" s="4">
        <f>IF(DatiOriginali!I2452 &gt;= SogliaPicchi!$B$26,"",DatiOriginali!I2452)</f>
        <v>198900</v>
      </c>
      <c r="J2452" s="4">
        <v>16335831</v>
      </c>
      <c r="K2452" s="4">
        <f>IF(DatiOriginali!K2452 &gt;= SogliaPicchi!$B$26,"",DatiOriginali!K2452)</f>
        <v>260400</v>
      </c>
    </row>
    <row r="2453" spans="1:11" x14ac:dyDescent="0.3">
      <c r="A2453" s="4" t="s">
        <v>2462</v>
      </c>
      <c r="B2453" s="4">
        <v>780625</v>
      </c>
      <c r="C2453" s="4">
        <f>IF(DatiOriginali!C2453 &gt;= SogliaPicchi!$B$26,"",DatiOriginali!C2453)</f>
        <v>6956600</v>
      </c>
      <c r="D2453" s="4">
        <v>400025</v>
      </c>
      <c r="E2453" s="4">
        <f>IF(DatiOriginali!E2453 &gt;= SogliaPicchi!$B$26,"",DatiOriginali!E2453)</f>
        <v>1455000</v>
      </c>
      <c r="F2453" s="4">
        <v>13026822</v>
      </c>
      <c r="G2453" s="4">
        <f>IF(DatiOriginali!G2453 &gt;= SogliaPicchi!$B$26,"",DatiOriginali!G2453)</f>
        <v>471600</v>
      </c>
      <c r="H2453" s="4">
        <v>16354933</v>
      </c>
      <c r="I2453" s="4">
        <f>IF(DatiOriginali!I2453 &gt;= SogliaPicchi!$B$26,"",DatiOriginali!I2453)</f>
        <v>164700</v>
      </c>
      <c r="J2453" s="4">
        <v>16349728</v>
      </c>
      <c r="K2453" s="4">
        <f>IF(DatiOriginali!K2453 &gt;= SogliaPicchi!$B$26,"",DatiOriginali!K2453)</f>
        <v>185400</v>
      </c>
    </row>
    <row r="2454" spans="1:11" x14ac:dyDescent="0.3">
      <c r="A2454" s="4" t="s">
        <v>2463</v>
      </c>
      <c r="B2454" s="4">
        <v>780625</v>
      </c>
      <c r="C2454" s="4">
        <f>IF(DatiOriginali!C2454 &gt;= SogliaPicchi!$B$26,"",DatiOriginali!C2454)</f>
        <v>6827000</v>
      </c>
      <c r="D2454" s="4">
        <v>396890</v>
      </c>
      <c r="E2454" s="4">
        <f>IF(DatiOriginali!E2454 &gt;= SogliaPicchi!$B$26,"",DatiOriginali!E2454)</f>
        <v>1373500</v>
      </c>
      <c r="F2454" s="4">
        <v>13038107</v>
      </c>
      <c r="G2454" s="4">
        <f>IF(DatiOriginali!G2454 &gt;= SogliaPicchi!$B$26,"",DatiOriginali!G2454)</f>
        <v>468100</v>
      </c>
      <c r="H2454" s="4">
        <v>16368528</v>
      </c>
      <c r="I2454" s="4">
        <f>IF(DatiOriginali!I2454 &gt;= SogliaPicchi!$B$26,"",DatiOriginali!I2454)</f>
        <v>165200</v>
      </c>
      <c r="J2454" s="4">
        <v>16364595</v>
      </c>
      <c r="K2454" s="4">
        <f>IF(DatiOriginali!K2454 &gt;= SogliaPicchi!$B$26,"",DatiOriginali!K2454)</f>
        <v>182200</v>
      </c>
    </row>
    <row r="2455" spans="1:11" x14ac:dyDescent="0.3">
      <c r="A2455" s="4" t="s">
        <v>2464</v>
      </c>
      <c r="B2455" s="4">
        <v>780625</v>
      </c>
      <c r="C2455" s="4">
        <f>IF(DatiOriginali!C2455 &gt;= SogliaPicchi!$B$26,"",DatiOriginali!C2455)</f>
        <v>7198900</v>
      </c>
      <c r="D2455" s="4">
        <v>384705</v>
      </c>
      <c r="E2455" s="4">
        <f>IF(DatiOriginali!E2455 &gt;= SogliaPicchi!$B$26,"",DatiOriginali!E2455)</f>
        <v>1608100</v>
      </c>
      <c r="F2455" s="4">
        <v>13049415</v>
      </c>
      <c r="G2455" s="4">
        <f>IF(DatiOriginali!G2455 &gt;= SogliaPicchi!$B$26,"",DatiOriginali!G2455)</f>
        <v>574100</v>
      </c>
      <c r="H2455" s="4">
        <v>16383436</v>
      </c>
      <c r="I2455" s="4">
        <f>IF(DatiOriginali!I2455 &gt;= SogliaPicchi!$B$26,"",DatiOriginali!I2455)</f>
        <v>200600</v>
      </c>
      <c r="J2455" s="4">
        <v>16378638</v>
      </c>
      <c r="K2455" s="4">
        <f>IF(DatiOriginali!K2455 &gt;= SogliaPicchi!$B$26,"",DatiOriginali!K2455)</f>
        <v>238500</v>
      </c>
    </row>
    <row r="2456" spans="1:11" x14ac:dyDescent="0.3">
      <c r="A2456" s="4" t="s">
        <v>2465</v>
      </c>
      <c r="B2456" s="4">
        <v>780625</v>
      </c>
      <c r="C2456" s="4">
        <f>IF(DatiOriginali!C2456 &gt;= SogliaPicchi!$B$26,"",DatiOriginali!C2456)</f>
        <v>6897900</v>
      </c>
      <c r="D2456" s="4">
        <v>386413</v>
      </c>
      <c r="E2456" s="4">
        <f>IF(DatiOriginali!E2456 &gt;= SogliaPicchi!$B$26,"",DatiOriginali!E2456)</f>
        <v>1386500</v>
      </c>
      <c r="F2456" s="4">
        <v>13060750</v>
      </c>
      <c r="G2456" s="4">
        <f>IF(DatiOriginali!G2456 &gt;= SogliaPicchi!$B$26,"",DatiOriginali!G2456)</f>
        <v>478900</v>
      </c>
      <c r="H2456" s="4">
        <v>16397396</v>
      </c>
      <c r="I2456" s="4">
        <f>IF(DatiOriginali!I2456 &gt;= SogliaPicchi!$B$26,"",DatiOriginali!I2456)</f>
        <v>174400</v>
      </c>
      <c r="J2456" s="4">
        <v>16393001</v>
      </c>
      <c r="K2456" s="4">
        <f>IF(DatiOriginali!K2456 &gt;= SogliaPicchi!$B$26,"",DatiOriginali!K2456)</f>
        <v>200600</v>
      </c>
    </row>
    <row r="2457" spans="1:11" x14ac:dyDescent="0.3">
      <c r="A2457" s="4" t="s">
        <v>2466</v>
      </c>
      <c r="B2457" s="4">
        <v>780625</v>
      </c>
      <c r="C2457" s="4">
        <f>IF(DatiOriginali!C2457 &gt;= SogliaPicchi!$B$26,"",DatiOriginali!C2457)</f>
        <v>6649100</v>
      </c>
      <c r="D2457" s="4">
        <v>407500</v>
      </c>
      <c r="E2457" s="4">
        <f>IF(DatiOriginali!E2457 &gt;= SogliaPicchi!$B$26,"",DatiOriginali!E2457)</f>
        <v>1439500</v>
      </c>
      <c r="F2457" s="4">
        <v>13072108</v>
      </c>
      <c r="G2457" s="4">
        <f>IF(DatiOriginali!G2457 &gt;= SogliaPicchi!$B$26,"",DatiOriginali!G2457)</f>
        <v>479600</v>
      </c>
      <c r="H2457" s="4">
        <v>16412274</v>
      </c>
      <c r="I2457" s="4">
        <f>IF(DatiOriginali!I2457 &gt;= SogliaPicchi!$B$26,"",DatiOriginali!I2457)</f>
        <v>163200</v>
      </c>
      <c r="J2457" s="4">
        <v>16408208</v>
      </c>
      <c r="K2457" s="4">
        <f>IF(DatiOriginali!K2457 &gt;= SogliaPicchi!$B$26,"",DatiOriginali!K2457)</f>
        <v>181100</v>
      </c>
    </row>
    <row r="2458" spans="1:11" x14ac:dyDescent="0.3">
      <c r="A2458" s="4" t="s">
        <v>2467</v>
      </c>
      <c r="B2458" s="4">
        <v>780625</v>
      </c>
      <c r="C2458" s="4">
        <f>IF(DatiOriginali!C2458 &gt;= SogliaPicchi!$B$26,"",DatiOriginali!C2458)</f>
        <v>6990200</v>
      </c>
      <c r="D2458" s="4">
        <v>383024</v>
      </c>
      <c r="E2458" s="4">
        <f>IF(DatiOriginali!E2458 &gt;= SogliaPicchi!$B$26,"",DatiOriginali!E2458)</f>
        <v>1323400</v>
      </c>
      <c r="F2458" s="4">
        <v>13083422</v>
      </c>
      <c r="G2458" s="4">
        <f>IF(DatiOriginali!G2458 &gt;= SogliaPicchi!$B$26,"",DatiOriginali!G2458)</f>
        <v>467100</v>
      </c>
      <c r="H2458" s="4">
        <v>16425471</v>
      </c>
      <c r="I2458" s="4">
        <f>IF(DatiOriginali!I2458 &gt;= SogliaPicchi!$B$26,"",DatiOriginali!I2458)</f>
        <v>162200</v>
      </c>
      <c r="J2458" s="4">
        <v>16422095</v>
      </c>
      <c r="K2458" s="4">
        <f>IF(DatiOriginali!K2458 &gt;= SogliaPicchi!$B$26,"",DatiOriginali!K2458)</f>
        <v>184300</v>
      </c>
    </row>
    <row r="2459" spans="1:11" x14ac:dyDescent="0.3">
      <c r="A2459" s="4" t="s">
        <v>2468</v>
      </c>
      <c r="B2459" s="4">
        <v>780625</v>
      </c>
      <c r="C2459" s="4">
        <f>IF(DatiOriginali!C2459 &gt;= SogliaPicchi!$B$26,"",DatiOriginali!C2459)</f>
        <v>7422000</v>
      </c>
      <c r="D2459" s="4">
        <v>395553</v>
      </c>
      <c r="E2459" s="4">
        <f>IF(DatiOriginali!E2459 &gt;= SogliaPicchi!$B$26,"",DatiOriginali!E2459)</f>
        <v>1367200</v>
      </c>
      <c r="F2459" s="4">
        <v>13094735</v>
      </c>
      <c r="G2459" s="4">
        <f>IF(DatiOriginali!G2459 &gt;= SogliaPicchi!$B$26,"",DatiOriginali!G2459)</f>
        <v>469700</v>
      </c>
      <c r="H2459" s="4">
        <v>16440326</v>
      </c>
      <c r="I2459" s="4">
        <f>IF(DatiOriginali!I2459 &gt;= SogliaPicchi!$B$26,"",DatiOriginali!I2459)</f>
        <v>197000</v>
      </c>
      <c r="J2459" s="4">
        <v>16436015</v>
      </c>
      <c r="K2459" s="4">
        <f>IF(DatiOriginali!K2459 &gt;= SogliaPicchi!$B$26,"",DatiOriginali!K2459)</f>
        <v>177300</v>
      </c>
    </row>
    <row r="2460" spans="1:11" x14ac:dyDescent="0.3">
      <c r="A2460" s="4" t="s">
        <v>2469</v>
      </c>
      <c r="B2460" s="4">
        <v>780625</v>
      </c>
      <c r="C2460" s="4">
        <f>IF(DatiOriginali!C2460 &gt;= SogliaPicchi!$B$26,"",DatiOriginali!C2460)</f>
        <v>6858800</v>
      </c>
      <c r="D2460" s="4">
        <v>394482</v>
      </c>
      <c r="E2460" s="4">
        <f>IF(DatiOriginali!E2460 &gt;= SogliaPicchi!$B$26,"",DatiOriginali!E2460)</f>
        <v>1385200</v>
      </c>
      <c r="F2460" s="4">
        <v>13106037</v>
      </c>
      <c r="G2460" s="4">
        <f>IF(DatiOriginali!G2460 &gt;= SogliaPicchi!$B$26,"",DatiOriginali!G2460)</f>
        <v>481300</v>
      </c>
      <c r="H2460" s="4">
        <v>16454341</v>
      </c>
      <c r="I2460" s="4">
        <f>IF(DatiOriginali!I2460 &gt;= SogliaPicchi!$B$26,"",DatiOriginali!I2460)</f>
        <v>167900</v>
      </c>
      <c r="J2460" s="4">
        <v>16450386</v>
      </c>
      <c r="K2460" s="4">
        <f>IF(DatiOriginali!K2460 &gt;= SogliaPicchi!$B$26,"",DatiOriginali!K2460)</f>
        <v>180300</v>
      </c>
    </row>
    <row r="2461" spans="1:11" x14ac:dyDescent="0.3">
      <c r="A2461" s="4" t="s">
        <v>2470</v>
      </c>
      <c r="B2461" s="4">
        <v>780625</v>
      </c>
      <c r="C2461" s="4">
        <f>IF(DatiOriginali!C2461 &gt;= SogliaPicchi!$B$26,"",DatiOriginali!C2461)</f>
        <v>7374500</v>
      </c>
      <c r="D2461" s="4">
        <v>381813</v>
      </c>
      <c r="E2461" s="4">
        <f>IF(DatiOriginali!E2461 &gt;= SogliaPicchi!$B$26,"",DatiOriginali!E2461)</f>
        <v>1368700</v>
      </c>
      <c r="F2461" s="4">
        <v>13117331</v>
      </c>
      <c r="G2461" s="4">
        <f>IF(DatiOriginali!G2461 &gt;= SogliaPicchi!$B$26,"",DatiOriginali!G2461)</f>
        <v>488700</v>
      </c>
      <c r="H2461" s="4">
        <v>16467802</v>
      </c>
      <c r="I2461" s="4">
        <f>IF(DatiOriginali!I2461 &gt;= SogliaPicchi!$B$26,"",DatiOriginali!I2461)</f>
        <v>167600</v>
      </c>
      <c r="J2461" s="4">
        <v>16464160</v>
      </c>
      <c r="K2461" s="4">
        <f>IF(DatiOriginali!K2461 &gt;= SogliaPicchi!$B$26,"",DatiOriginali!K2461)</f>
        <v>210600</v>
      </c>
    </row>
    <row r="2462" spans="1:11" x14ac:dyDescent="0.3">
      <c r="A2462" s="4" t="s">
        <v>2471</v>
      </c>
      <c r="B2462" s="4">
        <v>780625</v>
      </c>
      <c r="C2462" s="4">
        <f>IF(DatiOriginali!C2462 &gt;= SogliaPicchi!$B$26,"",DatiOriginali!C2462)</f>
        <v>7718100</v>
      </c>
      <c r="D2462" s="4">
        <v>392665</v>
      </c>
      <c r="E2462" s="4">
        <f>IF(DatiOriginali!E2462 &gt;= SogliaPicchi!$B$26,"",DatiOriginali!E2462)</f>
        <v>1359300</v>
      </c>
      <c r="F2462" s="4">
        <v>13128604</v>
      </c>
      <c r="G2462" s="4">
        <f>IF(DatiOriginali!G2462 &gt;= SogliaPicchi!$B$26,"",DatiOriginali!G2462)</f>
        <v>474600</v>
      </c>
      <c r="H2462" s="4">
        <v>16482538</v>
      </c>
      <c r="I2462" s="4">
        <f>IF(DatiOriginali!I2462 &gt;= SogliaPicchi!$B$26,"",DatiOriginali!I2462)</f>
        <v>159800</v>
      </c>
      <c r="J2462" s="4">
        <v>16478128</v>
      </c>
      <c r="K2462" s="4">
        <f>IF(DatiOriginali!K2462 &gt;= SogliaPicchi!$B$26,"",DatiOriginali!K2462)</f>
        <v>181100</v>
      </c>
    </row>
    <row r="2463" spans="1:11" x14ac:dyDescent="0.3">
      <c r="A2463" s="4" t="s">
        <v>2472</v>
      </c>
      <c r="B2463" s="4">
        <v>780625</v>
      </c>
      <c r="C2463" s="4">
        <f>IF(DatiOriginali!C2463 &gt;= SogliaPicchi!$B$26,"",DatiOriginali!C2463)</f>
        <v>7030800</v>
      </c>
      <c r="D2463" s="4">
        <v>388943</v>
      </c>
      <c r="E2463" s="4">
        <f>IF(DatiOriginali!E2463 &gt;= SogliaPicchi!$B$26,"",DatiOriginali!E2463)</f>
        <v>1355600</v>
      </c>
      <c r="F2463" s="4">
        <v>13139927</v>
      </c>
      <c r="G2463" s="4">
        <f>IF(DatiOriginali!G2463 &gt;= SogliaPicchi!$B$26,"",DatiOriginali!G2463)</f>
        <v>472100</v>
      </c>
      <c r="H2463" s="4">
        <v>16497397</v>
      </c>
      <c r="I2463" s="4">
        <f>IF(DatiOriginali!I2463 &gt;= SogliaPicchi!$B$26,"",DatiOriginali!I2463)</f>
        <v>163100</v>
      </c>
      <c r="J2463" s="4">
        <v>16492177</v>
      </c>
      <c r="K2463" s="4">
        <f>IF(DatiOriginali!K2463 &gt;= SogliaPicchi!$B$26,"",DatiOriginali!K2463)</f>
        <v>183000</v>
      </c>
    </row>
    <row r="2464" spans="1:11" x14ac:dyDescent="0.3">
      <c r="A2464" s="4" t="s">
        <v>2473</v>
      </c>
      <c r="B2464" s="4">
        <v>780625</v>
      </c>
      <c r="C2464" s="4">
        <f>IF(DatiOriginali!C2464 &gt;= SogliaPicchi!$B$26,"",DatiOriginali!C2464)</f>
        <v>7304500</v>
      </c>
      <c r="D2464" s="4">
        <v>394902</v>
      </c>
      <c r="E2464" s="4">
        <f>IF(DatiOriginali!E2464 &gt;= SogliaPicchi!$B$26,"",DatiOriginali!E2464)</f>
        <v>1384000</v>
      </c>
      <c r="F2464" s="4">
        <v>13151206</v>
      </c>
      <c r="G2464" s="4">
        <f>IF(DatiOriginali!G2464 &gt;= SogliaPicchi!$B$26,"",DatiOriginali!G2464)</f>
        <v>621200</v>
      </c>
      <c r="H2464" s="4">
        <v>16511137</v>
      </c>
      <c r="I2464" s="4">
        <f>IF(DatiOriginali!I2464 &gt;= SogliaPicchi!$B$26,"",DatiOriginali!I2464)</f>
        <v>210400</v>
      </c>
      <c r="J2464" s="4">
        <v>16506866</v>
      </c>
      <c r="K2464" s="4">
        <f>IF(DatiOriginali!K2464 &gt;= SogliaPicchi!$B$26,"",DatiOriginali!K2464)</f>
        <v>258600</v>
      </c>
    </row>
    <row r="2465" spans="1:11" x14ac:dyDescent="0.3">
      <c r="A2465" s="4" t="s">
        <v>2474</v>
      </c>
      <c r="B2465" s="4">
        <v>780625</v>
      </c>
      <c r="C2465" s="4">
        <f>IF(DatiOriginali!C2465 &gt;= SogliaPicchi!$B$26,"",DatiOriginali!C2465)</f>
        <v>6852300</v>
      </c>
      <c r="D2465" s="4">
        <v>390042</v>
      </c>
      <c r="E2465" s="4">
        <f>IF(DatiOriginali!E2465 &gt;= SogliaPicchi!$B$26,"",DatiOriginali!E2465)</f>
        <v>1398400</v>
      </c>
      <c r="F2465" s="4">
        <v>13162492</v>
      </c>
      <c r="G2465" s="4">
        <f>IF(DatiOriginali!G2465 &gt;= SogliaPicchi!$B$26,"",DatiOriginali!G2465)</f>
        <v>477500</v>
      </c>
      <c r="H2465" s="4">
        <v>16524832</v>
      </c>
      <c r="I2465" s="4">
        <f>IF(DatiOriginali!I2465 &gt;= SogliaPicchi!$B$26,"",DatiOriginali!I2465)</f>
        <v>161800</v>
      </c>
      <c r="J2465" s="4">
        <v>16521183</v>
      </c>
      <c r="K2465" s="4">
        <f>IF(DatiOriginali!K2465 &gt;= SogliaPicchi!$B$26,"",DatiOriginali!K2465)</f>
        <v>183100</v>
      </c>
    </row>
    <row r="2466" spans="1:11" x14ac:dyDescent="0.3">
      <c r="A2466" s="4" t="s">
        <v>2475</v>
      </c>
      <c r="B2466" s="4">
        <v>780625</v>
      </c>
      <c r="C2466" s="4">
        <f>IF(DatiOriginali!C2466 &gt;= SogliaPicchi!$B$26,"",DatiOriginali!C2466)</f>
        <v>6744600</v>
      </c>
      <c r="D2466" s="4">
        <v>405393</v>
      </c>
      <c r="E2466" s="4">
        <f>IF(DatiOriginali!E2466 &gt;= SogliaPicchi!$B$26,"",DatiOriginali!E2466)</f>
        <v>1394900</v>
      </c>
      <c r="F2466" s="4">
        <v>13173789</v>
      </c>
      <c r="G2466" s="4">
        <f>IF(DatiOriginali!G2466 &gt;= SogliaPicchi!$B$26,"",DatiOriginali!G2466)</f>
        <v>474500</v>
      </c>
      <c r="H2466" s="4">
        <v>16541264</v>
      </c>
      <c r="I2466" s="4">
        <f>IF(DatiOriginali!I2466 &gt;= SogliaPicchi!$B$26,"",DatiOriginali!I2466)</f>
        <v>170400</v>
      </c>
      <c r="J2466" s="4">
        <v>16534823</v>
      </c>
      <c r="K2466" s="4">
        <f>IF(DatiOriginali!K2466 &gt;= SogliaPicchi!$B$26,"",DatiOriginali!K2466)</f>
        <v>177300</v>
      </c>
    </row>
    <row r="2467" spans="1:11" x14ac:dyDescent="0.3">
      <c r="A2467" s="4" t="s">
        <v>2476</v>
      </c>
      <c r="B2467" s="4">
        <v>780625</v>
      </c>
      <c r="C2467" s="4">
        <f>IF(DatiOriginali!C2467 &gt;= SogliaPicchi!$B$26,"",DatiOriginali!C2467)</f>
        <v>6968900</v>
      </c>
      <c r="D2467" s="4">
        <v>402232</v>
      </c>
      <c r="E2467" s="4">
        <f>IF(DatiOriginali!E2467 &gt;= SogliaPicchi!$B$26,"",DatiOriginali!E2467)</f>
        <v>1383100</v>
      </c>
      <c r="F2467" s="4">
        <v>13185066</v>
      </c>
      <c r="G2467" s="4">
        <f>IF(DatiOriginali!G2467 &gt;= SogliaPicchi!$B$26,"",DatiOriginali!G2467)</f>
        <v>471700</v>
      </c>
      <c r="H2467" s="4">
        <v>16554626</v>
      </c>
      <c r="I2467" s="4">
        <f>IF(DatiOriginali!I2467 &gt;= SogliaPicchi!$B$26,"",DatiOriginali!I2467)</f>
        <v>169600</v>
      </c>
      <c r="J2467" s="4">
        <v>16548773</v>
      </c>
      <c r="K2467" s="4">
        <f>IF(DatiOriginali!K2467 &gt;= SogliaPicchi!$B$26,"",DatiOriginali!K2467)</f>
        <v>220800</v>
      </c>
    </row>
    <row r="2468" spans="1:11" x14ac:dyDescent="0.3">
      <c r="A2468" s="4" t="s">
        <v>2477</v>
      </c>
      <c r="B2468" s="4">
        <v>780625</v>
      </c>
      <c r="C2468" s="4">
        <f>IF(DatiOriginali!C2468 &gt;= SogliaPicchi!$B$26,"",DatiOriginali!C2468)</f>
        <v>7437700</v>
      </c>
      <c r="D2468" s="4">
        <v>385481</v>
      </c>
      <c r="E2468" s="4">
        <f>IF(DatiOriginali!E2468 &gt;= SogliaPicchi!$B$26,"",DatiOriginali!E2468)</f>
        <v>1358300</v>
      </c>
      <c r="F2468" s="4">
        <v>13196394</v>
      </c>
      <c r="G2468" s="4">
        <f>IF(DatiOriginali!G2468 &gt;= SogliaPicchi!$B$26,"",DatiOriginali!G2468)</f>
        <v>491100</v>
      </c>
      <c r="H2468" s="4">
        <v>16568668</v>
      </c>
      <c r="I2468" s="4">
        <f>IF(DatiOriginali!I2468 &gt;= SogliaPicchi!$B$26,"",DatiOriginali!I2468)</f>
        <v>169300</v>
      </c>
      <c r="J2468" s="4">
        <v>16563751</v>
      </c>
      <c r="K2468" s="4">
        <f>IF(DatiOriginali!K2468 &gt;= SogliaPicchi!$B$26,"",DatiOriginali!K2468)</f>
        <v>184700</v>
      </c>
    </row>
    <row r="2469" spans="1:11" x14ac:dyDescent="0.3">
      <c r="A2469" s="4" t="s">
        <v>2478</v>
      </c>
      <c r="B2469" s="4">
        <v>780625</v>
      </c>
      <c r="C2469" s="4">
        <f>IF(DatiOriginali!C2469 &gt;= SogliaPicchi!$B$26,"",DatiOriginali!C2469)</f>
        <v>6677000</v>
      </c>
      <c r="D2469" s="4">
        <v>391759</v>
      </c>
      <c r="E2469" s="4">
        <f>IF(DatiOriginali!E2469 &gt;= SogliaPicchi!$B$26,"",DatiOriginali!E2469)</f>
        <v>1351100</v>
      </c>
      <c r="F2469" s="4">
        <v>13207713</v>
      </c>
      <c r="G2469" s="4">
        <f>IF(DatiOriginali!G2469 &gt;= SogliaPicchi!$B$26,"",DatiOriginali!G2469)</f>
        <v>472800</v>
      </c>
      <c r="H2469" s="4">
        <v>16582989</v>
      </c>
      <c r="I2469" s="4">
        <f>IF(DatiOriginali!I2469 &gt;= SogliaPicchi!$B$26,"",DatiOriginali!I2469)</f>
        <v>168300</v>
      </c>
      <c r="J2469" s="4">
        <v>16577173</v>
      </c>
      <c r="K2469" s="4">
        <f>IF(DatiOriginali!K2469 &gt;= SogliaPicchi!$B$26,"",DatiOriginali!K2469)</f>
        <v>185600</v>
      </c>
    </row>
    <row r="2470" spans="1:11" x14ac:dyDescent="0.3">
      <c r="A2470" s="4" t="s">
        <v>2479</v>
      </c>
      <c r="B2470" s="4">
        <v>780625</v>
      </c>
      <c r="C2470" s="4">
        <f>IF(DatiOriginali!C2470 &gt;= SogliaPicchi!$B$26,"",DatiOriginali!C2470)</f>
        <v>7088800</v>
      </c>
      <c r="D2470" s="4">
        <v>371660</v>
      </c>
      <c r="E2470" s="4">
        <f>IF(DatiOriginali!E2470 &gt;= SogliaPicchi!$B$26,"",DatiOriginali!E2470)</f>
        <v>1280600</v>
      </c>
      <c r="F2470" s="4">
        <v>13219058</v>
      </c>
      <c r="G2470" s="4">
        <f>IF(DatiOriginali!G2470 &gt;= SogliaPicchi!$B$26,"",DatiOriginali!G2470)</f>
        <v>475600</v>
      </c>
      <c r="H2470" s="4">
        <v>16596782</v>
      </c>
      <c r="I2470" s="4">
        <f>IF(DatiOriginali!I2470 &gt;= SogliaPicchi!$B$26,"",DatiOriginali!I2470)</f>
        <v>162400</v>
      </c>
      <c r="J2470" s="4">
        <v>16592511</v>
      </c>
      <c r="K2470" s="4">
        <f>IF(DatiOriginali!K2470 &gt;= SogliaPicchi!$B$26,"",DatiOriginali!K2470)</f>
        <v>183500</v>
      </c>
    </row>
    <row r="2471" spans="1:11" x14ac:dyDescent="0.3">
      <c r="A2471" s="4" t="s">
        <v>2480</v>
      </c>
      <c r="B2471" s="4">
        <v>780625</v>
      </c>
      <c r="C2471" s="4">
        <f>IF(DatiOriginali!C2471 &gt;= SogliaPicchi!$B$26,"",DatiOriginali!C2471)</f>
        <v>6825900</v>
      </c>
      <c r="D2471" s="4">
        <v>396718</v>
      </c>
      <c r="E2471" s="4">
        <f>IF(DatiOriginali!E2471 &gt;= SogliaPicchi!$B$26,"",DatiOriginali!E2471)</f>
        <v>1399600</v>
      </c>
      <c r="F2471" s="4">
        <v>13230328</v>
      </c>
      <c r="G2471" s="4">
        <f>IF(DatiOriginali!G2471 &gt;= SogliaPicchi!$B$26,"",DatiOriginali!G2471)</f>
        <v>496800</v>
      </c>
      <c r="H2471" s="4">
        <v>16611299</v>
      </c>
      <c r="I2471" s="4">
        <f>IF(DatiOriginali!I2471 &gt;= SogliaPicchi!$B$26,"",DatiOriginali!I2471)</f>
        <v>176900</v>
      </c>
      <c r="J2471" s="4">
        <v>16606604</v>
      </c>
      <c r="K2471" s="4">
        <f>IF(DatiOriginali!K2471 &gt;= SogliaPicchi!$B$26,"",DatiOriginali!K2471)</f>
        <v>182600</v>
      </c>
    </row>
    <row r="2472" spans="1:11" x14ac:dyDescent="0.3">
      <c r="A2472" s="4" t="s">
        <v>2481</v>
      </c>
      <c r="B2472" s="4">
        <v>780625</v>
      </c>
      <c r="C2472" s="4">
        <f>IF(DatiOriginali!C2472 &gt;= SogliaPicchi!$B$26,"",DatiOriginali!C2472)</f>
        <v>6886800</v>
      </c>
      <c r="D2472" s="4">
        <v>388068</v>
      </c>
      <c r="E2472" s="4">
        <f>IF(DatiOriginali!E2472 &gt;= SogliaPicchi!$B$26,"",DatiOriginali!E2472)</f>
        <v>1369500</v>
      </c>
      <c r="F2472" s="4">
        <v>13241646</v>
      </c>
      <c r="G2472" s="4">
        <f>IF(DatiOriginali!G2472 &gt;= SogliaPicchi!$B$26,"",DatiOriginali!G2472)</f>
        <v>473700</v>
      </c>
      <c r="H2472" s="4">
        <v>16625744</v>
      </c>
      <c r="I2472" s="4">
        <f>IF(DatiOriginali!I2472 &gt;= SogliaPicchi!$B$26,"",DatiOriginali!I2472)</f>
        <v>165700</v>
      </c>
      <c r="J2472" s="4">
        <v>16621078</v>
      </c>
      <c r="K2472" s="4">
        <f>IF(DatiOriginali!K2472 &gt;= SogliaPicchi!$B$26,"",DatiOriginali!K2472)</f>
        <v>181900</v>
      </c>
    </row>
    <row r="2473" spans="1:11" x14ac:dyDescent="0.3">
      <c r="A2473" s="4" t="s">
        <v>2482</v>
      </c>
      <c r="B2473" s="4">
        <v>780625</v>
      </c>
      <c r="C2473" s="4">
        <f>IF(DatiOriginali!C2473 &gt;= SogliaPicchi!$B$26,"",DatiOriginali!C2473)</f>
        <v>7412000</v>
      </c>
      <c r="D2473" s="4">
        <v>394708</v>
      </c>
      <c r="E2473" s="4">
        <f>IF(DatiOriginali!E2473 &gt;= SogliaPicchi!$B$26,"",DatiOriginali!E2473)</f>
        <v>1370500</v>
      </c>
      <c r="F2473" s="4">
        <v>13252930</v>
      </c>
      <c r="G2473" s="4">
        <f>IF(DatiOriginali!G2473 &gt;= SogliaPicchi!$B$26,"",DatiOriginali!G2473)</f>
        <v>478600</v>
      </c>
      <c r="H2473" s="4">
        <v>16639361</v>
      </c>
      <c r="I2473" s="4">
        <f>IF(DatiOriginali!I2473 &gt;= SogliaPicchi!$B$26,"",DatiOriginali!I2473)</f>
        <v>164000</v>
      </c>
      <c r="J2473" s="4">
        <v>16635493</v>
      </c>
      <c r="K2473" s="4">
        <f>IF(DatiOriginali!K2473 &gt;= SogliaPicchi!$B$26,"",DatiOriginali!K2473)</f>
        <v>178700</v>
      </c>
    </row>
    <row r="2474" spans="1:11" x14ac:dyDescent="0.3">
      <c r="A2474" s="4" t="s">
        <v>2483</v>
      </c>
      <c r="B2474" s="4">
        <v>780625</v>
      </c>
      <c r="C2474" s="4">
        <f>IF(DatiOriginali!C2474 &gt;= SogliaPicchi!$B$26,"",DatiOriginali!C2474)</f>
        <v>7165700</v>
      </c>
      <c r="D2474" s="4">
        <v>394353</v>
      </c>
      <c r="E2474" s="4">
        <f>IF(DatiOriginali!E2474 &gt;= SogliaPicchi!$B$26,"",DatiOriginali!E2474)</f>
        <v>1361000</v>
      </c>
      <c r="F2474" s="4">
        <v>13264197</v>
      </c>
      <c r="G2474" s="4">
        <f>IF(DatiOriginali!G2474 &gt;= SogliaPicchi!$B$26,"",DatiOriginali!G2474)</f>
        <v>478700</v>
      </c>
      <c r="H2474" s="4">
        <v>16654551</v>
      </c>
      <c r="I2474" s="4">
        <f>IF(DatiOriginali!I2474 &gt;= SogliaPicchi!$B$26,"",DatiOriginali!I2474)</f>
        <v>167400</v>
      </c>
      <c r="J2474" s="4">
        <v>16650106</v>
      </c>
      <c r="K2474" s="4">
        <f>IF(DatiOriginali!K2474 &gt;= SogliaPicchi!$B$26,"",DatiOriginali!K2474)</f>
        <v>182500</v>
      </c>
    </row>
    <row r="2475" spans="1:11" x14ac:dyDescent="0.3">
      <c r="A2475" s="4" t="s">
        <v>2484</v>
      </c>
      <c r="B2475" s="4">
        <v>780625</v>
      </c>
      <c r="C2475" s="4">
        <f>IF(DatiOriginali!C2475 &gt;= SogliaPicchi!$B$26,"",DatiOriginali!C2475)</f>
        <v>6714800</v>
      </c>
      <c r="D2475" s="4">
        <v>380543</v>
      </c>
      <c r="E2475" s="4">
        <f>IF(DatiOriginali!E2475 &gt;= SogliaPicchi!$B$26,"",DatiOriginali!E2475)</f>
        <v>1548900</v>
      </c>
      <c r="F2475" s="4">
        <v>13275504</v>
      </c>
      <c r="G2475" s="4">
        <f>IF(DatiOriginali!G2475 &gt;= SogliaPicchi!$B$26,"",DatiOriginali!G2475)</f>
        <v>481700</v>
      </c>
      <c r="H2475" s="4">
        <v>16669435</v>
      </c>
      <c r="I2475" s="4">
        <f>IF(DatiOriginali!I2475 &gt;= SogliaPicchi!$B$26,"",DatiOriginali!I2475)</f>
        <v>166700</v>
      </c>
      <c r="J2475" s="4">
        <v>16664971</v>
      </c>
      <c r="K2475" s="4">
        <f>IF(DatiOriginali!K2475 &gt;= SogliaPicchi!$B$26,"",DatiOriginali!K2475)</f>
        <v>193000</v>
      </c>
    </row>
    <row r="2476" spans="1:11" x14ac:dyDescent="0.3">
      <c r="A2476" s="4" t="s">
        <v>2485</v>
      </c>
      <c r="B2476" s="4">
        <v>780625</v>
      </c>
      <c r="C2476" s="4">
        <f>IF(DatiOriginali!C2476 &gt;= SogliaPicchi!$B$26,"",DatiOriginali!C2476)</f>
        <v>6754600</v>
      </c>
      <c r="D2476" s="4">
        <v>391497</v>
      </c>
      <c r="E2476" s="4">
        <f>IF(DatiOriginali!E2476 &gt;= SogliaPicchi!$B$26,"",DatiOriginali!E2476)</f>
        <v>1350900</v>
      </c>
      <c r="F2476" s="4">
        <v>13286827</v>
      </c>
      <c r="G2476" s="4">
        <f>IF(DatiOriginali!G2476 &gt;= SogliaPicchi!$B$26,"",DatiOriginali!G2476)</f>
        <v>474400</v>
      </c>
      <c r="H2476" s="4">
        <v>16683950</v>
      </c>
      <c r="I2476" s="4">
        <f>IF(DatiOriginali!I2476 &gt;= SogliaPicchi!$B$26,"",DatiOriginali!I2476)</f>
        <v>164700</v>
      </c>
      <c r="J2476" s="4">
        <v>16678706</v>
      </c>
      <c r="K2476" s="4">
        <f>IF(DatiOriginali!K2476 &gt;= SogliaPicchi!$B$26,"",DatiOriginali!K2476)</f>
        <v>179900</v>
      </c>
    </row>
    <row r="2477" spans="1:11" x14ac:dyDescent="0.3">
      <c r="A2477" s="4" t="s">
        <v>2486</v>
      </c>
      <c r="B2477" s="4">
        <v>780625</v>
      </c>
      <c r="C2477" s="4">
        <f>IF(DatiOriginali!C2477 &gt;= SogliaPicchi!$B$26,"",DatiOriginali!C2477)</f>
        <v>6747400</v>
      </c>
      <c r="D2477" s="4">
        <v>405272</v>
      </c>
      <c r="E2477" s="4">
        <f>IF(DatiOriginali!E2477 &gt;= SogliaPicchi!$B$26,"",DatiOriginali!E2477)</f>
        <v>1400900</v>
      </c>
      <c r="F2477" s="4">
        <v>13298131</v>
      </c>
      <c r="G2477" s="4">
        <f>IF(DatiOriginali!G2477 &gt;= SogliaPicchi!$B$26,"",DatiOriginali!G2477)</f>
        <v>468900</v>
      </c>
      <c r="H2477" s="4">
        <v>16699126</v>
      </c>
      <c r="I2477" s="4">
        <f>IF(DatiOriginali!I2477 &gt;= SogliaPicchi!$B$26,"",DatiOriginali!I2477)</f>
        <v>166400</v>
      </c>
      <c r="J2477" s="4">
        <v>16693379</v>
      </c>
      <c r="K2477" s="4">
        <f>IF(DatiOriginali!K2477 &gt;= SogliaPicchi!$B$26,"",DatiOriginali!K2477)</f>
        <v>181600</v>
      </c>
    </row>
    <row r="2478" spans="1:11" x14ac:dyDescent="0.3">
      <c r="A2478" s="4" t="s">
        <v>2487</v>
      </c>
      <c r="B2478" s="4">
        <v>780625</v>
      </c>
      <c r="C2478" s="4">
        <f>IF(DatiOriginali!C2478 &gt;= SogliaPicchi!$B$26,"",DatiOriginali!C2478)</f>
        <v>6926900</v>
      </c>
      <c r="D2478" s="4">
        <v>378280</v>
      </c>
      <c r="E2478" s="4">
        <f>IF(DatiOriginali!E2478 &gt;= SogliaPicchi!$B$26,"",DatiOriginali!E2478)</f>
        <v>1482400</v>
      </c>
      <c r="F2478" s="4">
        <v>13309465</v>
      </c>
      <c r="G2478" s="4">
        <f>IF(DatiOriginali!G2478 &gt;= SogliaPicchi!$B$26,"",DatiOriginali!G2478)</f>
        <v>487400</v>
      </c>
      <c r="H2478" s="4">
        <v>16713508</v>
      </c>
      <c r="I2478" s="4">
        <f>IF(DatiOriginali!I2478 &gt;= SogliaPicchi!$B$26,"",DatiOriginali!I2478)</f>
        <v>164000</v>
      </c>
      <c r="J2478" s="4">
        <v>16707252</v>
      </c>
      <c r="K2478" s="4">
        <f>IF(DatiOriginali!K2478 &gt;= SogliaPicchi!$B$26,"",DatiOriginali!K2478)</f>
        <v>181100</v>
      </c>
    </row>
    <row r="2479" spans="1:11" x14ac:dyDescent="0.3">
      <c r="A2479" s="4" t="s">
        <v>2488</v>
      </c>
      <c r="B2479" s="4">
        <v>780625</v>
      </c>
      <c r="C2479" s="4">
        <f>IF(DatiOriginali!C2479 &gt;= SogliaPicchi!$B$26,"",DatiOriginali!C2479)</f>
        <v>6829500</v>
      </c>
      <c r="D2479" s="4">
        <v>402549</v>
      </c>
      <c r="E2479" s="4">
        <f>IF(DatiOriginali!E2479 &gt;= SogliaPicchi!$B$26,"",DatiOriginali!E2479)</f>
        <v>1460100</v>
      </c>
      <c r="F2479" s="4">
        <v>13320768</v>
      </c>
      <c r="G2479" s="4">
        <f>IF(DatiOriginali!G2479 &gt;= SogliaPicchi!$B$26,"",DatiOriginali!G2479)</f>
        <v>495300</v>
      </c>
      <c r="H2479" s="4">
        <v>16726663</v>
      </c>
      <c r="I2479" s="4">
        <f>IF(DatiOriginali!I2479 &gt;= SogliaPicchi!$B$26,"",DatiOriginali!I2479)</f>
        <v>169900</v>
      </c>
      <c r="J2479" s="4">
        <v>16721123</v>
      </c>
      <c r="K2479" s="4">
        <f>IF(DatiOriginali!K2479 &gt;= SogliaPicchi!$B$26,"",DatiOriginali!K2479)</f>
        <v>180500</v>
      </c>
    </row>
    <row r="2480" spans="1:11" x14ac:dyDescent="0.3">
      <c r="A2480" s="4" t="s">
        <v>2489</v>
      </c>
      <c r="B2480" s="4">
        <v>780625</v>
      </c>
      <c r="C2480" s="4">
        <f>IF(DatiOriginali!C2480 &gt;= SogliaPicchi!$B$26,"",DatiOriginali!C2480)</f>
        <v>6927700</v>
      </c>
      <c r="D2480" s="4">
        <v>381183</v>
      </c>
      <c r="E2480" s="4">
        <f>IF(DatiOriginali!E2480 &gt;= SogliaPicchi!$B$26,"",DatiOriginali!E2480)</f>
        <v>1315600</v>
      </c>
      <c r="F2480" s="4">
        <v>13332053</v>
      </c>
      <c r="G2480" s="4">
        <f>IF(DatiOriginali!G2480 &gt;= SogliaPicchi!$B$26,"",DatiOriginali!G2480)</f>
        <v>476100</v>
      </c>
      <c r="H2480" s="4">
        <v>16742181</v>
      </c>
      <c r="I2480" s="4">
        <f>IF(DatiOriginali!I2480 &gt;= SogliaPicchi!$B$26,"",DatiOriginali!I2480)</f>
        <v>165400</v>
      </c>
      <c r="J2480" s="4">
        <v>16734519</v>
      </c>
      <c r="K2480" s="4">
        <f>IF(DatiOriginali!K2480 &gt;= SogliaPicchi!$B$26,"",DatiOriginali!K2480)</f>
        <v>177700</v>
      </c>
    </row>
    <row r="2481" spans="1:11" x14ac:dyDescent="0.3">
      <c r="A2481" s="4" t="s">
        <v>2490</v>
      </c>
      <c r="B2481" s="4">
        <v>780625</v>
      </c>
      <c r="C2481" s="4">
        <f>IF(DatiOriginali!C2481 &gt;= SogliaPicchi!$B$26,"",DatiOriginali!C2481)</f>
        <v>7249500</v>
      </c>
      <c r="D2481" s="4">
        <v>384307</v>
      </c>
      <c r="E2481" s="4">
        <f>IF(DatiOriginali!E2481 &gt;= SogliaPicchi!$B$26,"",DatiOriginali!E2481)</f>
        <v>1436300</v>
      </c>
      <c r="F2481" s="4">
        <v>13343399</v>
      </c>
      <c r="G2481" s="4">
        <f>IF(DatiOriginali!G2481 &gt;= SogliaPicchi!$B$26,"",DatiOriginali!G2481)</f>
        <v>479400</v>
      </c>
      <c r="H2481" s="4">
        <v>16756540</v>
      </c>
      <c r="I2481" s="4">
        <f>IF(DatiOriginali!I2481 &gt;= SogliaPicchi!$B$26,"",DatiOriginali!I2481)</f>
        <v>164100</v>
      </c>
      <c r="J2481" s="4">
        <v>16747838</v>
      </c>
      <c r="K2481" s="4">
        <f>IF(DatiOriginali!K2481 &gt;= SogliaPicchi!$B$26,"",DatiOriginali!K2481)</f>
        <v>180700</v>
      </c>
    </row>
    <row r="2482" spans="1:11" x14ac:dyDescent="0.3">
      <c r="A2482" s="4" t="s">
        <v>2491</v>
      </c>
      <c r="B2482" s="4">
        <v>780625</v>
      </c>
      <c r="C2482" s="4">
        <f>IF(DatiOriginali!C2482 &gt;= SogliaPicchi!$B$26,"",DatiOriginali!C2482)</f>
        <v>6947800</v>
      </c>
      <c r="D2482" s="4">
        <v>403152</v>
      </c>
      <c r="E2482" s="4">
        <f>IF(DatiOriginali!E2482 &gt;= SogliaPicchi!$B$26,"",DatiOriginali!E2482)</f>
        <v>1455100</v>
      </c>
      <c r="F2482" s="4">
        <v>13354702</v>
      </c>
      <c r="G2482" s="4">
        <f>IF(DatiOriginali!G2482 &gt;= SogliaPicchi!$B$26,"",DatiOriginali!G2482)</f>
        <v>484300</v>
      </c>
      <c r="H2482" s="4">
        <v>16771581</v>
      </c>
      <c r="I2482" s="4">
        <f>IF(DatiOriginali!I2482 &gt;= SogliaPicchi!$B$26,"",DatiOriginali!I2482)</f>
        <v>168300</v>
      </c>
      <c r="J2482" s="4">
        <v>16762441</v>
      </c>
      <c r="K2482" s="4">
        <f>IF(DatiOriginali!K2482 &gt;= SogliaPicchi!$B$26,"",DatiOriginali!K2482)</f>
        <v>177300</v>
      </c>
    </row>
    <row r="2483" spans="1:11" x14ac:dyDescent="0.3">
      <c r="A2483" s="4" t="s">
        <v>2492</v>
      </c>
      <c r="B2483" s="4">
        <v>780625</v>
      </c>
      <c r="C2483" s="4">
        <f>IF(DatiOriginali!C2483 &gt;= SogliaPicchi!$B$26,"",DatiOriginali!C2483)</f>
        <v>6954200</v>
      </c>
      <c r="D2483" s="4">
        <v>400015</v>
      </c>
      <c r="E2483" s="4">
        <f>IF(DatiOriginali!E2483 &gt;= SogliaPicchi!$B$26,"",DatiOriginali!E2483)</f>
        <v>1591600</v>
      </c>
      <c r="F2483" s="4">
        <v>13366036</v>
      </c>
      <c r="G2483" s="4">
        <f>IF(DatiOriginali!G2483 &gt;= SogliaPicchi!$B$26,"",DatiOriginali!G2483)</f>
        <v>580000</v>
      </c>
      <c r="H2483" s="4">
        <v>16787799</v>
      </c>
      <c r="I2483" s="4">
        <f>IF(DatiOriginali!I2483 &gt;= SogliaPicchi!$B$26,"",DatiOriginali!I2483)</f>
        <v>199300</v>
      </c>
      <c r="J2483" s="4">
        <v>16776395</v>
      </c>
      <c r="K2483" s="4">
        <f>IF(DatiOriginali!K2483 &gt;= SogliaPicchi!$B$26,"",DatiOriginali!K2483)</f>
        <v>228000</v>
      </c>
    </row>
    <row r="2484" spans="1:11" x14ac:dyDescent="0.3">
      <c r="A2484" s="4" t="s">
        <v>2493</v>
      </c>
      <c r="B2484" s="4">
        <v>780625</v>
      </c>
      <c r="C2484" s="4">
        <f>IF(DatiOriginali!C2484 &gt;= SogliaPicchi!$B$26,"",DatiOriginali!C2484)</f>
        <v>7305500</v>
      </c>
      <c r="D2484" s="4">
        <v>379237</v>
      </c>
      <c r="E2484" s="4">
        <f>IF(DatiOriginali!E2484 &gt;= SogliaPicchi!$B$26,"",DatiOriginali!E2484)</f>
        <v>1325700</v>
      </c>
      <c r="F2484" s="4">
        <v>13377374</v>
      </c>
      <c r="G2484" s="4">
        <f>IF(DatiOriginali!G2484 &gt;= SogliaPicchi!$B$26,"",DatiOriginali!G2484)</f>
        <v>475900</v>
      </c>
      <c r="H2484" s="4">
        <v>16802018</v>
      </c>
      <c r="I2484" s="4">
        <f>IF(DatiOriginali!I2484 &gt;= SogliaPicchi!$B$26,"",DatiOriginali!I2484)</f>
        <v>163800</v>
      </c>
      <c r="J2484" s="4">
        <v>16790590</v>
      </c>
      <c r="K2484" s="4">
        <f>IF(DatiOriginali!K2484 &gt;= SogliaPicchi!$B$26,"",DatiOriginali!K2484)</f>
        <v>181900</v>
      </c>
    </row>
    <row r="2485" spans="1:11" x14ac:dyDescent="0.3">
      <c r="A2485" s="4" t="s">
        <v>2494</v>
      </c>
      <c r="B2485" s="4">
        <v>780625</v>
      </c>
      <c r="C2485" s="4">
        <f>IF(DatiOriginali!C2485 &gt;= SogliaPicchi!$B$26,"",DatiOriginali!C2485)</f>
        <v>6924700</v>
      </c>
      <c r="D2485" s="4">
        <v>391814</v>
      </c>
      <c r="E2485" s="4">
        <f>IF(DatiOriginali!E2485 &gt;= SogliaPicchi!$B$26,"",DatiOriginali!E2485)</f>
        <v>1389500</v>
      </c>
      <c r="F2485" s="4">
        <v>13388688</v>
      </c>
      <c r="G2485" s="4">
        <f>IF(DatiOriginali!G2485 &gt;= SogliaPicchi!$B$26,"",DatiOriginali!G2485)</f>
        <v>476400</v>
      </c>
      <c r="H2485" s="4">
        <v>16816796</v>
      </c>
      <c r="I2485" s="4">
        <f>IF(DatiOriginali!I2485 &gt;= SogliaPicchi!$B$26,"",DatiOriginali!I2485)</f>
        <v>163000</v>
      </c>
      <c r="J2485" s="4">
        <v>16805509</v>
      </c>
      <c r="K2485" s="4">
        <f>IF(DatiOriginali!K2485 &gt;= SogliaPicchi!$B$26,"",DatiOriginali!K2485)</f>
        <v>187200</v>
      </c>
    </row>
    <row r="2486" spans="1:11" x14ac:dyDescent="0.3">
      <c r="A2486" s="4" t="s">
        <v>2495</v>
      </c>
      <c r="B2486" s="4">
        <v>780625</v>
      </c>
      <c r="C2486" s="4">
        <f>IF(DatiOriginali!C2486 &gt;= SogliaPicchi!$B$26,"",DatiOriginali!C2486)</f>
        <v>6938500</v>
      </c>
      <c r="D2486" s="4">
        <v>392881</v>
      </c>
      <c r="E2486" s="4">
        <f>IF(DatiOriginali!E2486 &gt;= SogliaPicchi!$B$26,"",DatiOriginali!E2486)</f>
        <v>1356100</v>
      </c>
      <c r="F2486" s="4">
        <v>13400011</v>
      </c>
      <c r="G2486" s="4">
        <f>IF(DatiOriginali!G2486 &gt;= SogliaPicchi!$B$26,"",DatiOriginali!G2486)</f>
        <v>469000</v>
      </c>
      <c r="H2486" s="4">
        <v>16831268</v>
      </c>
      <c r="I2486" s="4">
        <f>IF(DatiOriginali!I2486 &gt;= SogliaPicchi!$B$26,"",DatiOriginali!I2486)</f>
        <v>171300</v>
      </c>
      <c r="J2486" s="4">
        <v>16818824</v>
      </c>
      <c r="K2486" s="4">
        <f>IF(DatiOriginali!K2486 &gt;= SogliaPicchi!$B$26,"",DatiOriginali!K2486)</f>
        <v>178400</v>
      </c>
    </row>
    <row r="2487" spans="1:11" x14ac:dyDescent="0.3">
      <c r="A2487" s="4" t="s">
        <v>2496</v>
      </c>
      <c r="B2487" s="4">
        <v>780625</v>
      </c>
      <c r="C2487" s="4">
        <f>IF(DatiOriginali!C2487 &gt;= SogliaPicchi!$B$26,"",DatiOriginali!C2487)</f>
        <v>6649900</v>
      </c>
      <c r="D2487" s="4">
        <v>403377</v>
      </c>
      <c r="E2487" s="4">
        <f>IF(DatiOriginali!E2487 &gt;= SogliaPicchi!$B$26,"",DatiOriginali!E2487)</f>
        <v>1441900</v>
      </c>
      <c r="F2487" s="4">
        <v>13411293</v>
      </c>
      <c r="G2487" s="4">
        <f>IF(DatiOriginali!G2487 &gt;= SogliaPicchi!$B$26,"",DatiOriginali!G2487)</f>
        <v>2094700</v>
      </c>
      <c r="H2487" s="4">
        <v>16845291</v>
      </c>
      <c r="I2487" s="4">
        <f>IF(DatiOriginali!I2487 &gt;= SogliaPicchi!$B$26,"",DatiOriginali!I2487)</f>
        <v>167700</v>
      </c>
      <c r="J2487" s="4">
        <v>16832755</v>
      </c>
      <c r="K2487" s="4">
        <f>IF(DatiOriginali!K2487 &gt;= SogliaPicchi!$B$26,"",DatiOriginali!K2487)</f>
        <v>189200</v>
      </c>
    </row>
    <row r="2488" spans="1:11" x14ac:dyDescent="0.3">
      <c r="A2488" s="4" t="s">
        <v>2497</v>
      </c>
      <c r="B2488" s="4">
        <v>780625</v>
      </c>
      <c r="C2488" s="4">
        <f>IF(DatiOriginali!C2488 &gt;= SogliaPicchi!$B$26,"",DatiOriginali!C2488)</f>
        <v>7053200</v>
      </c>
      <c r="D2488" s="4">
        <v>391864</v>
      </c>
      <c r="E2488" s="4">
        <f>IF(DatiOriginali!E2488 &gt;= SogliaPicchi!$B$26,"",DatiOriginali!E2488)</f>
        <v>1351600</v>
      </c>
      <c r="F2488" s="4">
        <v>13422566</v>
      </c>
      <c r="G2488" s="4">
        <f>IF(DatiOriginali!G2488 &gt;= SogliaPicchi!$B$26,"",DatiOriginali!G2488)</f>
        <v>484300</v>
      </c>
      <c r="H2488" s="4">
        <v>16859498</v>
      </c>
      <c r="I2488" s="4">
        <f>IF(DatiOriginali!I2488 &gt;= SogliaPicchi!$B$26,"",DatiOriginali!I2488)</f>
        <v>166300</v>
      </c>
      <c r="J2488" s="4">
        <v>16846792</v>
      </c>
      <c r="K2488" s="4">
        <f>IF(DatiOriginali!K2488 &gt;= SogliaPicchi!$B$26,"",DatiOriginali!K2488)</f>
        <v>176800</v>
      </c>
    </row>
    <row r="2489" spans="1:11" x14ac:dyDescent="0.3">
      <c r="A2489" s="4" t="s">
        <v>2498</v>
      </c>
      <c r="B2489" s="4">
        <v>780625</v>
      </c>
      <c r="C2489" s="4">
        <f>IF(DatiOriginali!C2489 &gt;= SogliaPicchi!$B$26,"",DatiOriginali!C2489)</f>
        <v>6796400</v>
      </c>
      <c r="D2489" s="4">
        <v>379284</v>
      </c>
      <c r="E2489" s="4">
        <f>IF(DatiOriginali!E2489 &gt;= SogliaPicchi!$B$26,"",DatiOriginali!E2489)</f>
        <v>1312700</v>
      </c>
      <c r="F2489" s="4">
        <v>13433874</v>
      </c>
      <c r="G2489" s="4">
        <f>IF(DatiOriginali!G2489 &gt;= SogliaPicchi!$B$26,"",DatiOriginali!G2489)</f>
        <v>475700</v>
      </c>
      <c r="H2489" s="4">
        <v>16874165</v>
      </c>
      <c r="I2489" s="4">
        <f>IF(DatiOriginali!I2489 &gt;= SogliaPicchi!$B$26,"",DatiOriginali!I2489)</f>
        <v>166600</v>
      </c>
      <c r="J2489" s="4">
        <v>16860395</v>
      </c>
      <c r="K2489" s="4">
        <f>IF(DatiOriginali!K2489 &gt;= SogliaPicchi!$B$26,"",DatiOriginali!K2489)</f>
        <v>186300</v>
      </c>
    </row>
    <row r="2490" spans="1:11" x14ac:dyDescent="0.3">
      <c r="A2490" s="4" t="s">
        <v>2499</v>
      </c>
      <c r="B2490" s="4">
        <v>780625</v>
      </c>
      <c r="C2490" s="4">
        <f>IF(DatiOriginali!C2490 &gt;= SogliaPicchi!$B$26,"",DatiOriginali!C2490)</f>
        <v>6755500</v>
      </c>
      <c r="D2490" s="4">
        <v>387829</v>
      </c>
      <c r="E2490" s="4">
        <f>IF(DatiOriginali!E2490 &gt;= SogliaPicchi!$B$26,"",DatiOriginali!E2490)</f>
        <v>1506600</v>
      </c>
      <c r="F2490" s="4">
        <v>13445194</v>
      </c>
      <c r="G2490" s="4">
        <f>IF(DatiOriginali!G2490 &gt;= SogliaPicchi!$B$26,"",DatiOriginali!G2490)</f>
        <v>477500</v>
      </c>
      <c r="H2490" s="4">
        <v>16889167</v>
      </c>
      <c r="I2490" s="4">
        <f>IF(DatiOriginali!I2490 &gt;= SogliaPicchi!$B$26,"",DatiOriginali!I2490)</f>
        <v>167600</v>
      </c>
      <c r="J2490" s="4">
        <v>16875067</v>
      </c>
      <c r="K2490" s="4">
        <f>IF(DatiOriginali!K2490 &gt;= SogliaPicchi!$B$26,"",DatiOriginali!K2490)</f>
        <v>182900</v>
      </c>
    </row>
    <row r="2491" spans="1:11" x14ac:dyDescent="0.3">
      <c r="A2491" s="4" t="s">
        <v>2500</v>
      </c>
      <c r="B2491" s="4">
        <v>780625</v>
      </c>
      <c r="C2491" s="4">
        <f>IF(DatiOriginali!C2491 &gt;= SogliaPicchi!$B$26,"",DatiOriginali!C2491)</f>
        <v>6838500</v>
      </c>
      <c r="D2491" s="4">
        <v>390389</v>
      </c>
      <c r="E2491" s="4">
        <f>IF(DatiOriginali!E2491 &gt;= SogliaPicchi!$B$26,"",DatiOriginali!E2491)</f>
        <v>1419800</v>
      </c>
      <c r="F2491" s="4">
        <v>13456501</v>
      </c>
      <c r="G2491" s="4">
        <f>IF(DatiOriginali!G2491 &gt;= SogliaPicchi!$B$26,"",DatiOriginali!G2491)</f>
        <v>529800</v>
      </c>
      <c r="H2491" s="4">
        <v>16902827</v>
      </c>
      <c r="I2491" s="4">
        <f>IF(DatiOriginali!I2491 &gt;= SogliaPicchi!$B$26,"",DatiOriginali!I2491)</f>
        <v>167400</v>
      </c>
      <c r="J2491" s="4">
        <v>16888018</v>
      </c>
      <c r="K2491" s="4">
        <f>IF(DatiOriginali!K2491 &gt;= SogliaPicchi!$B$26,"",DatiOriginali!K2491)</f>
        <v>178800</v>
      </c>
    </row>
    <row r="2492" spans="1:11" x14ac:dyDescent="0.3">
      <c r="A2492" s="4" t="s">
        <v>2501</v>
      </c>
      <c r="B2492" s="4">
        <v>780625</v>
      </c>
      <c r="C2492" s="4">
        <f>IF(DatiOriginali!C2492 &gt;= SogliaPicchi!$B$26,"",DatiOriginali!C2492)</f>
        <v>6728800</v>
      </c>
      <c r="D2492" s="4">
        <v>397774</v>
      </c>
      <c r="E2492" s="4">
        <f>IF(DatiOriginali!E2492 &gt;= SogliaPicchi!$B$26,"",DatiOriginali!E2492)</f>
        <v>1394800</v>
      </c>
      <c r="F2492" s="4">
        <v>13467804</v>
      </c>
      <c r="G2492" s="4">
        <f>IF(DatiOriginali!G2492 &gt;= SogliaPicchi!$B$26,"",DatiOriginali!G2492)</f>
        <v>477900</v>
      </c>
      <c r="H2492" s="4">
        <v>16917103</v>
      </c>
      <c r="I2492" s="4">
        <f>IF(DatiOriginali!I2492 &gt;= SogliaPicchi!$B$26,"",DatiOriginali!I2492)</f>
        <v>157500</v>
      </c>
      <c r="J2492" s="4">
        <v>16901522</v>
      </c>
      <c r="K2492" s="4">
        <f>IF(DatiOriginali!K2492 &gt;= SogliaPicchi!$B$26,"",DatiOriginali!K2492)</f>
        <v>182400</v>
      </c>
    </row>
    <row r="2493" spans="1:11" x14ac:dyDescent="0.3">
      <c r="A2493" s="4" t="s">
        <v>2502</v>
      </c>
      <c r="B2493" s="4">
        <v>780625</v>
      </c>
      <c r="C2493" s="4">
        <f>IF(DatiOriginali!C2493 &gt;= SogliaPicchi!$B$26,"",DatiOriginali!C2493)</f>
        <v>7550300</v>
      </c>
      <c r="D2493" s="4">
        <v>371171</v>
      </c>
      <c r="E2493" s="4">
        <f>IF(DatiOriginali!E2493 &gt;= SogliaPicchi!$B$26,"",DatiOriginali!E2493)</f>
        <v>1333600</v>
      </c>
      <c r="F2493" s="4">
        <v>13479109</v>
      </c>
      <c r="G2493" s="4">
        <f>IF(DatiOriginali!G2493 &gt;= SogliaPicchi!$B$26,"",DatiOriginali!G2493)</f>
        <v>477900</v>
      </c>
      <c r="H2493" s="4">
        <v>16931285</v>
      </c>
      <c r="I2493" s="4">
        <f>IF(DatiOriginali!I2493 &gt;= SogliaPicchi!$B$26,"",DatiOriginali!I2493)</f>
        <v>167600</v>
      </c>
      <c r="J2493" s="4">
        <v>16915654</v>
      </c>
      <c r="K2493" s="4">
        <f>IF(DatiOriginali!K2493 &gt;= SogliaPicchi!$B$26,"",DatiOriginali!K2493)</f>
        <v>186200</v>
      </c>
    </row>
    <row r="2494" spans="1:11" x14ac:dyDescent="0.3">
      <c r="A2494" s="4" t="s">
        <v>2503</v>
      </c>
      <c r="B2494" s="4">
        <v>780625</v>
      </c>
      <c r="C2494" s="4">
        <f>IF(DatiOriginali!C2494 &gt;= SogliaPicchi!$B$26,"",DatiOriginali!C2494)</f>
        <v>6788300</v>
      </c>
      <c r="D2494" s="4">
        <v>391564</v>
      </c>
      <c r="E2494" s="4">
        <f>IF(DatiOriginali!E2494 &gt;= SogliaPicchi!$B$26,"",DatiOriginali!E2494)</f>
        <v>1446500</v>
      </c>
      <c r="F2494" s="4">
        <v>13490416</v>
      </c>
      <c r="G2494" s="4">
        <f>IF(DatiOriginali!G2494 &gt;= SogliaPicchi!$B$26,"",DatiOriginali!G2494)</f>
        <v>479500</v>
      </c>
      <c r="H2494" s="4">
        <v>16945245</v>
      </c>
      <c r="I2494" s="4">
        <f>IF(DatiOriginali!I2494 &gt;= SogliaPicchi!$B$26,"",DatiOriginali!I2494)</f>
        <v>172700</v>
      </c>
      <c r="J2494" s="4">
        <v>16929597</v>
      </c>
      <c r="K2494" s="4">
        <f>IF(DatiOriginali!K2494 &gt;= SogliaPicchi!$B$26,"",DatiOriginali!K2494)</f>
        <v>181400</v>
      </c>
    </row>
    <row r="2495" spans="1:11" x14ac:dyDescent="0.3">
      <c r="A2495" s="4" t="s">
        <v>2504</v>
      </c>
      <c r="B2495" s="4">
        <v>780625</v>
      </c>
      <c r="C2495" s="4">
        <f>IF(DatiOriginali!C2495 &gt;= SogliaPicchi!$B$26,"",DatiOriginali!C2495)</f>
        <v>6881800</v>
      </c>
      <c r="D2495" s="4">
        <v>390533</v>
      </c>
      <c r="E2495" s="4">
        <f>IF(DatiOriginali!E2495 &gt;= SogliaPicchi!$B$26,"",DatiOriginali!E2495)</f>
        <v>1679700</v>
      </c>
      <c r="F2495" s="4">
        <v>13501738</v>
      </c>
      <c r="G2495" s="4">
        <f>IF(DatiOriginali!G2495 &gt;= SogliaPicchi!$B$26,"",DatiOriginali!G2495)</f>
        <v>580200</v>
      </c>
      <c r="H2495" s="4">
        <v>16958458</v>
      </c>
      <c r="I2495" s="4">
        <f>IF(DatiOriginali!I2495 &gt;= SogliaPicchi!$B$26,"",DatiOriginali!I2495)</f>
        <v>201400</v>
      </c>
      <c r="J2495" s="4">
        <v>16943062</v>
      </c>
      <c r="K2495" s="4">
        <f>IF(DatiOriginali!K2495 &gt;= SogliaPicchi!$B$26,"",DatiOriginali!K2495)</f>
        <v>228000</v>
      </c>
    </row>
    <row r="2496" spans="1:11" x14ac:dyDescent="0.3">
      <c r="A2496" s="4" t="s">
        <v>2505</v>
      </c>
      <c r="B2496" s="4">
        <v>780625</v>
      </c>
      <c r="C2496" s="4">
        <f>IF(DatiOriginali!C2496 &gt;= SogliaPicchi!$B$26,"",DatiOriginali!C2496)</f>
        <v>7939100</v>
      </c>
      <c r="D2496" s="4">
        <v>401060</v>
      </c>
      <c r="E2496" s="4">
        <f>IF(DatiOriginali!E2496 &gt;= SogliaPicchi!$B$26,"",DatiOriginali!E2496)</f>
        <v>1403200</v>
      </c>
      <c r="F2496" s="4">
        <v>13513030</v>
      </c>
      <c r="G2496" s="4">
        <f>IF(DatiOriginali!G2496 &gt;= SogliaPicchi!$B$26,"",DatiOriginali!G2496)</f>
        <v>477400</v>
      </c>
      <c r="H2496" s="4">
        <v>16973684</v>
      </c>
      <c r="I2496" s="4">
        <f>IF(DatiOriginali!I2496 &gt;= SogliaPicchi!$B$26,"",DatiOriginali!I2496)</f>
        <v>168600</v>
      </c>
      <c r="J2496" s="4">
        <v>16957404</v>
      </c>
      <c r="K2496" s="4">
        <f>IF(DatiOriginali!K2496 &gt;= SogliaPicchi!$B$26,"",DatiOriginali!K2496)</f>
        <v>183100</v>
      </c>
    </row>
    <row r="2497" spans="1:11" x14ac:dyDescent="0.3">
      <c r="A2497" s="4" t="s">
        <v>2506</v>
      </c>
      <c r="B2497" s="4">
        <v>780625</v>
      </c>
      <c r="C2497" s="4">
        <f>IF(DatiOriginali!C2497 &gt;= SogliaPicchi!$B$26,"",DatiOriginali!C2497)</f>
        <v>6807500</v>
      </c>
      <c r="D2497" s="4">
        <v>389370</v>
      </c>
      <c r="E2497" s="4">
        <f>IF(DatiOriginali!E2497 &gt;= SogliaPicchi!$B$26,"",DatiOriginali!E2497)</f>
        <v>1346300</v>
      </c>
      <c r="F2497" s="4">
        <v>13524315</v>
      </c>
      <c r="G2497" s="4">
        <f>IF(DatiOriginali!G2497 &gt;= SogliaPicchi!$B$26,"",DatiOriginali!G2497)</f>
        <v>473900</v>
      </c>
      <c r="H2497" s="4">
        <v>16987637</v>
      </c>
      <c r="I2497" s="4">
        <f>IF(DatiOriginali!I2497 &gt;= SogliaPicchi!$B$26,"",DatiOriginali!I2497)</f>
        <v>172600</v>
      </c>
      <c r="J2497" s="4">
        <v>16970994</v>
      </c>
      <c r="K2497" s="4">
        <f>IF(DatiOriginali!K2497 &gt;= SogliaPicchi!$B$26,"",DatiOriginali!K2497)</f>
        <v>181500</v>
      </c>
    </row>
    <row r="2498" spans="1:11" x14ac:dyDescent="0.3">
      <c r="A2498" s="4" t="s">
        <v>2507</v>
      </c>
      <c r="B2498" s="4">
        <v>780625</v>
      </c>
      <c r="C2498" s="4">
        <f>IF(DatiOriginali!C2498 &gt;= SogliaPicchi!$B$26,"",DatiOriginali!C2498)</f>
        <v>6692400</v>
      </c>
      <c r="D2498" s="4">
        <v>384498</v>
      </c>
      <c r="E2498" s="4">
        <f>IF(DatiOriginali!E2498 &gt;= SogliaPicchi!$B$26,"",DatiOriginali!E2498)</f>
        <v>1331100</v>
      </c>
      <c r="F2498" s="4">
        <v>13535602</v>
      </c>
      <c r="G2498" s="4">
        <f>IF(DatiOriginali!G2498 &gt;= SogliaPicchi!$B$26,"",DatiOriginali!G2498)</f>
        <v>481300</v>
      </c>
      <c r="H2498" s="4">
        <v>17002199</v>
      </c>
      <c r="I2498" s="4">
        <f>IF(DatiOriginali!I2498 &gt;= SogliaPicchi!$B$26,"",DatiOriginali!I2498)</f>
        <v>169500</v>
      </c>
      <c r="J2498" s="4">
        <v>16983923</v>
      </c>
      <c r="K2498" s="4">
        <f>IF(DatiOriginali!K2498 &gt;= SogliaPicchi!$B$26,"",DatiOriginali!K2498)</f>
        <v>178700</v>
      </c>
    </row>
    <row r="2499" spans="1:11" x14ac:dyDescent="0.3">
      <c r="A2499" s="4" t="s">
        <v>2508</v>
      </c>
      <c r="B2499" s="4">
        <v>780625</v>
      </c>
      <c r="C2499" s="4">
        <f>IF(DatiOriginali!C2499 &gt;= SogliaPicchi!$B$26,"",DatiOriginali!C2499)</f>
        <v>6921700</v>
      </c>
      <c r="D2499" s="4">
        <v>405717</v>
      </c>
      <c r="E2499" s="4">
        <f>IF(DatiOriginali!E2499 &gt;= SogliaPicchi!$B$26,"",DatiOriginali!E2499)</f>
        <v>2291300</v>
      </c>
      <c r="F2499" s="4">
        <v>13546905</v>
      </c>
      <c r="G2499" s="4">
        <f>IF(DatiOriginali!G2499 &gt;= SogliaPicchi!$B$26,"",DatiOriginali!G2499)</f>
        <v>591800</v>
      </c>
      <c r="H2499" s="4">
        <v>17016025</v>
      </c>
      <c r="I2499" s="4">
        <f>IF(DatiOriginali!I2499 &gt;= SogliaPicchi!$B$26,"",DatiOriginali!I2499)</f>
        <v>167300</v>
      </c>
      <c r="J2499" s="4">
        <v>16999285</v>
      </c>
      <c r="K2499" s="4">
        <f>IF(DatiOriginali!K2499 &gt;= SogliaPicchi!$B$26,"",DatiOriginali!K2499)</f>
        <v>183800</v>
      </c>
    </row>
    <row r="2500" spans="1:11" x14ac:dyDescent="0.3">
      <c r="A2500" s="4" t="s">
        <v>2509</v>
      </c>
      <c r="B2500" s="4">
        <v>780625</v>
      </c>
      <c r="C2500" s="4">
        <f>IF(DatiOriginali!C2500 &gt;= SogliaPicchi!$B$26,"",DatiOriginali!C2500)</f>
        <v>6853700</v>
      </c>
      <c r="D2500" s="4">
        <v>401717</v>
      </c>
      <c r="E2500" s="4">
        <f>IF(DatiOriginali!E2500 &gt;= SogliaPicchi!$B$26,"",DatiOriginali!E2500)</f>
        <v>1383100</v>
      </c>
      <c r="F2500" s="4">
        <v>13558210</v>
      </c>
      <c r="G2500" s="4">
        <f>IF(DatiOriginali!G2500 &gt;= SogliaPicchi!$B$26,"",DatiOriginali!G2500)</f>
        <v>473500</v>
      </c>
      <c r="H2500" s="4">
        <v>17031109</v>
      </c>
      <c r="I2500" s="4">
        <f>IF(DatiOriginali!I2500 &gt;= SogliaPicchi!$B$26,"",DatiOriginali!I2500)</f>
        <v>165000</v>
      </c>
      <c r="J2500" s="4">
        <v>17012307</v>
      </c>
      <c r="K2500" s="4">
        <f>IF(DatiOriginali!K2500 &gt;= SogliaPicchi!$B$26,"",DatiOriginali!K2500)</f>
        <v>183700</v>
      </c>
    </row>
    <row r="2501" spans="1:11" x14ac:dyDescent="0.3">
      <c r="A2501" s="4" t="s">
        <v>2510</v>
      </c>
      <c r="B2501" s="4">
        <v>780625</v>
      </c>
      <c r="C2501" s="4">
        <f>IF(DatiOriginali!C2501 &gt;= SogliaPicchi!$B$26,"",DatiOriginali!C2501)</f>
        <v>6765700</v>
      </c>
      <c r="D2501" s="4">
        <v>386114</v>
      </c>
      <c r="E2501" s="4">
        <f>IF(DatiOriginali!E2501 &gt;= SogliaPicchi!$B$26,"",DatiOriginali!E2501)</f>
        <v>1337300</v>
      </c>
      <c r="F2501" s="4">
        <v>13569480</v>
      </c>
      <c r="G2501" s="4">
        <f>IF(DatiOriginali!G2501 &gt;= SogliaPicchi!$B$27,"",DatiOriginali!G2501)</f>
        <v>472900</v>
      </c>
      <c r="H2501" s="4">
        <v>17046747</v>
      </c>
      <c r="I2501" s="4">
        <f>IF(DatiOriginali!I2501 &gt;= SogliaPicchi!$B$27,"",DatiOriginali!I2501)</f>
        <v>165200</v>
      </c>
      <c r="J2501" s="4">
        <v>17026911</v>
      </c>
      <c r="K2501" s="4">
        <f>IF(DatiOriginali!K2501 &gt;= SogliaPicchi!$B$27,"",DatiOriginali!K2501)</f>
        <v>187000</v>
      </c>
    </row>
    <row r="2502" spans="1:11" x14ac:dyDescent="0.3">
      <c r="A2502" s="4" t="s">
        <v>2511</v>
      </c>
      <c r="B2502" s="4">
        <v>844350</v>
      </c>
      <c r="C2502" s="4">
        <f>IF(DatiOriginali!C2502 &gt;= SogliaPicchi!$B$27,"",DatiOriginali!C2502)</f>
        <v>7323700</v>
      </c>
      <c r="D2502" s="4">
        <v>423949</v>
      </c>
      <c r="E2502" s="4">
        <f>IF(DatiOriginali!E2502 &gt;= SogliaPicchi!$B$27,"",DatiOriginali!E2502)</f>
        <v>1476400</v>
      </c>
      <c r="F2502" s="4">
        <v>13581334</v>
      </c>
      <c r="G2502" s="4">
        <f>IF(DatiOriginali!G2502 &gt;= SogliaPicchi!$B$27,"",DatiOriginali!G2502)</f>
        <v>493500</v>
      </c>
      <c r="H2502" s="4">
        <v>17062751</v>
      </c>
      <c r="I2502" s="4">
        <f>IF(DatiOriginali!I2502 &gt;= SogliaPicchi!$B$27,"",DatiOriginali!I2502)</f>
        <v>177900</v>
      </c>
      <c r="J2502" s="4">
        <v>17041333</v>
      </c>
      <c r="K2502" s="4">
        <f>IF(DatiOriginali!K2502 &gt;= SogliaPicchi!$B$27,"",DatiOriginali!K2502)</f>
        <v>196800</v>
      </c>
    </row>
    <row r="2503" spans="1:11" x14ac:dyDescent="0.3">
      <c r="A2503" s="4" t="s">
        <v>2512</v>
      </c>
      <c r="B2503" s="4">
        <v>844350</v>
      </c>
      <c r="C2503" s="4">
        <f>IF(DatiOriginali!C2503 &gt;= SogliaPicchi!$B$27,"",DatiOriginali!C2503)</f>
        <v>7698700</v>
      </c>
      <c r="D2503" s="4">
        <v>405034</v>
      </c>
      <c r="E2503" s="4">
        <f>IF(DatiOriginali!E2503 &gt;= SogliaPicchi!$B$27,"",DatiOriginali!E2503)</f>
        <v>1405000</v>
      </c>
      <c r="F2503" s="4">
        <v>13593177</v>
      </c>
      <c r="G2503" s="4">
        <f>IF(DatiOriginali!G2503 &gt;= SogliaPicchi!$B$27,"",DatiOriginali!G2503)</f>
        <v>501500</v>
      </c>
      <c r="H2503" s="4">
        <v>17077883</v>
      </c>
      <c r="I2503" s="4">
        <f>IF(DatiOriginali!I2503 &gt;= SogliaPicchi!$B$27,"",DatiOriginali!I2503)</f>
        <v>174800</v>
      </c>
      <c r="J2503" s="4">
        <v>17057021</v>
      </c>
      <c r="K2503" s="4">
        <f>IF(DatiOriginali!K2503 &gt;= SogliaPicchi!$B$27,"",DatiOriginali!K2503)</f>
        <v>190400</v>
      </c>
    </row>
    <row r="2504" spans="1:11" x14ac:dyDescent="0.3">
      <c r="A2504" s="4" t="s">
        <v>2513</v>
      </c>
      <c r="B2504" s="4">
        <v>844350</v>
      </c>
      <c r="C2504" s="4">
        <f>IF(DatiOriginali!C2504 &gt;= SogliaPicchi!$B$27,"",DatiOriginali!C2504)</f>
        <v>7768300</v>
      </c>
      <c r="D2504" s="4">
        <v>425183</v>
      </c>
      <c r="E2504" s="4">
        <f>IF(DatiOriginali!E2504 &gt;= SogliaPicchi!$B$27,"",DatiOriginali!E2504)</f>
        <v>1475200</v>
      </c>
      <c r="F2504" s="4">
        <v>13605024</v>
      </c>
      <c r="G2504" s="4">
        <f>IF(DatiOriginali!G2504 &gt;= SogliaPicchi!$B$27,"",DatiOriginali!G2504)</f>
        <v>491400</v>
      </c>
      <c r="H2504" s="4">
        <v>17093004</v>
      </c>
      <c r="I2504" s="4">
        <f>IF(DatiOriginali!I2504 &gt;= SogliaPicchi!$B$27,"",DatiOriginali!I2504)</f>
        <v>173400</v>
      </c>
      <c r="J2504" s="4">
        <v>17071459</v>
      </c>
      <c r="K2504" s="4">
        <f>IF(DatiOriginali!K2504 &gt;= SogliaPicchi!$B$27,"",DatiOriginali!K2504)</f>
        <v>192400</v>
      </c>
    </row>
    <row r="2505" spans="1:11" x14ac:dyDescent="0.3">
      <c r="A2505" s="4" t="s">
        <v>2514</v>
      </c>
      <c r="B2505" s="4">
        <v>844350</v>
      </c>
      <c r="C2505" s="4">
        <f>IF(DatiOriginali!C2505 &gt;= SogliaPicchi!$B$27,"",DatiOriginali!C2505)</f>
        <v>7773000</v>
      </c>
      <c r="D2505" s="4">
        <v>418159</v>
      </c>
      <c r="E2505" s="4">
        <f>IF(DatiOriginali!E2505 &gt;= SogliaPicchi!$B$27,"",DatiOriginali!E2505)</f>
        <v>1452400</v>
      </c>
      <c r="F2505" s="4">
        <v>13616864</v>
      </c>
      <c r="G2505" s="4">
        <f>IF(DatiOriginali!G2505 &gt;= SogliaPicchi!$B$27,"",DatiOriginali!G2505)</f>
        <v>501900</v>
      </c>
      <c r="H2505" s="4">
        <v>17107213</v>
      </c>
      <c r="I2505" s="4">
        <f>IF(DatiOriginali!I2505 &gt;= SogliaPicchi!$B$27,"",DatiOriginali!I2505)</f>
        <v>173200</v>
      </c>
      <c r="J2505" s="4">
        <v>17084595</v>
      </c>
      <c r="K2505" s="4">
        <f>IF(DatiOriginali!K2505 &gt;= SogliaPicchi!$B$27,"",DatiOriginali!K2505)</f>
        <v>194500</v>
      </c>
    </row>
    <row r="2506" spans="1:11" x14ac:dyDescent="0.3">
      <c r="A2506" s="4" t="s">
        <v>2515</v>
      </c>
      <c r="B2506" s="4">
        <v>844350</v>
      </c>
      <c r="C2506" s="4">
        <f>IF(DatiOriginali!C2506 &gt;= SogliaPicchi!$B$27,"",DatiOriginali!C2506)</f>
        <v>8071900</v>
      </c>
      <c r="D2506" s="4">
        <v>420964</v>
      </c>
      <c r="E2506" s="4">
        <f>IF(DatiOriginali!E2506 &gt;= SogliaPicchi!$B$27,"",DatiOriginali!E2506)</f>
        <v>1497800</v>
      </c>
      <c r="F2506" s="4">
        <v>13628707</v>
      </c>
      <c r="G2506" s="4">
        <f>IF(DatiOriginali!G2506 &gt;= SogliaPicchi!$B$27,"",DatiOriginali!G2506)</f>
        <v>494700</v>
      </c>
      <c r="H2506" s="4">
        <v>17121791</v>
      </c>
      <c r="I2506" s="4">
        <f>IF(DatiOriginali!I2506 &gt;= SogliaPicchi!$B$27,"",DatiOriginali!I2506)</f>
        <v>183700</v>
      </c>
      <c r="J2506" s="4">
        <v>17099318</v>
      </c>
      <c r="K2506" s="4">
        <f>IF(DatiOriginali!K2506 &gt;= SogliaPicchi!$B$27,"",DatiOriginali!K2506)</f>
        <v>192300</v>
      </c>
    </row>
    <row r="2507" spans="1:11" x14ac:dyDescent="0.3">
      <c r="A2507" s="4" t="s">
        <v>2516</v>
      </c>
      <c r="B2507" s="4">
        <v>844350</v>
      </c>
      <c r="C2507" s="4">
        <f>IF(DatiOriginali!C2507 &gt;= SogliaPicchi!$B$27,"",DatiOriginali!C2507)</f>
        <v>8147200</v>
      </c>
      <c r="D2507" s="4">
        <v>424864</v>
      </c>
      <c r="E2507" s="4">
        <f>IF(DatiOriginali!E2507 &gt;= SogliaPicchi!$B$27,"",DatiOriginali!E2507)</f>
        <v>1463500</v>
      </c>
      <c r="F2507" s="4">
        <v>13640545</v>
      </c>
      <c r="G2507" s="4">
        <f>IF(DatiOriginali!G2507 &gt;= SogliaPicchi!$B$27,"",DatiOriginali!G2507)</f>
        <v>503200</v>
      </c>
      <c r="H2507" s="4">
        <v>17136326</v>
      </c>
      <c r="I2507" s="4">
        <f>IF(DatiOriginali!I2507 &gt;= SogliaPicchi!$B$27,"",DatiOriginali!I2507)</f>
        <v>174200</v>
      </c>
      <c r="J2507" s="4">
        <v>17113985</v>
      </c>
      <c r="K2507" s="4">
        <f>IF(DatiOriginali!K2507 &gt;= SogliaPicchi!$B$27,"",DatiOriginali!K2507)</f>
        <v>194300</v>
      </c>
    </row>
    <row r="2508" spans="1:11" x14ac:dyDescent="0.3">
      <c r="A2508" s="4" t="s">
        <v>2517</v>
      </c>
      <c r="B2508" s="4">
        <v>844350</v>
      </c>
      <c r="C2508" s="4">
        <f>IF(DatiOriginali!C2508 &gt;= SogliaPicchi!$B$27,"",DatiOriginali!C2508)</f>
        <v>7667400</v>
      </c>
      <c r="D2508" s="4">
        <v>433567</v>
      </c>
      <c r="E2508" s="4">
        <f>IF(DatiOriginali!E2508 &gt;= SogliaPicchi!$B$27,"",DatiOriginali!E2508)</f>
        <v>1493200</v>
      </c>
      <c r="F2508" s="4">
        <v>13652396</v>
      </c>
      <c r="G2508" s="4">
        <f>IF(DatiOriginali!G2508 &gt;= SogliaPicchi!$B$27,"",DatiOriginali!G2508)</f>
        <v>497500</v>
      </c>
      <c r="H2508" s="4">
        <v>17151622</v>
      </c>
      <c r="I2508" s="4">
        <f>IF(DatiOriginali!I2508 &gt;= SogliaPicchi!$B$27,"",DatiOriginali!I2508)</f>
        <v>169800</v>
      </c>
      <c r="J2508" s="4">
        <v>17128845</v>
      </c>
      <c r="K2508" s="4">
        <f>IF(DatiOriginali!K2508 &gt;= SogliaPicchi!$B$27,"",DatiOriginali!K2508)</f>
        <v>189000</v>
      </c>
    </row>
    <row r="2509" spans="1:11" x14ac:dyDescent="0.3">
      <c r="A2509" s="4" t="s">
        <v>2518</v>
      </c>
      <c r="B2509" s="4">
        <v>844350</v>
      </c>
      <c r="C2509" s="4">
        <f>IF(DatiOriginali!C2509 &gt;= SogliaPicchi!$B$27,"",DatiOriginali!C2509)</f>
        <v>8216600</v>
      </c>
      <c r="D2509" s="4">
        <v>428328</v>
      </c>
      <c r="E2509" s="4">
        <f>IF(DatiOriginali!E2509 &gt;= SogliaPicchi!$B$27,"",DatiOriginali!E2509)</f>
        <v>1537400</v>
      </c>
      <c r="F2509" s="4">
        <v>13664253</v>
      </c>
      <c r="G2509" s="4">
        <f>IF(DatiOriginali!G2509 &gt;= SogliaPicchi!$B$27,"",DatiOriginali!G2509)</f>
        <v>488100</v>
      </c>
      <c r="H2509" s="4">
        <v>17165472</v>
      </c>
      <c r="I2509" s="4">
        <f>IF(DatiOriginali!I2509 &gt;= SogliaPicchi!$B$27,"",DatiOriginali!I2509)</f>
        <v>167500</v>
      </c>
      <c r="J2509" s="4">
        <v>17142960</v>
      </c>
      <c r="K2509" s="4">
        <f>IF(DatiOriginali!K2509 &gt;= SogliaPicchi!$B$27,"",DatiOriginali!K2509)</f>
        <v>192700</v>
      </c>
    </row>
    <row r="2510" spans="1:11" x14ac:dyDescent="0.3">
      <c r="A2510" s="4" t="s">
        <v>2519</v>
      </c>
      <c r="B2510" s="4">
        <v>844350</v>
      </c>
      <c r="C2510" s="4">
        <f>IF(DatiOriginali!C2510 &gt;= SogliaPicchi!$B$27,"",DatiOriginali!C2510)</f>
        <v>7563700</v>
      </c>
      <c r="D2510" s="4">
        <v>421936</v>
      </c>
      <c r="E2510" s="4">
        <f>IF(DatiOriginali!E2510 &gt;= SogliaPicchi!$B$27,"",DatiOriginali!E2510)</f>
        <v>1456300</v>
      </c>
      <c r="F2510" s="4">
        <v>13676063</v>
      </c>
      <c r="G2510" s="4">
        <f>IF(DatiOriginali!G2510 &gt;= SogliaPicchi!$B$27,"",DatiOriginali!G2510)</f>
        <v>497900</v>
      </c>
      <c r="H2510" s="4">
        <v>17180250</v>
      </c>
      <c r="I2510" s="4">
        <f>IF(DatiOriginali!I2510 &gt;= SogliaPicchi!$B$27,"",DatiOriginali!I2510)</f>
        <v>171600</v>
      </c>
      <c r="J2510" s="4">
        <v>17158760</v>
      </c>
      <c r="K2510" s="4">
        <f>IF(DatiOriginali!K2510 &gt;= SogliaPicchi!$B$27,"",DatiOriginali!K2510)</f>
        <v>188600</v>
      </c>
    </row>
    <row r="2511" spans="1:11" x14ac:dyDescent="0.3">
      <c r="A2511" s="4" t="s">
        <v>2520</v>
      </c>
      <c r="B2511" s="4">
        <v>844350</v>
      </c>
      <c r="C2511" s="4">
        <f>IF(DatiOriginali!C2511 &gt;= SogliaPicchi!$B$27,"",DatiOriginali!C2511)</f>
        <v>7394500</v>
      </c>
      <c r="D2511" s="4">
        <v>429357</v>
      </c>
      <c r="E2511" s="4">
        <f>IF(DatiOriginali!E2511 &gt;= SogliaPicchi!$B$27,"",DatiOriginali!E2511)</f>
        <v>1478600</v>
      </c>
      <c r="F2511" s="4">
        <v>13687911</v>
      </c>
      <c r="G2511" s="4">
        <f>IF(DatiOriginali!G2511 &gt;= SogliaPicchi!$B$27,"",DatiOriginali!G2511)</f>
        <v>594800</v>
      </c>
      <c r="H2511" s="4">
        <v>17196745</v>
      </c>
      <c r="I2511" s="4">
        <f>IF(DatiOriginali!I2511 &gt;= SogliaPicchi!$B$27,"",DatiOriginali!I2511)</f>
        <v>184700</v>
      </c>
      <c r="J2511" s="4">
        <v>17174158</v>
      </c>
      <c r="K2511" s="4">
        <f>IF(DatiOriginali!K2511 &gt;= SogliaPicchi!$B$27,"",DatiOriginali!K2511)</f>
        <v>189700</v>
      </c>
    </row>
    <row r="2512" spans="1:11" x14ac:dyDescent="0.3">
      <c r="A2512" s="4" t="s">
        <v>2521</v>
      </c>
      <c r="B2512" s="4">
        <v>844350</v>
      </c>
      <c r="C2512" s="4">
        <f>IF(DatiOriginali!C2512 &gt;= SogliaPicchi!$B$27,"",DatiOriginali!C2512)</f>
        <v>8402600</v>
      </c>
      <c r="D2512" s="4">
        <v>420615</v>
      </c>
      <c r="E2512" s="4">
        <f>IF(DatiOriginali!E2512 &gt;= SogliaPicchi!$B$27,"",DatiOriginali!E2512)</f>
        <v>1483900</v>
      </c>
      <c r="F2512" s="4">
        <v>13699747</v>
      </c>
      <c r="G2512" s="4">
        <f>IF(DatiOriginali!G2512 &gt;= SogliaPicchi!$B$27,"",DatiOriginali!G2512)</f>
        <v>500700</v>
      </c>
      <c r="H2512" s="4">
        <v>17210792</v>
      </c>
      <c r="I2512" s="4">
        <f>IF(DatiOriginali!I2512 &gt;= SogliaPicchi!$B$27,"",DatiOriginali!I2512)</f>
        <v>174600</v>
      </c>
      <c r="J2512" s="4">
        <v>17189187</v>
      </c>
      <c r="K2512" s="4">
        <f>IF(DatiOriginali!K2512 &gt;= SogliaPicchi!$B$27,"",DatiOriginali!K2512)</f>
        <v>193000</v>
      </c>
    </row>
    <row r="2513" spans="1:11" x14ac:dyDescent="0.3">
      <c r="A2513" s="4" t="s">
        <v>2522</v>
      </c>
      <c r="B2513" s="4">
        <v>844350</v>
      </c>
      <c r="C2513" s="4">
        <f>IF(DatiOriginali!C2513 &gt;= SogliaPicchi!$B$27,"",DatiOriginali!C2513)</f>
        <v>8204000</v>
      </c>
      <c r="D2513" s="4">
        <v>410333</v>
      </c>
      <c r="E2513" s="4">
        <f>IF(DatiOriginali!E2513 &gt;= SogliaPicchi!$B$27,"",DatiOriginali!E2513)</f>
        <v>1415100</v>
      </c>
      <c r="F2513" s="4">
        <v>13711548</v>
      </c>
      <c r="G2513" s="4">
        <f>IF(DatiOriginali!G2513 &gt;= SogliaPicchi!$B$27,"",DatiOriginali!G2513)</f>
        <v>491400</v>
      </c>
      <c r="H2513" s="4">
        <v>17225770</v>
      </c>
      <c r="I2513" s="4">
        <f>IF(DatiOriginali!I2513 &gt;= SogliaPicchi!$B$27,"",DatiOriginali!I2513)</f>
        <v>171400</v>
      </c>
      <c r="J2513" s="4">
        <v>17202845</v>
      </c>
      <c r="K2513" s="4">
        <f>IF(DatiOriginali!K2513 &gt;= SogliaPicchi!$B$27,"",DatiOriginali!K2513)</f>
        <v>190700</v>
      </c>
    </row>
    <row r="2514" spans="1:11" x14ac:dyDescent="0.3">
      <c r="A2514" s="4" t="s">
        <v>2523</v>
      </c>
      <c r="B2514" s="4">
        <v>844350</v>
      </c>
      <c r="C2514" s="4">
        <f>IF(DatiOriginali!C2514 &gt;= SogliaPicchi!$B$27,"",DatiOriginali!C2514)</f>
        <v>7613000</v>
      </c>
      <c r="D2514" s="4">
        <v>417984</v>
      </c>
      <c r="E2514" s="4">
        <f>IF(DatiOriginali!E2514 &gt;= SogliaPicchi!$B$27,"",DatiOriginali!E2514)</f>
        <v>1496700</v>
      </c>
      <c r="F2514" s="4">
        <v>13723390</v>
      </c>
      <c r="G2514" s="4">
        <f>IF(DatiOriginali!G2514 &gt;= SogliaPicchi!$B$27,"",DatiOriginali!G2514)</f>
        <v>498300</v>
      </c>
      <c r="H2514" s="4">
        <v>17240080</v>
      </c>
      <c r="I2514" s="4">
        <f>IF(DatiOriginali!I2514 &gt;= SogliaPicchi!$B$27,"",DatiOriginali!I2514)</f>
        <v>179100</v>
      </c>
      <c r="J2514" s="4">
        <v>17217712</v>
      </c>
      <c r="K2514" s="4">
        <f>IF(DatiOriginali!K2514 &gt;= SogliaPicchi!$B$27,"",DatiOriginali!K2514)</f>
        <v>193800</v>
      </c>
    </row>
    <row r="2515" spans="1:11" x14ac:dyDescent="0.3">
      <c r="A2515" s="4" t="s">
        <v>2524</v>
      </c>
      <c r="B2515" s="4">
        <v>844350</v>
      </c>
      <c r="C2515" s="4">
        <f>IF(DatiOriginali!C2515 &gt;= SogliaPicchi!$B$27,"",DatiOriginali!C2515)</f>
        <v>7621400</v>
      </c>
      <c r="D2515" s="4">
        <v>428121</v>
      </c>
      <c r="E2515" s="4">
        <f>IF(DatiOriginali!E2515 &gt;= SogliaPicchi!$B$27,"",DatiOriginali!E2515)</f>
        <v>1539800</v>
      </c>
      <c r="F2515" s="4">
        <v>13735226</v>
      </c>
      <c r="G2515" s="4">
        <f>IF(DatiOriginali!G2515 &gt;= SogliaPicchi!$B$27,"",DatiOriginali!G2515)</f>
        <v>496700</v>
      </c>
      <c r="H2515" s="4">
        <v>17255391</v>
      </c>
      <c r="I2515" s="4">
        <f>IF(DatiOriginali!I2515 &gt;= SogliaPicchi!$B$27,"",DatiOriginali!I2515)</f>
        <v>177600</v>
      </c>
      <c r="J2515" s="4">
        <v>17231765</v>
      </c>
      <c r="K2515" s="4">
        <f>IF(DatiOriginali!K2515 &gt;= SogliaPicchi!$B$27,"",DatiOriginali!K2515)</f>
        <v>189000</v>
      </c>
    </row>
    <row r="2516" spans="1:11" x14ac:dyDescent="0.3">
      <c r="A2516" s="4" t="s">
        <v>2525</v>
      </c>
      <c r="B2516" s="4">
        <v>844350</v>
      </c>
      <c r="C2516" s="4">
        <f>IF(DatiOriginali!C2516 &gt;= SogliaPicchi!$B$27,"",DatiOriginali!C2516)</f>
        <v>7526300</v>
      </c>
      <c r="D2516" s="4">
        <v>436982</v>
      </c>
      <c r="E2516" s="4">
        <f>IF(DatiOriginali!E2516 &gt;= SogliaPicchi!$B$27,"",DatiOriginali!E2516)</f>
        <v>1570200</v>
      </c>
      <c r="F2516" s="4">
        <v>13747068</v>
      </c>
      <c r="G2516" s="4">
        <f>IF(DatiOriginali!G2516 &gt;= SogliaPicchi!$B$27,"",DatiOriginali!G2516)</f>
        <v>495700</v>
      </c>
      <c r="H2516" s="4">
        <v>17270614</v>
      </c>
      <c r="I2516" s="4">
        <f>IF(DatiOriginali!I2516 &gt;= SogliaPicchi!$B$27,"",DatiOriginali!I2516)</f>
        <v>173500</v>
      </c>
      <c r="J2516" s="4">
        <v>17246454</v>
      </c>
      <c r="K2516" s="4">
        <f>IF(DatiOriginali!K2516 &gt;= SogliaPicchi!$B$27,"",DatiOriginali!K2516)</f>
        <v>188800</v>
      </c>
    </row>
    <row r="2517" spans="1:11" x14ac:dyDescent="0.3">
      <c r="A2517" s="4" t="s">
        <v>2526</v>
      </c>
      <c r="B2517" s="4">
        <v>844350</v>
      </c>
      <c r="C2517" s="4">
        <f>IF(DatiOriginali!C2517 &gt;= SogliaPicchi!$B$27,"",DatiOriginali!C2517)</f>
        <v>7575900</v>
      </c>
      <c r="D2517" s="4">
        <v>415756</v>
      </c>
      <c r="E2517" s="4">
        <f>IF(DatiOriginali!E2517 &gt;= SogliaPicchi!$B$27,"",DatiOriginali!E2517)</f>
        <v>1441100</v>
      </c>
      <c r="F2517" s="4">
        <v>13758917</v>
      </c>
      <c r="G2517" s="4">
        <f>IF(DatiOriginali!G2517 &gt;= SogliaPicchi!$B$27,"",DatiOriginali!G2517)</f>
        <v>490400</v>
      </c>
      <c r="H2517" s="4">
        <v>17287399</v>
      </c>
      <c r="I2517" s="4">
        <f>IF(DatiOriginali!I2517 &gt;= SogliaPicchi!$B$27,"",DatiOriginali!I2517)</f>
        <v>179200</v>
      </c>
      <c r="J2517" s="4">
        <v>17264055</v>
      </c>
      <c r="K2517" s="4">
        <f>IF(DatiOriginali!K2517 &gt;= SogliaPicchi!$B$27,"",DatiOriginali!K2517)</f>
        <v>196400</v>
      </c>
    </row>
    <row r="2518" spans="1:11" x14ac:dyDescent="0.3">
      <c r="A2518" s="4" t="s">
        <v>2527</v>
      </c>
      <c r="B2518" s="4">
        <v>844350</v>
      </c>
      <c r="C2518" s="4">
        <f>IF(DatiOriginali!C2518 &gt;= SogliaPicchi!$B$27,"",DatiOriginali!C2518)</f>
        <v>7406600</v>
      </c>
      <c r="D2518" s="4">
        <v>421284</v>
      </c>
      <c r="E2518" s="4">
        <f>IF(DatiOriginali!E2518 &gt;= SogliaPicchi!$B$27,"",DatiOriginali!E2518)</f>
        <v>1527400</v>
      </c>
      <c r="F2518" s="4">
        <v>13770776</v>
      </c>
      <c r="G2518" s="4">
        <f>IF(DatiOriginali!G2518 &gt;= SogliaPicchi!$B$27,"",DatiOriginali!G2518)</f>
        <v>541500</v>
      </c>
      <c r="H2518" s="4">
        <v>17302496</v>
      </c>
      <c r="I2518" s="4">
        <f>IF(DatiOriginali!I2518 &gt;= SogliaPicchi!$B$27,"",DatiOriginali!I2518)</f>
        <v>176200</v>
      </c>
      <c r="J2518" s="4">
        <v>17279825</v>
      </c>
      <c r="K2518" s="4">
        <f>IF(DatiOriginali!K2518 &gt;= SogliaPicchi!$B$27,"",DatiOriginali!K2518)</f>
        <v>190000</v>
      </c>
    </row>
    <row r="2519" spans="1:11" x14ac:dyDescent="0.3">
      <c r="A2519" s="4" t="s">
        <v>2528</v>
      </c>
      <c r="B2519" s="4">
        <v>844350</v>
      </c>
      <c r="C2519" s="4">
        <f>IF(DatiOriginali!C2519 &gt;= SogliaPicchi!$B$27,"",DatiOriginali!C2519)</f>
        <v>7463800</v>
      </c>
      <c r="D2519" s="4">
        <v>438657</v>
      </c>
      <c r="E2519" s="4">
        <f>IF(DatiOriginali!E2519 &gt;= SogliaPicchi!$B$27,"",DatiOriginali!E2519)</f>
        <v>1519400</v>
      </c>
      <c r="F2519" s="4">
        <v>13782638</v>
      </c>
      <c r="G2519" s="4">
        <f>IF(DatiOriginali!G2519 &gt;= SogliaPicchi!$B$27,"",DatiOriginali!G2519)</f>
        <v>496500</v>
      </c>
      <c r="H2519" s="4">
        <v>17316629</v>
      </c>
      <c r="I2519" s="4">
        <f>IF(DatiOriginali!I2519 &gt;= SogliaPicchi!$B$27,"",DatiOriginali!I2519)</f>
        <v>171600</v>
      </c>
      <c r="J2519" s="4">
        <v>17294515</v>
      </c>
      <c r="K2519" s="4">
        <f>IF(DatiOriginali!K2519 &gt;= SogliaPicchi!$B$27,"",DatiOriginali!K2519)</f>
        <v>190000</v>
      </c>
    </row>
    <row r="2520" spans="1:11" x14ac:dyDescent="0.3">
      <c r="A2520" s="4" t="s">
        <v>2529</v>
      </c>
      <c r="B2520" s="4">
        <v>844350</v>
      </c>
      <c r="C2520" s="4">
        <f>IF(DatiOriginali!C2520 &gt;= SogliaPicchi!$B$27,"",DatiOriginali!C2520)</f>
        <v>7436800</v>
      </c>
      <c r="D2520" s="4">
        <v>426434</v>
      </c>
      <c r="E2520" s="4">
        <f>IF(DatiOriginali!E2520 &gt;= SogliaPicchi!$B$27,"",DatiOriginali!E2520)</f>
        <v>1474900</v>
      </c>
      <c r="F2520" s="4">
        <v>13794466</v>
      </c>
      <c r="G2520" s="4">
        <f>IF(DatiOriginali!G2520 &gt;= SogliaPicchi!$B$27,"",DatiOriginali!G2520)</f>
        <v>506500</v>
      </c>
      <c r="H2520" s="4">
        <v>17333932</v>
      </c>
      <c r="I2520" s="4">
        <f>IF(DatiOriginali!I2520 &gt;= SogliaPicchi!$B$27,"",DatiOriginali!I2520)</f>
        <v>181700</v>
      </c>
      <c r="J2520" s="4">
        <v>17309001</v>
      </c>
      <c r="K2520" s="4">
        <f>IF(DatiOriginali!K2520 &gt;= SogliaPicchi!$B$27,"",DatiOriginali!K2520)</f>
        <v>187800</v>
      </c>
    </row>
    <row r="2521" spans="1:11" x14ac:dyDescent="0.3">
      <c r="A2521" s="4" t="s">
        <v>2530</v>
      </c>
      <c r="B2521" s="4">
        <v>844350</v>
      </c>
      <c r="C2521" s="4">
        <f>IF(DatiOriginali!C2521 &gt;= SogliaPicchi!$B$27,"",DatiOriginali!C2521)</f>
        <v>7875700</v>
      </c>
      <c r="D2521" s="4">
        <v>422839</v>
      </c>
      <c r="E2521" s="4">
        <f>IF(DatiOriginali!E2521 &gt;= SogliaPicchi!$B$27,"",DatiOriginali!E2521)</f>
        <v>1796500</v>
      </c>
      <c r="F2521" s="4">
        <v>13806265</v>
      </c>
      <c r="G2521" s="4">
        <f>IF(DatiOriginali!G2521 &gt;= SogliaPicchi!$B$27,"",DatiOriginali!G2521)</f>
        <v>662600</v>
      </c>
      <c r="H2521" s="4">
        <v>17349628</v>
      </c>
      <c r="I2521" s="4">
        <f>IF(DatiOriginali!I2521 &gt;= SogliaPicchi!$B$27,"",DatiOriginali!I2521)</f>
        <v>282200</v>
      </c>
      <c r="J2521" s="4">
        <v>17323283</v>
      </c>
      <c r="K2521" s="4">
        <f>IF(DatiOriginali!K2521 &gt;= SogliaPicchi!$B$27,"",DatiOriginali!K2521)</f>
        <v>188100</v>
      </c>
    </row>
    <row r="2522" spans="1:11" x14ac:dyDescent="0.3">
      <c r="A2522" s="4" t="s">
        <v>2531</v>
      </c>
      <c r="B2522" s="4">
        <v>844350</v>
      </c>
      <c r="C2522" s="4">
        <f>IF(DatiOriginali!C2522 &gt;= SogliaPicchi!$B$27,"",DatiOriginali!C2522)</f>
        <v>8026300</v>
      </c>
      <c r="D2522" s="4">
        <v>414332</v>
      </c>
      <c r="E2522" s="4">
        <f>IF(DatiOriginali!E2522 &gt;= SogliaPicchi!$B$27,"",DatiOriginali!E2522)</f>
        <v>1480200</v>
      </c>
      <c r="F2522" s="4">
        <v>13818080</v>
      </c>
      <c r="G2522" s="4">
        <f>IF(DatiOriginali!G2522 &gt;= SogliaPicchi!$B$27,"",DatiOriginali!G2522)</f>
        <v>502000</v>
      </c>
      <c r="H2522" s="4">
        <v>17364372</v>
      </c>
      <c r="I2522" s="4">
        <f>IF(DatiOriginali!I2522 &gt;= SogliaPicchi!$B$27,"",DatiOriginali!I2522)</f>
        <v>176400</v>
      </c>
      <c r="J2522" s="4">
        <v>17337014</v>
      </c>
      <c r="K2522" s="4">
        <f>IF(DatiOriginali!K2522 &gt;= SogliaPicchi!$B$27,"",DatiOriginali!K2522)</f>
        <v>192500</v>
      </c>
    </row>
    <row r="2523" spans="1:11" x14ac:dyDescent="0.3">
      <c r="A2523" s="4" t="s">
        <v>2532</v>
      </c>
      <c r="B2523" s="4">
        <v>844350</v>
      </c>
      <c r="C2523" s="4">
        <f>IF(DatiOriginali!C2523 &gt;= SogliaPicchi!$B$27,"",DatiOriginali!C2523)</f>
        <v>7567100</v>
      </c>
      <c r="D2523" s="4">
        <v>416439</v>
      </c>
      <c r="E2523" s="4">
        <f>IF(DatiOriginali!E2523 &gt;= SogliaPicchi!$B$27,"",DatiOriginali!E2523)</f>
        <v>1441000</v>
      </c>
      <c r="F2523" s="4">
        <v>13829939</v>
      </c>
      <c r="G2523" s="4">
        <f>IF(DatiOriginali!G2523 &gt;= SogliaPicchi!$B$27,"",DatiOriginali!G2523)</f>
        <v>495600</v>
      </c>
      <c r="H2523" s="4">
        <v>17380657</v>
      </c>
      <c r="I2523" s="4">
        <f>IF(DatiOriginali!I2523 &gt;= SogliaPicchi!$B$27,"",DatiOriginali!I2523)</f>
        <v>175800</v>
      </c>
      <c r="J2523" s="4">
        <v>17352181</v>
      </c>
      <c r="K2523" s="4">
        <f>IF(DatiOriginali!K2523 &gt;= SogliaPicchi!$B$27,"",DatiOriginali!K2523)</f>
        <v>186800</v>
      </c>
    </row>
    <row r="2524" spans="1:11" x14ac:dyDescent="0.3">
      <c r="A2524" s="4" t="s">
        <v>2533</v>
      </c>
      <c r="B2524" s="4">
        <v>844350</v>
      </c>
      <c r="C2524" s="4">
        <f>IF(DatiOriginali!C2524 &gt;= SogliaPicchi!$B$27,"",DatiOriginali!C2524)</f>
        <v>8045300</v>
      </c>
      <c r="D2524" s="4">
        <v>420418</v>
      </c>
      <c r="E2524" s="4">
        <f>IF(DatiOriginali!E2524 &gt;= SogliaPicchi!$B$27,"",DatiOriginali!E2524)</f>
        <v>1881900</v>
      </c>
      <c r="F2524" s="4">
        <v>13841741</v>
      </c>
      <c r="G2524" s="4">
        <f>IF(DatiOriginali!G2524 &gt;= SogliaPicchi!$B$27,"",DatiOriginali!G2524)</f>
        <v>608500</v>
      </c>
      <c r="H2524" s="4">
        <v>17395525</v>
      </c>
      <c r="I2524" s="4">
        <f>IF(DatiOriginali!I2524 &gt;= SogliaPicchi!$B$27,"",DatiOriginali!I2524)</f>
        <v>178100</v>
      </c>
      <c r="J2524" s="4">
        <v>17367574</v>
      </c>
      <c r="K2524" s="4">
        <f>IF(DatiOriginali!K2524 &gt;= SogliaPicchi!$B$27,"",DatiOriginali!K2524)</f>
        <v>185800</v>
      </c>
    </row>
    <row r="2525" spans="1:11" x14ac:dyDescent="0.3">
      <c r="A2525" s="4" t="s">
        <v>2534</v>
      </c>
      <c r="B2525" s="4">
        <v>844350</v>
      </c>
      <c r="C2525" s="4">
        <f>IF(DatiOriginali!C2525 &gt;= SogliaPicchi!$B$27,"",DatiOriginali!C2525)</f>
        <v>7582500</v>
      </c>
      <c r="D2525" s="4">
        <v>425002</v>
      </c>
      <c r="E2525" s="4">
        <f>IF(DatiOriginali!E2525 &gt;= SogliaPicchi!$B$27,"",DatiOriginali!E2525)</f>
        <v>1468200</v>
      </c>
      <c r="F2525" s="4">
        <v>13853555</v>
      </c>
      <c r="G2525" s="4">
        <f>IF(DatiOriginali!G2525 &gt;= SogliaPicchi!$B$27,"",DatiOriginali!G2525)</f>
        <v>489500</v>
      </c>
      <c r="H2525" s="4">
        <v>17410761</v>
      </c>
      <c r="I2525" s="4">
        <f>IF(DatiOriginali!I2525 &gt;= SogliaPicchi!$B$27,"",DatiOriginali!I2525)</f>
        <v>175500</v>
      </c>
      <c r="J2525" s="4">
        <v>17382967</v>
      </c>
      <c r="K2525" s="4">
        <f>IF(DatiOriginali!K2525 &gt;= SogliaPicchi!$B$27,"",DatiOriginali!K2525)</f>
        <v>188700</v>
      </c>
    </row>
    <row r="2526" spans="1:11" x14ac:dyDescent="0.3">
      <c r="A2526" s="4" t="s">
        <v>2535</v>
      </c>
      <c r="B2526" s="4">
        <v>844350</v>
      </c>
      <c r="C2526" s="4">
        <f>IF(DatiOriginali!C2526 &gt;= SogliaPicchi!$B$27,"",DatiOriginali!C2526)</f>
        <v>7322900</v>
      </c>
      <c r="D2526" s="4">
        <v>431465</v>
      </c>
      <c r="E2526" s="4">
        <f>IF(DatiOriginali!E2526 &gt;= SogliaPicchi!$B$27,"",DatiOriginali!E2526)</f>
        <v>1642100</v>
      </c>
      <c r="F2526" s="4">
        <v>13865380</v>
      </c>
      <c r="G2526" s="4">
        <f>IF(DatiOriginali!G2526 &gt;= SogliaPicchi!$B$27,"",DatiOriginali!G2526)</f>
        <v>499500</v>
      </c>
      <c r="H2526" s="4">
        <v>17425608</v>
      </c>
      <c r="I2526" s="4">
        <f>IF(DatiOriginali!I2526 &gt;= SogliaPicchi!$B$27,"",DatiOriginali!I2526)</f>
        <v>180800</v>
      </c>
      <c r="J2526" s="4">
        <v>17397217</v>
      </c>
      <c r="K2526" s="4">
        <f>IF(DatiOriginali!K2526 &gt;= SogliaPicchi!$B$27,"",DatiOriginali!K2526)</f>
        <v>190600</v>
      </c>
    </row>
    <row r="2527" spans="1:11" x14ac:dyDescent="0.3">
      <c r="A2527" s="4" t="s">
        <v>2536</v>
      </c>
      <c r="B2527" s="4">
        <v>844350</v>
      </c>
      <c r="C2527" s="4">
        <f>IF(DatiOriginali!C2527 &gt;= SogliaPicchi!$B$27,"",DatiOriginali!C2527)</f>
        <v>7963400</v>
      </c>
      <c r="D2527" s="4">
        <v>440258</v>
      </c>
      <c r="E2527" s="4">
        <f>IF(DatiOriginali!E2527 &gt;= SogliaPicchi!$B$27,"",DatiOriginali!E2527)</f>
        <v>1787000</v>
      </c>
      <c r="F2527" s="4">
        <v>13877233</v>
      </c>
      <c r="G2527" s="4">
        <f>IF(DatiOriginali!G2527 &gt;= SogliaPicchi!$B$27,"",DatiOriginali!G2527)</f>
        <v>502300</v>
      </c>
      <c r="H2527" s="4">
        <v>17439866</v>
      </c>
      <c r="I2527" s="4">
        <f>IF(DatiOriginali!I2527 &gt;= SogliaPicchi!$B$27,"",DatiOriginali!I2527)</f>
        <v>180300</v>
      </c>
      <c r="J2527" s="4">
        <v>17412198</v>
      </c>
      <c r="K2527" s="4">
        <f>IF(DatiOriginali!K2527 &gt;= SogliaPicchi!$B$27,"",DatiOriginali!K2527)</f>
        <v>197400</v>
      </c>
    </row>
    <row r="2528" spans="1:11" x14ac:dyDescent="0.3">
      <c r="A2528" s="4" t="s">
        <v>2537</v>
      </c>
      <c r="B2528" s="4">
        <v>844350</v>
      </c>
      <c r="C2528" s="4">
        <f>IF(DatiOriginali!C2528 &gt;= SogliaPicchi!$B$27,"",DatiOriginali!C2528)</f>
        <v>8015200</v>
      </c>
      <c r="D2528" s="4">
        <v>418787</v>
      </c>
      <c r="E2528" s="4">
        <f>IF(DatiOriginali!E2528 &gt;= SogliaPicchi!$B$27,"",DatiOriginali!E2528)</f>
        <v>1441300</v>
      </c>
      <c r="F2528" s="4">
        <v>13889055</v>
      </c>
      <c r="G2528" s="4">
        <f>IF(DatiOriginali!G2528 &gt;= SogliaPicchi!$B$27,"",DatiOriginali!G2528)</f>
        <v>508300</v>
      </c>
      <c r="H2528" s="4">
        <v>17454680</v>
      </c>
      <c r="I2528" s="4">
        <f>IF(DatiOriginali!I2528 &gt;= SogliaPicchi!$B$27,"",DatiOriginali!I2528)</f>
        <v>174800</v>
      </c>
      <c r="J2528" s="4">
        <v>17427662</v>
      </c>
      <c r="K2528" s="4">
        <f>IF(DatiOriginali!K2528 &gt;= SogliaPicchi!$B$27,"",DatiOriginali!K2528)</f>
        <v>192000</v>
      </c>
    </row>
    <row r="2529" spans="1:11" x14ac:dyDescent="0.3">
      <c r="A2529" s="4" t="s">
        <v>2538</v>
      </c>
      <c r="B2529" s="4">
        <v>844350</v>
      </c>
      <c r="C2529" s="4">
        <f>IF(DatiOriginali!C2529 &gt;= SogliaPicchi!$B$27,"",DatiOriginali!C2529)</f>
        <v>7695800</v>
      </c>
      <c r="D2529" s="4">
        <v>419343</v>
      </c>
      <c r="E2529" s="4">
        <f>IF(DatiOriginali!E2529 &gt;= SogliaPicchi!$B$27,"",DatiOriginali!E2529)</f>
        <v>1451000</v>
      </c>
      <c r="F2529" s="4">
        <v>13900869</v>
      </c>
      <c r="G2529" s="4">
        <f>IF(DatiOriginali!G2529 &gt;= SogliaPicchi!$B$27,"",DatiOriginali!G2529)</f>
        <v>494700</v>
      </c>
      <c r="H2529" s="4">
        <v>17470221</v>
      </c>
      <c r="I2529" s="4">
        <f>IF(DatiOriginali!I2529 &gt;= SogliaPicchi!$B$27,"",DatiOriginali!I2529)</f>
        <v>172200</v>
      </c>
      <c r="J2529" s="4">
        <v>17443426</v>
      </c>
      <c r="K2529" s="4">
        <f>IF(DatiOriginali!K2529 &gt;= SogliaPicchi!$B$27,"",DatiOriginali!K2529)</f>
        <v>191600</v>
      </c>
    </row>
    <row r="2530" spans="1:11" x14ac:dyDescent="0.3">
      <c r="A2530" s="4" t="s">
        <v>2539</v>
      </c>
      <c r="B2530" s="4">
        <v>844350</v>
      </c>
      <c r="C2530" s="4">
        <f>IF(DatiOriginali!C2530 &gt;= SogliaPicchi!$B$27,"",DatiOriginali!C2530)</f>
        <v>7350500</v>
      </c>
      <c r="D2530" s="4">
        <v>422518</v>
      </c>
      <c r="E2530" s="4">
        <f>IF(DatiOriginali!E2530 &gt;= SogliaPicchi!$B$27,"",DatiOriginali!E2530)</f>
        <v>1659000</v>
      </c>
      <c r="F2530" s="4">
        <v>13912718</v>
      </c>
      <c r="G2530" s="4">
        <f>IF(DatiOriginali!G2530 &gt;= SogliaPicchi!$B$27,"",DatiOriginali!G2530)</f>
        <v>514000</v>
      </c>
      <c r="H2530" s="4">
        <v>17486030</v>
      </c>
      <c r="I2530" s="4">
        <f>IF(DatiOriginali!I2530 &gt;= SogliaPicchi!$B$27,"",DatiOriginali!I2530)</f>
        <v>197000</v>
      </c>
      <c r="J2530" s="4">
        <v>17459351</v>
      </c>
      <c r="K2530" s="4">
        <f>IF(DatiOriginali!K2530 &gt;= SogliaPicchi!$B$27,"",DatiOriginali!K2530)</f>
        <v>188400</v>
      </c>
    </row>
    <row r="2531" spans="1:11" x14ac:dyDescent="0.3">
      <c r="A2531" s="4" t="s">
        <v>2540</v>
      </c>
      <c r="B2531" s="4">
        <v>844350</v>
      </c>
      <c r="C2531" s="4">
        <f>IF(DatiOriginali!C2531 &gt;= SogliaPicchi!$B$27,"",DatiOriginali!C2531)</f>
        <v>7842800</v>
      </c>
      <c r="D2531" s="4">
        <v>422528</v>
      </c>
      <c r="E2531" s="4">
        <f>IF(DatiOriginali!E2531 &gt;= SogliaPicchi!$B$27,"",DatiOriginali!E2531)</f>
        <v>1741200</v>
      </c>
      <c r="F2531" s="4">
        <v>13924536</v>
      </c>
      <c r="G2531" s="4">
        <f>IF(DatiOriginali!G2531 &gt;= SogliaPicchi!$B$27,"",DatiOriginali!G2531)</f>
        <v>595600</v>
      </c>
      <c r="H2531" s="4">
        <v>17500690</v>
      </c>
      <c r="I2531" s="4">
        <f>IF(DatiOriginali!I2531 &gt;= SogliaPicchi!$B$27,"",DatiOriginali!I2531)</f>
        <v>175700</v>
      </c>
      <c r="J2531" s="4">
        <v>17473868</v>
      </c>
      <c r="K2531" s="4">
        <f>IF(DatiOriginali!K2531 &gt;= SogliaPicchi!$B$27,"",DatiOriginali!K2531)</f>
        <v>195600</v>
      </c>
    </row>
    <row r="2532" spans="1:11" x14ac:dyDescent="0.3">
      <c r="A2532" s="4" t="s">
        <v>2541</v>
      </c>
      <c r="B2532" s="4">
        <v>844350</v>
      </c>
      <c r="C2532" s="4">
        <f>IF(DatiOriginali!C2532 &gt;= SogliaPicchi!$B$27,"",DatiOriginali!C2532)</f>
        <v>7731900</v>
      </c>
      <c r="D2532" s="4">
        <v>410251</v>
      </c>
      <c r="E2532" s="4">
        <f>IF(DatiOriginali!E2532 &gt;= SogliaPicchi!$B$27,"",DatiOriginali!E2532)</f>
        <v>1462400</v>
      </c>
      <c r="F2532" s="4">
        <v>13936361</v>
      </c>
      <c r="G2532" s="4">
        <f>IF(DatiOriginali!G2532 &gt;= SogliaPicchi!$B$27,"",DatiOriginali!G2532)</f>
        <v>507800</v>
      </c>
      <c r="H2532" s="4">
        <v>17514990</v>
      </c>
      <c r="I2532" s="4">
        <f>IF(DatiOriginali!I2532 &gt;= SogliaPicchi!$B$27,"",DatiOriginali!I2532)</f>
        <v>173100</v>
      </c>
      <c r="J2532" s="4">
        <v>17489500</v>
      </c>
      <c r="K2532" s="4">
        <f>IF(DatiOriginali!K2532 &gt;= SogliaPicchi!$B$27,"",DatiOriginali!K2532)</f>
        <v>190000</v>
      </c>
    </row>
    <row r="2533" spans="1:11" x14ac:dyDescent="0.3">
      <c r="A2533" s="4" t="s">
        <v>2542</v>
      </c>
      <c r="B2533" s="4">
        <v>844350</v>
      </c>
      <c r="C2533" s="4">
        <f>IF(DatiOriginali!C2533 &gt;= SogliaPicchi!$B$27,"",DatiOriginali!C2533)</f>
        <v>7745400</v>
      </c>
      <c r="D2533" s="4">
        <v>417491</v>
      </c>
      <c r="E2533" s="4">
        <f>IF(DatiOriginali!E2533 &gt;= SogliaPicchi!$B$27,"",DatiOriginali!E2533)</f>
        <v>1506200</v>
      </c>
      <c r="F2533" s="4">
        <v>13948188</v>
      </c>
      <c r="G2533" s="4">
        <f>IF(DatiOriginali!G2533 &gt;= SogliaPicchi!$B$27,"",DatiOriginali!G2533)</f>
        <v>504900</v>
      </c>
      <c r="H2533" s="4">
        <v>17529798</v>
      </c>
      <c r="I2533" s="4">
        <f>IF(DatiOriginali!I2533 &gt;= SogliaPicchi!$B$27,"",DatiOriginali!I2533)</f>
        <v>347600</v>
      </c>
      <c r="J2533" s="4">
        <v>17505401</v>
      </c>
      <c r="K2533" s="4">
        <f>IF(DatiOriginali!K2533 &gt;= SogliaPicchi!$B$27,"",DatiOriginali!K2533)</f>
        <v>238000</v>
      </c>
    </row>
    <row r="2534" spans="1:11" x14ac:dyDescent="0.3">
      <c r="A2534" s="4" t="s">
        <v>2543</v>
      </c>
      <c r="B2534" s="4">
        <v>844350</v>
      </c>
      <c r="C2534" s="4">
        <f>IF(DatiOriginali!C2534 &gt;= SogliaPicchi!$B$27,"",DatiOriginali!C2534)</f>
        <v>8582000</v>
      </c>
      <c r="D2534" s="4">
        <v>414189</v>
      </c>
      <c r="E2534" s="4">
        <f>IF(DatiOriginali!E2534 &gt;= SogliaPicchi!$B$27,"",DatiOriginali!E2534)</f>
        <v>1477800</v>
      </c>
      <c r="F2534" s="4">
        <v>13960018</v>
      </c>
      <c r="G2534" s="4">
        <f>IF(DatiOriginali!G2534 &gt;= SogliaPicchi!$B$27,"",DatiOriginali!G2534)</f>
        <v>503100</v>
      </c>
      <c r="H2534" s="4">
        <v>17544184</v>
      </c>
      <c r="I2534" s="4">
        <f>IF(DatiOriginali!I2534 &gt;= SogliaPicchi!$B$27,"",DatiOriginali!I2534)</f>
        <v>174700</v>
      </c>
      <c r="J2534" s="4">
        <v>17519431</v>
      </c>
      <c r="K2534" s="4">
        <f>IF(DatiOriginali!K2534 &gt;= SogliaPicchi!$B$27,"",DatiOriginali!K2534)</f>
        <v>193300</v>
      </c>
    </row>
    <row r="2535" spans="1:11" x14ac:dyDescent="0.3">
      <c r="A2535" s="4" t="s">
        <v>2544</v>
      </c>
      <c r="B2535" s="4">
        <v>844350</v>
      </c>
      <c r="C2535" s="4">
        <f>IF(DatiOriginali!C2535 &gt;= SogliaPicchi!$B$27,"",DatiOriginali!C2535)</f>
        <v>7617900</v>
      </c>
      <c r="D2535" s="4">
        <v>420599</v>
      </c>
      <c r="E2535" s="4">
        <f>IF(DatiOriginali!E2535 &gt;= SogliaPicchi!$B$27,"",DatiOriginali!E2535)</f>
        <v>1483900</v>
      </c>
      <c r="F2535" s="4">
        <v>13971843</v>
      </c>
      <c r="G2535" s="4">
        <f>IF(DatiOriginali!G2535 &gt;= SogliaPicchi!$B$27,"",DatiOriginali!G2535)</f>
        <v>503000</v>
      </c>
      <c r="H2535" s="4">
        <v>17558998</v>
      </c>
      <c r="I2535" s="4">
        <f>IF(DatiOriginali!I2535 &gt;= SogliaPicchi!$B$27,"",DatiOriginali!I2535)</f>
        <v>173300</v>
      </c>
      <c r="J2535" s="4">
        <v>17534321</v>
      </c>
      <c r="K2535" s="4">
        <f>IF(DatiOriginali!K2535 &gt;= SogliaPicchi!$B$27,"",DatiOriginali!K2535)</f>
        <v>191900</v>
      </c>
    </row>
    <row r="2536" spans="1:11" x14ac:dyDescent="0.3">
      <c r="A2536" s="4" t="s">
        <v>2545</v>
      </c>
      <c r="B2536" s="4">
        <v>844350</v>
      </c>
      <c r="C2536" s="4">
        <f>IF(DatiOriginali!C2536 &gt;= SogliaPicchi!$B$27,"",DatiOriginali!C2536)</f>
        <v>8175100</v>
      </c>
      <c r="D2536" s="4">
        <v>418292</v>
      </c>
      <c r="E2536" s="4">
        <f>IF(DatiOriginali!E2536 &gt;= SogliaPicchi!$B$27,"",DatiOriginali!E2536)</f>
        <v>1650900</v>
      </c>
      <c r="F2536" s="4">
        <v>13983662</v>
      </c>
      <c r="G2536" s="4">
        <f>IF(DatiOriginali!G2536 &gt;= SogliaPicchi!$B$27,"",DatiOriginali!G2536)</f>
        <v>503900</v>
      </c>
      <c r="H2536" s="4">
        <v>17573293</v>
      </c>
      <c r="I2536" s="4">
        <f>IF(DatiOriginali!I2536 &gt;= SogliaPicchi!$B$27,"",DatiOriginali!I2536)</f>
        <v>176800</v>
      </c>
      <c r="J2536" s="4">
        <v>17549363</v>
      </c>
      <c r="K2536" s="4">
        <f>IF(DatiOriginali!K2536 &gt;= SogliaPicchi!$B$27,"",DatiOriginali!K2536)</f>
        <v>197200</v>
      </c>
    </row>
    <row r="2537" spans="1:11" x14ac:dyDescent="0.3">
      <c r="A2537" s="4" t="s">
        <v>2546</v>
      </c>
      <c r="B2537" s="4">
        <v>844350</v>
      </c>
      <c r="C2537" s="4">
        <f>IF(DatiOriginali!C2537 &gt;= SogliaPicchi!$B$27,"",DatiOriginali!C2537)</f>
        <v>7740700</v>
      </c>
      <c r="D2537" s="4">
        <v>422305</v>
      </c>
      <c r="E2537" s="4">
        <f>IF(DatiOriginali!E2537 &gt;= SogliaPicchi!$B$27,"",DatiOriginali!E2537)</f>
        <v>1462000</v>
      </c>
      <c r="F2537" s="4">
        <v>13995520</v>
      </c>
      <c r="G2537" s="4">
        <f>IF(DatiOriginali!G2537 &gt;= SogliaPicchi!$B$27,"",DatiOriginali!G2537)</f>
        <v>495500</v>
      </c>
      <c r="H2537" s="4">
        <v>17587558</v>
      </c>
      <c r="I2537" s="4">
        <f>IF(DatiOriginali!I2537 &gt;= SogliaPicchi!$B$27,"",DatiOriginali!I2537)</f>
        <v>174200</v>
      </c>
      <c r="J2537" s="4">
        <v>17563388</v>
      </c>
      <c r="K2537" s="4">
        <f>IF(DatiOriginali!K2537 &gt;= SogliaPicchi!$B$27,"",DatiOriginali!K2537)</f>
        <v>189800</v>
      </c>
    </row>
    <row r="2538" spans="1:11" x14ac:dyDescent="0.3">
      <c r="A2538" s="4" t="s">
        <v>2547</v>
      </c>
      <c r="B2538" s="4">
        <v>844350</v>
      </c>
      <c r="C2538" s="4">
        <f>IF(DatiOriginali!C2538 &gt;= SogliaPicchi!$B$27,"",DatiOriginali!C2538)</f>
        <v>7652400</v>
      </c>
      <c r="D2538" s="4">
        <v>412014</v>
      </c>
      <c r="E2538" s="4">
        <f>IF(DatiOriginali!E2538 &gt;= SogliaPicchi!$B$27,"",DatiOriginali!E2538)</f>
        <v>1422400</v>
      </c>
      <c r="F2538" s="4">
        <v>14007338</v>
      </c>
      <c r="G2538" s="4">
        <f>IF(DatiOriginali!G2538 &gt;= SogliaPicchi!$B$27,"",DatiOriginali!G2538)</f>
        <v>496000</v>
      </c>
      <c r="H2538" s="4">
        <v>17601327</v>
      </c>
      <c r="I2538" s="4">
        <f>IF(DatiOriginali!I2538 &gt;= SogliaPicchi!$B$27,"",DatiOriginali!I2538)</f>
        <v>173400</v>
      </c>
      <c r="J2538" s="4">
        <v>17578192</v>
      </c>
      <c r="K2538" s="4">
        <f>IF(DatiOriginali!K2538 &gt;= SogliaPicchi!$B$27,"",DatiOriginali!K2538)</f>
        <v>187800</v>
      </c>
    </row>
    <row r="2539" spans="1:11" x14ac:dyDescent="0.3">
      <c r="A2539" s="4" t="s">
        <v>2548</v>
      </c>
      <c r="B2539" s="4">
        <v>844350</v>
      </c>
      <c r="C2539" s="4">
        <f>IF(DatiOriginali!C2539 &gt;= SogliaPicchi!$B$27,"",DatiOriginali!C2539)</f>
        <v>7494100</v>
      </c>
      <c r="D2539" s="4">
        <v>422244</v>
      </c>
      <c r="E2539" s="4">
        <f>IF(DatiOriginali!E2539 &gt;= SogliaPicchi!$B$27,"",DatiOriginali!E2539)</f>
        <v>1524200</v>
      </c>
      <c r="F2539" s="4">
        <v>14019181</v>
      </c>
      <c r="G2539" s="4">
        <f>IF(DatiOriginali!G2539 &gt;= SogliaPicchi!$B$27,"",DatiOriginali!G2539)</f>
        <v>525200</v>
      </c>
      <c r="H2539" s="4">
        <v>17616605</v>
      </c>
      <c r="I2539" s="4">
        <f>IF(DatiOriginali!I2539 &gt;= SogliaPicchi!$B$27,"",DatiOriginali!I2539)</f>
        <v>180300</v>
      </c>
      <c r="J2539" s="4">
        <v>17592205</v>
      </c>
      <c r="K2539" s="4">
        <f>IF(DatiOriginali!K2539 &gt;= SogliaPicchi!$B$27,"",DatiOriginali!K2539)</f>
        <v>187700</v>
      </c>
    </row>
    <row r="2540" spans="1:11" x14ac:dyDescent="0.3">
      <c r="A2540" s="4" t="s">
        <v>2549</v>
      </c>
      <c r="B2540" s="4">
        <v>844350</v>
      </c>
      <c r="C2540" s="4">
        <f>IF(DatiOriginali!C2540 &gt;= SogliaPicchi!$B$27,"",DatiOriginali!C2540)</f>
        <v>7749900</v>
      </c>
      <c r="D2540" s="4">
        <v>421561</v>
      </c>
      <c r="E2540" s="4">
        <f>IF(DatiOriginali!E2540 &gt;= SogliaPicchi!$B$27,"",DatiOriginali!E2540)</f>
        <v>1458000</v>
      </c>
      <c r="F2540" s="4">
        <v>14031043</v>
      </c>
      <c r="G2540" s="4">
        <f>IF(DatiOriginali!G2540 &gt;= SogliaPicchi!$B$27,"",DatiOriginali!G2540)</f>
        <v>496300</v>
      </c>
      <c r="H2540" s="4">
        <v>17631133</v>
      </c>
      <c r="I2540" s="4">
        <f>IF(DatiOriginali!I2540 &gt;= SogliaPicchi!$B$27,"",DatiOriginali!I2540)</f>
        <v>178300</v>
      </c>
      <c r="J2540" s="4">
        <v>17606064</v>
      </c>
      <c r="K2540" s="4">
        <f>IF(DatiOriginali!K2540 &gt;= SogliaPicchi!$B$27,"",DatiOriginali!K2540)</f>
        <v>186400</v>
      </c>
    </row>
    <row r="2541" spans="1:11" x14ac:dyDescent="0.3">
      <c r="A2541" s="4" t="s">
        <v>2550</v>
      </c>
      <c r="B2541" s="4">
        <v>844350</v>
      </c>
      <c r="C2541" s="4">
        <f>IF(DatiOriginali!C2541 &gt;= SogliaPicchi!$B$27,"",DatiOriginali!C2541)</f>
        <v>7588500</v>
      </c>
      <c r="D2541" s="4">
        <v>434332</v>
      </c>
      <c r="E2541" s="4">
        <f>IF(DatiOriginali!E2541 &gt;= SogliaPicchi!$B$27,"",DatiOriginali!E2541)</f>
        <v>1519600</v>
      </c>
      <c r="F2541" s="4">
        <v>14042872</v>
      </c>
      <c r="G2541" s="4">
        <f>IF(DatiOriginali!G2541 &gt;= SogliaPicchi!$B$27,"",DatiOriginali!G2541)</f>
        <v>489700</v>
      </c>
      <c r="H2541" s="4">
        <v>17645995</v>
      </c>
      <c r="I2541" s="4">
        <f>IF(DatiOriginali!I2541 &gt;= SogliaPicchi!$B$27,"",DatiOriginali!I2541)</f>
        <v>167300</v>
      </c>
      <c r="J2541" s="4">
        <v>17620654</v>
      </c>
      <c r="K2541" s="4">
        <f>IF(DatiOriginali!K2541 &gt;= SogliaPicchi!$B$27,"",DatiOriginali!K2541)</f>
        <v>186900</v>
      </c>
    </row>
    <row r="2542" spans="1:11" x14ac:dyDescent="0.3">
      <c r="A2542" s="4" t="s">
        <v>2551</v>
      </c>
      <c r="B2542" s="4">
        <v>844350</v>
      </c>
      <c r="C2542" s="4">
        <f>IF(DatiOriginali!C2542 &gt;= SogliaPicchi!$B$27,"",DatiOriginali!C2542)</f>
        <v>7270900</v>
      </c>
      <c r="D2542" s="4">
        <v>423607</v>
      </c>
      <c r="E2542" s="4">
        <f>IF(DatiOriginali!E2542 &gt;= SogliaPicchi!$B$27,"",DatiOriginali!E2542)</f>
        <v>1712000</v>
      </c>
      <c r="F2542" s="4">
        <v>14054707</v>
      </c>
      <c r="G2542" s="4">
        <f>IF(DatiOriginali!G2542 &gt;= SogliaPicchi!$B$27,"",DatiOriginali!G2542)</f>
        <v>509500</v>
      </c>
      <c r="H2542" s="4">
        <v>17662291</v>
      </c>
      <c r="I2542" s="4">
        <f>IF(DatiOriginali!I2542 &gt;= SogliaPicchi!$B$27,"",DatiOriginali!I2542)</f>
        <v>187400</v>
      </c>
      <c r="J2542" s="4">
        <v>17636721</v>
      </c>
      <c r="K2542" s="4">
        <f>IF(DatiOriginali!K2542 &gt;= SogliaPicchi!$B$27,"",DatiOriginali!K2542)</f>
        <v>193900</v>
      </c>
    </row>
    <row r="2543" spans="1:11" x14ac:dyDescent="0.3">
      <c r="A2543" s="4" t="s">
        <v>2552</v>
      </c>
      <c r="B2543" s="4">
        <v>844350</v>
      </c>
      <c r="C2543" s="4">
        <f>IF(DatiOriginali!C2543 &gt;= SogliaPicchi!$B$27,"",DatiOriginali!C2543)</f>
        <v>7636600</v>
      </c>
      <c r="D2543" s="4">
        <v>432696</v>
      </c>
      <c r="E2543" s="4">
        <f>IF(DatiOriginali!E2543 &gt;= SogliaPicchi!$B$27,"",DatiOriginali!E2543)</f>
        <v>1496100</v>
      </c>
      <c r="F2543" s="4">
        <v>14066520</v>
      </c>
      <c r="G2543" s="4">
        <f>IF(DatiOriginali!G2543 &gt;= SogliaPicchi!$B$27,"",DatiOriginali!G2543)</f>
        <v>491900</v>
      </c>
      <c r="H2543" s="4">
        <v>17675764</v>
      </c>
      <c r="I2543" s="4">
        <f>IF(DatiOriginali!I2543 &gt;= SogliaPicchi!$B$27,"",DatiOriginali!I2543)</f>
        <v>176800</v>
      </c>
      <c r="J2543" s="4">
        <v>17652210</v>
      </c>
      <c r="K2543" s="4">
        <f>IF(DatiOriginali!K2543 &gt;= SogliaPicchi!$B$27,"",DatiOriginali!K2543)</f>
        <v>193100</v>
      </c>
    </row>
    <row r="2544" spans="1:11" x14ac:dyDescent="0.3">
      <c r="A2544" s="4" t="s">
        <v>2553</v>
      </c>
      <c r="B2544" s="4">
        <v>844350</v>
      </c>
      <c r="C2544" s="4">
        <f>IF(DatiOriginali!C2544 &gt;= SogliaPicchi!$B$27,"",DatiOriginali!C2544)</f>
        <v>7559000</v>
      </c>
      <c r="D2544" s="4">
        <v>412845</v>
      </c>
      <c r="E2544" s="4">
        <f>IF(DatiOriginali!E2544 &gt;= SogliaPicchi!$B$27,"",DatiOriginali!E2544)</f>
        <v>1478800</v>
      </c>
      <c r="F2544" s="4">
        <v>14078400</v>
      </c>
      <c r="G2544" s="4">
        <f>IF(DatiOriginali!G2544 &gt;= SogliaPicchi!$B$27,"",DatiOriginali!G2544)</f>
        <v>499800</v>
      </c>
      <c r="H2544" s="4">
        <v>17690934</v>
      </c>
      <c r="I2544" s="4">
        <f>IF(DatiOriginali!I2544 &gt;= SogliaPicchi!$B$27,"",DatiOriginali!I2544)</f>
        <v>181000</v>
      </c>
      <c r="J2544" s="4">
        <v>17666609</v>
      </c>
      <c r="K2544" s="4">
        <f>IF(DatiOriginali!K2544 &gt;= SogliaPicchi!$B$27,"",DatiOriginali!K2544)</f>
        <v>189100</v>
      </c>
    </row>
    <row r="2545" spans="1:11" x14ac:dyDescent="0.3">
      <c r="A2545" s="4" t="s">
        <v>2554</v>
      </c>
      <c r="B2545" s="4">
        <v>844350</v>
      </c>
      <c r="C2545" s="4">
        <f>IF(DatiOriginali!C2545 &gt;= SogliaPicchi!$B$27,"",DatiOriginali!C2545)</f>
        <v>7268600</v>
      </c>
      <c r="D2545" s="4">
        <v>436769</v>
      </c>
      <c r="E2545" s="4">
        <f>IF(DatiOriginali!E2545 &gt;= SogliaPicchi!$B$27,"",DatiOriginali!E2545)</f>
        <v>1763700</v>
      </c>
      <c r="F2545" s="4">
        <v>14090224</v>
      </c>
      <c r="G2545" s="4">
        <f>IF(DatiOriginali!G2545 &gt;= SogliaPicchi!$B$27,"",DatiOriginali!G2545)</f>
        <v>608900</v>
      </c>
      <c r="H2545" s="4">
        <v>17705930</v>
      </c>
      <c r="I2545" s="4">
        <f>IF(DatiOriginali!I2545 &gt;= SogliaPicchi!$B$27,"",DatiOriginali!I2545)</f>
        <v>206700</v>
      </c>
      <c r="J2545" s="4">
        <v>17682382</v>
      </c>
      <c r="K2545" s="4">
        <f>IF(DatiOriginali!K2545 &gt;= SogliaPicchi!$B$27,"",DatiOriginali!K2545)</f>
        <v>408300</v>
      </c>
    </row>
    <row r="2546" spans="1:11" x14ac:dyDescent="0.3">
      <c r="A2546" s="4" t="s">
        <v>2555</v>
      </c>
      <c r="B2546" s="4">
        <v>844350</v>
      </c>
      <c r="C2546" s="4">
        <f>IF(DatiOriginali!C2546 &gt;= SogliaPicchi!$B$27,"",DatiOriginali!C2546)</f>
        <v>7978600</v>
      </c>
      <c r="D2546" s="4">
        <v>401048</v>
      </c>
      <c r="E2546" s="4">
        <f>IF(DatiOriginali!E2546 &gt;= SogliaPicchi!$B$27,"",DatiOriginali!E2546)</f>
        <v>1430900</v>
      </c>
      <c r="F2546" s="4">
        <v>14102068</v>
      </c>
      <c r="G2546" s="4">
        <f>IF(DatiOriginali!G2546 &gt;= SogliaPicchi!$B$27,"",DatiOriginali!G2546)</f>
        <v>494700</v>
      </c>
      <c r="H2546" s="4">
        <v>17720984</v>
      </c>
      <c r="I2546" s="4">
        <f>IF(DatiOriginali!I2546 &gt;= SogliaPicchi!$B$27,"",DatiOriginali!I2546)</f>
        <v>176500</v>
      </c>
      <c r="J2546" s="4">
        <v>17698175</v>
      </c>
      <c r="K2546" s="4">
        <f>IF(DatiOriginali!K2546 &gt;= SogliaPicchi!$B$27,"",DatiOriginali!K2546)</f>
        <v>194800</v>
      </c>
    </row>
    <row r="2547" spans="1:11" x14ac:dyDescent="0.3">
      <c r="A2547" s="4" t="s">
        <v>2556</v>
      </c>
      <c r="B2547" s="4">
        <v>844350</v>
      </c>
      <c r="C2547" s="4">
        <f>IF(DatiOriginali!C2547 &gt;= SogliaPicchi!$B$27,"",DatiOriginali!C2547)</f>
        <v>7399200</v>
      </c>
      <c r="D2547" s="4">
        <v>433122</v>
      </c>
      <c r="E2547" s="4">
        <f>IF(DatiOriginali!E2547 &gt;= SogliaPicchi!$B$27,"",DatiOriginali!E2547)</f>
        <v>1488300</v>
      </c>
      <c r="F2547" s="4">
        <v>14113880</v>
      </c>
      <c r="G2547" s="4">
        <f>IF(DatiOriginali!G2547 &gt;= SogliaPicchi!$B$27,"",DatiOriginali!G2547)</f>
        <v>493600</v>
      </c>
      <c r="H2547" s="4">
        <v>17736869</v>
      </c>
      <c r="I2547" s="4">
        <f>IF(DatiOriginali!I2547 &gt;= SogliaPicchi!$B$27,"",DatiOriginali!I2547)</f>
        <v>174000</v>
      </c>
      <c r="J2547" s="4">
        <v>17713235</v>
      </c>
      <c r="K2547" s="4">
        <f>IF(DatiOriginali!K2547 &gt;= SogliaPicchi!$B$27,"",DatiOriginali!K2547)</f>
        <v>187300</v>
      </c>
    </row>
    <row r="2548" spans="1:11" x14ac:dyDescent="0.3">
      <c r="A2548" s="4" t="s">
        <v>2557</v>
      </c>
      <c r="B2548" s="4">
        <v>844350</v>
      </c>
      <c r="C2548" s="4">
        <f>IF(DatiOriginali!C2548 &gt;= SogliaPicchi!$B$27,"",DatiOriginali!C2548)</f>
        <v>7956400</v>
      </c>
      <c r="D2548" s="4">
        <v>421806</v>
      </c>
      <c r="E2548" s="4">
        <f>IF(DatiOriginali!E2548 &gt;= SogliaPicchi!$B$27,"",DatiOriginali!E2548)</f>
        <v>1739500</v>
      </c>
      <c r="F2548" s="4">
        <v>14125727</v>
      </c>
      <c r="G2548" s="4">
        <f>IF(DatiOriginali!G2548 &gt;= SogliaPicchi!$B$27,"",DatiOriginali!G2548)</f>
        <v>594100</v>
      </c>
      <c r="H2548" s="4">
        <v>17751463</v>
      </c>
      <c r="I2548" s="4">
        <f>IF(DatiOriginali!I2548 &gt;= SogliaPicchi!$B$27,"",DatiOriginali!I2548)</f>
        <v>175300</v>
      </c>
      <c r="J2548" s="4">
        <v>17728540</v>
      </c>
      <c r="K2548" s="4">
        <f>IF(DatiOriginali!K2548 &gt;= SogliaPicchi!$B$27,"",DatiOriginali!K2548)</f>
        <v>198900</v>
      </c>
    </row>
    <row r="2549" spans="1:11" x14ac:dyDescent="0.3">
      <c r="A2549" s="4" t="s">
        <v>2558</v>
      </c>
      <c r="B2549" s="4">
        <v>844350</v>
      </c>
      <c r="C2549" s="4">
        <f>IF(DatiOriginali!C2549 &gt;= SogliaPicchi!$B$27,"",DatiOriginali!C2549)</f>
        <v>7605700</v>
      </c>
      <c r="D2549" s="4">
        <v>424718</v>
      </c>
      <c r="E2549" s="4">
        <f>IF(DatiOriginali!E2549 &gt;= SogliaPicchi!$B$27,"",DatiOriginali!E2549)</f>
        <v>1466000</v>
      </c>
      <c r="F2549" s="4">
        <v>14137581</v>
      </c>
      <c r="G2549" s="4">
        <f>IF(DatiOriginali!G2549 &gt;= SogliaPicchi!$B$27,"",DatiOriginali!G2549)</f>
        <v>492900</v>
      </c>
      <c r="H2549" s="4">
        <v>17770464</v>
      </c>
      <c r="I2549" s="4">
        <f>IF(DatiOriginali!I2549 &gt;= SogliaPicchi!$B$27,"",DatiOriginali!I2549)</f>
        <v>176500</v>
      </c>
      <c r="J2549" s="4">
        <v>17744927</v>
      </c>
      <c r="K2549" s="4">
        <f>IF(DatiOriginali!K2549 &gt;= SogliaPicchi!$B$27,"",DatiOriginali!K2549)</f>
        <v>187900</v>
      </c>
    </row>
    <row r="2550" spans="1:11" x14ac:dyDescent="0.3">
      <c r="A2550" s="4" t="s">
        <v>2559</v>
      </c>
      <c r="B2550" s="4">
        <v>844350</v>
      </c>
      <c r="C2550" s="4">
        <f>IF(DatiOriginali!C2550 &gt;= SogliaPicchi!$B$27,"",DatiOriginali!C2550)</f>
        <v>7619900</v>
      </c>
      <c r="D2550" s="4">
        <v>427901</v>
      </c>
      <c r="E2550" s="4">
        <f>IF(DatiOriginali!E2550 &gt;= SogliaPicchi!$B$27,"",DatiOriginali!E2550)</f>
        <v>1474700</v>
      </c>
      <c r="F2550" s="4">
        <v>14149422</v>
      </c>
      <c r="G2550" s="4">
        <f>IF(DatiOriginali!G2550 &gt;= SogliaPicchi!$B$27,"",DatiOriginali!G2550)</f>
        <v>625800</v>
      </c>
      <c r="H2550" s="4">
        <v>17785599</v>
      </c>
      <c r="I2550" s="4">
        <f>IF(DatiOriginali!I2550 &gt;= SogliaPicchi!$B$27,"",DatiOriginali!I2550)</f>
        <v>172500</v>
      </c>
      <c r="J2550" s="4">
        <v>17761556</v>
      </c>
      <c r="K2550" s="4">
        <f>IF(DatiOriginali!K2550 &gt;= SogliaPicchi!$B$27,"",DatiOriginali!K2550)</f>
        <v>190900</v>
      </c>
    </row>
    <row r="2551" spans="1:11" x14ac:dyDescent="0.3">
      <c r="A2551" s="4" t="s">
        <v>2560</v>
      </c>
      <c r="B2551" s="4">
        <v>844350</v>
      </c>
      <c r="C2551" s="4">
        <f>IF(DatiOriginali!C2551 &gt;= SogliaPicchi!$B$27,"",DatiOriginali!C2551)</f>
        <v>7544700</v>
      </c>
      <c r="D2551" s="4">
        <v>416167</v>
      </c>
      <c r="E2551" s="4">
        <f>IF(DatiOriginali!E2551 &gt;= SogliaPicchi!$B$27,"",DatiOriginali!E2551)</f>
        <v>1503500</v>
      </c>
      <c r="F2551" s="4">
        <v>14161228</v>
      </c>
      <c r="G2551" s="4">
        <f>IF(DatiOriginali!G2551 &gt;= SogliaPicchi!$B$27,"",DatiOriginali!G2551)</f>
        <v>619700</v>
      </c>
      <c r="H2551" s="4">
        <v>17802775</v>
      </c>
      <c r="I2551" s="4">
        <f>IF(DatiOriginali!I2551 &gt;= SogliaPicchi!$B$27,"",DatiOriginali!I2551)</f>
        <v>179300</v>
      </c>
      <c r="J2551" s="4">
        <v>17777041</v>
      </c>
      <c r="K2551" s="4">
        <f>IF(DatiOriginali!K2551 &gt;= SogliaPicchi!$B$27,"",DatiOriginali!K2551)</f>
        <v>197200</v>
      </c>
    </row>
    <row r="2552" spans="1:11" x14ac:dyDescent="0.3">
      <c r="A2552" s="4" t="s">
        <v>2561</v>
      </c>
      <c r="B2552" s="4">
        <v>844350</v>
      </c>
      <c r="C2552" s="4">
        <f>IF(DatiOriginali!C2552 &gt;= SogliaPicchi!$B$27,"",DatiOriginali!C2552)</f>
        <v>7508100</v>
      </c>
      <c r="D2552" s="4">
        <v>429892</v>
      </c>
      <c r="E2552" s="4">
        <f>IF(DatiOriginali!E2552 &gt;= SogliaPicchi!$B$27,"",DatiOriginali!E2552)</f>
        <v>1530400</v>
      </c>
      <c r="F2552" s="4">
        <v>14173057</v>
      </c>
      <c r="G2552" s="4">
        <f>IF(DatiOriginali!G2552 &gt;= SogliaPicchi!$B$27,"",DatiOriginali!G2552)</f>
        <v>491200</v>
      </c>
      <c r="H2552" s="4">
        <v>17817625</v>
      </c>
      <c r="I2552" s="4">
        <f>IF(DatiOriginali!I2552 &gt;= SogliaPicchi!$B$27,"",DatiOriginali!I2552)</f>
        <v>179700</v>
      </c>
      <c r="J2552" s="4">
        <v>17791104</v>
      </c>
      <c r="K2552" s="4">
        <f>IF(DatiOriginali!K2552 &gt;= SogliaPicchi!$B$27,"",DatiOriginali!K2552)</f>
        <v>186500</v>
      </c>
    </row>
    <row r="2553" spans="1:11" x14ac:dyDescent="0.3">
      <c r="A2553" s="4" t="s">
        <v>2562</v>
      </c>
      <c r="B2553" s="4">
        <v>844350</v>
      </c>
      <c r="C2553" s="4">
        <f>IF(DatiOriginali!C2553 &gt;= SogliaPicchi!$B$27,"",DatiOriginali!C2553)</f>
        <v>7643000</v>
      </c>
      <c r="D2553" s="4">
        <v>424092</v>
      </c>
      <c r="E2553" s="4">
        <f>IF(DatiOriginali!E2553 &gt;= SogliaPicchi!$B$27,"",DatiOriginali!E2553)</f>
        <v>1474100</v>
      </c>
      <c r="F2553" s="4">
        <v>14184894</v>
      </c>
      <c r="G2553" s="4">
        <f>IF(DatiOriginali!G2553 &gt;= SogliaPicchi!$B$27,"",DatiOriginali!G2553)</f>
        <v>499600</v>
      </c>
      <c r="H2553" s="4">
        <v>17832838</v>
      </c>
      <c r="I2553" s="4">
        <f>IF(DatiOriginali!I2553 &gt;= SogliaPicchi!$B$27,"",DatiOriginali!I2553)</f>
        <v>176600</v>
      </c>
      <c r="J2553" s="4">
        <v>17806442</v>
      </c>
      <c r="K2553" s="4">
        <f>IF(DatiOriginali!K2553 &gt;= SogliaPicchi!$B$27,"",DatiOriginali!K2553)</f>
        <v>189000</v>
      </c>
    </row>
    <row r="2554" spans="1:11" x14ac:dyDescent="0.3">
      <c r="A2554" s="4" t="s">
        <v>2563</v>
      </c>
      <c r="B2554" s="4">
        <v>844350</v>
      </c>
      <c r="C2554" s="4">
        <f>IF(DatiOriginali!C2554 &gt;= SogliaPicchi!$B$27,"",DatiOriginali!C2554)</f>
        <v>7599300</v>
      </c>
      <c r="D2554" s="4">
        <v>417130</v>
      </c>
      <c r="E2554" s="4">
        <f>IF(DatiOriginali!E2554 &gt;= SogliaPicchi!$B$27,"",DatiOriginali!E2554)</f>
        <v>1453900</v>
      </c>
      <c r="F2554" s="4">
        <v>14196708</v>
      </c>
      <c r="G2554" s="4">
        <f>IF(DatiOriginali!G2554 &gt;= SogliaPicchi!$B$27,"",DatiOriginali!G2554)</f>
        <v>499500</v>
      </c>
      <c r="H2554" s="4">
        <v>17847176</v>
      </c>
      <c r="I2554" s="4">
        <f>IF(DatiOriginali!I2554 &gt;= SogliaPicchi!$B$27,"",DatiOriginali!I2554)</f>
        <v>176600</v>
      </c>
      <c r="J2554" s="4">
        <v>17820490</v>
      </c>
      <c r="K2554" s="4">
        <f>IF(DatiOriginali!K2554 &gt;= SogliaPicchi!$B$27,"",DatiOriginali!K2554)</f>
        <v>190200</v>
      </c>
    </row>
    <row r="2555" spans="1:11" x14ac:dyDescent="0.3">
      <c r="A2555" s="4" t="s">
        <v>2564</v>
      </c>
      <c r="B2555" s="4">
        <v>844350</v>
      </c>
      <c r="C2555" s="4">
        <f>IF(DatiOriginali!C2555 &gt;= SogliaPicchi!$B$27,"",DatiOriginali!C2555)</f>
        <v>7538000</v>
      </c>
      <c r="D2555" s="4">
        <v>433361</v>
      </c>
      <c r="E2555" s="4">
        <f>IF(DatiOriginali!E2555 &gt;= SogliaPicchi!$B$27,"",DatiOriginali!E2555)</f>
        <v>1547500</v>
      </c>
      <c r="F2555" s="4">
        <v>14208554</v>
      </c>
      <c r="G2555" s="4">
        <f>IF(DatiOriginali!G2555 &gt;= SogliaPicchi!$B$27,"",DatiOriginali!G2555)</f>
        <v>491600</v>
      </c>
      <c r="H2555" s="4">
        <v>17861667</v>
      </c>
      <c r="I2555" s="4">
        <f>IF(DatiOriginali!I2555 &gt;= SogliaPicchi!$B$27,"",DatiOriginali!I2555)</f>
        <v>179800</v>
      </c>
      <c r="J2555" s="4">
        <v>17835779</v>
      </c>
      <c r="K2555" s="4">
        <f>IF(DatiOriginali!K2555 &gt;= SogliaPicchi!$B$27,"",DatiOriginali!K2555)</f>
        <v>192100</v>
      </c>
    </row>
    <row r="2556" spans="1:11" x14ac:dyDescent="0.3">
      <c r="A2556" s="4" t="s">
        <v>2565</v>
      </c>
      <c r="B2556" s="4">
        <v>844350</v>
      </c>
      <c r="C2556" s="4">
        <f>IF(DatiOriginali!C2556 &gt;= SogliaPicchi!$B$27,"",DatiOriginali!C2556)</f>
        <v>7470500</v>
      </c>
      <c r="D2556" s="4">
        <v>435766</v>
      </c>
      <c r="E2556" s="4">
        <f>IF(DatiOriginali!E2556 &gt;= SogliaPicchi!$B$27,"",DatiOriginali!E2556)</f>
        <v>1501600</v>
      </c>
      <c r="F2556" s="4">
        <v>14220383</v>
      </c>
      <c r="G2556" s="4">
        <f>IF(DatiOriginali!G2556 &gt;= SogliaPicchi!$B$27,"",DatiOriginali!G2556)</f>
        <v>486400</v>
      </c>
      <c r="H2556" s="4">
        <v>17876292</v>
      </c>
      <c r="I2556" s="4">
        <f>IF(DatiOriginali!I2556 &gt;= SogliaPicchi!$B$27,"",DatiOriginali!I2556)</f>
        <v>172500</v>
      </c>
      <c r="J2556" s="4">
        <v>17851811</v>
      </c>
      <c r="K2556" s="4">
        <f>IF(DatiOriginali!K2556 &gt;= SogliaPicchi!$B$27,"",DatiOriginali!K2556)</f>
        <v>194300</v>
      </c>
    </row>
    <row r="2557" spans="1:11" x14ac:dyDescent="0.3">
      <c r="A2557" s="4" t="s">
        <v>2566</v>
      </c>
      <c r="B2557" s="4">
        <v>844350</v>
      </c>
      <c r="C2557" s="4">
        <f>IF(DatiOriginali!C2557 &gt;= SogliaPicchi!$B$27,"",DatiOriginali!C2557)</f>
        <v>7418100</v>
      </c>
      <c r="D2557" s="4">
        <v>420691</v>
      </c>
      <c r="E2557" s="4">
        <f>IF(DatiOriginali!E2557 &gt;= SogliaPicchi!$B$27,"",DatiOriginali!E2557)</f>
        <v>1458900</v>
      </c>
      <c r="F2557" s="4">
        <v>14232197</v>
      </c>
      <c r="G2557" s="4">
        <f>IF(DatiOriginali!G2557 &gt;= SogliaPicchi!$B$27,"",DatiOriginali!G2557)</f>
        <v>496700</v>
      </c>
      <c r="H2557" s="4">
        <v>17891539</v>
      </c>
      <c r="I2557" s="4">
        <f>IF(DatiOriginali!I2557 &gt;= SogliaPicchi!$B$27,"",DatiOriginali!I2557)</f>
        <v>175100</v>
      </c>
      <c r="J2557" s="4">
        <v>17866509</v>
      </c>
      <c r="K2557" s="4">
        <f>IF(DatiOriginali!K2557 &gt;= SogliaPicchi!$B$27,"",DatiOriginali!K2557)</f>
        <v>189100</v>
      </c>
    </row>
    <row r="2558" spans="1:11" x14ac:dyDescent="0.3">
      <c r="A2558" s="4" t="s">
        <v>2567</v>
      </c>
      <c r="B2558" s="4">
        <v>844350</v>
      </c>
      <c r="C2558" s="4">
        <f>IF(DatiOriginali!C2558 &gt;= SogliaPicchi!$B$27,"",DatiOriginali!C2558)</f>
        <v>7627300</v>
      </c>
      <c r="D2558" s="4">
        <v>416696</v>
      </c>
      <c r="E2558" s="4">
        <f>IF(DatiOriginali!E2558 &gt;= SogliaPicchi!$B$27,"",DatiOriginali!E2558)</f>
        <v>1956800</v>
      </c>
      <c r="F2558" s="4">
        <v>14244007</v>
      </c>
      <c r="G2558" s="4">
        <f>IF(DatiOriginali!G2558 &gt;= SogliaPicchi!$B$27,"",DatiOriginali!G2558)</f>
        <v>644800</v>
      </c>
      <c r="H2558" s="4">
        <v>17907168</v>
      </c>
      <c r="I2558" s="4">
        <f>IF(DatiOriginali!I2558 &gt;= SogliaPicchi!$B$27,"",DatiOriginali!I2558)</f>
        <v>211700</v>
      </c>
      <c r="J2558" s="4">
        <v>17880358</v>
      </c>
      <c r="K2558" s="4">
        <f>IF(DatiOriginali!K2558 &gt;= SogliaPicchi!$B$27,"",DatiOriginali!K2558)</f>
        <v>197200</v>
      </c>
    </row>
    <row r="2559" spans="1:11" x14ac:dyDescent="0.3">
      <c r="A2559" s="4" t="s">
        <v>2568</v>
      </c>
      <c r="B2559" s="4">
        <v>844350</v>
      </c>
      <c r="C2559" s="4">
        <f>IF(DatiOriginali!C2559 &gt;= SogliaPicchi!$B$27,"",DatiOriginali!C2559)</f>
        <v>7926000</v>
      </c>
      <c r="D2559" s="4">
        <v>433674</v>
      </c>
      <c r="E2559" s="4">
        <f>IF(DatiOriginali!E2559 &gt;= SogliaPicchi!$B$27,"",DatiOriginali!E2559)</f>
        <v>1494200</v>
      </c>
      <c r="F2559" s="4">
        <v>14255821</v>
      </c>
      <c r="G2559" s="4">
        <f>IF(DatiOriginali!G2559 &gt;= SogliaPicchi!$B$27,"",DatiOriginali!G2559)</f>
        <v>496300</v>
      </c>
      <c r="H2559" s="4">
        <v>17921108</v>
      </c>
      <c r="I2559" s="4">
        <f>IF(DatiOriginali!I2559 &gt;= SogliaPicchi!$B$27,"",DatiOriginali!I2559)</f>
        <v>173700</v>
      </c>
      <c r="J2559" s="4">
        <v>17895762</v>
      </c>
      <c r="K2559" s="4">
        <f>IF(DatiOriginali!K2559 &gt;= SogliaPicchi!$B$27,"",DatiOriginali!K2559)</f>
        <v>192700</v>
      </c>
    </row>
    <row r="2560" spans="1:11" x14ac:dyDescent="0.3">
      <c r="A2560" s="4" t="s">
        <v>2569</v>
      </c>
      <c r="B2560" s="4">
        <v>844350</v>
      </c>
      <c r="C2560" s="4">
        <f>IF(DatiOriginali!C2560 &gt;= SogliaPicchi!$B$27,"",DatiOriginali!C2560)</f>
        <v>7443200</v>
      </c>
      <c r="D2560" s="4">
        <v>411846</v>
      </c>
      <c r="E2560" s="4">
        <f>IF(DatiOriginali!E2560 &gt;= SogliaPicchi!$B$27,"",DatiOriginali!E2560)</f>
        <v>1471600</v>
      </c>
      <c r="F2560" s="4">
        <v>14267634</v>
      </c>
      <c r="G2560" s="4">
        <f>IF(DatiOriginali!G2560 &gt;= SogliaPicchi!$B$27,"",DatiOriginali!G2560)</f>
        <v>503000</v>
      </c>
      <c r="H2560" s="4">
        <v>17934316</v>
      </c>
      <c r="I2560" s="4">
        <f>IF(DatiOriginali!I2560 &gt;= SogliaPicchi!$B$27,"",DatiOriginali!I2560)</f>
        <v>175000</v>
      </c>
      <c r="J2560" s="4">
        <v>17910958</v>
      </c>
      <c r="K2560" s="4">
        <f>IF(DatiOriginali!K2560 &gt;= SogliaPicchi!$B$27,"",DatiOriginali!K2560)</f>
        <v>193900</v>
      </c>
    </row>
    <row r="2561" spans="1:11" x14ac:dyDescent="0.3">
      <c r="A2561" s="4" t="s">
        <v>2570</v>
      </c>
      <c r="B2561" s="4">
        <v>844350</v>
      </c>
      <c r="C2561" s="4">
        <f>IF(DatiOriginali!C2561 &gt;= SogliaPicchi!$B$27,"",DatiOriginali!C2561)</f>
        <v>7462400</v>
      </c>
      <c r="D2561" s="4">
        <v>431248</v>
      </c>
      <c r="E2561" s="4">
        <f>IF(DatiOriginali!E2561 &gt;= SogliaPicchi!$B$27,"",DatiOriginali!E2561)</f>
        <v>1494600</v>
      </c>
      <c r="F2561" s="4">
        <v>14279476</v>
      </c>
      <c r="G2561" s="4">
        <f>IF(DatiOriginali!G2561 &gt;= SogliaPicchi!$B$27,"",DatiOriginali!G2561)</f>
        <v>494800</v>
      </c>
      <c r="H2561" s="4">
        <v>17950073</v>
      </c>
      <c r="I2561" s="4">
        <f>IF(DatiOriginali!I2561 &gt;= SogliaPicchi!$B$27,"",DatiOriginali!I2561)</f>
        <v>177000</v>
      </c>
      <c r="J2561" s="4">
        <v>17926167</v>
      </c>
      <c r="K2561" s="4">
        <f>IF(DatiOriginali!K2561 &gt;= SogliaPicchi!$B$27,"",DatiOriginali!K2561)</f>
        <v>188500</v>
      </c>
    </row>
    <row r="2562" spans="1:11" x14ac:dyDescent="0.3">
      <c r="A2562" s="4" t="s">
        <v>2571</v>
      </c>
      <c r="B2562" s="4">
        <v>844350</v>
      </c>
      <c r="C2562" s="4">
        <f>IF(DatiOriginali!C2562 &gt;= SogliaPicchi!$B$27,"",DatiOriginali!C2562)</f>
        <v>7540500</v>
      </c>
      <c r="D2562" s="4">
        <v>432326</v>
      </c>
      <c r="E2562" s="4">
        <f>IF(DatiOriginali!E2562 &gt;= SogliaPicchi!$B$27,"",DatiOriginali!E2562)</f>
        <v>1484500</v>
      </c>
      <c r="F2562" s="4">
        <v>14291311</v>
      </c>
      <c r="G2562" s="4">
        <f>IF(DatiOriginali!G2562 &gt;= SogliaPicchi!$B$27,"",DatiOriginali!G2562)</f>
        <v>501300</v>
      </c>
      <c r="H2562" s="4">
        <v>17965245</v>
      </c>
      <c r="I2562" s="4">
        <f>IF(DatiOriginali!I2562 &gt;= SogliaPicchi!$B$27,"",DatiOriginali!I2562)</f>
        <v>174000</v>
      </c>
      <c r="J2562" s="4">
        <v>17940463</v>
      </c>
      <c r="K2562" s="4">
        <f>IF(DatiOriginali!K2562 &gt;= SogliaPicchi!$B$27,"",DatiOriginali!K2562)</f>
        <v>187600</v>
      </c>
    </row>
    <row r="2563" spans="1:11" x14ac:dyDescent="0.3">
      <c r="A2563" s="4" t="s">
        <v>2572</v>
      </c>
      <c r="B2563" s="4">
        <v>844350</v>
      </c>
      <c r="C2563" s="4">
        <f>IF(DatiOriginali!C2563 &gt;= SogliaPicchi!$B$27,"",DatiOriginali!C2563)</f>
        <v>7847900</v>
      </c>
      <c r="D2563" s="4">
        <v>417967</v>
      </c>
      <c r="E2563" s="4">
        <f>IF(DatiOriginali!E2563 &gt;= SogliaPicchi!$B$27,"",DatiOriginali!E2563)</f>
        <v>1441400</v>
      </c>
      <c r="F2563" s="4">
        <v>14303144</v>
      </c>
      <c r="G2563" s="4">
        <f>IF(DatiOriginali!G2563 &gt;= SogliaPicchi!$B$27,"",DatiOriginali!G2563)</f>
        <v>560200</v>
      </c>
      <c r="H2563" s="4">
        <v>17981596</v>
      </c>
      <c r="I2563" s="4">
        <f>IF(DatiOriginali!I2563 &gt;= SogliaPicchi!$B$27,"",DatiOriginali!I2563)</f>
        <v>179900</v>
      </c>
      <c r="J2563" s="4">
        <v>17955985</v>
      </c>
      <c r="K2563" s="4">
        <f>IF(DatiOriginali!K2563 &gt;= SogliaPicchi!$B$27,"",DatiOriginali!K2563)</f>
        <v>195600</v>
      </c>
    </row>
    <row r="2564" spans="1:11" x14ac:dyDescent="0.3">
      <c r="A2564" s="4" t="s">
        <v>2573</v>
      </c>
      <c r="B2564" s="4">
        <v>844350</v>
      </c>
      <c r="C2564" s="4">
        <f>IF(DatiOriginali!C2564 &gt;= SogliaPicchi!$B$27,"",DatiOriginali!C2564)</f>
        <v>7594900</v>
      </c>
      <c r="D2564" s="4">
        <v>423014</v>
      </c>
      <c r="E2564" s="4">
        <f>IF(DatiOriginali!E2564 &gt;= SogliaPicchi!$B$27,"",DatiOriginali!E2564)</f>
        <v>1530800</v>
      </c>
      <c r="F2564" s="4">
        <v>14314954</v>
      </c>
      <c r="G2564" s="4">
        <f>IF(DatiOriginali!G2564 &gt;= SogliaPicchi!$B$27,"",DatiOriginali!G2564)</f>
        <v>495500</v>
      </c>
      <c r="H2564" s="4">
        <v>17997158</v>
      </c>
      <c r="I2564" s="4">
        <f>IF(DatiOriginali!I2564 &gt;= SogliaPicchi!$B$27,"",DatiOriginali!I2564)</f>
        <v>176600</v>
      </c>
      <c r="J2564" s="4">
        <v>17970807</v>
      </c>
      <c r="K2564" s="4">
        <f>IF(DatiOriginali!K2564 &gt;= SogliaPicchi!$B$27,"",DatiOriginali!K2564)</f>
        <v>185900</v>
      </c>
    </row>
    <row r="2565" spans="1:11" x14ac:dyDescent="0.3">
      <c r="A2565" s="4" t="s">
        <v>2574</v>
      </c>
      <c r="B2565" s="4">
        <v>844350</v>
      </c>
      <c r="C2565" s="4">
        <f>IF(DatiOriginali!C2565 &gt;= SogliaPicchi!$B$27,"",DatiOriginali!C2565)</f>
        <v>8620200</v>
      </c>
      <c r="D2565" s="4">
        <v>423235</v>
      </c>
      <c r="E2565" s="4">
        <f>IF(DatiOriginali!E2565 &gt;= SogliaPicchi!$B$27,"",DatiOriginali!E2565)</f>
        <v>1461000</v>
      </c>
      <c r="F2565" s="4">
        <v>14326766</v>
      </c>
      <c r="G2565" s="4">
        <f>IF(DatiOriginali!G2565 &gt;= SogliaPicchi!$B$27,"",DatiOriginali!G2565)</f>
        <v>495400</v>
      </c>
      <c r="H2565" s="4">
        <v>18011408</v>
      </c>
      <c r="I2565" s="4">
        <f>IF(DatiOriginali!I2565 &gt;= SogliaPicchi!$B$27,"",DatiOriginali!I2565)</f>
        <v>176300</v>
      </c>
      <c r="J2565" s="4">
        <v>17987687</v>
      </c>
      <c r="K2565" s="4">
        <f>IF(DatiOriginali!K2565 &gt;= SogliaPicchi!$B$27,"",DatiOriginali!K2565)</f>
        <v>191500</v>
      </c>
    </row>
    <row r="2566" spans="1:11" x14ac:dyDescent="0.3">
      <c r="A2566" s="4" t="s">
        <v>2575</v>
      </c>
      <c r="B2566" s="4">
        <v>844350</v>
      </c>
      <c r="C2566" s="4">
        <f>IF(DatiOriginali!C2566 &gt;= SogliaPicchi!$B$27,"",DatiOriginali!C2566)</f>
        <v>7973300</v>
      </c>
      <c r="D2566" s="4">
        <v>419680</v>
      </c>
      <c r="E2566" s="4">
        <f>IF(DatiOriginali!E2566 &gt;= SogliaPicchi!$B$27,"",DatiOriginali!E2566)</f>
        <v>1563200</v>
      </c>
      <c r="F2566" s="4">
        <v>14338597</v>
      </c>
      <c r="G2566" s="4">
        <f>IF(DatiOriginali!G2566 &gt;= SogliaPicchi!$B$27,"",DatiOriginali!G2566)</f>
        <v>488500</v>
      </c>
      <c r="H2566" s="4">
        <v>18025783</v>
      </c>
      <c r="I2566" s="4">
        <f>IF(DatiOriginali!I2566 &gt;= SogliaPicchi!$B$27,"",DatiOriginali!I2566)</f>
        <v>177800</v>
      </c>
      <c r="J2566" s="4">
        <v>18001799</v>
      </c>
      <c r="K2566" s="4">
        <f>IF(DatiOriginali!K2566 &gt;= SogliaPicchi!$B$27,"",DatiOriginali!K2566)</f>
        <v>192000</v>
      </c>
    </row>
    <row r="2567" spans="1:11" x14ac:dyDescent="0.3">
      <c r="A2567" s="4" t="s">
        <v>2576</v>
      </c>
      <c r="B2567" s="4">
        <v>844350</v>
      </c>
      <c r="C2567" s="4">
        <f>IF(DatiOriginali!C2567 &gt;= SogliaPicchi!$B$27,"",DatiOriginali!C2567)</f>
        <v>7610700</v>
      </c>
      <c r="D2567" s="4">
        <v>413945</v>
      </c>
      <c r="E2567" s="4">
        <f>IF(DatiOriginali!E2567 &gt;= SogliaPicchi!$B$27,"",DatiOriginali!E2567)</f>
        <v>1446500</v>
      </c>
      <c r="F2567" s="4">
        <v>14350418</v>
      </c>
      <c r="G2567" s="4">
        <f>IF(DatiOriginali!G2567 &gt;= SogliaPicchi!$B$27,"",DatiOriginali!G2567)</f>
        <v>497500</v>
      </c>
      <c r="H2567" s="4">
        <v>18042158</v>
      </c>
      <c r="I2567" s="4">
        <f>IF(DatiOriginali!I2567 &gt;= SogliaPicchi!$B$27,"",DatiOriginali!I2567)</f>
        <v>178100</v>
      </c>
      <c r="J2567" s="4">
        <v>18017127</v>
      </c>
      <c r="K2567" s="4">
        <f>IF(DatiOriginali!K2567 &gt;= SogliaPicchi!$B$27,"",DatiOriginali!K2567)</f>
        <v>187400</v>
      </c>
    </row>
    <row r="2568" spans="1:11" x14ac:dyDescent="0.3">
      <c r="A2568" s="4" t="s">
        <v>2577</v>
      </c>
      <c r="B2568" s="4">
        <v>844350</v>
      </c>
      <c r="C2568" s="4">
        <f>IF(DatiOriginali!C2568 &gt;= SogliaPicchi!$B$27,"",DatiOriginali!C2568)</f>
        <v>7372600</v>
      </c>
      <c r="D2568" s="4">
        <v>429341</v>
      </c>
      <c r="E2568" s="4">
        <f>IF(DatiOriginali!E2568 &gt;= SogliaPicchi!$B$27,"",DatiOriginali!E2568)</f>
        <v>1482700</v>
      </c>
      <c r="F2568" s="4">
        <v>14362228</v>
      </c>
      <c r="G2568" s="4">
        <f>IF(DatiOriginali!G2568 &gt;= SogliaPicchi!$B$27,"",DatiOriginali!G2568)</f>
        <v>492300</v>
      </c>
      <c r="H2568" s="4">
        <v>18056617</v>
      </c>
      <c r="I2568" s="4">
        <f>IF(DatiOriginali!I2568 &gt;= SogliaPicchi!$B$27,"",DatiOriginali!I2568)</f>
        <v>167600</v>
      </c>
      <c r="J2568" s="4">
        <v>18031228</v>
      </c>
      <c r="K2568" s="4">
        <f>IF(DatiOriginali!K2568 &gt;= SogliaPicchi!$B$27,"",DatiOriginali!K2568)</f>
        <v>188700</v>
      </c>
    </row>
    <row r="2569" spans="1:11" x14ac:dyDescent="0.3">
      <c r="A2569" s="4" t="s">
        <v>2578</v>
      </c>
      <c r="B2569" s="4">
        <v>844350</v>
      </c>
      <c r="C2569" s="4">
        <f>IF(DatiOriginali!C2569 &gt;= SogliaPicchi!$B$27,"",DatiOriginali!C2569)</f>
        <v>7896600</v>
      </c>
      <c r="D2569" s="4">
        <v>427076</v>
      </c>
      <c r="E2569" s="4">
        <f>IF(DatiOriginali!E2569 &gt;= SogliaPicchi!$B$27,"",DatiOriginali!E2569)</f>
        <v>1483800</v>
      </c>
      <c r="F2569" s="4">
        <v>14374058</v>
      </c>
      <c r="G2569" s="4">
        <f>IF(DatiOriginali!G2569 &gt;= SogliaPicchi!$B$27,"",DatiOriginali!G2569)</f>
        <v>497200</v>
      </c>
      <c r="H2569" s="4">
        <v>18070971</v>
      </c>
      <c r="I2569" s="4">
        <f>IF(DatiOriginali!I2569 &gt;= SogliaPicchi!$B$27,"",DatiOriginali!I2569)</f>
        <v>175400</v>
      </c>
      <c r="J2569" s="4">
        <v>18046577</v>
      </c>
      <c r="K2569" s="4">
        <f>IF(DatiOriginali!K2569 &gt;= SogliaPicchi!$B$27,"",DatiOriginali!K2569)</f>
        <v>188100</v>
      </c>
    </row>
    <row r="2570" spans="1:11" x14ac:dyDescent="0.3">
      <c r="A2570" s="4" t="s">
        <v>2579</v>
      </c>
      <c r="B2570" s="4">
        <v>844350</v>
      </c>
      <c r="C2570" s="4">
        <f>IF(DatiOriginali!C2570 &gt;= SogliaPicchi!$B$27,"",DatiOriginali!C2570)</f>
        <v>7391400</v>
      </c>
      <c r="D2570" s="4">
        <v>434092</v>
      </c>
      <c r="E2570" s="4">
        <f>IF(DatiOriginali!E2570 &gt;= SogliaPicchi!$B$27,"",DatiOriginali!E2570)</f>
        <v>1517700</v>
      </c>
      <c r="F2570" s="4">
        <v>14385890</v>
      </c>
      <c r="G2570" s="4">
        <f>IF(DatiOriginali!G2570 &gt;= SogliaPicchi!$B$27,"",DatiOriginali!G2570)</f>
        <v>493700</v>
      </c>
      <c r="H2570" s="4">
        <v>18085870</v>
      </c>
      <c r="I2570" s="4">
        <f>IF(DatiOriginali!I2570 &gt;= SogliaPicchi!$B$27,"",DatiOriginali!I2570)</f>
        <v>170600</v>
      </c>
      <c r="J2570" s="4">
        <v>18060951</v>
      </c>
      <c r="K2570" s="4">
        <f>IF(DatiOriginali!K2570 &gt;= SogliaPicchi!$B$27,"",DatiOriginali!K2570)</f>
        <v>185900</v>
      </c>
    </row>
    <row r="2571" spans="1:11" x14ac:dyDescent="0.3">
      <c r="A2571" s="4" t="s">
        <v>2580</v>
      </c>
      <c r="B2571" s="4">
        <v>844350</v>
      </c>
      <c r="C2571" s="4">
        <f>IF(DatiOriginali!C2571 &gt;= SogliaPicchi!$B$27,"",DatiOriginali!C2571)</f>
        <v>7793800</v>
      </c>
      <c r="D2571" s="4">
        <v>430659</v>
      </c>
      <c r="E2571" s="4">
        <f>IF(DatiOriginali!E2571 &gt;= SogliaPicchi!$B$27,"",DatiOriginali!E2571)</f>
        <v>1851900</v>
      </c>
      <c r="F2571" s="4">
        <v>14397728</v>
      </c>
      <c r="G2571" s="4">
        <f>IF(DatiOriginali!G2571 &gt;= SogliaPicchi!$B$27,"",DatiOriginali!G2571)</f>
        <v>518800</v>
      </c>
      <c r="H2571" s="4">
        <v>18100840</v>
      </c>
      <c r="I2571" s="4">
        <f>IF(DatiOriginali!I2571 &gt;= SogliaPicchi!$B$27,"",DatiOriginali!I2571)</f>
        <v>175100</v>
      </c>
      <c r="J2571" s="4">
        <v>18076069</v>
      </c>
      <c r="K2571" s="4">
        <f>IF(DatiOriginali!K2571 &gt;= SogliaPicchi!$B$27,"",DatiOriginali!K2571)</f>
        <v>186600</v>
      </c>
    </row>
    <row r="2572" spans="1:11" x14ac:dyDescent="0.3">
      <c r="A2572" s="4" t="s">
        <v>2581</v>
      </c>
      <c r="B2572" s="4">
        <v>844350</v>
      </c>
      <c r="C2572" s="4">
        <f>IF(DatiOriginali!C2572 &gt;= SogliaPicchi!$B$27,"",DatiOriginali!C2572)</f>
        <v>7677500</v>
      </c>
      <c r="D2572" s="4">
        <v>431484</v>
      </c>
      <c r="E2572" s="4">
        <f>IF(DatiOriginali!E2572 &gt;= SogliaPicchi!$B$27,"",DatiOriginali!E2572)</f>
        <v>1525900</v>
      </c>
      <c r="F2572" s="4">
        <v>14409548</v>
      </c>
      <c r="G2572" s="4">
        <f>IF(DatiOriginali!G2572 &gt;= SogliaPicchi!$B$27,"",DatiOriginali!G2572)</f>
        <v>491000</v>
      </c>
      <c r="H2572" s="4">
        <v>18115782</v>
      </c>
      <c r="I2572" s="4">
        <f>IF(DatiOriginali!I2572 &gt;= SogliaPicchi!$B$27,"",DatiOriginali!I2572)</f>
        <v>173700</v>
      </c>
      <c r="J2572" s="4">
        <v>18091904</v>
      </c>
      <c r="K2572" s="4">
        <f>IF(DatiOriginali!K2572 &gt;= SogliaPicchi!$B$27,"",DatiOriginali!K2572)</f>
        <v>196700</v>
      </c>
    </row>
    <row r="2573" spans="1:11" x14ac:dyDescent="0.3">
      <c r="A2573" s="4" t="s">
        <v>2582</v>
      </c>
      <c r="B2573" s="4">
        <v>844350</v>
      </c>
      <c r="C2573" s="4">
        <f>IF(DatiOriginali!C2573 &gt;= SogliaPicchi!$B$27,"",DatiOriginali!C2573)</f>
        <v>8467000</v>
      </c>
      <c r="D2573" s="4">
        <v>411449</v>
      </c>
      <c r="E2573" s="4">
        <f>IF(DatiOriginali!E2573 &gt;= SogliaPicchi!$B$27,"",DatiOriginali!E2573)</f>
        <v>1432000</v>
      </c>
      <c r="F2573" s="4">
        <v>14421360</v>
      </c>
      <c r="G2573" s="4">
        <f>IF(DatiOriginali!G2573 &gt;= SogliaPicchi!$B$27,"",DatiOriginali!G2573)</f>
        <v>490900</v>
      </c>
      <c r="H2573" s="4">
        <v>18132176</v>
      </c>
      <c r="I2573" s="4">
        <f>IF(DatiOriginali!I2573 &gt;= SogliaPicchi!$B$27,"",DatiOriginali!I2573)</f>
        <v>175000</v>
      </c>
      <c r="J2573" s="4">
        <v>18106771</v>
      </c>
      <c r="K2573" s="4">
        <f>IF(DatiOriginali!K2573 &gt;= SogliaPicchi!$B$27,"",DatiOriginali!K2573)</f>
        <v>188700</v>
      </c>
    </row>
    <row r="2574" spans="1:11" x14ac:dyDescent="0.3">
      <c r="A2574" s="4" t="s">
        <v>2583</v>
      </c>
      <c r="B2574" s="4">
        <v>844350</v>
      </c>
      <c r="C2574" s="4">
        <f>IF(DatiOriginali!C2574 &gt;= SogliaPicchi!$B$27,"",DatiOriginali!C2574)</f>
        <v>7583100</v>
      </c>
      <c r="D2574" s="4">
        <v>432959</v>
      </c>
      <c r="E2574" s="4">
        <f>IF(DatiOriginali!E2574 &gt;= SogliaPicchi!$B$27,"",DatiOriginali!E2574)</f>
        <v>1508600</v>
      </c>
      <c r="F2574" s="4">
        <v>14433182</v>
      </c>
      <c r="G2574" s="4">
        <f>IF(DatiOriginali!G2574 &gt;= SogliaPicchi!$B$27,"",DatiOriginali!G2574)</f>
        <v>493000</v>
      </c>
      <c r="H2574" s="4">
        <v>18147596</v>
      </c>
      <c r="I2574" s="4">
        <f>IF(DatiOriginali!I2574 &gt;= SogliaPicchi!$B$27,"",DatiOriginali!I2574)</f>
        <v>179300</v>
      </c>
      <c r="J2574" s="4">
        <v>18122629</v>
      </c>
      <c r="K2574" s="4">
        <f>IF(DatiOriginali!K2574 &gt;= SogliaPicchi!$B$27,"",DatiOriginali!K2574)</f>
        <v>188200</v>
      </c>
    </row>
    <row r="2575" spans="1:11" x14ac:dyDescent="0.3">
      <c r="A2575" s="4" t="s">
        <v>2584</v>
      </c>
      <c r="B2575" s="4">
        <v>844350</v>
      </c>
      <c r="C2575" s="4">
        <f>IF(DatiOriginali!C2575 &gt;= SogliaPicchi!$B$27,"",DatiOriginali!C2575)</f>
        <v>7840500</v>
      </c>
      <c r="D2575" s="4">
        <v>404710</v>
      </c>
      <c r="E2575" s="4">
        <f>IF(DatiOriginali!E2575 &gt;= SogliaPicchi!$B$27,"",DatiOriginali!E2575)</f>
        <v>1811400</v>
      </c>
      <c r="F2575" s="4">
        <v>14445007</v>
      </c>
      <c r="G2575" s="4">
        <f>IF(DatiOriginali!G2575 &gt;= SogliaPicchi!$B$27,"",DatiOriginali!G2575)</f>
        <v>745700</v>
      </c>
      <c r="H2575" s="4">
        <v>18162640</v>
      </c>
      <c r="I2575" s="4">
        <f>IF(DatiOriginali!I2575 &gt;= SogliaPicchi!$B$27,"",DatiOriginali!I2575)</f>
        <v>209400</v>
      </c>
      <c r="J2575" s="4">
        <v>18136775</v>
      </c>
      <c r="K2575" s="4">
        <f>IF(DatiOriginali!K2575 &gt;= SogliaPicchi!$B$27,"",DatiOriginali!K2575)</f>
        <v>241700</v>
      </c>
    </row>
    <row r="2576" spans="1:11" x14ac:dyDescent="0.3">
      <c r="A2576" s="4" t="s">
        <v>2585</v>
      </c>
      <c r="B2576" s="4">
        <v>844350</v>
      </c>
      <c r="C2576" s="4">
        <f>IF(DatiOriginali!C2576 &gt;= SogliaPicchi!$B$27,"",DatiOriginali!C2576)</f>
        <v>7711300</v>
      </c>
      <c r="D2576" s="4">
        <v>414971</v>
      </c>
      <c r="E2576" s="4">
        <f>IF(DatiOriginali!E2576 &gt;= SogliaPicchi!$B$27,"",DatiOriginali!E2576)</f>
        <v>1429700</v>
      </c>
      <c r="F2576" s="4">
        <v>14456864</v>
      </c>
      <c r="G2576" s="4">
        <f>IF(DatiOriginali!G2576 &gt;= SogliaPicchi!$B$27,"",DatiOriginali!G2576)</f>
        <v>492800</v>
      </c>
      <c r="H2576" s="4">
        <v>18180859</v>
      </c>
      <c r="I2576" s="4">
        <f>IF(DatiOriginali!I2576 &gt;= SogliaPicchi!$B$27,"",DatiOriginali!I2576)</f>
        <v>173500</v>
      </c>
      <c r="J2576" s="4">
        <v>18151978</v>
      </c>
      <c r="K2576" s="4">
        <f>IF(DatiOriginali!K2576 &gt;= SogliaPicchi!$B$27,"",DatiOriginali!K2576)</f>
        <v>191600</v>
      </c>
    </row>
    <row r="2577" spans="1:11" x14ac:dyDescent="0.3">
      <c r="A2577" s="4" t="s">
        <v>2586</v>
      </c>
      <c r="B2577" s="4">
        <v>844350</v>
      </c>
      <c r="C2577" s="4">
        <f>IF(DatiOriginali!C2577 &gt;= SogliaPicchi!$B$27,"",DatiOriginali!C2577)</f>
        <v>7821100</v>
      </c>
      <c r="D2577" s="4">
        <v>420903</v>
      </c>
      <c r="E2577" s="4">
        <f>IF(DatiOriginali!E2577 &gt;= SogliaPicchi!$B$27,"",DatiOriginali!E2577)</f>
        <v>1448600</v>
      </c>
      <c r="F2577" s="4">
        <v>14468729</v>
      </c>
      <c r="G2577" s="4">
        <f>IF(DatiOriginali!G2577 &gt;= SogliaPicchi!$B$27,"",DatiOriginali!G2577)</f>
        <v>494900</v>
      </c>
      <c r="H2577" s="4">
        <v>18195529</v>
      </c>
      <c r="I2577" s="4">
        <f>IF(DatiOriginali!I2577 &gt;= SogliaPicchi!$B$27,"",DatiOriginali!I2577)</f>
        <v>187800</v>
      </c>
      <c r="J2577" s="4">
        <v>18167314</v>
      </c>
      <c r="K2577" s="4">
        <f>IF(DatiOriginali!K2577 &gt;= SogliaPicchi!$B$27,"",DatiOriginali!K2577)</f>
        <v>188700</v>
      </c>
    </row>
    <row r="2578" spans="1:11" x14ac:dyDescent="0.3">
      <c r="A2578" s="4" t="s">
        <v>2587</v>
      </c>
      <c r="B2578" s="4">
        <v>844350</v>
      </c>
      <c r="C2578" s="4">
        <f>IF(DatiOriginali!C2578 &gt;= SogliaPicchi!$B$27,"",DatiOriginali!C2578)</f>
        <v>8202600</v>
      </c>
      <c r="D2578" s="4">
        <v>411028</v>
      </c>
      <c r="E2578" s="4">
        <f>IF(DatiOriginali!E2578 &gt;= SogliaPicchi!$B$27,"",DatiOriginali!E2578)</f>
        <v>1474800</v>
      </c>
      <c r="F2578" s="4">
        <v>14480563</v>
      </c>
      <c r="G2578" s="4">
        <f>IF(DatiOriginali!G2578 &gt;= SogliaPicchi!$B$27,"",DatiOriginali!G2578)</f>
        <v>497100</v>
      </c>
      <c r="H2578" s="4">
        <v>18210672</v>
      </c>
      <c r="I2578" s="4">
        <f>IF(DatiOriginali!I2578 &gt;= SogliaPicchi!$B$27,"",DatiOriginali!I2578)</f>
        <v>172000</v>
      </c>
      <c r="J2578" s="4">
        <v>18184048</v>
      </c>
      <c r="K2578" s="4">
        <f>IF(DatiOriginali!K2578 &gt;= SogliaPicchi!$B$27,"",DatiOriginali!K2578)</f>
        <v>190000</v>
      </c>
    </row>
    <row r="2579" spans="1:11" x14ac:dyDescent="0.3">
      <c r="A2579" s="4" t="s">
        <v>2588</v>
      </c>
      <c r="B2579" s="4">
        <v>844350</v>
      </c>
      <c r="C2579" s="4">
        <f>IF(DatiOriginali!C2579 &gt;= SogliaPicchi!$B$27,"",DatiOriginali!C2579)</f>
        <v>7633800</v>
      </c>
      <c r="D2579" s="4">
        <v>418848</v>
      </c>
      <c r="E2579" s="4">
        <f>IF(DatiOriginali!E2579 &gt;= SogliaPicchi!$B$27,"",DatiOriginali!E2579)</f>
        <v>1446800</v>
      </c>
      <c r="F2579" s="4">
        <v>14492418</v>
      </c>
      <c r="G2579" s="4">
        <f>IF(DatiOriginali!G2579 &gt;= SogliaPicchi!$B$27,"",DatiOriginali!G2579)</f>
        <v>496100</v>
      </c>
      <c r="H2579" s="4">
        <v>18228110</v>
      </c>
      <c r="I2579" s="4">
        <f>IF(DatiOriginali!I2579 &gt;= SogliaPicchi!$B$27,"",DatiOriginali!I2579)</f>
        <v>190000</v>
      </c>
      <c r="J2579" s="4">
        <v>18198931</v>
      </c>
      <c r="K2579" s="4">
        <f>IF(DatiOriginali!K2579 &gt;= SogliaPicchi!$B$27,"",DatiOriginali!K2579)</f>
        <v>188100</v>
      </c>
    </row>
    <row r="2580" spans="1:11" x14ac:dyDescent="0.3">
      <c r="A2580" s="4" t="s">
        <v>2589</v>
      </c>
      <c r="B2580" s="4">
        <v>844350</v>
      </c>
      <c r="C2580" s="4">
        <f>IF(DatiOriginali!C2580 &gt;= SogliaPicchi!$B$27,"",DatiOriginali!C2580)</f>
        <v>7489200</v>
      </c>
      <c r="D2580" s="4">
        <v>420398</v>
      </c>
      <c r="E2580" s="4">
        <f>IF(DatiOriginali!E2580 &gt;= SogliaPicchi!$B$27,"",DatiOriginali!E2580)</f>
        <v>1717400</v>
      </c>
      <c r="F2580" s="4">
        <v>14504249</v>
      </c>
      <c r="G2580" s="4">
        <f>IF(DatiOriginali!G2580 &gt;= SogliaPicchi!$B$27,"",DatiOriginali!G2580)</f>
        <v>503000</v>
      </c>
      <c r="H2580" s="4">
        <v>18242106</v>
      </c>
      <c r="I2580" s="4">
        <f>IF(DatiOriginali!I2580 &gt;= SogliaPicchi!$B$27,"",DatiOriginali!I2580)</f>
        <v>175700</v>
      </c>
      <c r="J2580" s="4">
        <v>18213694</v>
      </c>
      <c r="K2580" s="4">
        <f>IF(DatiOriginali!K2580 &gt;= SogliaPicchi!$B$27,"",DatiOriginali!K2580)</f>
        <v>186900</v>
      </c>
    </row>
    <row r="2581" spans="1:11" x14ac:dyDescent="0.3">
      <c r="A2581" s="4" t="s">
        <v>2590</v>
      </c>
      <c r="B2581" s="4">
        <v>844350</v>
      </c>
      <c r="C2581" s="4">
        <f>IF(DatiOriginali!C2581 &gt;= SogliaPicchi!$B$27,"",DatiOriginali!C2581)</f>
        <v>7407000</v>
      </c>
      <c r="D2581" s="4">
        <v>417916</v>
      </c>
      <c r="E2581" s="4">
        <f>IF(DatiOriginali!E2581 &gt;= SogliaPicchi!$B$27,"",DatiOriginali!E2581)</f>
        <v>1447400</v>
      </c>
      <c r="F2581" s="4">
        <v>14516076</v>
      </c>
      <c r="G2581" s="4">
        <f>IF(DatiOriginali!G2581 &gt;= SogliaPicchi!$B$27,"",DatiOriginali!G2581)</f>
        <v>487500</v>
      </c>
      <c r="H2581" s="4">
        <v>18256474</v>
      </c>
      <c r="I2581" s="4">
        <f>IF(DatiOriginali!I2581 &gt;= SogliaPicchi!$B$27,"",DatiOriginali!I2581)</f>
        <v>170100</v>
      </c>
      <c r="J2581" s="4">
        <v>18228300</v>
      </c>
      <c r="K2581" s="4">
        <f>IF(DatiOriginali!K2581 &gt;= SogliaPicchi!$B$27,"",DatiOriginali!K2581)</f>
        <v>192900</v>
      </c>
    </row>
    <row r="2582" spans="1:11" x14ac:dyDescent="0.3">
      <c r="A2582" s="4" t="s">
        <v>2591</v>
      </c>
      <c r="B2582" s="4">
        <v>844350</v>
      </c>
      <c r="C2582" s="4">
        <f>IF(DatiOriginali!C2582 &gt;= SogliaPicchi!$B$27,"",DatiOriginali!C2582)</f>
        <v>7349900</v>
      </c>
      <c r="D2582" s="4">
        <v>413161</v>
      </c>
      <c r="E2582" s="4">
        <f>IF(DatiOriginali!E2582 &gt;= SogliaPicchi!$B$27,"",DatiOriginali!E2582)</f>
        <v>1439600</v>
      </c>
      <c r="F2582" s="4">
        <v>14527915</v>
      </c>
      <c r="G2582" s="4">
        <f>IF(DatiOriginali!G2582 &gt;= SogliaPicchi!$B$27,"",DatiOriginali!G2582)</f>
        <v>497600</v>
      </c>
      <c r="H2582" s="4">
        <v>18270962</v>
      </c>
      <c r="I2582" s="4">
        <f>IF(DatiOriginali!I2582 &gt;= SogliaPicchi!$B$27,"",DatiOriginali!I2582)</f>
        <v>171500</v>
      </c>
      <c r="J2582" s="4">
        <v>18242931</v>
      </c>
      <c r="K2582" s="4">
        <f>IF(DatiOriginali!K2582 &gt;= SogliaPicchi!$B$27,"",DatiOriginali!K2582)</f>
        <v>188100</v>
      </c>
    </row>
    <row r="2583" spans="1:11" x14ac:dyDescent="0.3">
      <c r="A2583" s="4" t="s">
        <v>2592</v>
      </c>
      <c r="B2583" s="4">
        <v>844350</v>
      </c>
      <c r="C2583" s="4">
        <f>IF(DatiOriginali!C2583 &gt;= SogliaPicchi!$B$27,"",DatiOriginali!C2583)</f>
        <v>7456300</v>
      </c>
      <c r="D2583" s="4">
        <v>421816</v>
      </c>
      <c r="E2583" s="4">
        <f>IF(DatiOriginali!E2583 &gt;= SogliaPicchi!$B$27,"",DatiOriginali!E2583)</f>
        <v>1504000</v>
      </c>
      <c r="F2583" s="4">
        <v>14539731</v>
      </c>
      <c r="G2583" s="4">
        <f>IF(DatiOriginali!G2583 &gt;= SogliaPicchi!$B$27,"",DatiOriginali!G2583)</f>
        <v>492400</v>
      </c>
      <c r="H2583" s="4">
        <v>18285721</v>
      </c>
      <c r="I2583" s="4">
        <f>IF(DatiOriginali!I2583 &gt;= SogliaPicchi!$B$27,"",DatiOriginali!I2583)</f>
        <v>177700</v>
      </c>
      <c r="J2583" s="4">
        <v>18258869</v>
      </c>
      <c r="K2583" s="4">
        <f>IF(DatiOriginali!K2583 &gt;= SogliaPicchi!$B$27,"",DatiOriginali!K2583)</f>
        <v>196900</v>
      </c>
    </row>
    <row r="2584" spans="1:11" x14ac:dyDescent="0.3">
      <c r="A2584" s="4" t="s">
        <v>2593</v>
      </c>
      <c r="B2584" s="4">
        <v>844350</v>
      </c>
      <c r="C2584" s="4">
        <f>IF(DatiOriginali!C2584 &gt;= SogliaPicchi!$B$27,"",DatiOriginali!C2584)</f>
        <v>7234800</v>
      </c>
      <c r="D2584" s="4">
        <v>434671</v>
      </c>
      <c r="E2584" s="4">
        <f>IF(DatiOriginali!E2584 &gt;= SogliaPicchi!$B$27,"",DatiOriginali!E2584)</f>
        <v>1763400</v>
      </c>
      <c r="F2584" s="4">
        <v>14551575</v>
      </c>
      <c r="G2584" s="4">
        <f>IF(DatiOriginali!G2584 &gt;= SogliaPicchi!$B$27,"",DatiOriginali!G2584)</f>
        <v>528300</v>
      </c>
      <c r="H2584" s="4">
        <v>18300233</v>
      </c>
      <c r="I2584" s="4">
        <f>IF(DatiOriginali!I2584 &gt;= SogliaPicchi!$B$27,"",DatiOriginali!I2584)</f>
        <v>174700</v>
      </c>
      <c r="J2584" s="4">
        <v>18274971</v>
      </c>
      <c r="K2584" s="4">
        <f>IF(DatiOriginali!K2584 &gt;= SogliaPicchi!$B$27,"",DatiOriginali!K2584)</f>
        <v>188500</v>
      </c>
    </row>
    <row r="2585" spans="1:11" x14ac:dyDescent="0.3">
      <c r="A2585" s="4" t="s">
        <v>2594</v>
      </c>
      <c r="B2585" s="4">
        <v>844350</v>
      </c>
      <c r="C2585" s="4">
        <f>IF(DatiOriginali!C2585 &gt;= SogliaPicchi!$B$27,"",DatiOriginali!C2585)</f>
        <v>7857400</v>
      </c>
      <c r="D2585" s="4">
        <v>423613</v>
      </c>
      <c r="E2585" s="4">
        <f>IF(DatiOriginali!E2585 &gt;= SogliaPicchi!$B$27,"",DatiOriginali!E2585)</f>
        <v>1487900</v>
      </c>
      <c r="F2585" s="4">
        <v>14563393</v>
      </c>
      <c r="G2585" s="4">
        <f>IF(DatiOriginali!G2585 &gt;= SogliaPicchi!$B$27,"",DatiOriginali!G2585)</f>
        <v>500500</v>
      </c>
      <c r="H2585" s="4">
        <v>18315064</v>
      </c>
      <c r="I2585" s="4">
        <f>IF(DatiOriginali!I2585 &gt;= SogliaPicchi!$B$27,"",DatiOriginali!I2585)</f>
        <v>176700</v>
      </c>
      <c r="J2585" s="4">
        <v>18289394</v>
      </c>
      <c r="K2585" s="4">
        <f>IF(DatiOriginali!K2585 &gt;= SogliaPicchi!$B$27,"",DatiOriginali!K2585)</f>
        <v>183700</v>
      </c>
    </row>
    <row r="2586" spans="1:11" x14ac:dyDescent="0.3">
      <c r="A2586" s="4" t="s">
        <v>2595</v>
      </c>
      <c r="B2586" s="4">
        <v>844350</v>
      </c>
      <c r="C2586" s="4">
        <f>IF(DatiOriginali!C2586 &gt;= SogliaPicchi!$B$27,"",DatiOriginali!C2586)</f>
        <v>7303000</v>
      </c>
      <c r="D2586" s="4">
        <v>435029</v>
      </c>
      <c r="E2586" s="4">
        <f>IF(DatiOriginali!E2586 &gt;= SogliaPicchi!$B$27,"",DatiOriginali!E2586)</f>
        <v>1519700</v>
      </c>
      <c r="F2586" s="4">
        <v>14575193</v>
      </c>
      <c r="G2586" s="4">
        <f>IF(DatiOriginali!G2586 &gt;= SogliaPicchi!$B$27,"",DatiOriginali!G2586)</f>
        <v>596400</v>
      </c>
      <c r="H2586" s="4">
        <v>18328835</v>
      </c>
      <c r="I2586" s="4">
        <f>IF(DatiOriginali!I2586 &gt;= SogliaPicchi!$B$27,"",DatiOriginali!I2586)</f>
        <v>171000</v>
      </c>
      <c r="J2586" s="4">
        <v>18303319</v>
      </c>
      <c r="K2586" s="4">
        <f>IF(DatiOriginali!K2586 &gt;= SogliaPicchi!$B$27,"",DatiOriginali!K2586)</f>
        <v>188500</v>
      </c>
    </row>
    <row r="2587" spans="1:11" x14ac:dyDescent="0.3">
      <c r="A2587" s="4" t="s">
        <v>2596</v>
      </c>
      <c r="B2587" s="4">
        <v>844350</v>
      </c>
      <c r="C2587" s="4">
        <f>IF(DatiOriginali!C2587 &gt;= SogliaPicchi!$B$27,"",DatiOriginali!C2587)</f>
        <v>7619900</v>
      </c>
      <c r="D2587" s="4">
        <v>431863</v>
      </c>
      <c r="E2587" s="4">
        <f>IF(DatiOriginali!E2587 &gt;= SogliaPicchi!$B$27,"",DatiOriginali!E2587)</f>
        <v>1541500</v>
      </c>
      <c r="F2587" s="4">
        <v>14587003</v>
      </c>
      <c r="G2587" s="4">
        <f>IF(DatiOriginali!G2587 &gt;= SogliaPicchi!$B$27,"",DatiOriginali!G2587)</f>
        <v>496700</v>
      </c>
      <c r="H2587" s="4">
        <v>18342662</v>
      </c>
      <c r="I2587" s="4">
        <f>IF(DatiOriginali!I2587 &gt;= SogliaPicchi!$B$27,"",DatiOriginali!I2587)</f>
        <v>169800</v>
      </c>
      <c r="J2587" s="4">
        <v>18318251</v>
      </c>
      <c r="K2587" s="4">
        <f>IF(DatiOriginali!K2587 &gt;= SogliaPicchi!$B$27,"",DatiOriginali!K2587)</f>
        <v>189300</v>
      </c>
    </row>
    <row r="2588" spans="1:11" x14ac:dyDescent="0.3">
      <c r="A2588" s="4" t="s">
        <v>2597</v>
      </c>
      <c r="B2588" s="4">
        <v>844350</v>
      </c>
      <c r="C2588" s="4">
        <f>IF(DatiOriginali!C2588 &gt;= SogliaPicchi!$B$27,"",DatiOriginali!C2588)</f>
        <v>7693200</v>
      </c>
      <c r="D2588" s="4">
        <v>427089</v>
      </c>
      <c r="E2588" s="4">
        <f>IF(DatiOriginali!E2588 &gt;= SogliaPicchi!$B$27,"",DatiOriginali!E2588)</f>
        <v>1752800</v>
      </c>
      <c r="F2588" s="4">
        <v>14598803</v>
      </c>
      <c r="G2588" s="4">
        <f>IF(DatiOriginali!G2588 &gt;= SogliaPicchi!$B$27,"",DatiOriginali!G2588)</f>
        <v>511700</v>
      </c>
      <c r="H2588" s="4">
        <v>18356684</v>
      </c>
      <c r="I2588" s="4">
        <f>IF(DatiOriginali!I2588 &gt;= SogliaPicchi!$B$27,"",DatiOriginali!I2588)</f>
        <v>171500</v>
      </c>
      <c r="J2588" s="4">
        <v>18332997</v>
      </c>
      <c r="K2588" s="4">
        <f>IF(DatiOriginali!K2588 &gt;= SogliaPicchi!$B$27,"",DatiOriginali!K2588)</f>
        <v>203300</v>
      </c>
    </row>
    <row r="2589" spans="1:11" x14ac:dyDescent="0.3">
      <c r="A2589" s="4" t="s">
        <v>2598</v>
      </c>
      <c r="B2589" s="4">
        <v>844350</v>
      </c>
      <c r="C2589" s="4">
        <f>IF(DatiOriginali!C2589 &gt;= SogliaPicchi!$B$27,"",DatiOriginali!C2589)</f>
        <v>7417100</v>
      </c>
      <c r="D2589" s="4">
        <v>421190</v>
      </c>
      <c r="E2589" s="4">
        <f>IF(DatiOriginali!E2589 &gt;= SogliaPicchi!$B$27,"",DatiOriginali!E2589)</f>
        <v>1452400</v>
      </c>
      <c r="F2589" s="4">
        <v>14610632</v>
      </c>
      <c r="G2589" s="4">
        <f>IF(DatiOriginali!G2589 &gt;= SogliaPicchi!$B$27,"",DatiOriginali!G2589)</f>
        <v>1609100</v>
      </c>
      <c r="H2589" s="4">
        <v>18372598</v>
      </c>
      <c r="I2589" s="4">
        <f>IF(DatiOriginali!I2589 &gt;= SogliaPicchi!$B$27,"",DatiOriginali!I2589)</f>
        <v>175800</v>
      </c>
      <c r="J2589" s="4">
        <v>18348723</v>
      </c>
      <c r="K2589" s="4">
        <f>IF(DatiOriginali!K2589 &gt;= SogliaPicchi!$B$27,"",DatiOriginali!K2589)</f>
        <v>188600</v>
      </c>
    </row>
    <row r="2590" spans="1:11" x14ac:dyDescent="0.3">
      <c r="A2590" s="4" t="s">
        <v>2599</v>
      </c>
      <c r="B2590" s="4">
        <v>844350</v>
      </c>
      <c r="C2590" s="4">
        <f>IF(DatiOriginali!C2590 &gt;= SogliaPicchi!$B$27,"",DatiOriginali!C2590)</f>
        <v>7361400</v>
      </c>
      <c r="D2590" s="4">
        <v>427710</v>
      </c>
      <c r="E2590" s="4">
        <f>IF(DatiOriginali!E2590 &gt;= SogliaPicchi!$B$27,"",DatiOriginali!E2590)</f>
        <v>1473200</v>
      </c>
      <c r="F2590" s="4">
        <v>14622491</v>
      </c>
      <c r="G2590" s="4">
        <f>IF(DatiOriginali!G2590 &gt;= SogliaPicchi!$B$27,"",DatiOriginali!G2590)</f>
        <v>504400</v>
      </c>
      <c r="H2590" s="4">
        <v>18387120</v>
      </c>
      <c r="I2590" s="4">
        <f>IF(DatiOriginali!I2590 &gt;= SogliaPicchi!$B$27,"",DatiOriginali!I2590)</f>
        <v>230300</v>
      </c>
      <c r="J2590" s="4">
        <v>18363966</v>
      </c>
      <c r="K2590" s="4">
        <f>IF(DatiOriginali!K2590 &gt;= SogliaPicchi!$B$27,"",DatiOriginali!K2590)</f>
        <v>254500</v>
      </c>
    </row>
    <row r="2591" spans="1:11" x14ac:dyDescent="0.3">
      <c r="A2591" s="4" t="s">
        <v>2600</v>
      </c>
      <c r="B2591" s="4">
        <v>844350</v>
      </c>
      <c r="C2591" s="4">
        <f>IF(DatiOriginali!C2591 &gt;= SogliaPicchi!$B$27,"",DatiOriginali!C2591)</f>
        <v>7902400</v>
      </c>
      <c r="D2591" s="4">
        <v>417347</v>
      </c>
      <c r="E2591" s="4">
        <f>IF(DatiOriginali!E2591 &gt;= SogliaPicchi!$B$27,"",DatiOriginali!E2591)</f>
        <v>1482900</v>
      </c>
      <c r="F2591" s="4">
        <v>14634356</v>
      </c>
      <c r="G2591" s="4">
        <f>IF(DatiOriginali!G2591 &gt;= SogliaPicchi!$B$27,"",DatiOriginali!G2591)</f>
        <v>505400</v>
      </c>
      <c r="H2591" s="4">
        <v>18401975</v>
      </c>
      <c r="I2591" s="4">
        <f>IF(DatiOriginali!I2591 &gt;= SogliaPicchi!$B$27,"",DatiOriginali!I2591)</f>
        <v>170100</v>
      </c>
      <c r="J2591" s="4">
        <v>18377995</v>
      </c>
      <c r="K2591" s="4">
        <f>IF(DatiOriginali!K2591 &gt;= SogliaPicchi!$B$27,"",DatiOriginali!K2591)</f>
        <v>183800</v>
      </c>
    </row>
    <row r="2592" spans="1:11" x14ac:dyDescent="0.3">
      <c r="A2592" s="4" t="s">
        <v>2601</v>
      </c>
      <c r="B2592" s="4">
        <v>844350</v>
      </c>
      <c r="C2592" s="4">
        <f>IF(DatiOriginali!C2592 &gt;= SogliaPicchi!$B$27,"",DatiOriginali!C2592)</f>
        <v>7675300</v>
      </c>
      <c r="D2592" s="4">
        <v>420204</v>
      </c>
      <c r="E2592" s="4">
        <f>IF(DatiOriginali!E2592 &gt;= SogliaPicchi!$B$27,"",DatiOriginali!E2592)</f>
        <v>1451000</v>
      </c>
      <c r="F2592" s="4">
        <v>14646189</v>
      </c>
      <c r="G2592" s="4">
        <f>IF(DatiOriginali!G2592 &gt;= SogliaPicchi!$B$27,"",DatiOriginali!G2592)</f>
        <v>494400</v>
      </c>
      <c r="H2592" s="4">
        <v>18417039</v>
      </c>
      <c r="I2592" s="4">
        <f>IF(DatiOriginali!I2592 &gt;= SogliaPicchi!$B$27,"",DatiOriginali!I2592)</f>
        <v>180100</v>
      </c>
      <c r="J2592" s="4">
        <v>18393167</v>
      </c>
      <c r="K2592" s="4">
        <f>IF(DatiOriginali!K2592 &gt;= SogliaPicchi!$B$27,"",DatiOriginali!K2592)</f>
        <v>193700</v>
      </c>
    </row>
    <row r="2593" spans="1:11" x14ac:dyDescent="0.3">
      <c r="A2593" s="4" t="s">
        <v>2602</v>
      </c>
      <c r="B2593" s="4">
        <v>844350</v>
      </c>
      <c r="C2593" s="4">
        <f>IF(DatiOriginali!C2593 &gt;= SogliaPicchi!$B$27,"",DatiOriginali!C2593)</f>
        <v>8610800</v>
      </c>
      <c r="D2593" s="4">
        <v>419891</v>
      </c>
      <c r="E2593" s="4">
        <f>IF(DatiOriginali!E2593 &gt;= SogliaPicchi!$B$27,"",DatiOriginali!E2593)</f>
        <v>1467200</v>
      </c>
      <c r="F2593" s="4">
        <v>14657996</v>
      </c>
      <c r="G2593" s="4">
        <f>IF(DatiOriginali!G2593 &gt;= SogliaPicchi!$B$27,"",DatiOriginali!G2593)</f>
        <v>496900</v>
      </c>
      <c r="H2593" s="4">
        <v>18433007</v>
      </c>
      <c r="I2593" s="4">
        <f>IF(DatiOriginali!I2593 &gt;= SogliaPicchi!$B$27,"",DatiOriginali!I2593)</f>
        <v>171200</v>
      </c>
      <c r="J2593" s="4">
        <v>18408090</v>
      </c>
      <c r="K2593" s="4">
        <f>IF(DatiOriginali!K2593 &gt;= SogliaPicchi!$B$27,"",DatiOriginali!K2593)</f>
        <v>188900</v>
      </c>
    </row>
    <row r="2594" spans="1:11" x14ac:dyDescent="0.3">
      <c r="A2594" s="4" t="s">
        <v>2603</v>
      </c>
      <c r="B2594" s="4">
        <v>844350</v>
      </c>
      <c r="C2594" s="4">
        <f>IF(DatiOriginali!C2594 &gt;= SogliaPicchi!$B$27,"",DatiOriginali!C2594)</f>
        <v>8277300</v>
      </c>
      <c r="D2594" s="4">
        <v>423894</v>
      </c>
      <c r="E2594" s="4">
        <f>IF(DatiOriginali!E2594 &gt;= SogliaPicchi!$B$27,"",DatiOriginali!E2594)</f>
        <v>1486000</v>
      </c>
      <c r="F2594" s="4">
        <v>14669875</v>
      </c>
      <c r="G2594" s="4">
        <f>IF(DatiOriginali!G2594 &gt;= SogliaPicchi!$B$27,"",DatiOriginali!G2594)</f>
        <v>502000</v>
      </c>
      <c r="H2594" s="4">
        <v>18447886</v>
      </c>
      <c r="I2594" s="4">
        <f>IF(DatiOriginali!I2594 &gt;= SogliaPicchi!$B$27,"",DatiOriginali!I2594)</f>
        <v>174800</v>
      </c>
      <c r="J2594" s="4">
        <v>18423623</v>
      </c>
      <c r="K2594" s="4">
        <f>IF(DatiOriginali!K2594 &gt;= SogliaPicchi!$B$27,"",DatiOriginali!K2594)</f>
        <v>190400</v>
      </c>
    </row>
    <row r="2595" spans="1:11" x14ac:dyDescent="0.3">
      <c r="A2595" s="4" t="s">
        <v>2604</v>
      </c>
      <c r="B2595" s="4">
        <v>844350</v>
      </c>
      <c r="C2595" s="4">
        <f>IF(DatiOriginali!C2595 &gt;= SogliaPicchi!$B$27,"",DatiOriginali!C2595)</f>
        <v>7592100</v>
      </c>
      <c r="D2595" s="4">
        <v>416924</v>
      </c>
      <c r="E2595" s="4">
        <f>IF(DatiOriginali!E2595 &gt;= SogliaPicchi!$B$27,"",DatiOriginali!E2595)</f>
        <v>1701100</v>
      </c>
      <c r="F2595" s="4">
        <v>14681704</v>
      </c>
      <c r="G2595" s="4">
        <f>IF(DatiOriginali!G2595 &gt;= SogliaPicchi!$B$27,"",DatiOriginali!G2595)</f>
        <v>503900</v>
      </c>
      <c r="H2595" s="4">
        <v>18464313</v>
      </c>
      <c r="I2595" s="4">
        <f>IF(DatiOriginali!I2595 &gt;= SogliaPicchi!$B$27,"",DatiOriginali!I2595)</f>
        <v>175600</v>
      </c>
      <c r="J2595" s="4">
        <v>18438355</v>
      </c>
      <c r="K2595" s="4">
        <f>IF(DatiOriginali!K2595 &gt;= SogliaPicchi!$B$27,"",DatiOriginali!K2595)</f>
        <v>195800</v>
      </c>
    </row>
    <row r="2596" spans="1:11" x14ac:dyDescent="0.3">
      <c r="A2596" s="4" t="s">
        <v>2605</v>
      </c>
      <c r="B2596" s="4">
        <v>844350</v>
      </c>
      <c r="C2596" s="4">
        <f>IF(DatiOriginali!C2596 &gt;= SogliaPicchi!$B$27,"",DatiOriginali!C2596)</f>
        <v>7547400</v>
      </c>
      <c r="D2596" s="4">
        <v>426601</v>
      </c>
      <c r="E2596" s="4">
        <f>IF(DatiOriginali!E2596 &gt;= SogliaPicchi!$B$27,"",DatiOriginali!E2596)</f>
        <v>1470700</v>
      </c>
      <c r="F2596" s="4">
        <v>14693537</v>
      </c>
      <c r="G2596" s="4">
        <f>IF(DatiOriginali!G2596 &gt;= SogliaPicchi!$B$27,"",DatiOriginali!G2596)</f>
        <v>493300</v>
      </c>
      <c r="H2596" s="4">
        <v>18479223</v>
      </c>
      <c r="I2596" s="4">
        <f>IF(DatiOriginali!I2596 &gt;= SogliaPicchi!$B$27,"",DatiOriginali!I2596)</f>
        <v>181500</v>
      </c>
      <c r="J2596" s="4">
        <v>18452964</v>
      </c>
      <c r="K2596" s="4">
        <f>IF(DatiOriginali!K2596 &gt;= SogliaPicchi!$B$27,"",DatiOriginali!K2596)</f>
        <v>189400</v>
      </c>
    </row>
    <row r="2597" spans="1:11" x14ac:dyDescent="0.3">
      <c r="A2597" s="4" t="s">
        <v>2606</v>
      </c>
      <c r="B2597" s="4">
        <v>844350</v>
      </c>
      <c r="C2597" s="4">
        <f>IF(DatiOriginali!C2597 &gt;= SogliaPicchi!$B$27,"",DatiOriginali!C2597)</f>
        <v>7698700</v>
      </c>
      <c r="D2597" s="4">
        <v>423592</v>
      </c>
      <c r="E2597" s="4">
        <f>IF(DatiOriginali!E2597 &gt;= SogliaPicchi!$B$27,"",DatiOriginali!E2597)</f>
        <v>1462300</v>
      </c>
      <c r="F2597" s="4">
        <v>14705357</v>
      </c>
      <c r="G2597" s="4">
        <f>IF(DatiOriginali!G2597 &gt;= SogliaPicchi!$B$27,"",DatiOriginali!G2597)</f>
        <v>493300</v>
      </c>
      <c r="H2597" s="4">
        <v>18495183</v>
      </c>
      <c r="I2597" s="4">
        <f>IF(DatiOriginali!I2597 &gt;= SogliaPicchi!$B$27,"",DatiOriginali!I2597)</f>
        <v>178500</v>
      </c>
      <c r="J2597" s="4">
        <v>18467771</v>
      </c>
      <c r="K2597" s="4">
        <f>IF(DatiOriginali!K2597 &gt;= SogliaPicchi!$B$27,"",DatiOriginali!K2597)</f>
        <v>193300</v>
      </c>
    </row>
    <row r="2598" spans="1:11" x14ac:dyDescent="0.3">
      <c r="A2598" s="4" t="s">
        <v>2607</v>
      </c>
      <c r="B2598" s="4">
        <v>844350</v>
      </c>
      <c r="C2598" s="4">
        <f>IF(DatiOriginali!C2598 &gt;= SogliaPicchi!$B$27,"",DatiOriginali!C2598)</f>
        <v>7662400</v>
      </c>
      <c r="D2598" s="4">
        <v>411606</v>
      </c>
      <c r="E2598" s="4">
        <f>IF(DatiOriginali!E2598 &gt;= SogliaPicchi!$B$27,"",DatiOriginali!E2598)</f>
        <v>1428700</v>
      </c>
      <c r="F2598" s="4">
        <v>14717191</v>
      </c>
      <c r="G2598" s="4">
        <f>IF(DatiOriginali!G2598 &gt;= SogliaPicchi!$B$27,"",DatiOriginali!G2598)</f>
        <v>491200</v>
      </c>
      <c r="H2598" s="4">
        <v>18509404</v>
      </c>
      <c r="I2598" s="4">
        <f>IF(DatiOriginali!I2598 &gt;= SogliaPicchi!$B$27,"",DatiOriginali!I2598)</f>
        <v>173200</v>
      </c>
      <c r="J2598" s="4">
        <v>18482249</v>
      </c>
      <c r="K2598" s="4">
        <f>IF(DatiOriginali!K2598 &gt;= SogliaPicchi!$B$27,"",DatiOriginali!K2598)</f>
        <v>187100</v>
      </c>
    </row>
    <row r="2599" spans="1:11" x14ac:dyDescent="0.3">
      <c r="A2599" s="4" t="s">
        <v>2608</v>
      </c>
      <c r="B2599" s="4">
        <v>844350</v>
      </c>
      <c r="C2599" s="4">
        <f>IF(DatiOriginali!C2599 &gt;= SogliaPicchi!$B$27,"",DatiOriginali!C2599)</f>
        <v>7551600</v>
      </c>
      <c r="D2599" s="4">
        <v>426619</v>
      </c>
      <c r="E2599" s="4">
        <f>IF(DatiOriginali!E2599 &gt;= SogliaPicchi!$B$27,"",DatiOriginali!E2599)</f>
        <v>1471800</v>
      </c>
      <c r="F2599" s="4">
        <v>14728983</v>
      </c>
      <c r="G2599" s="4">
        <f>IF(DatiOriginali!G2599 &gt;= SogliaPicchi!$B$27,"",DatiOriginali!G2599)</f>
        <v>495500</v>
      </c>
      <c r="H2599" s="4">
        <v>18523528</v>
      </c>
      <c r="I2599" s="4">
        <f>IF(DatiOriginali!I2599 &gt;= SogliaPicchi!$B$27,"",DatiOriginali!I2599)</f>
        <v>168500</v>
      </c>
      <c r="J2599" s="4">
        <v>18496079</v>
      </c>
      <c r="K2599" s="4">
        <f>IF(DatiOriginali!K2599 &gt;= SogliaPicchi!$B$27,"",DatiOriginali!K2599)</f>
        <v>186800</v>
      </c>
    </row>
    <row r="2600" spans="1:11" x14ac:dyDescent="0.3">
      <c r="A2600" s="4" t="s">
        <v>2609</v>
      </c>
      <c r="B2600" s="4">
        <v>844350</v>
      </c>
      <c r="C2600" s="4">
        <f>IF(DatiOriginali!C2600 &gt;= SogliaPicchi!$B$27,"",DatiOriginali!C2600)</f>
        <v>7241800</v>
      </c>
      <c r="D2600" s="4">
        <v>419318</v>
      </c>
      <c r="E2600" s="4">
        <f>IF(DatiOriginali!E2600 &gt;= SogliaPicchi!$B$27,"",DatiOriginali!E2600)</f>
        <v>1727700</v>
      </c>
      <c r="F2600" s="4">
        <v>14740852</v>
      </c>
      <c r="G2600" s="4">
        <f>IF(DatiOriginali!G2600 &gt;= SogliaPicchi!$B$27,"",DatiOriginali!G2600)</f>
        <v>609000</v>
      </c>
      <c r="H2600" s="4">
        <v>18539455</v>
      </c>
      <c r="I2600" s="4">
        <f>IF(DatiOriginali!I2600 &gt;= SogliaPicchi!$B$27,"",DatiOriginali!I2600)</f>
        <v>211300</v>
      </c>
      <c r="J2600" s="4">
        <v>18512251</v>
      </c>
      <c r="K2600" s="4">
        <f>IF(DatiOriginali!K2600 &gt;= SogliaPicchi!$B$27,"",DatiOriginali!K2600)</f>
        <v>242400</v>
      </c>
    </row>
    <row r="2601" spans="1:11" x14ac:dyDescent="0.3">
      <c r="A2601" s="4" t="s">
        <v>2610</v>
      </c>
      <c r="B2601" s="4">
        <v>844350</v>
      </c>
      <c r="C2601" s="4">
        <f>IF(DatiOriginali!C2601 &gt;= SogliaPicchi!$B$27,"",DatiOriginali!C2601)</f>
        <v>7705600</v>
      </c>
      <c r="D2601" s="4">
        <v>426209</v>
      </c>
      <c r="E2601" s="4">
        <f>IF(DatiOriginali!E2601 &gt;= SogliaPicchi!$B$27,"",DatiOriginali!E2601)</f>
        <v>1468300</v>
      </c>
      <c r="F2601" s="4">
        <v>14752673</v>
      </c>
      <c r="G2601" s="4">
        <f>IF(DatiOriginali!G2601 &gt;= SogliaPicchi!$B$28,"",DatiOriginali!G2601)</f>
        <v>493900</v>
      </c>
      <c r="H2601" s="4">
        <v>18555424</v>
      </c>
      <c r="I2601" s="4">
        <f>IF(DatiOriginali!I2601 &gt;= SogliaPicchi!$B$28,"",DatiOriginali!I2601)</f>
        <v>174400</v>
      </c>
      <c r="J2601" s="4">
        <v>18526918</v>
      </c>
      <c r="K2601" s="4">
        <f>IF(DatiOriginali!K2601 &gt;= SogliaPicchi!$B$28,"",DatiOriginali!K2601)</f>
        <v>186400</v>
      </c>
    </row>
    <row r="2602" spans="1:11" x14ac:dyDescent="0.3">
      <c r="A2602" s="4" t="s">
        <v>2611</v>
      </c>
      <c r="B2602" s="4">
        <v>910575</v>
      </c>
      <c r="C2602" s="4">
        <f>IF(DatiOriginali!C2602 &gt;= SogliaPicchi!$B$28,"",DatiOriginali!C2602)</f>
        <v>8146400</v>
      </c>
      <c r="D2602" s="4">
        <v>460832</v>
      </c>
      <c r="E2602" s="4">
        <f>IF(DatiOriginali!E2602 &gt;= SogliaPicchi!$B$28,"",DatiOriginali!E2602)</f>
        <v>1587700</v>
      </c>
      <c r="F2602" s="4">
        <v>14765009</v>
      </c>
      <c r="G2602" s="4">
        <f>IF(DatiOriginali!G2602 &gt;= SogliaPicchi!$B$28,"",DatiOriginali!G2602)</f>
        <v>516700</v>
      </c>
      <c r="H2602" s="4">
        <v>18570027</v>
      </c>
      <c r="I2602" s="4">
        <f>IF(DatiOriginali!I2602 &gt;= SogliaPicchi!$B$28,"",DatiOriginali!I2602)</f>
        <v>178400</v>
      </c>
      <c r="J2602" s="4">
        <v>18541962</v>
      </c>
      <c r="K2602" s="4">
        <f>IF(DatiOriginali!K2602 &gt;= SogliaPicchi!$B$28,"",DatiOriginali!K2602)</f>
        <v>204900</v>
      </c>
    </row>
    <row r="2603" spans="1:11" x14ac:dyDescent="0.3">
      <c r="A2603" s="4" t="s">
        <v>2612</v>
      </c>
      <c r="B2603" s="4">
        <v>910575</v>
      </c>
      <c r="C2603" s="4">
        <f>IF(DatiOriginali!C2603 &gt;= SogliaPicchi!$B$28,"",DatiOriginali!C2603)</f>
        <v>8365200</v>
      </c>
      <c r="D2603" s="4">
        <v>442432</v>
      </c>
      <c r="E2603" s="4">
        <f>IF(DatiOriginali!E2603 &gt;= SogliaPicchi!$B$28,"",DatiOriginali!E2603)</f>
        <v>1528000</v>
      </c>
      <c r="F2603" s="4">
        <v>14777378</v>
      </c>
      <c r="G2603" s="4">
        <f>IF(DatiOriginali!G2603 &gt;= SogliaPicchi!$B$28,"",DatiOriginali!G2603)</f>
        <v>515600</v>
      </c>
      <c r="H2603" s="4">
        <v>18585099</v>
      </c>
      <c r="I2603" s="4">
        <f>IF(DatiOriginali!I2603 &gt;= SogliaPicchi!$B$28,"",DatiOriginali!I2603)</f>
        <v>183200</v>
      </c>
      <c r="J2603" s="4">
        <v>18558611</v>
      </c>
      <c r="K2603" s="4">
        <f>IF(DatiOriginali!K2603 &gt;= SogliaPicchi!$B$28,"",DatiOriginali!K2603)</f>
        <v>197600</v>
      </c>
    </row>
    <row r="2604" spans="1:11" x14ac:dyDescent="0.3">
      <c r="A2604" s="4" t="s">
        <v>2613</v>
      </c>
      <c r="B2604" s="4">
        <v>910575</v>
      </c>
      <c r="C2604" s="4">
        <f>IF(DatiOriginali!C2604 &gt;= SogliaPicchi!$B$28,"",DatiOriginali!C2604)</f>
        <v>8008500</v>
      </c>
      <c r="D2604" s="4">
        <v>453459</v>
      </c>
      <c r="E2604" s="4">
        <f>IF(DatiOriginali!E2604 &gt;= SogliaPicchi!$B$28,"",DatiOriginali!E2604)</f>
        <v>1561300</v>
      </c>
      <c r="F2604" s="4">
        <v>14789743</v>
      </c>
      <c r="G2604" s="4">
        <f>IF(DatiOriginali!G2604 &gt;= SogliaPicchi!$B$28,"",DatiOriginali!G2604)</f>
        <v>521000</v>
      </c>
      <c r="H2604" s="4">
        <v>18600322</v>
      </c>
      <c r="I2604" s="4">
        <f>IF(DatiOriginali!I2604 &gt;= SogliaPicchi!$B$28,"",DatiOriginali!I2604)</f>
        <v>176700</v>
      </c>
      <c r="J2604" s="4">
        <v>18573384</v>
      </c>
      <c r="K2604" s="4">
        <f>IF(DatiOriginali!K2604 &gt;= SogliaPicchi!$B$28,"",DatiOriginali!K2604)</f>
        <v>194200</v>
      </c>
    </row>
    <row r="2605" spans="1:11" x14ac:dyDescent="0.3">
      <c r="A2605" s="4" t="s">
        <v>2614</v>
      </c>
      <c r="B2605" s="4">
        <v>910575</v>
      </c>
      <c r="C2605" s="4">
        <f>IF(DatiOriginali!C2605 &gt;= SogliaPicchi!$B$28,"",DatiOriginali!C2605)</f>
        <v>8988800</v>
      </c>
      <c r="D2605" s="4">
        <v>465154</v>
      </c>
      <c r="E2605" s="4">
        <f>IF(DatiOriginali!E2605 &gt;= SogliaPicchi!$B$28,"",DatiOriginali!E2605)</f>
        <v>1603000</v>
      </c>
      <c r="F2605" s="4">
        <v>14802115</v>
      </c>
      <c r="G2605" s="4">
        <f>IF(DatiOriginali!G2605 &gt;= SogliaPicchi!$B$28,"",DatiOriginali!G2605)</f>
        <v>518800</v>
      </c>
      <c r="H2605" s="4">
        <v>18615980</v>
      </c>
      <c r="I2605" s="4">
        <f>IF(DatiOriginali!I2605 &gt;= SogliaPicchi!$B$28,"",DatiOriginali!I2605)</f>
        <v>186200</v>
      </c>
      <c r="J2605" s="4">
        <v>18589576</v>
      </c>
      <c r="K2605" s="4">
        <f>IF(DatiOriginali!K2605 &gt;= SogliaPicchi!$B$28,"",DatiOriginali!K2605)</f>
        <v>202300</v>
      </c>
    </row>
    <row r="2606" spans="1:11" x14ac:dyDescent="0.3">
      <c r="A2606" s="4" t="s">
        <v>2615</v>
      </c>
      <c r="B2606" s="4">
        <v>910575</v>
      </c>
      <c r="C2606" s="4">
        <f>IF(DatiOriginali!C2606 &gt;= SogliaPicchi!$B$28,"",DatiOriginali!C2606)</f>
        <v>8412700</v>
      </c>
      <c r="D2606" s="4">
        <v>464236</v>
      </c>
      <c r="E2606" s="4">
        <f>IF(DatiOriginali!E2606 &gt;= SogliaPicchi!$B$28,"",DatiOriginali!E2606)</f>
        <v>1597800</v>
      </c>
      <c r="F2606" s="4">
        <v>14814513</v>
      </c>
      <c r="G2606" s="4">
        <f>IF(DatiOriginali!G2606 &gt;= SogliaPicchi!$B$28,"",DatiOriginali!G2606)</f>
        <v>518300</v>
      </c>
      <c r="H2606" s="4">
        <v>18631594</v>
      </c>
      <c r="I2606" s="4">
        <f>IF(DatiOriginali!I2606 &gt;= SogliaPicchi!$B$28,"",DatiOriginali!I2606)</f>
        <v>183400</v>
      </c>
      <c r="J2606" s="4">
        <v>18604914</v>
      </c>
      <c r="K2606" s="4">
        <f>IF(DatiOriginali!K2606 &gt;= SogliaPicchi!$B$28,"",DatiOriginali!K2606)</f>
        <v>203300</v>
      </c>
    </row>
    <row r="2607" spans="1:11" x14ac:dyDescent="0.3">
      <c r="A2607" s="4" t="s">
        <v>2616</v>
      </c>
      <c r="B2607" s="4">
        <v>910575</v>
      </c>
      <c r="C2607" s="4">
        <f>IF(DatiOriginali!C2607 &gt;= SogliaPicchi!$B$28,"",DatiOriginali!C2607)</f>
        <v>8597700</v>
      </c>
      <c r="D2607" s="4">
        <v>472508</v>
      </c>
      <c r="E2607" s="4">
        <f>IF(DatiOriginali!E2607 &gt;= SogliaPicchi!$B$28,"",DatiOriginali!E2607)</f>
        <v>1667300</v>
      </c>
      <c r="F2607" s="4">
        <v>14826871</v>
      </c>
      <c r="G2607" s="4">
        <f>IF(DatiOriginali!G2607 &gt;= SogliaPicchi!$B$28,"",DatiOriginali!G2607)</f>
        <v>521800</v>
      </c>
      <c r="H2607" s="4">
        <v>18646984</v>
      </c>
      <c r="I2607" s="4">
        <f>IF(DatiOriginali!I2607 &gt;= SogliaPicchi!$B$28,"",DatiOriginali!I2607)</f>
        <v>179200</v>
      </c>
      <c r="J2607" s="4">
        <v>18621943</v>
      </c>
      <c r="K2607" s="4">
        <f>IF(DatiOriginali!K2607 &gt;= SogliaPicchi!$B$28,"",DatiOriginali!K2607)</f>
        <v>197300</v>
      </c>
    </row>
    <row r="2608" spans="1:11" x14ac:dyDescent="0.3">
      <c r="A2608" s="4" t="s">
        <v>2617</v>
      </c>
      <c r="B2608" s="4">
        <v>910575</v>
      </c>
      <c r="C2608" s="4">
        <f>IF(DatiOriginali!C2608 &gt;= SogliaPicchi!$B$28,"",DatiOriginali!C2608)</f>
        <v>8426600</v>
      </c>
      <c r="D2608" s="4">
        <v>447441</v>
      </c>
      <c r="E2608" s="4">
        <f>IF(DatiOriginali!E2608 &gt;= SogliaPicchi!$B$28,"",DatiOriginali!E2608)</f>
        <v>1551800</v>
      </c>
      <c r="F2608" s="4">
        <v>14839221</v>
      </c>
      <c r="G2608" s="4">
        <f>IF(DatiOriginali!G2608 &gt;= SogliaPicchi!$B$28,"",DatiOriginali!G2608)</f>
        <v>517400</v>
      </c>
      <c r="H2608" s="4">
        <v>18662925</v>
      </c>
      <c r="I2608" s="4">
        <f>IF(DatiOriginali!I2608 &gt;= SogliaPicchi!$B$28,"",DatiOriginali!I2608)</f>
        <v>182600</v>
      </c>
      <c r="J2608" s="4">
        <v>18637618</v>
      </c>
      <c r="K2608" s="4">
        <f>IF(DatiOriginali!K2608 &gt;= SogliaPicchi!$B$28,"",DatiOriginali!K2608)</f>
        <v>201900</v>
      </c>
    </row>
    <row r="2609" spans="1:11" x14ac:dyDescent="0.3">
      <c r="A2609" s="4" t="s">
        <v>2618</v>
      </c>
      <c r="B2609" s="4">
        <v>910575</v>
      </c>
      <c r="C2609" s="4">
        <f>IF(DatiOriginali!C2609 &gt;= SogliaPicchi!$B$28,"",DatiOriginali!C2609)</f>
        <v>8143600</v>
      </c>
      <c r="D2609" s="4">
        <v>462463</v>
      </c>
      <c r="E2609" s="4">
        <f>IF(DatiOriginali!E2609 &gt;= SogliaPicchi!$B$28,"",DatiOriginali!E2609)</f>
        <v>1615200</v>
      </c>
      <c r="F2609" s="4">
        <v>14851610</v>
      </c>
      <c r="G2609" s="4">
        <f>IF(DatiOriginali!G2609 &gt;= SogliaPicchi!$B$28,"",DatiOriginali!G2609)</f>
        <v>526100</v>
      </c>
      <c r="H2609" s="4">
        <v>18678740</v>
      </c>
      <c r="I2609" s="4">
        <f>IF(DatiOriginali!I2609 &gt;= SogliaPicchi!$B$28,"",DatiOriginali!I2609)</f>
        <v>178000</v>
      </c>
      <c r="J2609" s="4">
        <v>18652249</v>
      </c>
      <c r="K2609" s="4">
        <f>IF(DatiOriginali!K2609 &gt;= SogliaPicchi!$B$28,"",DatiOriginali!K2609)</f>
        <v>194900</v>
      </c>
    </row>
    <row r="2610" spans="1:11" x14ac:dyDescent="0.3">
      <c r="A2610" s="4" t="s">
        <v>2619</v>
      </c>
      <c r="B2610" s="4">
        <v>910575</v>
      </c>
      <c r="C2610" s="4">
        <f>IF(DatiOriginali!C2610 &gt;= SogliaPicchi!$B$28,"",DatiOriginali!C2610)</f>
        <v>8313600</v>
      </c>
      <c r="D2610" s="4">
        <v>452802</v>
      </c>
      <c r="E2610" s="4">
        <f>IF(DatiOriginali!E2610 &gt;= SogliaPicchi!$B$28,"",DatiOriginali!E2610)</f>
        <v>1562700</v>
      </c>
      <c r="F2610" s="4">
        <v>14863961</v>
      </c>
      <c r="G2610" s="4">
        <f>IF(DatiOriginali!G2610 &gt;= SogliaPicchi!$B$28,"",DatiOriginali!G2610)</f>
        <v>564300</v>
      </c>
      <c r="H2610" s="4">
        <v>18694209</v>
      </c>
      <c r="I2610" s="4">
        <f>IF(DatiOriginali!I2610 &gt;= SogliaPicchi!$B$28,"",DatiOriginali!I2610)</f>
        <v>179900</v>
      </c>
      <c r="J2610" s="4">
        <v>18667789</v>
      </c>
      <c r="K2610" s="4">
        <f>IF(DatiOriginali!K2610 &gt;= SogliaPicchi!$B$28,"",DatiOriginali!K2610)</f>
        <v>200000</v>
      </c>
    </row>
    <row r="2611" spans="1:11" x14ac:dyDescent="0.3">
      <c r="A2611" s="4" t="s">
        <v>2620</v>
      </c>
      <c r="B2611" s="4">
        <v>910575</v>
      </c>
      <c r="C2611" s="4">
        <f>IF(DatiOriginali!C2611 &gt;= SogliaPicchi!$B$28,"",DatiOriginali!C2611)</f>
        <v>8670100</v>
      </c>
      <c r="D2611" s="4">
        <v>457809</v>
      </c>
      <c r="E2611" s="4">
        <f>IF(DatiOriginali!E2611 &gt;= SogliaPicchi!$B$28,"",DatiOriginali!E2611)</f>
        <v>1835500</v>
      </c>
      <c r="F2611" s="4">
        <v>14876335</v>
      </c>
      <c r="G2611" s="4">
        <f>IF(DatiOriginali!G2611 &gt;= SogliaPicchi!$B$28,"",DatiOriginali!G2611)</f>
        <v>530500</v>
      </c>
      <c r="H2611" s="4">
        <v>18710433</v>
      </c>
      <c r="I2611" s="4">
        <f>IF(DatiOriginali!I2611 &gt;= SogliaPicchi!$B$28,"",DatiOriginali!I2611)</f>
        <v>177400</v>
      </c>
      <c r="J2611" s="4">
        <v>18683446</v>
      </c>
      <c r="K2611" s="4">
        <f>IF(DatiOriginali!K2611 &gt;= SogliaPicchi!$B$28,"",DatiOriginali!K2611)</f>
        <v>199800</v>
      </c>
    </row>
    <row r="2612" spans="1:11" x14ac:dyDescent="0.3">
      <c r="A2612" s="4" t="s">
        <v>2621</v>
      </c>
      <c r="B2612" s="4">
        <v>910575</v>
      </c>
      <c r="C2612" s="4">
        <f>IF(DatiOriginali!C2612 &gt;= SogliaPicchi!$B$28,"",DatiOriginali!C2612)</f>
        <v>8288200</v>
      </c>
      <c r="D2612" s="4">
        <v>446506</v>
      </c>
      <c r="E2612" s="4">
        <f>IF(DatiOriginali!E2612 &gt;= SogliaPicchi!$B$28,"",DatiOriginali!E2612)</f>
        <v>1588800</v>
      </c>
      <c r="F2612" s="4">
        <v>14888682</v>
      </c>
      <c r="G2612" s="4">
        <f>IF(DatiOriginali!G2612 &gt;= SogliaPicchi!$B$28,"",DatiOriginali!G2612)</f>
        <v>527300</v>
      </c>
      <c r="H2612" s="4">
        <v>18726032</v>
      </c>
      <c r="I2612" s="4">
        <f>IF(DatiOriginali!I2612 &gt;= SogliaPicchi!$B$28,"",DatiOriginali!I2612)</f>
        <v>180700</v>
      </c>
      <c r="J2612" s="4">
        <v>18698085</v>
      </c>
      <c r="K2612" s="4">
        <f>IF(DatiOriginali!K2612 &gt;= SogliaPicchi!$B$28,"",DatiOriginali!K2612)</f>
        <v>197300</v>
      </c>
    </row>
    <row r="2613" spans="1:11" x14ac:dyDescent="0.3">
      <c r="A2613" s="4" t="s">
        <v>2622</v>
      </c>
      <c r="B2613" s="4">
        <v>910575</v>
      </c>
      <c r="C2613" s="4">
        <f>IF(DatiOriginali!C2613 &gt;= SogliaPicchi!$B$28,"",DatiOriginali!C2613)</f>
        <v>8288300</v>
      </c>
      <c r="D2613" s="4">
        <v>472895</v>
      </c>
      <c r="E2613" s="4">
        <f>IF(DatiOriginali!E2613 &gt;= SogliaPicchi!$B$28,"",DatiOriginali!E2613)</f>
        <v>1631100</v>
      </c>
      <c r="F2613" s="4">
        <v>14901043</v>
      </c>
      <c r="G2613" s="4">
        <f>IF(DatiOriginali!G2613 &gt;= SogliaPicchi!$B$28,"",DatiOriginali!G2613)</f>
        <v>565800</v>
      </c>
      <c r="H2613" s="4">
        <v>18741440</v>
      </c>
      <c r="I2613" s="4">
        <f>IF(DatiOriginali!I2613 &gt;= SogliaPicchi!$B$28,"",DatiOriginali!I2613)</f>
        <v>179900</v>
      </c>
      <c r="J2613" s="4">
        <v>18713205</v>
      </c>
      <c r="K2613" s="4">
        <f>IF(DatiOriginali!K2613 &gt;= SogliaPicchi!$B$28,"",DatiOriginali!K2613)</f>
        <v>198200</v>
      </c>
    </row>
    <row r="2614" spans="1:11" x14ac:dyDescent="0.3">
      <c r="A2614" s="4" t="s">
        <v>2623</v>
      </c>
      <c r="B2614" s="4">
        <v>910575</v>
      </c>
      <c r="C2614" s="4">
        <f>IF(DatiOriginali!C2614 &gt;= SogliaPicchi!$B$28,"",DatiOriginali!C2614)</f>
        <v>8553400</v>
      </c>
      <c r="D2614" s="4">
        <v>460135</v>
      </c>
      <c r="E2614" s="4">
        <f>IF(DatiOriginali!E2614 &gt;= SogliaPicchi!$B$28,"",DatiOriginali!E2614)</f>
        <v>1716400</v>
      </c>
      <c r="F2614" s="4">
        <v>14913417</v>
      </c>
      <c r="G2614" s="4">
        <f>IF(DatiOriginali!G2614 &gt;= SogliaPicchi!$B$28,"",DatiOriginali!G2614)</f>
        <v>528100</v>
      </c>
      <c r="H2614" s="4">
        <v>18756339</v>
      </c>
      <c r="I2614" s="4">
        <f>IF(DatiOriginali!I2614 &gt;= SogliaPicchi!$B$28,"",DatiOriginali!I2614)</f>
        <v>178000</v>
      </c>
      <c r="J2614" s="4">
        <v>18728559</v>
      </c>
      <c r="K2614" s="4">
        <f>IF(DatiOriginali!K2614 &gt;= SogliaPicchi!$B$28,"",DatiOriginali!K2614)</f>
        <v>200100</v>
      </c>
    </row>
    <row r="2615" spans="1:11" x14ac:dyDescent="0.3">
      <c r="A2615" s="4" t="s">
        <v>2624</v>
      </c>
      <c r="B2615" s="4">
        <v>910575</v>
      </c>
      <c r="C2615" s="4">
        <f>IF(DatiOriginali!C2615 &gt;= SogliaPicchi!$B$28,"",DatiOriginali!C2615)</f>
        <v>8088900</v>
      </c>
      <c r="D2615" s="4">
        <v>447897</v>
      </c>
      <c r="E2615" s="4">
        <f>IF(DatiOriginali!E2615 &gt;= SogliaPicchi!$B$28,"",DatiOriginali!E2615)</f>
        <v>1556200</v>
      </c>
      <c r="F2615" s="4">
        <v>14925772</v>
      </c>
      <c r="G2615" s="4">
        <f>IF(DatiOriginali!G2615 &gt;= SogliaPicchi!$B$28,"",DatiOriginali!G2615)</f>
        <v>528700</v>
      </c>
      <c r="H2615" s="4">
        <v>18771881</v>
      </c>
      <c r="I2615" s="4">
        <f>IF(DatiOriginali!I2615 &gt;= SogliaPicchi!$B$28,"",DatiOriginali!I2615)</f>
        <v>183800</v>
      </c>
      <c r="J2615" s="4">
        <v>18742716</v>
      </c>
      <c r="K2615" s="4">
        <f>IF(DatiOriginali!K2615 &gt;= SogliaPicchi!$B$28,"",DatiOriginali!K2615)</f>
        <v>207800</v>
      </c>
    </row>
    <row r="2616" spans="1:11" x14ac:dyDescent="0.3">
      <c r="A2616" s="4" t="s">
        <v>2625</v>
      </c>
      <c r="B2616" s="4">
        <v>910575</v>
      </c>
      <c r="C2616" s="4">
        <f>IF(DatiOriginali!C2616 &gt;= SogliaPicchi!$B$28,"",DatiOriginali!C2616)</f>
        <v>8047800</v>
      </c>
      <c r="D2616" s="4">
        <v>459028</v>
      </c>
      <c r="E2616" s="4">
        <f>IF(DatiOriginali!E2616 &gt;= SogliaPicchi!$B$28,"",DatiOriginali!E2616)</f>
        <v>1579200</v>
      </c>
      <c r="F2616" s="4">
        <v>14938140</v>
      </c>
      <c r="G2616" s="4">
        <f>IF(DatiOriginali!G2616 &gt;= SogliaPicchi!$B$28,"",DatiOriginali!G2616)</f>
        <v>529200</v>
      </c>
      <c r="H2616" s="4">
        <v>18786854</v>
      </c>
      <c r="I2616" s="4">
        <f>IF(DatiOriginali!I2616 &gt;= SogliaPicchi!$B$28,"",DatiOriginali!I2616)</f>
        <v>175900</v>
      </c>
      <c r="J2616" s="4">
        <v>18758720</v>
      </c>
      <c r="K2616" s="4">
        <f>IF(DatiOriginali!K2616 &gt;= SogliaPicchi!$B$28,"",DatiOriginali!K2616)</f>
        <v>200100</v>
      </c>
    </row>
    <row r="2617" spans="1:11" x14ac:dyDescent="0.3">
      <c r="A2617" s="4" t="s">
        <v>2626</v>
      </c>
      <c r="B2617" s="4">
        <v>910575</v>
      </c>
      <c r="C2617" s="4">
        <f>IF(DatiOriginali!C2617 &gt;= SogliaPicchi!$B$28,"",DatiOriginali!C2617)</f>
        <v>8184900</v>
      </c>
      <c r="D2617" s="4">
        <v>456235</v>
      </c>
      <c r="E2617" s="4">
        <f>IF(DatiOriginali!E2617 &gt;= SogliaPicchi!$B$28,"",DatiOriginali!E2617)</f>
        <v>1622400</v>
      </c>
      <c r="F2617" s="4">
        <v>14950533</v>
      </c>
      <c r="G2617" s="4">
        <f>IF(DatiOriginali!G2617 &gt;= SogliaPicchi!$B$28,"",DatiOriginali!G2617)</f>
        <v>519300</v>
      </c>
      <c r="H2617" s="4">
        <v>18801833</v>
      </c>
      <c r="I2617" s="4">
        <f>IF(DatiOriginali!I2617 &gt;= SogliaPicchi!$B$28,"",DatiOriginali!I2617)</f>
        <v>181100</v>
      </c>
      <c r="J2617" s="4">
        <v>18774058</v>
      </c>
      <c r="K2617" s="4">
        <f>IF(DatiOriginali!K2617 &gt;= SogliaPicchi!$B$28,"",DatiOriginali!K2617)</f>
        <v>199500</v>
      </c>
    </row>
    <row r="2618" spans="1:11" x14ac:dyDescent="0.3">
      <c r="A2618" s="4" t="s">
        <v>2627</v>
      </c>
      <c r="B2618" s="4">
        <v>910575</v>
      </c>
      <c r="C2618" s="4">
        <f>IF(DatiOriginali!C2618 &gt;= SogliaPicchi!$B$28,"",DatiOriginali!C2618)</f>
        <v>8281300</v>
      </c>
      <c r="D2618" s="4">
        <v>471819</v>
      </c>
      <c r="E2618" s="4">
        <f>IF(DatiOriginali!E2618 &gt;= SogliaPicchi!$B$28,"",DatiOriginali!E2618)</f>
        <v>1624400</v>
      </c>
      <c r="F2618" s="4">
        <v>14962902</v>
      </c>
      <c r="G2618" s="4">
        <f>IF(DatiOriginali!G2618 &gt;= SogliaPicchi!$B$28,"",DatiOriginali!G2618)</f>
        <v>516100</v>
      </c>
      <c r="H2618" s="4">
        <v>18817211</v>
      </c>
      <c r="I2618" s="4">
        <f>IF(DatiOriginali!I2618 &gt;= SogliaPicchi!$B$28,"",DatiOriginali!I2618)</f>
        <v>174000</v>
      </c>
      <c r="J2618" s="4">
        <v>18788968</v>
      </c>
      <c r="K2618" s="4">
        <f>IF(DatiOriginali!K2618 &gt;= SogliaPicchi!$B$28,"",DatiOriginali!K2618)</f>
        <v>197600</v>
      </c>
    </row>
    <row r="2619" spans="1:11" x14ac:dyDescent="0.3">
      <c r="A2619" s="4" t="s">
        <v>2628</v>
      </c>
      <c r="B2619" s="4">
        <v>910575</v>
      </c>
      <c r="C2619" s="4">
        <f>IF(DatiOriginali!C2619 &gt;= SogliaPicchi!$B$28,"",DatiOriginali!C2619)</f>
        <v>8456200</v>
      </c>
      <c r="D2619" s="4">
        <v>456478</v>
      </c>
      <c r="E2619" s="4">
        <f>IF(DatiOriginali!E2619 &gt;= SogliaPicchi!$B$28,"",DatiOriginali!E2619)</f>
        <v>1570900</v>
      </c>
      <c r="F2619" s="4">
        <v>14975285</v>
      </c>
      <c r="G2619" s="4">
        <f>IF(DatiOriginali!G2619 &gt;= SogliaPicchi!$B$28,"",DatiOriginali!G2619)</f>
        <v>513300</v>
      </c>
      <c r="H2619" s="4">
        <v>18832261</v>
      </c>
      <c r="I2619" s="4">
        <f>IF(DatiOriginali!I2619 &gt;= SogliaPicchi!$B$28,"",DatiOriginali!I2619)</f>
        <v>184100</v>
      </c>
      <c r="J2619" s="4">
        <v>18805074</v>
      </c>
      <c r="K2619" s="4">
        <f>IF(DatiOriginali!K2619 &gt;= SogliaPicchi!$B$28,"",DatiOriginali!K2619)</f>
        <v>195200</v>
      </c>
    </row>
    <row r="2620" spans="1:11" x14ac:dyDescent="0.3">
      <c r="A2620" s="4" t="s">
        <v>2629</v>
      </c>
      <c r="B2620" s="4">
        <v>910575</v>
      </c>
      <c r="C2620" s="4">
        <f>IF(DatiOriginali!C2620 &gt;= SogliaPicchi!$B$28,"",DatiOriginali!C2620)</f>
        <v>8930800</v>
      </c>
      <c r="D2620" s="4">
        <v>451088</v>
      </c>
      <c r="E2620" s="4">
        <f>IF(DatiOriginali!E2620 &gt;= SogliaPicchi!$B$28,"",DatiOriginali!E2620)</f>
        <v>1592400</v>
      </c>
      <c r="F2620" s="4">
        <v>14987626</v>
      </c>
      <c r="G2620" s="4">
        <f>IF(DatiOriginali!G2620 &gt;= SogliaPicchi!$B$28,"",DatiOriginali!G2620)</f>
        <v>521700</v>
      </c>
      <c r="H2620" s="4">
        <v>18848896</v>
      </c>
      <c r="I2620" s="4">
        <f>IF(DatiOriginali!I2620 &gt;= SogliaPicchi!$B$28,"",DatiOriginali!I2620)</f>
        <v>182000</v>
      </c>
      <c r="J2620" s="4">
        <v>18821261</v>
      </c>
      <c r="K2620" s="4">
        <f>IF(DatiOriginali!K2620 &gt;= SogliaPicchi!$B$28,"",DatiOriginali!K2620)</f>
        <v>204600</v>
      </c>
    </row>
    <row r="2621" spans="1:11" x14ac:dyDescent="0.3">
      <c r="A2621" s="4" t="s">
        <v>2630</v>
      </c>
      <c r="B2621" s="4">
        <v>910575</v>
      </c>
      <c r="C2621" s="4">
        <f>IF(DatiOriginali!C2621 &gt;= SogliaPicchi!$B$28,"",DatiOriginali!C2621)</f>
        <v>8237200</v>
      </c>
      <c r="D2621" s="4">
        <v>476931</v>
      </c>
      <c r="E2621" s="4">
        <f>IF(DatiOriginali!E2621 &gt;= SogliaPicchi!$B$28,"",DatiOriginali!E2621)</f>
        <v>1697100</v>
      </c>
      <c r="F2621" s="4">
        <v>14999942</v>
      </c>
      <c r="G2621" s="4">
        <f>IF(DatiOriginali!G2621 &gt;= SogliaPicchi!$B$28,"",DatiOriginali!G2621)</f>
        <v>522700</v>
      </c>
      <c r="H2621" s="4">
        <v>18865354</v>
      </c>
      <c r="I2621" s="4">
        <f>IF(DatiOriginali!I2621 &gt;= SogliaPicchi!$B$28,"",DatiOriginali!I2621)</f>
        <v>215500</v>
      </c>
      <c r="J2621" s="4">
        <v>18837525</v>
      </c>
      <c r="K2621" s="4">
        <f>IF(DatiOriginali!K2621 &gt;= SogliaPicchi!$B$28,"",DatiOriginali!K2621)</f>
        <v>297100</v>
      </c>
    </row>
    <row r="2622" spans="1:11" x14ac:dyDescent="0.3">
      <c r="A2622" s="4" t="s">
        <v>2631</v>
      </c>
      <c r="B2622" s="4">
        <v>910575</v>
      </c>
      <c r="C2622" s="4">
        <f>IF(DatiOriginali!C2622 &gt;= SogliaPicchi!$B$28,"",DatiOriginali!C2622)</f>
        <v>9053700</v>
      </c>
      <c r="D2622" s="4">
        <v>454160</v>
      </c>
      <c r="E2622" s="4">
        <f>IF(DatiOriginali!E2622 &gt;= SogliaPicchi!$B$28,"",DatiOriginali!E2622)</f>
        <v>1594200</v>
      </c>
      <c r="F2622" s="4">
        <v>15012334</v>
      </c>
      <c r="G2622" s="4">
        <f>IF(DatiOriginali!G2622 &gt;= SogliaPicchi!$B$28,"",DatiOriginali!G2622)</f>
        <v>522100</v>
      </c>
      <c r="H2622" s="4">
        <v>18881841</v>
      </c>
      <c r="I2622" s="4">
        <f>IF(DatiOriginali!I2622 &gt;= SogliaPicchi!$B$28,"",DatiOriginali!I2622)</f>
        <v>180900</v>
      </c>
      <c r="J2622" s="4">
        <v>18852764</v>
      </c>
      <c r="K2622" s="4">
        <f>IF(DatiOriginali!K2622 &gt;= SogliaPicchi!$B$28,"",DatiOriginali!K2622)</f>
        <v>194900</v>
      </c>
    </row>
    <row r="2623" spans="1:11" x14ac:dyDescent="0.3">
      <c r="A2623" s="4" t="s">
        <v>2632</v>
      </c>
      <c r="B2623" s="4">
        <v>910575</v>
      </c>
      <c r="C2623" s="4">
        <f>IF(DatiOriginali!C2623 &gt;= SogliaPicchi!$B$28,"",DatiOriginali!C2623)</f>
        <v>8418900</v>
      </c>
      <c r="D2623" s="4">
        <v>450700</v>
      </c>
      <c r="E2623" s="4">
        <f>IF(DatiOriginali!E2623 &gt;= SogliaPicchi!$B$28,"",DatiOriginali!E2623)</f>
        <v>2216000</v>
      </c>
      <c r="F2623" s="4">
        <v>15024723</v>
      </c>
      <c r="G2623" s="4">
        <f>IF(DatiOriginali!G2623 &gt;= SogliaPicchi!$B$28,"",DatiOriginali!G2623)</f>
        <v>519900</v>
      </c>
      <c r="H2623" s="4">
        <v>18897060</v>
      </c>
      <c r="I2623" s="4">
        <f>IF(DatiOriginali!I2623 &gt;= SogliaPicchi!$B$28,"",DatiOriginali!I2623)</f>
        <v>174900</v>
      </c>
      <c r="J2623" s="4">
        <v>18868351</v>
      </c>
      <c r="K2623" s="4">
        <f>IF(DatiOriginali!K2623 &gt;= SogliaPicchi!$B$28,"",DatiOriginali!K2623)</f>
        <v>201100</v>
      </c>
    </row>
    <row r="2624" spans="1:11" x14ac:dyDescent="0.3">
      <c r="A2624" s="4" t="s">
        <v>2633</v>
      </c>
      <c r="B2624" s="4">
        <v>910575</v>
      </c>
      <c r="C2624" s="4">
        <f>IF(DatiOriginali!C2624 &gt;= SogliaPicchi!$B$28,"",DatiOriginali!C2624)</f>
        <v>8513900</v>
      </c>
      <c r="D2624" s="4">
        <v>457713</v>
      </c>
      <c r="E2624" s="4">
        <f>IF(DatiOriginali!E2624 &gt;= SogliaPicchi!$B$28,"",DatiOriginali!E2624)</f>
        <v>1583700</v>
      </c>
      <c r="F2624" s="4">
        <v>15037119</v>
      </c>
      <c r="G2624" s="4">
        <f>IF(DatiOriginali!G2624 &gt;= SogliaPicchi!$B$28,"",DatiOriginali!G2624)</f>
        <v>519200</v>
      </c>
      <c r="H2624" s="4">
        <v>18912214</v>
      </c>
      <c r="I2624" s="4">
        <f>IF(DatiOriginali!I2624 &gt;= SogliaPicchi!$B$28,"",DatiOriginali!I2624)</f>
        <v>180900</v>
      </c>
      <c r="J2624" s="4">
        <v>18883513</v>
      </c>
      <c r="K2624" s="4">
        <f>IF(DatiOriginali!K2624 &gt;= SogliaPicchi!$B$28,"",DatiOriginali!K2624)</f>
        <v>194400</v>
      </c>
    </row>
    <row r="2625" spans="1:11" x14ac:dyDescent="0.3">
      <c r="A2625" s="4" t="s">
        <v>2634</v>
      </c>
      <c r="B2625" s="4">
        <v>910575</v>
      </c>
      <c r="C2625" s="4">
        <f>IF(DatiOriginali!C2625 &gt;= SogliaPicchi!$B$28,"",DatiOriginali!C2625)</f>
        <v>8469300</v>
      </c>
      <c r="D2625" s="4">
        <v>440224</v>
      </c>
      <c r="E2625" s="4">
        <f>IF(DatiOriginali!E2625 &gt;= SogliaPicchi!$B$28,"",DatiOriginali!E2625)</f>
        <v>1551300</v>
      </c>
      <c r="F2625" s="4">
        <v>15049456</v>
      </c>
      <c r="G2625" s="4">
        <f>IF(DatiOriginali!G2625 &gt;= SogliaPicchi!$B$28,"",DatiOriginali!G2625)</f>
        <v>524400</v>
      </c>
      <c r="H2625" s="4">
        <v>18928324</v>
      </c>
      <c r="I2625" s="4">
        <f>IF(DatiOriginali!I2625 &gt;= SogliaPicchi!$B$28,"",DatiOriginali!I2625)</f>
        <v>177500</v>
      </c>
      <c r="J2625" s="4">
        <v>18899146</v>
      </c>
      <c r="K2625" s="4">
        <f>IF(DatiOriginali!K2625 &gt;= SogliaPicchi!$B$28,"",DatiOriginali!K2625)</f>
        <v>200800</v>
      </c>
    </row>
    <row r="2626" spans="1:11" x14ac:dyDescent="0.3">
      <c r="A2626" s="4" t="s">
        <v>2635</v>
      </c>
      <c r="B2626" s="4">
        <v>910575</v>
      </c>
      <c r="C2626" s="4">
        <f>IF(DatiOriginali!C2626 &gt;= SogliaPicchi!$B$28,"",DatiOriginali!C2626)</f>
        <v>8647700</v>
      </c>
      <c r="D2626" s="4">
        <v>455165</v>
      </c>
      <c r="E2626" s="4">
        <f>IF(DatiOriginali!E2626 &gt;= SogliaPicchi!$B$28,"",DatiOriginali!E2626)</f>
        <v>1585900</v>
      </c>
      <c r="F2626" s="4">
        <v>15061800</v>
      </c>
      <c r="G2626" s="4">
        <f>IF(DatiOriginali!G2626 &gt;= SogliaPicchi!$B$28,"",DatiOriginali!G2626)</f>
        <v>516200</v>
      </c>
      <c r="H2626" s="4">
        <v>18944007</v>
      </c>
      <c r="I2626" s="4">
        <f>IF(DatiOriginali!I2626 &gt;= SogliaPicchi!$B$28,"",DatiOriginali!I2626)</f>
        <v>181400</v>
      </c>
      <c r="J2626" s="4">
        <v>18914709</v>
      </c>
      <c r="K2626" s="4">
        <f>IF(DatiOriginali!K2626 &gt;= SogliaPicchi!$B$28,"",DatiOriginali!K2626)</f>
        <v>199700</v>
      </c>
    </row>
    <row r="2627" spans="1:11" x14ac:dyDescent="0.3">
      <c r="A2627" s="4" t="s">
        <v>2636</v>
      </c>
      <c r="B2627" s="4">
        <v>910575</v>
      </c>
      <c r="C2627" s="4">
        <f>IF(DatiOriginali!C2627 &gt;= SogliaPicchi!$B$28,"",DatiOriginali!C2627)</f>
        <v>8481400</v>
      </c>
      <c r="D2627" s="4">
        <v>448996</v>
      </c>
      <c r="E2627" s="4">
        <f>IF(DatiOriginali!E2627 &gt;= SogliaPicchi!$B$28,"",DatiOriginali!E2627)</f>
        <v>1551500</v>
      </c>
      <c r="F2627" s="4">
        <v>15074189</v>
      </c>
      <c r="G2627" s="4">
        <f>IF(DatiOriginali!G2627 &gt;= SogliaPicchi!$B$28,"",DatiOriginali!G2627)</f>
        <v>518300</v>
      </c>
      <c r="H2627" s="4">
        <v>18960403</v>
      </c>
      <c r="I2627" s="4">
        <f>IF(DatiOriginali!I2627 &gt;= SogliaPicchi!$B$28,"",DatiOriginali!I2627)</f>
        <v>177900</v>
      </c>
      <c r="J2627" s="4">
        <v>18930193</v>
      </c>
      <c r="K2627" s="4">
        <f>IF(DatiOriginali!K2627 &gt;= SogliaPicchi!$B$28,"",DatiOriginali!K2627)</f>
        <v>201700</v>
      </c>
    </row>
    <row r="2628" spans="1:11" x14ac:dyDescent="0.3">
      <c r="A2628" s="4" t="s">
        <v>2637</v>
      </c>
      <c r="B2628" s="4">
        <v>910575</v>
      </c>
      <c r="C2628" s="4">
        <f>IF(DatiOriginali!C2628 &gt;= SogliaPicchi!$B$28,"",DatiOriginali!C2628)</f>
        <v>8359200</v>
      </c>
      <c r="D2628" s="4">
        <v>441178</v>
      </c>
      <c r="E2628" s="4">
        <f>IF(DatiOriginali!E2628 &gt;= SogliaPicchi!$B$28,"",DatiOriginali!E2628)</f>
        <v>1590700</v>
      </c>
      <c r="F2628" s="4">
        <v>15086553</v>
      </c>
      <c r="G2628" s="4">
        <f>IF(DatiOriginali!G2628 &gt;= SogliaPicchi!$B$28,"",DatiOriginali!G2628)</f>
        <v>523800</v>
      </c>
      <c r="H2628" s="4">
        <v>18975819</v>
      </c>
      <c r="I2628" s="4">
        <f>IF(DatiOriginali!I2628 &gt;= SogliaPicchi!$B$28,"",DatiOriginali!I2628)</f>
        <v>187600</v>
      </c>
      <c r="J2628" s="4">
        <v>18946975</v>
      </c>
      <c r="K2628" s="4">
        <f>IF(DatiOriginali!K2628 &gt;= SogliaPicchi!$B$28,"",DatiOriginali!K2628)</f>
        <v>206700</v>
      </c>
    </row>
    <row r="2629" spans="1:11" x14ac:dyDescent="0.3">
      <c r="A2629" s="4" t="s">
        <v>2638</v>
      </c>
      <c r="B2629" s="4">
        <v>910575</v>
      </c>
      <c r="C2629" s="4">
        <f>IF(DatiOriginali!C2629 &gt;= SogliaPicchi!$B$28,"",DatiOriginali!C2629)</f>
        <v>8802600</v>
      </c>
      <c r="D2629" s="4">
        <v>450541</v>
      </c>
      <c r="E2629" s="4">
        <f>IF(DatiOriginali!E2629 &gt;= SogliaPicchi!$B$28,"",DatiOriginali!E2629)</f>
        <v>1590200</v>
      </c>
      <c r="F2629" s="4">
        <v>15098950</v>
      </c>
      <c r="G2629" s="4">
        <f>IF(DatiOriginali!G2629 &gt;= SogliaPicchi!$B$28,"",DatiOriginali!G2629)</f>
        <v>532900</v>
      </c>
      <c r="H2629" s="4">
        <v>18991800</v>
      </c>
      <c r="I2629" s="4">
        <f>IF(DatiOriginali!I2629 &gt;= SogliaPicchi!$B$28,"",DatiOriginali!I2629)</f>
        <v>182300</v>
      </c>
      <c r="J2629" s="4">
        <v>18962333</v>
      </c>
      <c r="K2629" s="4">
        <f>IF(DatiOriginali!K2629 &gt;= SogliaPicchi!$B$28,"",DatiOriginali!K2629)</f>
        <v>201300</v>
      </c>
    </row>
    <row r="2630" spans="1:11" x14ac:dyDescent="0.3">
      <c r="A2630" s="4" t="s">
        <v>2639</v>
      </c>
      <c r="B2630" s="4">
        <v>910575</v>
      </c>
      <c r="C2630" s="4">
        <f>IF(DatiOriginali!C2630 &gt;= SogliaPicchi!$B$28,"",DatiOriginali!C2630)</f>
        <v>8281000</v>
      </c>
      <c r="D2630" s="4">
        <v>454864</v>
      </c>
      <c r="E2630" s="4">
        <f>IF(DatiOriginali!E2630 &gt;= SogliaPicchi!$B$28,"",DatiOriginali!E2630)</f>
        <v>1664700</v>
      </c>
      <c r="F2630" s="4">
        <v>15111350</v>
      </c>
      <c r="G2630" s="4">
        <f>IF(DatiOriginali!G2630 &gt;= SogliaPicchi!$B$28,"",DatiOriginali!G2630)</f>
        <v>522900</v>
      </c>
      <c r="H2630" s="4">
        <v>19007030</v>
      </c>
      <c r="I2630" s="4">
        <f>IF(DatiOriginali!I2630 &gt;= SogliaPicchi!$B$28,"",DatiOriginali!I2630)</f>
        <v>175600</v>
      </c>
      <c r="J2630" s="4">
        <v>18977313</v>
      </c>
      <c r="K2630" s="4">
        <f>IF(DatiOriginali!K2630 &gt;= SogliaPicchi!$B$28,"",DatiOriginali!K2630)</f>
        <v>201900</v>
      </c>
    </row>
    <row r="2631" spans="1:11" x14ac:dyDescent="0.3">
      <c r="A2631" s="4" t="s">
        <v>2640</v>
      </c>
      <c r="B2631" s="4">
        <v>910575</v>
      </c>
      <c r="C2631" s="4">
        <f>IF(DatiOriginali!C2631 &gt;= SogliaPicchi!$B$28,"",DatiOriginali!C2631)</f>
        <v>8197000</v>
      </c>
      <c r="D2631" s="4">
        <v>450504</v>
      </c>
      <c r="E2631" s="4">
        <f>IF(DatiOriginali!E2631 &gt;= SogliaPicchi!$B$28,"",DatiOriginali!E2631)</f>
        <v>1606100</v>
      </c>
      <c r="F2631" s="4">
        <v>15123705</v>
      </c>
      <c r="G2631" s="4">
        <f>IF(DatiOriginali!G2631 &gt;= SogliaPicchi!$B$28,"",DatiOriginali!G2631)</f>
        <v>525800</v>
      </c>
      <c r="H2631" s="4">
        <v>19022233</v>
      </c>
      <c r="I2631" s="4">
        <f>IF(DatiOriginali!I2631 &gt;= SogliaPicchi!$B$28,"",DatiOriginali!I2631)</f>
        <v>175200</v>
      </c>
      <c r="J2631" s="4">
        <v>18992064</v>
      </c>
      <c r="K2631" s="4">
        <f>IF(DatiOriginali!K2631 &gt;= SogliaPicchi!$B$28,"",DatiOriginali!K2631)</f>
        <v>193700</v>
      </c>
    </row>
    <row r="2632" spans="1:11" x14ac:dyDescent="0.3">
      <c r="A2632" s="4" t="s">
        <v>2641</v>
      </c>
      <c r="B2632" s="4">
        <v>910575</v>
      </c>
      <c r="C2632" s="4">
        <f>IF(DatiOriginali!C2632 &gt;= SogliaPicchi!$B$28,"",DatiOriginali!C2632)</f>
        <v>8238300</v>
      </c>
      <c r="D2632" s="4">
        <v>461873</v>
      </c>
      <c r="E2632" s="4">
        <f>IF(DatiOriginali!E2632 &gt;= SogliaPicchi!$B$28,"",DatiOriginali!E2632)</f>
        <v>1625100</v>
      </c>
      <c r="F2632" s="4">
        <v>15136062</v>
      </c>
      <c r="G2632" s="4">
        <f>IF(DatiOriginali!G2632 &gt;= SogliaPicchi!$B$28,"",DatiOriginali!G2632)</f>
        <v>525400</v>
      </c>
      <c r="H2632" s="4">
        <v>19037240</v>
      </c>
      <c r="I2632" s="4">
        <f>IF(DatiOriginali!I2632 &gt;= SogliaPicchi!$B$28,"",DatiOriginali!I2632)</f>
        <v>177000</v>
      </c>
      <c r="J2632" s="4">
        <v>19007318</v>
      </c>
      <c r="K2632" s="4">
        <f>IF(DatiOriginali!K2632 &gt;= SogliaPicchi!$B$28,"",DatiOriginali!K2632)</f>
        <v>196200</v>
      </c>
    </row>
    <row r="2633" spans="1:11" x14ac:dyDescent="0.3">
      <c r="A2633" s="4" t="s">
        <v>2642</v>
      </c>
      <c r="B2633" s="4">
        <v>910575</v>
      </c>
      <c r="C2633" s="4">
        <f>IF(DatiOriginali!C2633 &gt;= SogliaPicchi!$B$28,"",DatiOriginali!C2633)</f>
        <v>8275300</v>
      </c>
      <c r="D2633" s="4">
        <v>455214</v>
      </c>
      <c r="E2633" s="4">
        <f>IF(DatiOriginali!E2633 &gt;= SogliaPicchi!$B$28,"",DatiOriginali!E2633)</f>
        <v>1624800</v>
      </c>
      <c r="F2633" s="4">
        <v>15148395</v>
      </c>
      <c r="G2633" s="4">
        <f>IF(DatiOriginali!G2633 &gt;= SogliaPicchi!$B$28,"",DatiOriginali!G2633)</f>
        <v>522200</v>
      </c>
      <c r="H2633" s="4">
        <v>19054272</v>
      </c>
      <c r="I2633" s="4">
        <f>IF(DatiOriginali!I2633 &gt;= SogliaPicchi!$B$28,"",DatiOriginali!I2633)</f>
        <v>185600</v>
      </c>
      <c r="J2633" s="4">
        <v>19022777</v>
      </c>
      <c r="K2633" s="4">
        <f>IF(DatiOriginali!K2633 &gt;= SogliaPicchi!$B$28,"",DatiOriginali!K2633)</f>
        <v>217300</v>
      </c>
    </row>
    <row r="2634" spans="1:11" x14ac:dyDescent="0.3">
      <c r="A2634" s="4" t="s">
        <v>2643</v>
      </c>
      <c r="B2634" s="4">
        <v>910575</v>
      </c>
      <c r="C2634" s="4">
        <f>IF(DatiOriginali!C2634 &gt;= SogliaPicchi!$B$28,"",DatiOriginali!C2634)</f>
        <v>8348900</v>
      </c>
      <c r="D2634" s="4">
        <v>439978</v>
      </c>
      <c r="E2634" s="4">
        <f>IF(DatiOriginali!E2634 &gt;= SogliaPicchi!$B$28,"",DatiOriginali!E2634)</f>
        <v>1606100</v>
      </c>
      <c r="F2634" s="4">
        <v>15160751</v>
      </c>
      <c r="G2634" s="4">
        <f>IF(DatiOriginali!G2634 &gt;= SogliaPicchi!$B$28,"",DatiOriginali!G2634)</f>
        <v>558200</v>
      </c>
      <c r="H2634" s="4">
        <v>19069585</v>
      </c>
      <c r="I2634" s="4">
        <f>IF(DatiOriginali!I2634 &gt;= SogliaPicchi!$B$28,"",DatiOriginali!I2634)</f>
        <v>180400</v>
      </c>
      <c r="J2634" s="4">
        <v>19039159</v>
      </c>
      <c r="K2634" s="4">
        <f>IF(DatiOriginali!K2634 &gt;= SogliaPicchi!$B$28,"",DatiOriginali!K2634)</f>
        <v>209500</v>
      </c>
    </row>
    <row r="2635" spans="1:11" x14ac:dyDescent="0.3">
      <c r="A2635" s="4" t="s">
        <v>2644</v>
      </c>
      <c r="B2635" s="4">
        <v>910575</v>
      </c>
      <c r="C2635" s="4">
        <f>IF(DatiOriginali!C2635 &gt;= SogliaPicchi!$B$28,"",DatiOriginali!C2635)</f>
        <v>8134900</v>
      </c>
      <c r="D2635" s="4">
        <v>457592</v>
      </c>
      <c r="E2635" s="4">
        <f>IF(DatiOriginali!E2635 &gt;= SogliaPicchi!$B$28,"",DatiOriginali!E2635)</f>
        <v>1768800</v>
      </c>
      <c r="F2635" s="4">
        <v>15173147</v>
      </c>
      <c r="G2635" s="4">
        <f>IF(DatiOriginali!G2635 &gt;= SogliaPicchi!$B$28,"",DatiOriginali!G2635)</f>
        <v>528300</v>
      </c>
      <c r="H2635" s="4">
        <v>19085668</v>
      </c>
      <c r="I2635" s="4">
        <f>IF(DatiOriginali!I2635 &gt;= SogliaPicchi!$B$28,"",DatiOriginali!I2635)</f>
        <v>181800</v>
      </c>
      <c r="J2635" s="4">
        <v>19054515</v>
      </c>
      <c r="K2635" s="4">
        <f>IF(DatiOriginali!K2635 &gt;= SogliaPicchi!$B$28,"",DatiOriginali!K2635)</f>
        <v>202600</v>
      </c>
    </row>
    <row r="2636" spans="1:11" x14ac:dyDescent="0.3">
      <c r="A2636" s="4" t="s">
        <v>2645</v>
      </c>
      <c r="B2636" s="4">
        <v>910575</v>
      </c>
      <c r="C2636" s="4">
        <f>IF(DatiOriginali!C2636 &gt;= SogliaPicchi!$B$28,"",DatiOriginali!C2636)</f>
        <v>8217900</v>
      </c>
      <c r="D2636" s="4">
        <v>453230</v>
      </c>
      <c r="E2636" s="4">
        <f>IF(DatiOriginali!E2636 &gt;= SogliaPicchi!$B$28,"",DatiOriginali!E2636)</f>
        <v>1787500</v>
      </c>
      <c r="F2636" s="4">
        <v>15185507</v>
      </c>
      <c r="G2636" s="4">
        <f>IF(DatiOriginali!G2636 &gt;= SogliaPicchi!$B$28,"",DatiOriginali!G2636)</f>
        <v>538400</v>
      </c>
      <c r="H2636" s="4">
        <v>19101713</v>
      </c>
      <c r="I2636" s="4">
        <f>IF(DatiOriginali!I2636 &gt;= SogliaPicchi!$B$28,"",DatiOriginali!I2636)</f>
        <v>180800</v>
      </c>
      <c r="J2636" s="4">
        <v>19069768</v>
      </c>
      <c r="K2636" s="4">
        <f>IF(DatiOriginali!K2636 &gt;= SogliaPicchi!$B$28,"",DatiOriginali!K2636)</f>
        <v>200600</v>
      </c>
    </row>
    <row r="2637" spans="1:11" x14ac:dyDescent="0.3">
      <c r="A2637" s="4" t="s">
        <v>2646</v>
      </c>
      <c r="B2637" s="4">
        <v>910575</v>
      </c>
      <c r="C2637" s="4">
        <f>IF(DatiOriginali!C2637 &gt;= SogliaPicchi!$B$28,"",DatiOriginali!C2637)</f>
        <v>8727400</v>
      </c>
      <c r="D2637" s="4">
        <v>466601</v>
      </c>
      <c r="E2637" s="4">
        <f>IF(DatiOriginali!E2637 &gt;= SogliaPicchi!$B$28,"",DatiOriginali!E2637)</f>
        <v>1655500</v>
      </c>
      <c r="F2637" s="4">
        <v>15197872</v>
      </c>
      <c r="G2637" s="4">
        <f>IF(DatiOriginali!G2637 &gt;= SogliaPicchi!$B$28,"",DatiOriginali!G2637)</f>
        <v>526800</v>
      </c>
      <c r="H2637" s="4">
        <v>19116633</v>
      </c>
      <c r="I2637" s="4">
        <f>IF(DatiOriginali!I2637 &gt;= SogliaPicchi!$B$28,"",DatiOriginali!I2637)</f>
        <v>178200</v>
      </c>
      <c r="J2637" s="4">
        <v>19085730</v>
      </c>
      <c r="K2637" s="4">
        <f>IF(DatiOriginali!K2637 &gt;= SogliaPicchi!$B$28,"",DatiOriginali!K2637)</f>
        <v>196200</v>
      </c>
    </row>
    <row r="2638" spans="1:11" x14ac:dyDescent="0.3">
      <c r="A2638" s="4" t="s">
        <v>2647</v>
      </c>
      <c r="B2638" s="4">
        <v>910575</v>
      </c>
      <c r="C2638" s="4">
        <f>IF(DatiOriginali!C2638 &gt;= SogliaPicchi!$B$28,"",DatiOriginali!C2638)</f>
        <v>8386100</v>
      </c>
      <c r="D2638" s="4">
        <v>446107</v>
      </c>
      <c r="E2638" s="4">
        <f>IF(DatiOriginali!E2638 &gt;= SogliaPicchi!$B$28,"",DatiOriginali!E2638)</f>
        <v>1574200</v>
      </c>
      <c r="F2638" s="4">
        <v>15210180</v>
      </c>
      <c r="G2638" s="4">
        <f>IF(DatiOriginali!G2638 &gt;= SogliaPicchi!$B$28,"",DatiOriginali!G2638)</f>
        <v>521300</v>
      </c>
      <c r="H2638" s="4">
        <v>19131837</v>
      </c>
      <c r="I2638" s="4">
        <f>IF(DatiOriginali!I2638 &gt;= SogliaPicchi!$B$28,"",DatiOriginali!I2638)</f>
        <v>184400</v>
      </c>
      <c r="J2638" s="4">
        <v>19101400</v>
      </c>
      <c r="K2638" s="4">
        <f>IF(DatiOriginali!K2638 &gt;= SogliaPicchi!$B$28,"",DatiOriginali!K2638)</f>
        <v>203400</v>
      </c>
    </row>
    <row r="2639" spans="1:11" x14ac:dyDescent="0.3">
      <c r="A2639" s="4" t="s">
        <v>2648</v>
      </c>
      <c r="B2639" s="4">
        <v>910575</v>
      </c>
      <c r="C2639" s="4">
        <f>IF(DatiOriginali!C2639 &gt;= SogliaPicchi!$B$28,"",DatiOriginali!C2639)</f>
        <v>9160100</v>
      </c>
      <c r="D2639" s="4">
        <v>463582</v>
      </c>
      <c r="E2639" s="4">
        <f>IF(DatiOriginali!E2639 &gt;= SogliaPicchi!$B$28,"",DatiOriginali!E2639)</f>
        <v>1604100</v>
      </c>
      <c r="F2639" s="4">
        <v>15222551</v>
      </c>
      <c r="G2639" s="4">
        <f>IF(DatiOriginali!G2639 &gt;= SogliaPicchi!$B$28,"",DatiOriginali!G2639)</f>
        <v>522400</v>
      </c>
      <c r="H2639" s="4">
        <v>19146911</v>
      </c>
      <c r="I2639" s="4">
        <f>IF(DatiOriginali!I2639 &gt;= SogliaPicchi!$B$28,"",DatiOriginali!I2639)</f>
        <v>176400</v>
      </c>
      <c r="J2639" s="4">
        <v>19117307</v>
      </c>
      <c r="K2639" s="4">
        <f>IF(DatiOriginali!K2639 &gt;= SogliaPicchi!$B$28,"",DatiOriginali!K2639)</f>
        <v>202200</v>
      </c>
    </row>
    <row r="2640" spans="1:11" x14ac:dyDescent="0.3">
      <c r="A2640" s="4" t="s">
        <v>2649</v>
      </c>
      <c r="B2640" s="4">
        <v>910575</v>
      </c>
      <c r="C2640" s="4">
        <f>IF(DatiOriginali!C2640 &gt;= SogliaPicchi!$B$28,"",DatiOriginali!C2640)</f>
        <v>8110900</v>
      </c>
      <c r="D2640" s="4">
        <v>463239</v>
      </c>
      <c r="E2640" s="4">
        <f>IF(DatiOriginali!E2640 &gt;= SogliaPicchi!$B$28,"",DatiOriginali!E2640)</f>
        <v>1597800</v>
      </c>
      <c r="F2640" s="4">
        <v>15234922</v>
      </c>
      <c r="G2640" s="4">
        <f>IF(DatiOriginali!G2640 &gt;= SogliaPicchi!$B$28,"",DatiOriginali!G2640)</f>
        <v>515200</v>
      </c>
      <c r="H2640" s="4">
        <v>19161440</v>
      </c>
      <c r="I2640" s="4">
        <f>IF(DatiOriginali!I2640 &gt;= SogliaPicchi!$B$28,"",DatiOriginali!I2640)</f>
        <v>177200</v>
      </c>
      <c r="J2640" s="4">
        <v>19133344</v>
      </c>
      <c r="K2640" s="4">
        <f>IF(DatiOriginali!K2640 &gt;= SogliaPicchi!$B$28,"",DatiOriginali!K2640)</f>
        <v>193200</v>
      </c>
    </row>
    <row r="2641" spans="1:11" x14ac:dyDescent="0.3">
      <c r="A2641" s="4" t="s">
        <v>2650</v>
      </c>
      <c r="B2641" s="4">
        <v>910575</v>
      </c>
      <c r="C2641" s="4">
        <f>IF(DatiOriginali!C2641 &gt;= SogliaPicchi!$B$28,"",DatiOriginali!C2641)</f>
        <v>8314100</v>
      </c>
      <c r="D2641" s="4">
        <v>447217</v>
      </c>
      <c r="E2641" s="4">
        <f>IF(DatiOriginali!E2641 &gt;= SogliaPicchi!$B$28,"",DatiOriginali!E2641)</f>
        <v>2133500</v>
      </c>
      <c r="F2641" s="4">
        <v>15247258</v>
      </c>
      <c r="G2641" s="4">
        <f>IF(DatiOriginali!G2641 &gt;= SogliaPicchi!$B$28,"",DatiOriginali!G2641)</f>
        <v>628700</v>
      </c>
      <c r="H2641" s="4">
        <v>19178564</v>
      </c>
      <c r="I2641" s="4">
        <f>IF(DatiOriginali!I2641 &gt;= SogliaPicchi!$B$28,"",DatiOriginali!I2641)</f>
        <v>188300</v>
      </c>
      <c r="J2641" s="4">
        <v>19148804</v>
      </c>
      <c r="K2641" s="4">
        <f>IF(DatiOriginali!K2641 &gt;= SogliaPicchi!$B$28,"",DatiOriginali!K2641)</f>
        <v>204700</v>
      </c>
    </row>
    <row r="2642" spans="1:11" x14ac:dyDescent="0.3">
      <c r="A2642" s="4" t="s">
        <v>2651</v>
      </c>
      <c r="B2642" s="4">
        <v>910575</v>
      </c>
      <c r="C2642" s="4">
        <f>IF(DatiOriginali!C2642 &gt;= SogliaPicchi!$B$28,"",DatiOriginali!C2642)</f>
        <v>8231700</v>
      </c>
      <c r="D2642" s="4">
        <v>460712</v>
      </c>
      <c r="E2642" s="4">
        <f>IF(DatiOriginali!E2642 &gt;= SogliaPicchi!$B$28,"",DatiOriginali!E2642)</f>
        <v>1588500</v>
      </c>
      <c r="F2642" s="4">
        <v>15259638</v>
      </c>
      <c r="G2642" s="4">
        <f>IF(DatiOriginali!G2642 &gt;= SogliaPicchi!$B$28,"",DatiOriginali!G2642)</f>
        <v>517400</v>
      </c>
      <c r="H2642" s="4">
        <v>19193844</v>
      </c>
      <c r="I2642" s="4">
        <f>IF(DatiOriginali!I2642 &gt;= SogliaPicchi!$B$28,"",DatiOriginali!I2642)</f>
        <v>180400</v>
      </c>
      <c r="J2642" s="4">
        <v>19163555</v>
      </c>
      <c r="K2642" s="4">
        <f>IF(DatiOriginali!K2642 &gt;= SogliaPicchi!$B$28,"",DatiOriginali!K2642)</f>
        <v>191000</v>
      </c>
    </row>
    <row r="2643" spans="1:11" x14ac:dyDescent="0.3">
      <c r="A2643" s="4" t="s">
        <v>2652</v>
      </c>
      <c r="B2643" s="4">
        <v>910575</v>
      </c>
      <c r="C2643" s="4">
        <f>IF(DatiOriginali!C2643 &gt;= SogliaPicchi!$B$28,"",DatiOriginali!C2643)</f>
        <v>8092000</v>
      </c>
      <c r="D2643" s="4">
        <v>461822</v>
      </c>
      <c r="E2643" s="4">
        <f>IF(DatiOriginali!E2643 &gt;= SogliaPicchi!$B$28,"",DatiOriginali!E2643)</f>
        <v>1722600</v>
      </c>
      <c r="F2643" s="4">
        <v>15271984</v>
      </c>
      <c r="G2643" s="4">
        <f>IF(DatiOriginali!G2643 &gt;= SogliaPicchi!$B$28,"",DatiOriginali!G2643)</f>
        <v>528000</v>
      </c>
      <c r="H2643" s="4">
        <v>19211779</v>
      </c>
      <c r="I2643" s="4">
        <f>IF(DatiOriginali!I2643 &gt;= SogliaPicchi!$B$28,"",DatiOriginali!I2643)</f>
        <v>183700</v>
      </c>
      <c r="J2643" s="4">
        <v>19179297</v>
      </c>
      <c r="K2643" s="4">
        <f>IF(DatiOriginali!K2643 &gt;= SogliaPicchi!$B$28,"",DatiOriginali!K2643)</f>
        <v>199200</v>
      </c>
    </row>
    <row r="2644" spans="1:11" x14ac:dyDescent="0.3">
      <c r="A2644" s="4" t="s">
        <v>2653</v>
      </c>
      <c r="B2644" s="4">
        <v>910575</v>
      </c>
      <c r="C2644" s="4">
        <f>IF(DatiOriginali!C2644 &gt;= SogliaPicchi!$B$28,"",DatiOriginali!C2644)</f>
        <v>8240300</v>
      </c>
      <c r="D2644" s="4">
        <v>456242</v>
      </c>
      <c r="E2644" s="4">
        <f>IF(DatiOriginali!E2644 &gt;= SogliaPicchi!$B$28,"",DatiOriginali!E2644)</f>
        <v>1616000</v>
      </c>
      <c r="F2644" s="4">
        <v>15284322</v>
      </c>
      <c r="G2644" s="4">
        <f>IF(DatiOriginali!G2644 &gt;= SogliaPicchi!$B$28,"",DatiOriginali!G2644)</f>
        <v>515600</v>
      </c>
      <c r="H2644" s="4">
        <v>19226189</v>
      </c>
      <c r="I2644" s="4">
        <f>IF(DatiOriginali!I2644 &gt;= SogliaPicchi!$B$28,"",DatiOriginali!I2644)</f>
        <v>179300</v>
      </c>
      <c r="J2644" s="4">
        <v>19194878</v>
      </c>
      <c r="K2644" s="4">
        <f>IF(DatiOriginali!K2644 &gt;= SogliaPicchi!$B$28,"",DatiOriginali!K2644)</f>
        <v>196000</v>
      </c>
    </row>
    <row r="2645" spans="1:11" x14ac:dyDescent="0.3">
      <c r="A2645" s="4" t="s">
        <v>2654</v>
      </c>
      <c r="B2645" s="4">
        <v>910575</v>
      </c>
      <c r="C2645" s="4">
        <f>IF(DatiOriginali!C2645 &gt;= SogliaPicchi!$B$28,"",DatiOriginali!C2645)</f>
        <v>8021900</v>
      </c>
      <c r="D2645" s="4">
        <v>462358</v>
      </c>
      <c r="E2645" s="4">
        <f>IF(DatiOriginali!E2645 &gt;= SogliaPicchi!$B$28,"",DatiOriginali!E2645)</f>
        <v>1851200</v>
      </c>
      <c r="F2645" s="4">
        <v>15296675</v>
      </c>
      <c r="G2645" s="4">
        <f>IF(DatiOriginali!G2645 &gt;= SogliaPicchi!$B$28,"",DatiOriginali!G2645)</f>
        <v>649500</v>
      </c>
      <c r="H2645" s="4">
        <v>19241067</v>
      </c>
      <c r="I2645" s="4">
        <f>IF(DatiOriginali!I2645 &gt;= SogliaPicchi!$B$28,"",DatiOriginali!I2645)</f>
        <v>224300</v>
      </c>
      <c r="J2645" s="4">
        <v>19209647</v>
      </c>
      <c r="K2645" s="4">
        <f>IF(DatiOriginali!K2645 &gt;= SogliaPicchi!$B$28,"",DatiOriginali!K2645)</f>
        <v>244200</v>
      </c>
    </row>
    <row r="2646" spans="1:11" x14ac:dyDescent="0.3">
      <c r="A2646" s="4" t="s">
        <v>2655</v>
      </c>
      <c r="B2646" s="4">
        <v>910575</v>
      </c>
      <c r="C2646" s="4">
        <f>IF(DatiOriginali!C2646 &gt;= SogliaPicchi!$B$28,"",DatiOriginali!C2646)</f>
        <v>8395200</v>
      </c>
      <c r="D2646" s="4">
        <v>457128</v>
      </c>
      <c r="E2646" s="4">
        <f>IF(DatiOriginali!E2646 &gt;= SogliaPicchi!$B$28,"",DatiOriginali!E2646)</f>
        <v>1959500</v>
      </c>
      <c r="F2646" s="4">
        <v>15309033</v>
      </c>
      <c r="G2646" s="4">
        <f>IF(DatiOriginali!G2646 &gt;= SogliaPicchi!$B$28,"",DatiOriginali!G2646)</f>
        <v>614200</v>
      </c>
      <c r="H2646" s="4">
        <v>19257340</v>
      </c>
      <c r="I2646" s="4">
        <f>IF(DatiOriginali!I2646 &gt;= SogliaPicchi!$B$28,"",DatiOriginali!I2646)</f>
        <v>185900</v>
      </c>
      <c r="J2646" s="4">
        <v>19225246</v>
      </c>
      <c r="K2646" s="4">
        <f>IF(DatiOriginali!K2646 &gt;= SogliaPicchi!$B$28,"",DatiOriginali!K2646)</f>
        <v>208400</v>
      </c>
    </row>
    <row r="2647" spans="1:11" x14ac:dyDescent="0.3">
      <c r="A2647" s="4" t="s">
        <v>2656</v>
      </c>
      <c r="B2647" s="4">
        <v>910575</v>
      </c>
      <c r="C2647" s="4">
        <f>IF(DatiOriginali!C2647 &gt;= SogliaPicchi!$B$28,"",DatiOriginali!C2647)</f>
        <v>8993300</v>
      </c>
      <c r="D2647" s="4">
        <v>462315</v>
      </c>
      <c r="E2647" s="4">
        <f>IF(DatiOriginali!E2647 &gt;= SogliaPicchi!$B$28,"",DatiOriginali!E2647)</f>
        <v>1638200</v>
      </c>
      <c r="F2647" s="4">
        <v>15321378</v>
      </c>
      <c r="G2647" s="4">
        <f>IF(DatiOriginali!G2647 &gt;= SogliaPicchi!$B$28,"",DatiOriginali!G2647)</f>
        <v>519100</v>
      </c>
      <c r="H2647" s="4">
        <v>19272992</v>
      </c>
      <c r="I2647" s="4">
        <f>IF(DatiOriginali!I2647 &gt;= SogliaPicchi!$B$28,"",DatiOriginali!I2647)</f>
        <v>177600</v>
      </c>
      <c r="J2647" s="4">
        <v>19241206</v>
      </c>
      <c r="K2647" s="4">
        <f>IF(DatiOriginali!K2647 &gt;= SogliaPicchi!$B$28,"",DatiOriginali!K2647)</f>
        <v>196500</v>
      </c>
    </row>
    <row r="2648" spans="1:11" x14ac:dyDescent="0.3">
      <c r="A2648" s="4" t="s">
        <v>2657</v>
      </c>
      <c r="B2648" s="4">
        <v>910575</v>
      </c>
      <c r="C2648" s="4">
        <f>IF(DatiOriginali!C2648 &gt;= SogliaPicchi!$B$28,"",DatiOriginali!C2648)</f>
        <v>7927600</v>
      </c>
      <c r="D2648" s="4">
        <v>459389</v>
      </c>
      <c r="E2648" s="4">
        <f>IF(DatiOriginali!E2648 &gt;= SogliaPicchi!$B$28,"",DatiOriginali!E2648)</f>
        <v>2170100</v>
      </c>
      <c r="F2648" s="4">
        <v>15333755</v>
      </c>
      <c r="G2648" s="4">
        <f>IF(DatiOriginali!G2648 &gt;= SogliaPicchi!$B$28,"",DatiOriginali!G2648)</f>
        <v>641400</v>
      </c>
      <c r="H2648" s="4">
        <v>19289361</v>
      </c>
      <c r="I2648" s="4">
        <f>IF(DatiOriginali!I2648 &gt;= SogliaPicchi!$B$28,"",DatiOriginali!I2648)</f>
        <v>190500</v>
      </c>
      <c r="J2648" s="4">
        <v>19258916</v>
      </c>
      <c r="K2648" s="4">
        <f>IF(DatiOriginali!K2648 &gt;= SogliaPicchi!$B$28,"",DatiOriginali!K2648)</f>
        <v>251300</v>
      </c>
    </row>
    <row r="2649" spans="1:11" x14ac:dyDescent="0.3">
      <c r="A2649" s="4" t="s">
        <v>2658</v>
      </c>
      <c r="B2649" s="4">
        <v>910575</v>
      </c>
      <c r="C2649" s="4">
        <f>IF(DatiOriginali!C2649 &gt;= SogliaPicchi!$B$28,"",DatiOriginali!C2649)</f>
        <v>8254700</v>
      </c>
      <c r="D2649" s="4">
        <v>441376</v>
      </c>
      <c r="E2649" s="4">
        <f>IF(DatiOriginali!E2649 &gt;= SogliaPicchi!$B$28,"",DatiOriginali!E2649)</f>
        <v>1575300</v>
      </c>
      <c r="F2649" s="4">
        <v>15346098</v>
      </c>
      <c r="G2649" s="4">
        <f>IF(DatiOriginali!G2649 &gt;= SogliaPicchi!$B$28,"",DatiOriginali!G2649)</f>
        <v>721700</v>
      </c>
      <c r="H2649" s="4">
        <v>19304987</v>
      </c>
      <c r="I2649" s="4">
        <f>IF(DatiOriginali!I2649 &gt;= SogliaPicchi!$B$28,"",DatiOriginali!I2649)</f>
        <v>182400</v>
      </c>
      <c r="J2649" s="4">
        <v>19276191</v>
      </c>
      <c r="K2649" s="4">
        <f>IF(DatiOriginali!K2649 &gt;= SogliaPicchi!$B$28,"",DatiOriginali!K2649)</f>
        <v>194900</v>
      </c>
    </row>
    <row r="2650" spans="1:11" x14ac:dyDescent="0.3">
      <c r="A2650" s="4" t="s">
        <v>2659</v>
      </c>
      <c r="B2650" s="4">
        <v>910575</v>
      </c>
      <c r="C2650" s="4">
        <f>IF(DatiOriginali!C2650 &gt;= SogliaPicchi!$B$28,"",DatiOriginali!C2650)</f>
        <v>8093100</v>
      </c>
      <c r="D2650" s="4">
        <v>461446</v>
      </c>
      <c r="E2650" s="4">
        <f>IF(DatiOriginali!E2650 &gt;= SogliaPicchi!$B$28,"",DatiOriginali!E2650)</f>
        <v>1593800</v>
      </c>
      <c r="F2650" s="4">
        <v>15358459</v>
      </c>
      <c r="G2650" s="4">
        <f>IF(DatiOriginali!G2650 &gt;= SogliaPicchi!$B$28,"",DatiOriginali!G2650)</f>
        <v>528600</v>
      </c>
      <c r="H2650" s="4">
        <v>19320786</v>
      </c>
      <c r="I2650" s="4">
        <f>IF(DatiOriginali!I2650 &gt;= SogliaPicchi!$B$28,"",DatiOriginali!I2650)</f>
        <v>175800</v>
      </c>
      <c r="J2650" s="4">
        <v>19290436</v>
      </c>
      <c r="K2650" s="4">
        <f>IF(DatiOriginali!K2650 &gt;= SogliaPicchi!$B$28,"",DatiOriginali!K2650)</f>
        <v>195600</v>
      </c>
    </row>
    <row r="2651" spans="1:11" x14ac:dyDescent="0.3">
      <c r="A2651" s="4" t="s">
        <v>2660</v>
      </c>
      <c r="B2651" s="4">
        <v>910575</v>
      </c>
      <c r="C2651" s="4">
        <f>IF(DatiOriginali!C2651 &gt;= SogliaPicchi!$B$28,"",DatiOriginali!C2651)</f>
        <v>8226100</v>
      </c>
      <c r="D2651" s="4">
        <v>453256</v>
      </c>
      <c r="E2651" s="4">
        <f>IF(DatiOriginali!E2651 &gt;= SogliaPicchi!$B$28,"",DatiOriginali!E2651)</f>
        <v>1563700</v>
      </c>
      <c r="F2651" s="4">
        <v>15370850</v>
      </c>
      <c r="G2651" s="4">
        <f>IF(DatiOriginali!G2651 &gt;= SogliaPicchi!$B$28,"",DatiOriginali!G2651)</f>
        <v>516900</v>
      </c>
      <c r="H2651" s="4">
        <v>19337784</v>
      </c>
      <c r="I2651" s="4">
        <f>IF(DatiOriginali!I2651 &gt;= SogliaPicchi!$B$28,"",DatiOriginali!I2651)</f>
        <v>183000</v>
      </c>
      <c r="J2651" s="4">
        <v>19306081</v>
      </c>
      <c r="K2651" s="4">
        <f>IF(DatiOriginali!K2651 &gt;= SogliaPicchi!$B$28,"",DatiOriginali!K2651)</f>
        <v>198500</v>
      </c>
    </row>
    <row r="2652" spans="1:11" x14ac:dyDescent="0.3">
      <c r="A2652" s="4" t="s">
        <v>2661</v>
      </c>
      <c r="B2652" s="4">
        <v>910575</v>
      </c>
      <c r="C2652" s="4">
        <f>IF(DatiOriginali!C2652 &gt;= SogliaPicchi!$B$28,"",DatiOriginali!C2652)</f>
        <v>8977900</v>
      </c>
      <c r="D2652" s="4">
        <v>458997</v>
      </c>
      <c r="E2652" s="4">
        <f>IF(DatiOriginali!E2652 &gt;= SogliaPicchi!$B$28,"",DatiOriginali!E2652)</f>
        <v>1619100</v>
      </c>
      <c r="F2652" s="4">
        <v>15383209</v>
      </c>
      <c r="G2652" s="4">
        <f>IF(DatiOriginali!G2652 &gt;= SogliaPicchi!$B$28,"",DatiOriginali!G2652)</f>
        <v>525300</v>
      </c>
      <c r="H2652" s="4">
        <v>19351796</v>
      </c>
      <c r="I2652" s="4">
        <f>IF(DatiOriginali!I2652 &gt;= SogliaPicchi!$B$28,"",DatiOriginali!I2652)</f>
        <v>207400</v>
      </c>
      <c r="J2652" s="4">
        <v>19322732</v>
      </c>
      <c r="K2652" s="4">
        <f>IF(DatiOriginali!K2652 &gt;= SogliaPicchi!$B$28,"",DatiOriginali!K2652)</f>
        <v>197900</v>
      </c>
    </row>
    <row r="2653" spans="1:11" x14ac:dyDescent="0.3">
      <c r="A2653" s="4" t="s">
        <v>2662</v>
      </c>
      <c r="B2653" s="4">
        <v>910575</v>
      </c>
      <c r="C2653" s="4">
        <f>IF(DatiOriginali!C2653 &gt;= SogliaPicchi!$B$28,"",DatiOriginali!C2653)</f>
        <v>7982200</v>
      </c>
      <c r="D2653" s="4">
        <v>453812</v>
      </c>
      <c r="E2653" s="4">
        <f>IF(DatiOriginali!E2653 &gt;= SogliaPicchi!$B$28,"",DatiOriginali!E2653)</f>
        <v>1615800</v>
      </c>
      <c r="F2653" s="4">
        <v>15395601</v>
      </c>
      <c r="G2653" s="4">
        <f>IF(DatiOriginali!G2653 &gt;= SogliaPicchi!$B$28,"",DatiOriginali!G2653)</f>
        <v>524800</v>
      </c>
      <c r="H2653" s="4">
        <v>19366806</v>
      </c>
      <c r="I2653" s="4">
        <f>IF(DatiOriginali!I2653 &gt;= SogliaPicchi!$B$28,"",DatiOriginali!I2653)</f>
        <v>178000</v>
      </c>
      <c r="J2653" s="4">
        <v>19338587</v>
      </c>
      <c r="K2653" s="4">
        <f>IF(DatiOriginali!K2653 &gt;= SogliaPicchi!$B$28,"",DatiOriginali!K2653)</f>
        <v>196900</v>
      </c>
    </row>
    <row r="2654" spans="1:11" x14ac:dyDescent="0.3">
      <c r="A2654" s="4" t="s">
        <v>2663</v>
      </c>
      <c r="B2654" s="4">
        <v>910575</v>
      </c>
      <c r="C2654" s="4">
        <f>IF(DatiOriginali!C2654 &gt;= SogliaPicchi!$B$28,"",DatiOriginali!C2654)</f>
        <v>8143200</v>
      </c>
      <c r="D2654" s="4">
        <v>446817</v>
      </c>
      <c r="E2654" s="4">
        <f>IF(DatiOriginali!E2654 &gt;= SogliaPicchi!$B$28,"",DatiOriginali!E2654)</f>
        <v>1563000</v>
      </c>
      <c r="F2654" s="4">
        <v>15407971</v>
      </c>
      <c r="G2654" s="4">
        <f>IF(DatiOriginali!G2654 &gt;= SogliaPicchi!$B$28,"",DatiOriginali!G2654)</f>
        <v>604600</v>
      </c>
      <c r="H2654" s="4">
        <v>19381511</v>
      </c>
      <c r="I2654" s="4">
        <f>IF(DatiOriginali!I2654 &gt;= SogliaPicchi!$B$28,"",DatiOriginali!I2654)</f>
        <v>228100</v>
      </c>
      <c r="J2654" s="4">
        <v>19354298</v>
      </c>
      <c r="K2654" s="4">
        <f>IF(DatiOriginali!K2654 &gt;= SogliaPicchi!$B$28,"",DatiOriginali!K2654)</f>
        <v>196500</v>
      </c>
    </row>
    <row r="2655" spans="1:11" x14ac:dyDescent="0.3">
      <c r="A2655" s="4" t="s">
        <v>2664</v>
      </c>
      <c r="B2655" s="4">
        <v>910575</v>
      </c>
      <c r="C2655" s="4">
        <f>IF(DatiOriginali!C2655 &gt;= SogliaPicchi!$B$28,"",DatiOriginali!C2655)</f>
        <v>8238700</v>
      </c>
      <c r="D2655" s="4">
        <v>452369</v>
      </c>
      <c r="E2655" s="4">
        <f>IF(DatiOriginali!E2655 &gt;= SogliaPicchi!$B$28,"",DatiOriginali!E2655)</f>
        <v>1560400</v>
      </c>
      <c r="F2655" s="4">
        <v>15420322</v>
      </c>
      <c r="G2655" s="4">
        <f>IF(DatiOriginali!G2655 &gt;= SogliaPicchi!$B$28,"",DatiOriginali!G2655)</f>
        <v>517300</v>
      </c>
      <c r="H2655" s="4">
        <v>19395639</v>
      </c>
      <c r="I2655" s="4">
        <f>IF(DatiOriginali!I2655 &gt;= SogliaPicchi!$B$28,"",DatiOriginali!I2655)</f>
        <v>178100</v>
      </c>
      <c r="J2655" s="4">
        <v>19370153</v>
      </c>
      <c r="K2655" s="4">
        <f>IF(DatiOriginali!K2655 &gt;= SogliaPicchi!$B$28,"",DatiOriginali!K2655)</f>
        <v>193900</v>
      </c>
    </row>
    <row r="2656" spans="1:11" x14ac:dyDescent="0.3">
      <c r="A2656" s="4" t="s">
        <v>2665</v>
      </c>
      <c r="B2656" s="4">
        <v>910575</v>
      </c>
      <c r="C2656" s="4">
        <f>IF(DatiOriginali!C2656 &gt;= SogliaPicchi!$B$28,"",DatiOriginali!C2656)</f>
        <v>8179900</v>
      </c>
      <c r="D2656" s="4">
        <v>455437</v>
      </c>
      <c r="E2656" s="4">
        <f>IF(DatiOriginali!E2656 &gt;= SogliaPicchi!$B$28,"",DatiOriginali!E2656)</f>
        <v>1611700</v>
      </c>
      <c r="F2656" s="4">
        <v>15432707</v>
      </c>
      <c r="G2656" s="4">
        <f>IF(DatiOriginali!G2656 &gt;= SogliaPicchi!$B$28,"",DatiOriginali!G2656)</f>
        <v>514800</v>
      </c>
      <c r="H2656" s="4">
        <v>19410744</v>
      </c>
      <c r="I2656" s="4">
        <f>IF(DatiOriginali!I2656 &gt;= SogliaPicchi!$B$28,"",DatiOriginali!I2656)</f>
        <v>176700</v>
      </c>
      <c r="J2656" s="4">
        <v>19385367</v>
      </c>
      <c r="K2656" s="4">
        <f>IF(DatiOriginali!K2656 &gt;= SogliaPicchi!$B$28,"",DatiOriginali!K2656)</f>
        <v>198000</v>
      </c>
    </row>
    <row r="2657" spans="1:11" x14ac:dyDescent="0.3">
      <c r="A2657" s="4" t="s">
        <v>2666</v>
      </c>
      <c r="B2657" s="4">
        <v>910575</v>
      </c>
      <c r="C2657" s="4">
        <f>IF(DatiOriginali!C2657 &gt;= SogliaPicchi!$B$28,"",DatiOriginali!C2657)</f>
        <v>8072400</v>
      </c>
      <c r="D2657" s="4">
        <v>460218</v>
      </c>
      <c r="E2657" s="4">
        <f>IF(DatiOriginali!E2657 &gt;= SogliaPicchi!$B$28,"",DatiOriginali!E2657)</f>
        <v>1632700</v>
      </c>
      <c r="F2657" s="4">
        <v>15445070</v>
      </c>
      <c r="G2657" s="4">
        <f>IF(DatiOriginali!G2657 &gt;= SogliaPicchi!$B$28,"",DatiOriginali!G2657)</f>
        <v>519200</v>
      </c>
      <c r="H2657" s="4">
        <v>19426253</v>
      </c>
      <c r="I2657" s="4">
        <f>IF(DatiOriginali!I2657 &gt;= SogliaPicchi!$B$28,"",DatiOriginali!I2657)</f>
        <v>180300</v>
      </c>
      <c r="J2657" s="4">
        <v>19400637</v>
      </c>
      <c r="K2657" s="4">
        <f>IF(DatiOriginali!K2657 &gt;= SogliaPicchi!$B$28,"",DatiOriginali!K2657)</f>
        <v>204800</v>
      </c>
    </row>
    <row r="2658" spans="1:11" x14ac:dyDescent="0.3">
      <c r="A2658" s="4" t="s">
        <v>2667</v>
      </c>
      <c r="B2658" s="4">
        <v>910575</v>
      </c>
      <c r="C2658" s="4">
        <f>IF(DatiOriginali!C2658 &gt;= SogliaPicchi!$B$28,"",DatiOriginali!C2658)</f>
        <v>8267900</v>
      </c>
      <c r="D2658" s="4">
        <v>446028</v>
      </c>
      <c r="E2658" s="4">
        <f>IF(DatiOriginali!E2658 &gt;= SogliaPicchi!$B$28,"",DatiOriginali!E2658)</f>
        <v>1540800</v>
      </c>
      <c r="F2658" s="4">
        <v>15457469</v>
      </c>
      <c r="G2658" s="4">
        <f>IF(DatiOriginali!G2658 &gt;= SogliaPicchi!$B$28,"",DatiOriginali!G2658)</f>
        <v>519200</v>
      </c>
      <c r="H2658" s="4">
        <v>19443160</v>
      </c>
      <c r="I2658" s="4">
        <f>IF(DatiOriginali!I2658 &gt;= SogliaPicchi!$B$28,"",DatiOriginali!I2658)</f>
        <v>183900</v>
      </c>
      <c r="J2658" s="4">
        <v>19415622</v>
      </c>
      <c r="K2658" s="4">
        <f>IF(DatiOriginali!K2658 &gt;= SogliaPicchi!$B$28,"",DatiOriginali!K2658)</f>
        <v>198900</v>
      </c>
    </row>
    <row r="2659" spans="1:11" x14ac:dyDescent="0.3">
      <c r="A2659" s="4" t="s">
        <v>2668</v>
      </c>
      <c r="B2659" s="4">
        <v>910575</v>
      </c>
      <c r="C2659" s="4">
        <f>IF(DatiOriginali!C2659 &gt;= SogliaPicchi!$B$28,"",DatiOriginali!C2659)</f>
        <v>7921800</v>
      </c>
      <c r="D2659" s="4">
        <v>453070</v>
      </c>
      <c r="E2659" s="4">
        <f>IF(DatiOriginali!E2659 &gt;= SogliaPicchi!$B$28,"",DatiOriginali!E2659)</f>
        <v>1615300</v>
      </c>
      <c r="F2659" s="4">
        <v>15469850</v>
      </c>
      <c r="G2659" s="4">
        <f>IF(DatiOriginali!G2659 &gt;= SogliaPicchi!$B$28,"",DatiOriginali!G2659)</f>
        <v>519700</v>
      </c>
      <c r="H2659" s="4">
        <v>19459334</v>
      </c>
      <c r="I2659" s="4">
        <f>IF(DatiOriginali!I2659 &gt;= SogliaPicchi!$B$28,"",DatiOriginali!I2659)</f>
        <v>181000</v>
      </c>
      <c r="J2659" s="4">
        <v>19431331</v>
      </c>
      <c r="K2659" s="4">
        <f>IF(DatiOriginali!K2659 &gt;= SogliaPicchi!$B$28,"",DatiOriginali!K2659)</f>
        <v>192900</v>
      </c>
    </row>
    <row r="2660" spans="1:11" x14ac:dyDescent="0.3">
      <c r="A2660" s="4" t="s">
        <v>2669</v>
      </c>
      <c r="B2660" s="4">
        <v>910575</v>
      </c>
      <c r="C2660" s="4">
        <f>IF(DatiOriginali!C2660 &gt;= SogliaPicchi!$B$28,"",DatiOriginali!C2660)</f>
        <v>8177300</v>
      </c>
      <c r="D2660" s="4">
        <v>448529</v>
      </c>
      <c r="E2660" s="4">
        <f>IF(DatiOriginali!E2660 &gt;= SogliaPicchi!$B$28,"",DatiOriginali!E2660)</f>
        <v>1650100</v>
      </c>
      <c r="F2660" s="4">
        <v>15482202</v>
      </c>
      <c r="G2660" s="4">
        <f>IF(DatiOriginali!G2660 &gt;= SogliaPicchi!$B$28,"",DatiOriginali!G2660)</f>
        <v>525700</v>
      </c>
      <c r="H2660" s="4">
        <v>19474244</v>
      </c>
      <c r="I2660" s="4">
        <f>IF(DatiOriginali!I2660 &gt;= SogliaPicchi!$B$28,"",DatiOriginali!I2660)</f>
        <v>175800</v>
      </c>
      <c r="J2660" s="4">
        <v>19445912</v>
      </c>
      <c r="K2660" s="4">
        <f>IF(DatiOriginali!K2660 &gt;= SogliaPicchi!$B$28,"",DatiOriginali!K2660)</f>
        <v>194200</v>
      </c>
    </row>
    <row r="2661" spans="1:11" x14ac:dyDescent="0.3">
      <c r="A2661" s="4" t="s">
        <v>2670</v>
      </c>
      <c r="B2661" s="4">
        <v>910575</v>
      </c>
      <c r="C2661" s="4">
        <f>IF(DatiOriginali!C2661 &gt;= SogliaPicchi!$B$28,"",DatiOriginali!C2661)</f>
        <v>8246700</v>
      </c>
      <c r="D2661" s="4">
        <v>454856</v>
      </c>
      <c r="E2661" s="4">
        <f>IF(DatiOriginali!E2661 &gt;= SogliaPicchi!$B$28,"",DatiOriginali!E2661)</f>
        <v>1587800</v>
      </c>
      <c r="F2661" s="4">
        <v>15494564</v>
      </c>
      <c r="G2661" s="4">
        <f>IF(DatiOriginali!G2661 &gt;= SogliaPicchi!$B$28,"",DatiOriginali!G2661)</f>
        <v>516400</v>
      </c>
      <c r="H2661" s="4">
        <v>19489369</v>
      </c>
      <c r="I2661" s="4">
        <f>IF(DatiOriginali!I2661 &gt;= SogliaPicchi!$B$28,"",DatiOriginali!I2661)</f>
        <v>178000</v>
      </c>
      <c r="J2661" s="4">
        <v>19460826</v>
      </c>
      <c r="K2661" s="4">
        <f>IF(DatiOriginali!K2661 &gt;= SogliaPicchi!$B$28,"",DatiOriginali!K2661)</f>
        <v>195400</v>
      </c>
    </row>
    <row r="2662" spans="1:11" x14ac:dyDescent="0.3">
      <c r="A2662" s="4" t="s">
        <v>2671</v>
      </c>
      <c r="B2662" s="4">
        <v>910575</v>
      </c>
      <c r="C2662" s="4">
        <f>IF(DatiOriginali!C2662 &gt;= SogliaPicchi!$B$28,"",DatiOriginali!C2662)</f>
        <v>8312500</v>
      </c>
      <c r="D2662" s="4">
        <v>460686</v>
      </c>
      <c r="E2662" s="4">
        <f>IF(DatiOriginali!E2662 &gt;= SogliaPicchi!$B$28,"",DatiOriginali!E2662)</f>
        <v>2074200</v>
      </c>
      <c r="F2662" s="4">
        <v>15506919</v>
      </c>
      <c r="G2662" s="4">
        <f>IF(DatiOriginali!G2662 &gt;= SogliaPicchi!$B$28,"",DatiOriginali!G2662)</f>
        <v>675300</v>
      </c>
      <c r="H2662" s="4">
        <v>19504882</v>
      </c>
      <c r="I2662" s="4">
        <f>IF(DatiOriginali!I2662 &gt;= SogliaPicchi!$B$28,"",DatiOriginali!I2662)</f>
        <v>180300</v>
      </c>
      <c r="J2662" s="4">
        <v>19477237</v>
      </c>
      <c r="K2662" s="4">
        <f>IF(DatiOriginali!K2662 &gt;= SogliaPicchi!$B$28,"",DatiOriginali!K2662)</f>
        <v>194100</v>
      </c>
    </row>
    <row r="2663" spans="1:11" x14ac:dyDescent="0.3">
      <c r="A2663" s="4" t="s">
        <v>2672</v>
      </c>
      <c r="B2663" s="4">
        <v>910575</v>
      </c>
      <c r="C2663" s="4">
        <f>IF(DatiOriginali!C2663 &gt;= SogliaPicchi!$B$28,"",DatiOriginali!C2663)</f>
        <v>8735900</v>
      </c>
      <c r="D2663" s="4">
        <v>467209</v>
      </c>
      <c r="E2663" s="4">
        <f>IF(DatiOriginali!E2663 &gt;= SogliaPicchi!$B$28,"",DatiOriginali!E2663)</f>
        <v>1611600</v>
      </c>
      <c r="F2663" s="4">
        <v>15519322</v>
      </c>
      <c r="G2663" s="4">
        <f>IF(DatiOriginali!G2663 &gt;= SogliaPicchi!$B$28,"",DatiOriginali!G2663)</f>
        <v>523600</v>
      </c>
      <c r="H2663" s="4">
        <v>19520289</v>
      </c>
      <c r="I2663" s="4">
        <f>IF(DatiOriginali!I2663 &gt;= SogliaPicchi!$B$28,"",DatiOriginali!I2663)</f>
        <v>176900</v>
      </c>
      <c r="J2663" s="4">
        <v>19493816</v>
      </c>
      <c r="K2663" s="4">
        <f>IF(DatiOriginali!K2663 &gt;= SogliaPicchi!$B$28,"",DatiOriginali!K2663)</f>
        <v>198200</v>
      </c>
    </row>
    <row r="2664" spans="1:11" x14ac:dyDescent="0.3">
      <c r="A2664" s="4" t="s">
        <v>2673</v>
      </c>
      <c r="B2664" s="4">
        <v>910575</v>
      </c>
      <c r="C2664" s="4">
        <f>IF(DatiOriginali!C2664 &gt;= SogliaPicchi!$B$28,"",DatiOriginali!C2664)</f>
        <v>7942400</v>
      </c>
      <c r="D2664" s="4">
        <v>451300</v>
      </c>
      <c r="E2664" s="4">
        <f>IF(DatiOriginali!E2664 &gt;= SogliaPicchi!$B$28,"",DatiOriginali!E2664)</f>
        <v>1596400</v>
      </c>
      <c r="F2664" s="4">
        <v>15531682</v>
      </c>
      <c r="G2664" s="4">
        <f>IF(DatiOriginali!G2664 &gt;= SogliaPicchi!$B$28,"",DatiOriginali!G2664)</f>
        <v>516700</v>
      </c>
      <c r="H2664" s="4">
        <v>19537058</v>
      </c>
      <c r="I2664" s="4">
        <f>IF(DatiOriginali!I2664 &gt;= SogliaPicchi!$B$28,"",DatiOriginali!I2664)</f>
        <v>221400</v>
      </c>
      <c r="J2664" s="4">
        <v>19509901</v>
      </c>
      <c r="K2664" s="4">
        <f>IF(DatiOriginali!K2664 &gt;= SogliaPicchi!$B$28,"",DatiOriginali!K2664)</f>
        <v>233500</v>
      </c>
    </row>
    <row r="2665" spans="1:11" x14ac:dyDescent="0.3">
      <c r="A2665" s="4" t="s">
        <v>2674</v>
      </c>
      <c r="B2665" s="4">
        <v>910575</v>
      </c>
      <c r="C2665" s="4">
        <f>IF(DatiOriginali!C2665 &gt;= SogliaPicchi!$B$28,"",DatiOriginali!C2665)</f>
        <v>8694000</v>
      </c>
      <c r="D2665" s="4">
        <v>458028</v>
      </c>
      <c r="E2665" s="4">
        <f>IF(DatiOriginali!E2665 &gt;= SogliaPicchi!$B$28,"",DatiOriginali!E2665)</f>
        <v>1625300</v>
      </c>
      <c r="F2665" s="4">
        <v>15544058</v>
      </c>
      <c r="G2665" s="4">
        <f>IF(DatiOriginali!G2665 &gt;= SogliaPicchi!$B$28,"",DatiOriginali!G2665)</f>
        <v>525000</v>
      </c>
      <c r="H2665" s="4">
        <v>19552071</v>
      </c>
      <c r="I2665" s="4">
        <f>IF(DatiOriginali!I2665 &gt;= SogliaPicchi!$B$28,"",DatiOriginali!I2665)</f>
        <v>178800</v>
      </c>
      <c r="J2665" s="4">
        <v>19524555</v>
      </c>
      <c r="K2665" s="4">
        <f>IF(DatiOriginali!K2665 &gt;= SogliaPicchi!$B$28,"",DatiOriginali!K2665)</f>
        <v>191000</v>
      </c>
    </row>
    <row r="2666" spans="1:11" x14ac:dyDescent="0.3">
      <c r="A2666" s="4" t="s">
        <v>2675</v>
      </c>
      <c r="B2666" s="4">
        <v>910575</v>
      </c>
      <c r="C2666" s="4">
        <f>IF(DatiOriginali!C2666 &gt;= SogliaPicchi!$B$28,"",DatiOriginali!C2666)</f>
        <v>8115800</v>
      </c>
      <c r="D2666" s="4">
        <v>464880</v>
      </c>
      <c r="E2666" s="4">
        <f>IF(DatiOriginali!E2666 &gt;= SogliaPicchi!$B$28,"",DatiOriginali!E2666)</f>
        <v>1600500</v>
      </c>
      <c r="F2666" s="4">
        <v>15556429</v>
      </c>
      <c r="G2666" s="4">
        <f>IF(DatiOriginali!G2666 &gt;= SogliaPicchi!$B$28,"",DatiOriginali!G2666)</f>
        <v>517000</v>
      </c>
      <c r="H2666" s="4">
        <v>19567181</v>
      </c>
      <c r="I2666" s="4">
        <f>IF(DatiOriginali!I2666 &gt;= SogliaPicchi!$B$28,"",DatiOriginali!I2666)</f>
        <v>176200</v>
      </c>
      <c r="J2666" s="4">
        <v>19539763</v>
      </c>
      <c r="K2666" s="4">
        <f>IF(DatiOriginali!K2666 &gt;= SogliaPicchi!$B$28,"",DatiOriginali!K2666)</f>
        <v>198600</v>
      </c>
    </row>
    <row r="2667" spans="1:11" x14ac:dyDescent="0.3">
      <c r="A2667" s="4" t="s">
        <v>2676</v>
      </c>
      <c r="B2667" s="4">
        <v>910575</v>
      </c>
      <c r="C2667" s="4">
        <f>IF(DatiOriginali!C2667 &gt;= SogliaPicchi!$B$28,"",DatiOriginali!C2667)</f>
        <v>8473300</v>
      </c>
      <c r="D2667" s="4">
        <v>462053</v>
      </c>
      <c r="E2667" s="4">
        <f>IF(DatiOriginali!E2667 &gt;= SogliaPicchi!$B$28,"",DatiOriginali!E2667)</f>
        <v>1974600</v>
      </c>
      <c r="F2667" s="4">
        <v>15568777</v>
      </c>
      <c r="G2667" s="4">
        <f>IF(DatiOriginali!G2667 &gt;= SogliaPicchi!$B$28,"",DatiOriginali!G2667)</f>
        <v>654900</v>
      </c>
      <c r="H2667" s="4">
        <v>19582830</v>
      </c>
      <c r="I2667" s="4">
        <f>IF(DatiOriginali!I2667 &gt;= SogliaPicchi!$B$28,"",DatiOriginali!I2667)</f>
        <v>224500</v>
      </c>
      <c r="J2667" s="4">
        <v>19554670</v>
      </c>
      <c r="K2667" s="4">
        <f>IF(DatiOriginali!K2667 &gt;= SogliaPicchi!$B$28,"",DatiOriginali!K2667)</f>
        <v>250600</v>
      </c>
    </row>
    <row r="2668" spans="1:11" x14ac:dyDescent="0.3">
      <c r="A2668" s="4" t="s">
        <v>2677</v>
      </c>
      <c r="B2668" s="4">
        <v>910575</v>
      </c>
      <c r="C2668" s="4">
        <f>IF(DatiOriginali!C2668 &gt;= SogliaPicchi!$B$28,"",DatiOriginali!C2668)</f>
        <v>8147600</v>
      </c>
      <c r="D2668" s="4">
        <v>452610</v>
      </c>
      <c r="E2668" s="4">
        <f>IF(DatiOriginali!E2668 &gt;= SogliaPicchi!$B$28,"",DatiOriginali!E2668)</f>
        <v>1601400</v>
      </c>
      <c r="F2668" s="4">
        <v>15581135</v>
      </c>
      <c r="G2668" s="4">
        <f>IF(DatiOriginali!G2668 &gt;= SogliaPicchi!$B$28,"",DatiOriginali!G2668)</f>
        <v>517300</v>
      </c>
      <c r="H2668" s="4">
        <v>19599272</v>
      </c>
      <c r="I2668" s="4">
        <f>IF(DatiOriginali!I2668 &gt;= SogliaPicchi!$B$28,"",DatiOriginali!I2668)</f>
        <v>181500</v>
      </c>
      <c r="J2668" s="4">
        <v>19571369</v>
      </c>
      <c r="K2668" s="4">
        <f>IF(DatiOriginali!K2668 &gt;= SogliaPicchi!$B$28,"",DatiOriginali!K2668)</f>
        <v>208700</v>
      </c>
    </row>
    <row r="2669" spans="1:11" x14ac:dyDescent="0.3">
      <c r="A2669" s="4" t="s">
        <v>2678</v>
      </c>
      <c r="B2669" s="4">
        <v>910575</v>
      </c>
      <c r="C2669" s="4">
        <f>IF(DatiOriginali!C2669 &gt;= SogliaPicchi!$B$28,"",DatiOriginali!C2669)</f>
        <v>8065200</v>
      </c>
      <c r="D2669" s="4">
        <v>462778</v>
      </c>
      <c r="E2669" s="4">
        <f>IF(DatiOriginali!E2669 &gt;= SogliaPicchi!$B$28,"",DatiOriginali!E2669)</f>
        <v>1590700</v>
      </c>
      <c r="F2669" s="4">
        <v>15593454</v>
      </c>
      <c r="G2669" s="4">
        <f>IF(DatiOriginali!G2669 &gt;= SogliaPicchi!$B$28,"",DatiOriginali!G2669)</f>
        <v>525800</v>
      </c>
      <c r="H2669" s="4">
        <v>19613367</v>
      </c>
      <c r="I2669" s="4">
        <f>IF(DatiOriginali!I2669 &gt;= SogliaPicchi!$B$28,"",DatiOriginali!I2669)</f>
        <v>178800</v>
      </c>
      <c r="J2669" s="4">
        <v>19586746</v>
      </c>
      <c r="K2669" s="4">
        <f>IF(DatiOriginali!K2669 &gt;= SogliaPicchi!$B$28,"",DatiOriginali!K2669)</f>
        <v>196800</v>
      </c>
    </row>
    <row r="2670" spans="1:11" x14ac:dyDescent="0.3">
      <c r="A2670" s="4" t="s">
        <v>2679</v>
      </c>
      <c r="B2670" s="4">
        <v>910575</v>
      </c>
      <c r="C2670" s="4">
        <f>IF(DatiOriginali!C2670 &gt;= SogliaPicchi!$B$28,"",DatiOriginali!C2670)</f>
        <v>8108600</v>
      </c>
      <c r="D2670" s="4">
        <v>469511</v>
      </c>
      <c r="E2670" s="4">
        <f>IF(DatiOriginali!E2670 &gt;= SogliaPicchi!$B$28,"",DatiOriginali!E2670)</f>
        <v>1623700</v>
      </c>
      <c r="F2670" s="4">
        <v>15605824</v>
      </c>
      <c r="G2670" s="4">
        <f>IF(DatiOriginali!G2670 &gt;= SogliaPicchi!$B$28,"",DatiOriginali!G2670)</f>
        <v>514700</v>
      </c>
      <c r="H2670" s="4">
        <v>19629133</v>
      </c>
      <c r="I2670" s="4">
        <f>IF(DatiOriginali!I2670 &gt;= SogliaPicchi!$B$28,"",DatiOriginali!I2670)</f>
        <v>181900</v>
      </c>
      <c r="J2670" s="4">
        <v>19602016</v>
      </c>
      <c r="K2670" s="4">
        <f>IF(DatiOriginali!K2670 &gt;= SogliaPicchi!$B$28,"",DatiOriginali!K2670)</f>
        <v>199500</v>
      </c>
    </row>
    <row r="2671" spans="1:11" x14ac:dyDescent="0.3">
      <c r="A2671" s="4" t="s">
        <v>2680</v>
      </c>
      <c r="B2671" s="4">
        <v>910575</v>
      </c>
      <c r="C2671" s="4">
        <f>IF(DatiOriginali!C2671 &gt;= SogliaPicchi!$B$28,"",DatiOriginali!C2671)</f>
        <v>8270600</v>
      </c>
      <c r="D2671" s="4">
        <v>464321</v>
      </c>
      <c r="E2671" s="4">
        <f>IF(DatiOriginali!E2671 &gt;= SogliaPicchi!$B$28,"",DatiOriginali!E2671)</f>
        <v>1595900</v>
      </c>
      <c r="F2671" s="4">
        <v>15618198</v>
      </c>
      <c r="G2671" s="4">
        <f>IF(DatiOriginali!G2671 &gt;= SogliaPicchi!$B$28,"",DatiOriginali!G2671)</f>
        <v>519800</v>
      </c>
      <c r="H2671" s="4">
        <v>19645405</v>
      </c>
      <c r="I2671" s="4">
        <f>IF(DatiOriginali!I2671 &gt;= SogliaPicchi!$B$28,"",DatiOriginali!I2671)</f>
        <v>177800</v>
      </c>
      <c r="J2671" s="4">
        <v>19616910</v>
      </c>
      <c r="K2671" s="4">
        <f>IF(DatiOriginali!K2671 &gt;= SogliaPicchi!$B$28,"",DatiOriginali!K2671)</f>
        <v>197700</v>
      </c>
    </row>
    <row r="2672" spans="1:11" x14ac:dyDescent="0.3">
      <c r="A2672" s="4" t="s">
        <v>2681</v>
      </c>
      <c r="B2672" s="4">
        <v>910575</v>
      </c>
      <c r="C2672" s="4">
        <f>IF(DatiOriginali!C2672 &gt;= SogliaPicchi!$B$28,"",DatiOriginali!C2672)</f>
        <v>7942300</v>
      </c>
      <c r="D2672" s="4">
        <v>467251</v>
      </c>
      <c r="E2672" s="4">
        <f>IF(DatiOriginali!E2672 &gt;= SogliaPicchi!$B$28,"",DatiOriginali!E2672)</f>
        <v>1742400</v>
      </c>
      <c r="F2672" s="4">
        <v>15630501</v>
      </c>
      <c r="G2672" s="4">
        <f>IF(DatiOriginali!G2672 &gt;= SogliaPicchi!$B$28,"",DatiOriginali!G2672)</f>
        <v>533400</v>
      </c>
      <c r="H2672" s="4">
        <v>19661796</v>
      </c>
      <c r="I2672" s="4">
        <f>IF(DatiOriginali!I2672 &gt;= SogliaPicchi!$B$28,"",DatiOriginali!I2672)</f>
        <v>186200</v>
      </c>
      <c r="J2672" s="4">
        <v>19632171</v>
      </c>
      <c r="K2672" s="4">
        <f>IF(DatiOriginali!K2672 &gt;= SogliaPicchi!$B$28,"",DatiOriginali!K2672)</f>
        <v>206000</v>
      </c>
    </row>
    <row r="2673" spans="1:11" x14ac:dyDescent="0.3">
      <c r="A2673" s="4" t="s">
        <v>2682</v>
      </c>
      <c r="B2673" s="4">
        <v>910575</v>
      </c>
      <c r="C2673" s="4">
        <f>IF(DatiOriginali!C2673 &gt;= SogliaPicchi!$B$28,"",DatiOriginali!C2673)</f>
        <v>8773100</v>
      </c>
      <c r="D2673" s="4">
        <v>450751</v>
      </c>
      <c r="E2673" s="4">
        <f>IF(DatiOriginali!E2673 &gt;= SogliaPicchi!$B$28,"",DatiOriginali!E2673)</f>
        <v>1593100</v>
      </c>
      <c r="F2673" s="4">
        <v>15642852</v>
      </c>
      <c r="G2673" s="4">
        <f>IF(DatiOriginali!G2673 &gt;= SogliaPicchi!$B$28,"",DatiOriginali!G2673)</f>
        <v>521600</v>
      </c>
      <c r="H2673" s="4">
        <v>19678729</v>
      </c>
      <c r="I2673" s="4">
        <f>IF(DatiOriginali!I2673 &gt;= SogliaPicchi!$B$28,"",DatiOriginali!I2673)</f>
        <v>188100</v>
      </c>
      <c r="J2673" s="4">
        <v>19648369</v>
      </c>
      <c r="K2673" s="4">
        <f>IF(DatiOriginali!K2673 &gt;= SogliaPicchi!$B$28,"",DatiOriginali!K2673)</f>
        <v>198700</v>
      </c>
    </row>
    <row r="2674" spans="1:11" x14ac:dyDescent="0.3">
      <c r="A2674" s="4" t="s">
        <v>2683</v>
      </c>
      <c r="B2674" s="4">
        <v>910575</v>
      </c>
      <c r="C2674" s="4">
        <f>IF(DatiOriginali!C2674 &gt;= SogliaPicchi!$B$28,"",DatiOriginali!C2674)</f>
        <v>8179300</v>
      </c>
      <c r="D2674" s="4">
        <v>469697</v>
      </c>
      <c r="E2674" s="4">
        <f>IF(DatiOriginali!E2674 &gt;= SogliaPicchi!$B$28,"",DatiOriginali!E2674)</f>
        <v>1617300</v>
      </c>
      <c r="F2674" s="4">
        <v>15655237</v>
      </c>
      <c r="G2674" s="4">
        <f>IF(DatiOriginali!G2674 &gt;= SogliaPicchi!$B$28,"",DatiOriginali!G2674)</f>
        <v>549800</v>
      </c>
      <c r="H2674" s="4">
        <v>19693976</v>
      </c>
      <c r="I2674" s="4">
        <f>IF(DatiOriginali!I2674 &gt;= SogliaPicchi!$B$28,"",DatiOriginali!I2674)</f>
        <v>176600</v>
      </c>
      <c r="J2674" s="4">
        <v>19664674</v>
      </c>
      <c r="K2674" s="4">
        <f>IF(DatiOriginali!K2674 &gt;= SogliaPicchi!$B$28,"",DatiOriginali!K2674)</f>
        <v>193100</v>
      </c>
    </row>
    <row r="2675" spans="1:11" x14ac:dyDescent="0.3">
      <c r="A2675" s="4" t="s">
        <v>2684</v>
      </c>
      <c r="B2675" s="4">
        <v>910575</v>
      </c>
      <c r="C2675" s="4">
        <f>IF(DatiOriginali!C2675 &gt;= SogliaPicchi!$B$28,"",DatiOriginali!C2675)</f>
        <v>8370500</v>
      </c>
      <c r="D2675" s="4">
        <v>454271</v>
      </c>
      <c r="E2675" s="4">
        <f>IF(DatiOriginali!E2675 &gt;= SogliaPicchi!$B$28,"",DatiOriginali!E2675)</f>
        <v>1569400</v>
      </c>
      <c r="F2675" s="4">
        <v>15667620</v>
      </c>
      <c r="G2675" s="4">
        <f>IF(DatiOriginali!G2675 &gt;= SogliaPicchi!$B$28,"",DatiOriginali!G2675)</f>
        <v>513400</v>
      </c>
      <c r="H2675" s="4">
        <v>19709222</v>
      </c>
      <c r="I2675" s="4">
        <f>IF(DatiOriginali!I2675 &gt;= SogliaPicchi!$B$28,"",DatiOriginali!I2675)</f>
        <v>179900</v>
      </c>
      <c r="J2675" s="4">
        <v>19679633</v>
      </c>
      <c r="K2675" s="4">
        <f>IF(DatiOriginali!K2675 &gt;= SogliaPicchi!$B$28,"",DatiOriginali!K2675)</f>
        <v>201300</v>
      </c>
    </row>
    <row r="2676" spans="1:11" x14ac:dyDescent="0.3">
      <c r="A2676" s="4" t="s">
        <v>2685</v>
      </c>
      <c r="B2676" s="4">
        <v>910575</v>
      </c>
      <c r="C2676" s="4">
        <f>IF(DatiOriginali!C2676 &gt;= SogliaPicchi!$B$28,"",DatiOriginali!C2676)</f>
        <v>8024300</v>
      </c>
      <c r="D2676" s="4">
        <v>454680</v>
      </c>
      <c r="E2676" s="4">
        <f>IF(DatiOriginali!E2676 &gt;= SogliaPicchi!$B$28,"",DatiOriginali!E2676)</f>
        <v>1570500</v>
      </c>
      <c r="F2676" s="4">
        <v>15679986</v>
      </c>
      <c r="G2676" s="4">
        <f>IF(DatiOriginali!G2676 &gt;= SogliaPicchi!$B$28,"",DatiOriginali!G2676)</f>
        <v>513500</v>
      </c>
      <c r="H2676" s="4">
        <v>19726173</v>
      </c>
      <c r="I2676" s="4">
        <f>IF(DatiOriginali!I2676 &gt;= SogliaPicchi!$B$28,"",DatiOriginali!I2676)</f>
        <v>178000</v>
      </c>
      <c r="J2676" s="4">
        <v>19697510</v>
      </c>
      <c r="K2676" s="4">
        <f>IF(DatiOriginali!K2676 &gt;= SogliaPicchi!$B$28,"",DatiOriginali!K2676)</f>
        <v>196000</v>
      </c>
    </row>
    <row r="2677" spans="1:11" x14ac:dyDescent="0.3">
      <c r="A2677" s="4" t="s">
        <v>2686</v>
      </c>
      <c r="B2677" s="4">
        <v>910575</v>
      </c>
      <c r="C2677" s="4">
        <f>IF(DatiOriginali!C2677 &gt;= SogliaPicchi!$B$28,"",DatiOriginali!C2677)</f>
        <v>8323800</v>
      </c>
      <c r="D2677" s="4">
        <v>458312</v>
      </c>
      <c r="E2677" s="4">
        <f>IF(DatiOriginali!E2677 &gt;= SogliaPicchi!$B$28,"",DatiOriginali!E2677)</f>
        <v>1806700</v>
      </c>
      <c r="F2677" s="4">
        <v>15692363</v>
      </c>
      <c r="G2677" s="4">
        <f>IF(DatiOriginali!G2677 &gt;= SogliaPicchi!$B$28,"",DatiOriginali!G2677)</f>
        <v>527200</v>
      </c>
      <c r="H2677" s="4">
        <v>19743026</v>
      </c>
      <c r="I2677" s="4">
        <f>IF(DatiOriginali!I2677 &gt;= SogliaPicchi!$B$28,"",DatiOriginali!I2677)</f>
        <v>183700</v>
      </c>
      <c r="J2677" s="4">
        <v>19712842</v>
      </c>
      <c r="K2677" s="4">
        <f>IF(DatiOriginali!K2677 &gt;= SogliaPicchi!$B$28,"",DatiOriginali!K2677)</f>
        <v>189600</v>
      </c>
    </row>
    <row r="2678" spans="1:11" x14ac:dyDescent="0.3">
      <c r="A2678" s="4" t="s">
        <v>2687</v>
      </c>
      <c r="B2678" s="4">
        <v>910575</v>
      </c>
      <c r="C2678" s="4">
        <f>IF(DatiOriginali!C2678 &gt;= SogliaPicchi!$B$28,"",DatiOriginali!C2678)</f>
        <v>8190700</v>
      </c>
      <c r="D2678" s="4">
        <v>457449</v>
      </c>
      <c r="E2678" s="4">
        <f>IF(DatiOriginali!E2678 &gt;= SogliaPicchi!$B$28,"",DatiOriginali!E2678)</f>
        <v>1573300</v>
      </c>
      <c r="F2678" s="4">
        <v>15704734</v>
      </c>
      <c r="G2678" s="4">
        <f>IF(DatiOriginali!G2678 &gt;= SogliaPicchi!$B$28,"",DatiOriginali!G2678)</f>
        <v>524600</v>
      </c>
      <c r="H2678" s="4">
        <v>19758161</v>
      </c>
      <c r="I2678" s="4">
        <f>IF(DatiOriginali!I2678 &gt;= SogliaPicchi!$B$28,"",DatiOriginali!I2678)</f>
        <v>176500</v>
      </c>
      <c r="J2678" s="4">
        <v>19727710</v>
      </c>
      <c r="K2678" s="4">
        <f>IF(DatiOriginali!K2678 &gt;= SogliaPicchi!$B$28,"",DatiOriginali!K2678)</f>
        <v>197400</v>
      </c>
    </row>
    <row r="2679" spans="1:11" x14ac:dyDescent="0.3">
      <c r="A2679" s="4" t="s">
        <v>2688</v>
      </c>
      <c r="B2679" s="4">
        <v>910575</v>
      </c>
      <c r="C2679" s="4">
        <f>IF(DatiOriginali!C2679 &gt;= SogliaPicchi!$B$28,"",DatiOriginali!C2679)</f>
        <v>8277700</v>
      </c>
      <c r="D2679" s="4">
        <v>441400</v>
      </c>
      <c r="E2679" s="4">
        <f>IF(DatiOriginali!E2679 &gt;= SogliaPicchi!$B$28,"",DatiOriginali!E2679)</f>
        <v>1537600</v>
      </c>
      <c r="F2679" s="4">
        <v>15717092</v>
      </c>
      <c r="G2679" s="4">
        <f>IF(DatiOriginali!G2679 &gt;= SogliaPicchi!$B$28,"",DatiOriginali!G2679)</f>
        <v>516000</v>
      </c>
      <c r="H2679" s="4">
        <v>19775275</v>
      </c>
      <c r="I2679" s="4">
        <f>IF(DatiOriginali!I2679 &gt;= SogliaPicchi!$B$28,"",DatiOriginali!I2679)</f>
        <v>190100</v>
      </c>
      <c r="J2679" s="4">
        <v>19742299</v>
      </c>
      <c r="K2679" s="4">
        <f>IF(DatiOriginali!K2679 &gt;= SogliaPicchi!$B$28,"",DatiOriginali!K2679)</f>
        <v>196200</v>
      </c>
    </row>
    <row r="2680" spans="1:11" x14ac:dyDescent="0.3">
      <c r="A2680" s="4" t="s">
        <v>2689</v>
      </c>
      <c r="B2680" s="4">
        <v>910575</v>
      </c>
      <c r="C2680" s="4">
        <f>IF(DatiOriginali!C2680 &gt;= SogliaPicchi!$B$28,"",DatiOriginali!C2680)</f>
        <v>8120500</v>
      </c>
      <c r="D2680" s="4">
        <v>459225</v>
      </c>
      <c r="E2680" s="4">
        <f>IF(DatiOriginali!E2680 &gt;= SogliaPicchi!$B$28,"",DatiOriginali!E2680)</f>
        <v>1613400</v>
      </c>
      <c r="F2680" s="4">
        <v>15729442</v>
      </c>
      <c r="G2680" s="4">
        <f>IF(DatiOriginali!G2680 &gt;= SogliaPicchi!$B$28,"",DatiOriginali!G2680)</f>
        <v>525600</v>
      </c>
      <c r="H2680" s="4">
        <v>19789549</v>
      </c>
      <c r="I2680" s="4">
        <f>IF(DatiOriginali!I2680 &gt;= SogliaPicchi!$B$28,"",DatiOriginali!I2680)</f>
        <v>178900</v>
      </c>
      <c r="J2680" s="4">
        <v>19759178</v>
      </c>
      <c r="K2680" s="4">
        <f>IF(DatiOriginali!K2680 &gt;= SogliaPicchi!$B$28,"",DatiOriginali!K2680)</f>
        <v>200600</v>
      </c>
    </row>
    <row r="2681" spans="1:11" x14ac:dyDescent="0.3">
      <c r="A2681" s="4" t="s">
        <v>2690</v>
      </c>
      <c r="B2681" s="4">
        <v>910575</v>
      </c>
      <c r="C2681" s="4">
        <f>IF(DatiOriginali!C2681 &gt;= SogliaPicchi!$B$28,"",DatiOriginali!C2681)</f>
        <v>8425700</v>
      </c>
      <c r="D2681" s="4">
        <v>458138</v>
      </c>
      <c r="E2681" s="4">
        <f>IF(DatiOriginali!E2681 &gt;= SogliaPicchi!$B$28,"",DatiOriginali!E2681)</f>
        <v>1578800</v>
      </c>
      <c r="F2681" s="4">
        <v>15741805</v>
      </c>
      <c r="G2681" s="4">
        <f>IF(DatiOriginali!G2681 &gt;= SogliaPicchi!$B$28,"",DatiOriginali!G2681)</f>
        <v>518100</v>
      </c>
      <c r="H2681" s="4">
        <v>19804670</v>
      </c>
      <c r="I2681" s="4">
        <f>IF(DatiOriginali!I2681 &gt;= SogliaPicchi!$B$28,"",DatiOriginali!I2681)</f>
        <v>181500</v>
      </c>
      <c r="J2681" s="4">
        <v>19775442</v>
      </c>
      <c r="K2681" s="4">
        <f>IF(DatiOriginali!K2681 &gt;= SogliaPicchi!$B$28,"",DatiOriginali!K2681)</f>
        <v>196600</v>
      </c>
    </row>
    <row r="2682" spans="1:11" x14ac:dyDescent="0.3">
      <c r="A2682" s="4" t="s">
        <v>2691</v>
      </c>
      <c r="B2682" s="4">
        <v>910575</v>
      </c>
      <c r="C2682" s="4">
        <f>IF(DatiOriginali!C2682 &gt;= SogliaPicchi!$B$28,"",DatiOriginali!C2682)</f>
        <v>8187000</v>
      </c>
      <c r="D2682" s="4">
        <v>469134</v>
      </c>
      <c r="E2682" s="4">
        <f>IF(DatiOriginali!E2682 &gt;= SogliaPicchi!$B$28,"",DatiOriginali!E2682)</f>
        <v>1616200</v>
      </c>
      <c r="F2682" s="4">
        <v>15754202</v>
      </c>
      <c r="G2682" s="4">
        <f>IF(DatiOriginali!G2682 &gt;= SogliaPicchi!$B$28,"",DatiOriginali!G2682)</f>
        <v>537000</v>
      </c>
      <c r="H2682" s="4">
        <v>19820660</v>
      </c>
      <c r="I2682" s="4">
        <f>IF(DatiOriginali!I2682 &gt;= SogliaPicchi!$B$28,"",DatiOriginali!I2682)</f>
        <v>202200</v>
      </c>
      <c r="J2682" s="4">
        <v>19791133</v>
      </c>
      <c r="K2682" s="4">
        <f>IF(DatiOriginali!K2682 &gt;= SogliaPicchi!$B$28,"",DatiOriginali!K2682)</f>
        <v>235500</v>
      </c>
    </row>
    <row r="2683" spans="1:11" x14ac:dyDescent="0.3">
      <c r="A2683" s="4" t="s">
        <v>2692</v>
      </c>
      <c r="B2683" s="4">
        <v>910575</v>
      </c>
      <c r="C2683" s="4">
        <f>IF(DatiOriginali!C2683 &gt;= SogliaPicchi!$B$28,"",DatiOriginali!C2683)</f>
        <v>8516900</v>
      </c>
      <c r="D2683" s="4">
        <v>465339</v>
      </c>
      <c r="E2683" s="4">
        <f>IF(DatiOriginali!E2683 &gt;= SogliaPicchi!$B$28,"",DatiOriginali!E2683)</f>
        <v>1607800</v>
      </c>
      <c r="F2683" s="4">
        <v>15766581</v>
      </c>
      <c r="G2683" s="4">
        <f>IF(DatiOriginali!G2683 &gt;= SogliaPicchi!$B$28,"",DatiOriginali!G2683)</f>
        <v>519900</v>
      </c>
      <c r="H2683" s="4">
        <v>19836208</v>
      </c>
      <c r="I2683" s="4">
        <f>IF(DatiOriginali!I2683 &gt;= SogliaPicchi!$B$28,"",DatiOriginali!I2683)</f>
        <v>177600</v>
      </c>
      <c r="J2683" s="4">
        <v>19805912</v>
      </c>
      <c r="K2683" s="4">
        <f>IF(DatiOriginali!K2683 &gt;= SogliaPicchi!$B$28,"",DatiOriginali!K2683)</f>
        <v>194500</v>
      </c>
    </row>
    <row r="2684" spans="1:11" x14ac:dyDescent="0.3">
      <c r="A2684" s="4" t="s">
        <v>2693</v>
      </c>
      <c r="B2684" s="4">
        <v>910575</v>
      </c>
      <c r="C2684" s="4">
        <f>IF(DatiOriginali!C2684 &gt;= SogliaPicchi!$B$28,"",DatiOriginali!C2684)</f>
        <v>8037300</v>
      </c>
      <c r="D2684" s="4">
        <v>456336</v>
      </c>
      <c r="E2684" s="4">
        <f>IF(DatiOriginali!E2684 &gt;= SogliaPicchi!$B$28,"",DatiOriginali!E2684)</f>
        <v>1569400</v>
      </c>
      <c r="F2684" s="4">
        <v>15778953</v>
      </c>
      <c r="G2684" s="4">
        <f>IF(DatiOriginali!G2684 &gt;= SogliaPicchi!$B$28,"",DatiOriginali!G2684)</f>
        <v>1711600</v>
      </c>
      <c r="H2684" s="4">
        <v>19851799</v>
      </c>
      <c r="I2684" s="4">
        <f>IF(DatiOriginali!I2684 &gt;= SogliaPicchi!$B$28,"",DatiOriginali!I2684)</f>
        <v>196000</v>
      </c>
      <c r="J2684" s="4">
        <v>19820071</v>
      </c>
      <c r="K2684" s="4">
        <f>IF(DatiOriginali!K2684 &gt;= SogliaPicchi!$B$28,"",DatiOriginali!K2684)</f>
        <v>196900</v>
      </c>
    </row>
    <row r="2685" spans="1:11" x14ac:dyDescent="0.3">
      <c r="A2685" s="4" t="s">
        <v>2694</v>
      </c>
      <c r="B2685" s="4">
        <v>910575</v>
      </c>
      <c r="C2685" s="4">
        <f>IF(DatiOriginali!C2685 &gt;= SogliaPicchi!$B$28,"",DatiOriginali!C2685)</f>
        <v>8830200</v>
      </c>
      <c r="D2685" s="4">
        <v>472099</v>
      </c>
      <c r="E2685" s="4">
        <f>IF(DatiOriginali!E2685 &gt;= SogliaPicchi!$B$28,"",DatiOriginali!E2685)</f>
        <v>1631400</v>
      </c>
      <c r="F2685" s="4">
        <v>15791295</v>
      </c>
      <c r="G2685" s="4">
        <f>IF(DatiOriginali!G2685 &gt;= SogliaPicchi!$B$28,"",DatiOriginali!G2685)</f>
        <v>517500</v>
      </c>
      <c r="H2685" s="4">
        <v>19866261</v>
      </c>
      <c r="I2685" s="4">
        <f>IF(DatiOriginali!I2685 &gt;= SogliaPicchi!$B$28,"",DatiOriginali!I2685)</f>
        <v>180300</v>
      </c>
      <c r="J2685" s="4">
        <v>19835670</v>
      </c>
      <c r="K2685" s="4">
        <f>IF(DatiOriginali!K2685 &gt;= SogliaPicchi!$B$28,"",DatiOriginali!K2685)</f>
        <v>194600</v>
      </c>
    </row>
    <row r="2686" spans="1:11" x14ac:dyDescent="0.3">
      <c r="A2686" s="4" t="s">
        <v>2695</v>
      </c>
      <c r="B2686" s="4">
        <v>910575</v>
      </c>
      <c r="C2686" s="4">
        <f>IF(DatiOriginali!C2686 &gt;= SogliaPicchi!$B$28,"",DatiOriginali!C2686)</f>
        <v>8181800</v>
      </c>
      <c r="D2686" s="4">
        <v>461448</v>
      </c>
      <c r="E2686" s="4">
        <f>IF(DatiOriginali!E2686 &gt;= SogliaPicchi!$B$28,"",DatiOriginali!E2686)</f>
        <v>1632400</v>
      </c>
      <c r="F2686" s="4">
        <v>15803643</v>
      </c>
      <c r="G2686" s="4">
        <f>IF(DatiOriginali!G2686 &gt;= SogliaPicchi!$B$28,"",DatiOriginali!G2686)</f>
        <v>529500</v>
      </c>
      <c r="H2686" s="4">
        <v>19881773</v>
      </c>
      <c r="I2686" s="4">
        <f>IF(DatiOriginali!I2686 &gt;= SogliaPicchi!$B$28,"",DatiOriginali!I2686)</f>
        <v>182000</v>
      </c>
      <c r="J2686" s="4">
        <v>19853445</v>
      </c>
      <c r="K2686" s="4">
        <f>IF(DatiOriginali!K2686 &gt;= SogliaPicchi!$B$28,"",DatiOriginali!K2686)</f>
        <v>199100</v>
      </c>
    </row>
    <row r="2687" spans="1:11" x14ac:dyDescent="0.3">
      <c r="A2687" s="4" t="s">
        <v>2696</v>
      </c>
      <c r="B2687" s="4">
        <v>910575</v>
      </c>
      <c r="C2687" s="4">
        <f>IF(DatiOriginali!C2687 &gt;= SogliaPicchi!$B$28,"",DatiOriginali!C2687)</f>
        <v>7944400</v>
      </c>
      <c r="D2687" s="4">
        <v>455095</v>
      </c>
      <c r="E2687" s="4">
        <f>IF(DatiOriginali!E2687 &gt;= SogliaPicchi!$B$28,"",DatiOriginali!E2687)</f>
        <v>1657700</v>
      </c>
      <c r="F2687" s="4">
        <v>15816023</v>
      </c>
      <c r="G2687" s="4">
        <f>IF(DatiOriginali!G2687 &gt;= SogliaPicchi!$B$28,"",DatiOriginali!G2687)</f>
        <v>527900</v>
      </c>
      <c r="H2687" s="4">
        <v>19896597</v>
      </c>
      <c r="I2687" s="4">
        <f>IF(DatiOriginali!I2687 &gt;= SogliaPicchi!$B$28,"",DatiOriginali!I2687)</f>
        <v>180600</v>
      </c>
      <c r="J2687" s="4">
        <v>19868657</v>
      </c>
      <c r="K2687" s="4">
        <f>IF(DatiOriginali!K2687 &gt;= SogliaPicchi!$B$28,"",DatiOriginali!K2687)</f>
        <v>200300</v>
      </c>
    </row>
    <row r="2688" spans="1:11" x14ac:dyDescent="0.3">
      <c r="A2688" s="4" t="s">
        <v>2697</v>
      </c>
      <c r="B2688" s="4">
        <v>910575</v>
      </c>
      <c r="C2688" s="4">
        <f>IF(DatiOriginali!C2688 &gt;= SogliaPicchi!$B$28,"",DatiOriginali!C2688)</f>
        <v>8216800</v>
      </c>
      <c r="D2688" s="4">
        <v>455519</v>
      </c>
      <c r="E2688" s="4">
        <f>IF(DatiOriginali!E2688 &gt;= SogliaPicchi!$B$28,"",DatiOriginali!E2688)</f>
        <v>1568500</v>
      </c>
      <c r="F2688" s="4">
        <v>15828407</v>
      </c>
      <c r="G2688" s="4">
        <f>IF(DatiOriginali!G2688 &gt;= SogliaPicchi!$B$28,"",DatiOriginali!G2688)</f>
        <v>524300</v>
      </c>
      <c r="H2688" s="4">
        <v>19912066</v>
      </c>
      <c r="I2688" s="4">
        <f>IF(DatiOriginali!I2688 &gt;= SogliaPicchi!$B$28,"",DatiOriginali!I2688)</f>
        <v>180600</v>
      </c>
      <c r="J2688" s="4">
        <v>19883711</v>
      </c>
      <c r="K2688" s="4">
        <f>IF(DatiOriginali!K2688 &gt;= SogliaPicchi!$B$28,"",DatiOriginali!K2688)</f>
        <v>197300</v>
      </c>
    </row>
    <row r="2689" spans="1:11" x14ac:dyDescent="0.3">
      <c r="A2689" s="4" t="s">
        <v>2698</v>
      </c>
      <c r="B2689" s="4">
        <v>910575</v>
      </c>
      <c r="C2689" s="4">
        <f>IF(DatiOriginali!C2689 &gt;= SogliaPicchi!$B$28,"",DatiOriginali!C2689)</f>
        <v>8216300</v>
      </c>
      <c r="D2689" s="4">
        <v>454707</v>
      </c>
      <c r="E2689" s="4">
        <f>IF(DatiOriginali!E2689 &gt;= SogliaPicchi!$B$28,"",DatiOriginali!E2689)</f>
        <v>1577100</v>
      </c>
      <c r="F2689" s="4">
        <v>15840800</v>
      </c>
      <c r="G2689" s="4">
        <f>IF(DatiOriginali!G2689 &gt;= SogliaPicchi!$B$28,"",DatiOriginali!G2689)</f>
        <v>518000</v>
      </c>
      <c r="H2689" s="4">
        <v>19927188</v>
      </c>
      <c r="I2689" s="4">
        <f>IF(DatiOriginali!I2689 &gt;= SogliaPicchi!$B$28,"",DatiOriginali!I2689)</f>
        <v>182300</v>
      </c>
      <c r="J2689" s="4">
        <v>19900371</v>
      </c>
      <c r="K2689" s="4">
        <f>IF(DatiOriginali!K2689 &gt;= SogliaPicchi!$B$28,"",DatiOriginali!K2689)</f>
        <v>203800</v>
      </c>
    </row>
    <row r="2690" spans="1:11" x14ac:dyDescent="0.3">
      <c r="A2690" s="4" t="s">
        <v>2699</v>
      </c>
      <c r="B2690" s="4">
        <v>910575</v>
      </c>
      <c r="C2690" s="4">
        <f>IF(DatiOriginali!C2690 &gt;= SogliaPicchi!$B$28,"",DatiOriginali!C2690)</f>
        <v>8345700</v>
      </c>
      <c r="D2690" s="4">
        <v>443639</v>
      </c>
      <c r="E2690" s="4">
        <f>IF(DatiOriginali!E2690 &gt;= SogliaPicchi!$B$28,"",DatiOriginali!E2690)</f>
        <v>1537100</v>
      </c>
      <c r="F2690" s="4">
        <v>15853134</v>
      </c>
      <c r="G2690" s="4">
        <f>IF(DatiOriginali!G2690 &gt;= SogliaPicchi!$B$28,"",DatiOriginali!G2690)</f>
        <v>515500</v>
      </c>
      <c r="H2690" s="4">
        <v>19942934</v>
      </c>
      <c r="I2690" s="4">
        <f>IF(DatiOriginali!I2690 &gt;= SogliaPicchi!$B$28,"",DatiOriginali!I2690)</f>
        <v>183800</v>
      </c>
      <c r="J2690" s="4">
        <v>19915064</v>
      </c>
      <c r="K2690" s="4">
        <f>IF(DatiOriginali!K2690 &gt;= SogliaPicchi!$B$28,"",DatiOriginali!K2690)</f>
        <v>195200</v>
      </c>
    </row>
    <row r="2691" spans="1:11" x14ac:dyDescent="0.3">
      <c r="A2691" s="4" t="s">
        <v>2700</v>
      </c>
      <c r="B2691" s="4">
        <v>910575</v>
      </c>
      <c r="C2691" s="4">
        <f>IF(DatiOriginali!C2691 &gt;= SogliaPicchi!$B$28,"",DatiOriginali!C2691)</f>
        <v>9012100</v>
      </c>
      <c r="D2691" s="4">
        <v>453103</v>
      </c>
      <c r="E2691" s="4">
        <f>IF(DatiOriginali!E2691 &gt;= SogliaPicchi!$B$28,"",DatiOriginali!E2691)</f>
        <v>1613400</v>
      </c>
      <c r="F2691" s="4">
        <v>15865484</v>
      </c>
      <c r="G2691" s="4">
        <f>IF(DatiOriginali!G2691 &gt;= SogliaPicchi!$B$28,"",DatiOriginali!G2691)</f>
        <v>522200</v>
      </c>
      <c r="H2691" s="4">
        <v>19959129</v>
      </c>
      <c r="I2691" s="4">
        <f>IF(DatiOriginali!I2691 &gt;= SogliaPicchi!$B$28,"",DatiOriginali!I2691)</f>
        <v>178400</v>
      </c>
      <c r="J2691" s="4">
        <v>19930479</v>
      </c>
      <c r="K2691" s="4">
        <f>IF(DatiOriginali!K2691 &gt;= SogliaPicchi!$B$28,"",DatiOriginali!K2691)</f>
        <v>191700</v>
      </c>
    </row>
    <row r="2692" spans="1:11" x14ac:dyDescent="0.3">
      <c r="A2692" s="4" t="s">
        <v>2701</v>
      </c>
      <c r="B2692" s="4">
        <v>910575</v>
      </c>
      <c r="C2692" s="4">
        <f>IF(DatiOriginali!C2692 &gt;= SogliaPicchi!$B$28,"",DatiOriginali!C2692)</f>
        <v>8254700</v>
      </c>
      <c r="D2692" s="4">
        <v>447464</v>
      </c>
      <c r="E2692" s="4">
        <f>IF(DatiOriginali!E2692 &gt;= SogliaPicchi!$B$28,"",DatiOriginali!E2692)</f>
        <v>1804500</v>
      </c>
      <c r="F2692" s="4">
        <v>15877838</v>
      </c>
      <c r="G2692" s="4">
        <f>IF(DatiOriginali!G2692 &gt;= SogliaPicchi!$B$28,"",DatiOriginali!G2692)</f>
        <v>555500</v>
      </c>
      <c r="H2692" s="4">
        <v>19975313</v>
      </c>
      <c r="I2692" s="4">
        <f>IF(DatiOriginali!I2692 &gt;= SogliaPicchi!$B$28,"",DatiOriginali!I2692)</f>
        <v>181700</v>
      </c>
      <c r="J2692" s="4">
        <v>19945474</v>
      </c>
      <c r="K2692" s="4">
        <f>IF(DatiOriginali!K2692 &gt;= SogliaPicchi!$B$28,"",DatiOriginali!K2692)</f>
        <v>200900</v>
      </c>
    </row>
    <row r="2693" spans="1:11" x14ac:dyDescent="0.3">
      <c r="A2693" s="4" t="s">
        <v>2702</v>
      </c>
      <c r="B2693" s="4">
        <v>910575</v>
      </c>
      <c r="C2693" s="4">
        <f>IF(DatiOriginali!C2693 &gt;= SogliaPicchi!$B$28,"",DatiOriginali!C2693)</f>
        <v>8158500</v>
      </c>
      <c r="D2693" s="4">
        <v>451527</v>
      </c>
      <c r="E2693" s="4">
        <f>IF(DatiOriginali!E2693 &gt;= SogliaPicchi!$B$28,"",DatiOriginali!E2693)</f>
        <v>1702700</v>
      </c>
      <c r="F2693" s="4">
        <v>15890194</v>
      </c>
      <c r="G2693" s="4">
        <f>IF(DatiOriginali!G2693 &gt;= SogliaPicchi!$B$28,"",DatiOriginali!G2693)</f>
        <v>521200</v>
      </c>
      <c r="H2693" s="4">
        <v>19991174</v>
      </c>
      <c r="I2693" s="4">
        <f>IF(DatiOriginali!I2693 &gt;= SogliaPicchi!$B$28,"",DatiOriginali!I2693)</f>
        <v>175300</v>
      </c>
      <c r="J2693" s="4">
        <v>19960643</v>
      </c>
      <c r="K2693" s="4">
        <f>IF(DatiOriginali!K2693 &gt;= SogliaPicchi!$B$28,"",DatiOriginali!K2693)</f>
        <v>197000</v>
      </c>
    </row>
    <row r="2694" spans="1:11" x14ac:dyDescent="0.3">
      <c r="A2694" s="4" t="s">
        <v>2703</v>
      </c>
      <c r="B2694" s="4">
        <v>910575</v>
      </c>
      <c r="C2694" s="4">
        <f>IF(DatiOriginali!C2694 &gt;= SogliaPicchi!$B$28,"",DatiOriginali!C2694)</f>
        <v>8157300</v>
      </c>
      <c r="D2694" s="4">
        <v>456374</v>
      </c>
      <c r="E2694" s="4">
        <f>IF(DatiOriginali!E2694 &gt;= SogliaPicchi!$B$28,"",DatiOriginali!E2694)</f>
        <v>1573900</v>
      </c>
      <c r="F2694" s="4">
        <v>15902557</v>
      </c>
      <c r="G2694" s="4">
        <f>IF(DatiOriginali!G2694 &gt;= SogliaPicchi!$B$28,"",DatiOriginali!G2694)</f>
        <v>515800</v>
      </c>
      <c r="H2694" s="4">
        <v>20006614</v>
      </c>
      <c r="I2694" s="4">
        <f>IF(DatiOriginali!I2694 &gt;= SogliaPicchi!$B$28,"",DatiOriginali!I2694)</f>
        <v>178100</v>
      </c>
      <c r="J2694" s="4">
        <v>19975215</v>
      </c>
      <c r="K2694" s="4">
        <f>IF(DatiOriginali!K2694 &gt;= SogliaPicchi!$B$28,"",DatiOriginali!K2694)</f>
        <v>203800</v>
      </c>
    </row>
    <row r="2695" spans="1:11" x14ac:dyDescent="0.3">
      <c r="A2695" s="4" t="s">
        <v>2704</v>
      </c>
      <c r="B2695" s="4">
        <v>910575</v>
      </c>
      <c r="C2695" s="4">
        <f>IF(DatiOriginali!C2695 &gt;= SogliaPicchi!$B$28,"",DatiOriginali!C2695)</f>
        <v>8280800</v>
      </c>
      <c r="D2695" s="4">
        <v>463445</v>
      </c>
      <c r="E2695" s="4">
        <f>IF(DatiOriginali!E2695 &gt;= SogliaPicchi!$B$28,"",DatiOriginali!E2695)</f>
        <v>1599200</v>
      </c>
      <c r="F2695" s="4">
        <v>15914913</v>
      </c>
      <c r="G2695" s="4">
        <f>IF(DatiOriginali!G2695 &gt;= SogliaPicchi!$B$28,"",DatiOriginali!G2695)</f>
        <v>593200</v>
      </c>
      <c r="H2695" s="4">
        <v>20022286</v>
      </c>
      <c r="I2695" s="4">
        <f>IF(DatiOriginali!I2695 &gt;= SogliaPicchi!$B$28,"",DatiOriginali!I2695)</f>
        <v>178400</v>
      </c>
      <c r="J2695" s="4">
        <v>19990188</v>
      </c>
      <c r="K2695" s="4">
        <f>IF(DatiOriginali!K2695 &gt;= SogliaPicchi!$B$28,"",DatiOriginali!K2695)</f>
        <v>199600</v>
      </c>
    </row>
    <row r="2696" spans="1:11" x14ac:dyDescent="0.3">
      <c r="A2696" s="4" t="s">
        <v>2705</v>
      </c>
      <c r="B2696" s="4">
        <v>910575</v>
      </c>
      <c r="C2696" s="4">
        <f>IF(DatiOriginali!C2696 &gt;= SogliaPicchi!$B$28,"",DatiOriginali!C2696)</f>
        <v>8208100</v>
      </c>
      <c r="D2696" s="4">
        <v>455454</v>
      </c>
      <c r="E2696" s="4">
        <f>IF(DatiOriginali!E2696 &gt;= SogliaPicchi!$B$28,"",DatiOriginali!E2696)</f>
        <v>1573300</v>
      </c>
      <c r="F2696" s="4">
        <v>15927290</v>
      </c>
      <c r="G2696" s="4">
        <f>IF(DatiOriginali!G2696 &gt;= SogliaPicchi!$B$28,"",DatiOriginali!G2696)</f>
        <v>518600</v>
      </c>
      <c r="H2696" s="4">
        <v>20037909</v>
      </c>
      <c r="I2696" s="4">
        <f>IF(DatiOriginali!I2696 &gt;= SogliaPicchi!$B$28,"",DatiOriginali!I2696)</f>
        <v>176800</v>
      </c>
      <c r="J2696" s="4">
        <v>20005757</v>
      </c>
      <c r="K2696" s="4">
        <f>IF(DatiOriginali!K2696 &gt;= SogliaPicchi!$B$28,"",DatiOriginali!K2696)</f>
        <v>196700</v>
      </c>
    </row>
    <row r="2697" spans="1:11" x14ac:dyDescent="0.3">
      <c r="A2697" s="4" t="s">
        <v>2706</v>
      </c>
      <c r="B2697" s="4">
        <v>910575</v>
      </c>
      <c r="C2697" s="4">
        <f>IF(DatiOriginali!C2697 &gt;= SogliaPicchi!$B$28,"",DatiOriginali!C2697)</f>
        <v>8679100</v>
      </c>
      <c r="D2697" s="4">
        <v>445035</v>
      </c>
      <c r="E2697" s="4">
        <f>IF(DatiOriginali!E2697 &gt;= SogliaPicchi!$B$28,"",DatiOriginali!E2697)</f>
        <v>1661300</v>
      </c>
      <c r="F2697" s="4">
        <v>15939668</v>
      </c>
      <c r="G2697" s="4">
        <f>IF(DatiOriginali!G2697 &gt;= SogliaPicchi!$B$28,"",DatiOriginali!G2697)</f>
        <v>536200</v>
      </c>
      <c r="H2697" s="4">
        <v>20053859</v>
      </c>
      <c r="I2697" s="4">
        <f>IF(DatiOriginali!I2697 &gt;= SogliaPicchi!$B$28,"",DatiOriginali!I2697)</f>
        <v>191800</v>
      </c>
      <c r="J2697" s="4">
        <v>20021192</v>
      </c>
      <c r="K2697" s="4">
        <f>IF(DatiOriginali!K2697 &gt;= SogliaPicchi!$B$28,"",DatiOriginali!K2697)</f>
        <v>199700</v>
      </c>
    </row>
    <row r="2698" spans="1:11" x14ac:dyDescent="0.3">
      <c r="A2698" s="4" t="s">
        <v>2707</v>
      </c>
      <c r="B2698" s="4">
        <v>910575</v>
      </c>
      <c r="C2698" s="4">
        <f>IF(DatiOriginali!C2698 &gt;= SogliaPicchi!$B$28,"",DatiOriginali!C2698)</f>
        <v>8808100</v>
      </c>
      <c r="D2698" s="4">
        <v>446625</v>
      </c>
      <c r="E2698" s="4">
        <f>IF(DatiOriginali!E2698 &gt;= SogliaPicchi!$B$28,"",DatiOriginali!E2698)</f>
        <v>1539100</v>
      </c>
      <c r="F2698" s="4">
        <v>15952046</v>
      </c>
      <c r="G2698" s="4">
        <f>IF(DatiOriginali!G2698 &gt;= SogliaPicchi!$B$28,"",DatiOriginali!G2698)</f>
        <v>517400</v>
      </c>
      <c r="H2698" s="4">
        <v>20068617</v>
      </c>
      <c r="I2698" s="4">
        <f>IF(DatiOriginali!I2698 &gt;= SogliaPicchi!$B$28,"",DatiOriginali!I2698)</f>
        <v>179300</v>
      </c>
      <c r="J2698" s="4">
        <v>20036661</v>
      </c>
      <c r="K2698" s="4">
        <f>IF(DatiOriginali!K2698 &gt;= SogliaPicchi!$B$28,"",DatiOriginali!K2698)</f>
        <v>196200</v>
      </c>
    </row>
    <row r="2699" spans="1:11" x14ac:dyDescent="0.3">
      <c r="A2699" s="4" t="s">
        <v>2708</v>
      </c>
      <c r="B2699" s="4">
        <v>910575</v>
      </c>
      <c r="C2699" s="4">
        <f>IF(DatiOriginali!C2699 &gt;= SogliaPicchi!$B$28,"",DatiOriginali!C2699)</f>
        <v>8283600</v>
      </c>
      <c r="D2699" s="4">
        <v>443910</v>
      </c>
      <c r="E2699" s="4">
        <f>IF(DatiOriginali!E2699 &gt;= SogliaPicchi!$B$28,"",DatiOriginali!E2699)</f>
        <v>1565300</v>
      </c>
      <c r="F2699" s="4">
        <v>15964409</v>
      </c>
      <c r="G2699" s="4">
        <f>IF(DatiOriginali!G2699 &gt;= SogliaPicchi!$B$28,"",DatiOriginali!G2699)</f>
        <v>520200</v>
      </c>
      <c r="H2699" s="4">
        <v>20083320</v>
      </c>
      <c r="I2699" s="4">
        <f>IF(DatiOriginali!I2699 &gt;= SogliaPicchi!$B$28,"",DatiOriginali!I2699)</f>
        <v>176900</v>
      </c>
      <c r="J2699" s="4">
        <v>20052593</v>
      </c>
      <c r="K2699" s="4">
        <f>IF(DatiOriginali!K2699 &gt;= SogliaPicchi!$B$28,"",DatiOriginali!K2699)</f>
        <v>200200</v>
      </c>
    </row>
    <row r="2700" spans="1:11" x14ac:dyDescent="0.3">
      <c r="A2700" s="4" t="s">
        <v>2709</v>
      </c>
      <c r="B2700" s="4">
        <v>910575</v>
      </c>
      <c r="C2700" s="4">
        <f>IF(DatiOriginali!C2700 &gt;= SogliaPicchi!$B$28,"",DatiOriginali!C2700)</f>
        <v>9058200</v>
      </c>
      <c r="D2700" s="4">
        <v>463134</v>
      </c>
      <c r="E2700" s="4">
        <f>IF(DatiOriginali!E2700 &gt;= SogliaPicchi!$B$28,"",DatiOriginali!E2700)</f>
        <v>1597800</v>
      </c>
      <c r="F2700" s="4">
        <v>15976802</v>
      </c>
      <c r="G2700" s="4">
        <f>IF(DatiOriginali!G2700 &gt;= SogliaPicchi!$B$28,"",DatiOriginali!G2700)</f>
        <v>519200</v>
      </c>
      <c r="H2700" s="4">
        <v>20099828</v>
      </c>
      <c r="I2700" s="4">
        <f>IF(DatiOriginali!I2700 &gt;= SogliaPicchi!$B$28,"",DatiOriginali!I2700)</f>
        <v>183100</v>
      </c>
      <c r="J2700" s="4">
        <v>20068919</v>
      </c>
      <c r="K2700" s="4">
        <f>IF(DatiOriginali!K2700 &gt;= SogliaPicchi!$B$28,"",DatiOriginali!K2700)</f>
        <v>203000</v>
      </c>
    </row>
    <row r="2701" spans="1:11" x14ac:dyDescent="0.3">
      <c r="A2701" s="4" t="s">
        <v>2710</v>
      </c>
      <c r="B2701" s="4">
        <v>910575</v>
      </c>
      <c r="C2701" s="4">
        <f>IF(DatiOriginali!C2701 &gt;= SogliaPicchi!$B$28,"",DatiOriginali!C2701)</f>
        <v>8166400</v>
      </c>
      <c r="D2701" s="4">
        <v>465494</v>
      </c>
      <c r="E2701" s="4">
        <f>IF(DatiOriginali!E2701 &gt;= SogliaPicchi!$B$28,"",DatiOriginali!E2701)</f>
        <v>1639700</v>
      </c>
      <c r="F2701" s="4">
        <v>15989189</v>
      </c>
      <c r="G2701" s="4">
        <f>IF(DatiOriginali!G2701 &gt;= SogliaPicchi!$B$29,"",DatiOriginali!G2701)</f>
        <v>515200</v>
      </c>
      <c r="H2701" s="4">
        <v>20117060</v>
      </c>
      <c r="I2701" s="4">
        <f>IF(DatiOriginali!I2701 &gt;= SogliaPicchi!$B$29,"",DatiOriginali!I2701)</f>
        <v>191600</v>
      </c>
      <c r="J2701" s="4">
        <v>20084842</v>
      </c>
      <c r="K2701" s="4">
        <f>IF(DatiOriginali!K2701 &gt;= SogliaPicchi!$B$29,"",DatiOriginali!K2701)</f>
        <v>198400</v>
      </c>
    </row>
    <row r="2702" spans="1:11" x14ac:dyDescent="0.3">
      <c r="A2702" s="4" t="s">
        <v>2711</v>
      </c>
      <c r="B2702" s="4">
        <v>979300</v>
      </c>
      <c r="C2702" s="4">
        <f>IF(DatiOriginali!C2702 &gt;= SogliaPicchi!$B$29,"",DatiOriginali!C2702)</f>
        <v>9410600</v>
      </c>
      <c r="D2702" s="4">
        <v>493075</v>
      </c>
      <c r="E2702" s="4">
        <f>IF(DatiOriginali!E2702 &gt;= SogliaPicchi!$B$29,"",DatiOriginali!E2702)</f>
        <v>2018100</v>
      </c>
      <c r="F2702" s="4">
        <v>16002072</v>
      </c>
      <c r="G2702" s="4">
        <f>IF(DatiOriginali!G2702 &gt;= SogliaPicchi!$B$29,"",DatiOriginali!G2702)</f>
        <v>554600</v>
      </c>
      <c r="H2702" s="4">
        <v>20135198</v>
      </c>
      <c r="I2702" s="4">
        <f>IF(DatiOriginali!I2702 &gt;= SogliaPicchi!$B$29,"",DatiOriginali!I2702)</f>
        <v>191100</v>
      </c>
      <c r="J2702" s="4">
        <v>20100613</v>
      </c>
      <c r="K2702" s="4">
        <f>IF(DatiOriginali!K2702 &gt;= SogliaPicchi!$B$29,"",DatiOriginali!K2702)</f>
        <v>200100</v>
      </c>
    </row>
    <row r="2703" spans="1:11" x14ac:dyDescent="0.3">
      <c r="A2703" s="4" t="s">
        <v>2712</v>
      </c>
      <c r="B2703" s="4">
        <v>979300</v>
      </c>
      <c r="C2703" s="4">
        <f>IF(DatiOriginali!C2703 &gt;= SogliaPicchi!$B$29,"",DatiOriginali!C2703)</f>
        <v>8704900</v>
      </c>
      <c r="D2703" s="4">
        <v>480961</v>
      </c>
      <c r="E2703" s="4">
        <f>IF(DatiOriginali!E2703 &gt;= SogliaPicchi!$B$29,"",DatiOriginali!E2703)</f>
        <v>1659800</v>
      </c>
      <c r="F2703" s="4">
        <v>16014944</v>
      </c>
      <c r="G2703" s="4">
        <f>IF(DatiOriginali!G2703 &gt;= SogliaPicchi!$B$29,"",DatiOriginali!G2703)</f>
        <v>583100</v>
      </c>
      <c r="H2703" s="4">
        <v>20151325</v>
      </c>
      <c r="I2703" s="4">
        <f>IF(DatiOriginali!I2703 &gt;= SogliaPicchi!$B$29,"",DatiOriginali!I2703)</f>
        <v>191700</v>
      </c>
      <c r="J2703" s="4">
        <v>20116772</v>
      </c>
      <c r="K2703" s="4">
        <f>IF(DatiOriginali!K2703 &gt;= SogliaPicchi!$B$29,"",DatiOriginali!K2703)</f>
        <v>209300</v>
      </c>
    </row>
    <row r="2704" spans="1:11" x14ac:dyDescent="0.3">
      <c r="A2704" s="4" t="s">
        <v>2713</v>
      </c>
      <c r="B2704" s="4">
        <v>979300</v>
      </c>
      <c r="C2704" s="4">
        <f>IF(DatiOriginali!C2704 &gt;= SogliaPicchi!$B$29,"",DatiOriginali!C2704)</f>
        <v>8584700</v>
      </c>
      <c r="D2704" s="4">
        <v>487802</v>
      </c>
      <c r="E2704" s="4">
        <f>IF(DatiOriginali!E2704 &gt;= SogliaPicchi!$B$29,"",DatiOriginali!E2704)</f>
        <v>1938700</v>
      </c>
      <c r="F2704" s="4">
        <v>16027849</v>
      </c>
      <c r="G2704" s="4">
        <f>IF(DatiOriginali!G2704 &gt;= SogliaPicchi!$B$29,"",DatiOriginali!G2704)</f>
        <v>544300</v>
      </c>
      <c r="H2704" s="4">
        <v>20167747</v>
      </c>
      <c r="I2704" s="4">
        <f>IF(DatiOriginali!I2704 &gt;= SogliaPicchi!$B$29,"",DatiOriginali!I2704)</f>
        <v>197900</v>
      </c>
      <c r="J2704" s="4">
        <v>20132665</v>
      </c>
      <c r="K2704" s="4">
        <f>IF(DatiOriginali!K2704 &gt;= SogliaPicchi!$B$29,"",DatiOriginali!K2704)</f>
        <v>217200</v>
      </c>
    </row>
    <row r="2705" spans="1:11" x14ac:dyDescent="0.3">
      <c r="A2705" s="4" t="s">
        <v>2714</v>
      </c>
      <c r="B2705" s="4">
        <v>979300</v>
      </c>
      <c r="C2705" s="4">
        <f>IF(DatiOriginali!C2705 &gt;= SogliaPicchi!$B$29,"",DatiOriginali!C2705)</f>
        <v>8828900</v>
      </c>
      <c r="D2705" s="4">
        <v>502516</v>
      </c>
      <c r="E2705" s="4">
        <f>IF(DatiOriginali!E2705 &gt;= SogliaPicchi!$B$29,"",DatiOriginali!E2705)</f>
        <v>1772100</v>
      </c>
      <c r="F2705" s="4">
        <v>16040749</v>
      </c>
      <c r="G2705" s="4">
        <f>IF(DatiOriginali!G2705 &gt;= SogliaPicchi!$B$29,"",DatiOriginali!G2705)</f>
        <v>541600</v>
      </c>
      <c r="H2705" s="4">
        <v>20183019</v>
      </c>
      <c r="I2705" s="4">
        <f>IF(DatiOriginali!I2705 &gt;= SogliaPicchi!$B$29,"",DatiOriginali!I2705)</f>
        <v>186300</v>
      </c>
      <c r="J2705" s="4">
        <v>20148743</v>
      </c>
      <c r="K2705" s="4">
        <f>IF(DatiOriginali!K2705 &gt;= SogliaPicchi!$B$29,"",DatiOriginali!K2705)</f>
        <v>206200</v>
      </c>
    </row>
    <row r="2706" spans="1:11" x14ac:dyDescent="0.3">
      <c r="A2706" s="4" t="s">
        <v>2715</v>
      </c>
      <c r="B2706" s="4">
        <v>979300</v>
      </c>
      <c r="C2706" s="4">
        <f>IF(DatiOriginali!C2706 &gt;= SogliaPicchi!$B$29,"",DatiOriginali!C2706)</f>
        <v>9685200</v>
      </c>
      <c r="D2706" s="4">
        <v>484993</v>
      </c>
      <c r="E2706" s="4">
        <f>IF(DatiOriginali!E2706 &gt;= SogliaPicchi!$B$29,"",DatiOriginali!E2706)</f>
        <v>1841100</v>
      </c>
      <c r="F2706" s="4">
        <v>16053628</v>
      </c>
      <c r="G2706" s="4">
        <f>IF(DatiOriginali!G2706 &gt;= SogliaPicchi!$B$29,"",DatiOriginali!G2706)</f>
        <v>562500</v>
      </c>
      <c r="H2706" s="4">
        <v>20199062</v>
      </c>
      <c r="I2706" s="4">
        <f>IF(DatiOriginali!I2706 &gt;= SogliaPicchi!$B$29,"",DatiOriginali!I2706)</f>
        <v>190500</v>
      </c>
      <c r="J2706" s="4">
        <v>20164297</v>
      </c>
      <c r="K2706" s="4">
        <f>IF(DatiOriginali!K2706 &gt;= SogliaPicchi!$B$29,"",DatiOriginali!K2706)</f>
        <v>208600</v>
      </c>
    </row>
    <row r="2707" spans="1:11" x14ac:dyDescent="0.3">
      <c r="A2707" s="4" t="s">
        <v>2716</v>
      </c>
      <c r="B2707" s="4">
        <v>979300</v>
      </c>
      <c r="C2707" s="4">
        <f>IF(DatiOriginali!C2707 &gt;= SogliaPicchi!$B$29,"",DatiOriginali!C2707)</f>
        <v>8709800</v>
      </c>
      <c r="D2707" s="4">
        <v>490899</v>
      </c>
      <c r="E2707" s="4">
        <f>IF(DatiOriginali!E2707 &gt;= SogliaPicchi!$B$29,"",DatiOriginali!E2707)</f>
        <v>1983700</v>
      </c>
      <c r="F2707" s="4">
        <v>16066535</v>
      </c>
      <c r="G2707" s="4">
        <f>IF(DatiOriginali!G2707 &gt;= SogliaPicchi!$B$29,"",DatiOriginali!G2707)</f>
        <v>549100</v>
      </c>
      <c r="H2707" s="4">
        <v>20214445</v>
      </c>
      <c r="I2707" s="4">
        <f>IF(DatiOriginali!I2707 &gt;= SogliaPicchi!$B$29,"",DatiOriginali!I2707)</f>
        <v>195700</v>
      </c>
      <c r="J2707" s="4">
        <v>20179997</v>
      </c>
      <c r="K2707" s="4">
        <f>IF(DatiOriginali!K2707 &gt;= SogliaPicchi!$B$29,"",DatiOriginali!K2707)</f>
        <v>217800</v>
      </c>
    </row>
    <row r="2708" spans="1:11" x14ac:dyDescent="0.3">
      <c r="A2708" s="4" t="s">
        <v>2717</v>
      </c>
      <c r="B2708" s="4">
        <v>979300</v>
      </c>
      <c r="C2708" s="4">
        <f>IF(DatiOriginali!C2708 &gt;= SogliaPicchi!$B$29,"",DatiOriginali!C2708)</f>
        <v>8991300</v>
      </c>
      <c r="D2708" s="4">
        <v>483106</v>
      </c>
      <c r="E2708" s="4">
        <f>IF(DatiOriginali!E2708 &gt;= SogliaPicchi!$B$29,"",DatiOriginali!E2708)</f>
        <v>1668700</v>
      </c>
      <c r="F2708" s="4">
        <v>16079461</v>
      </c>
      <c r="G2708" s="4">
        <f>IF(DatiOriginali!G2708 &gt;= SogliaPicchi!$B$29,"",DatiOriginali!G2708)</f>
        <v>540700</v>
      </c>
      <c r="H2708" s="4">
        <v>20230198</v>
      </c>
      <c r="I2708" s="4">
        <f>IF(DatiOriginali!I2708 &gt;= SogliaPicchi!$B$29,"",DatiOriginali!I2708)</f>
        <v>190500</v>
      </c>
      <c r="J2708" s="4">
        <v>20195669</v>
      </c>
      <c r="K2708" s="4">
        <f>IF(DatiOriginali!K2708 &gt;= SogliaPicchi!$B$29,"",DatiOriginali!K2708)</f>
        <v>212900</v>
      </c>
    </row>
    <row r="2709" spans="1:11" x14ac:dyDescent="0.3">
      <c r="A2709" s="4" t="s">
        <v>2718</v>
      </c>
      <c r="B2709" s="4">
        <v>979300</v>
      </c>
      <c r="C2709" s="4">
        <f>IF(DatiOriginali!C2709 &gt;= SogliaPicchi!$B$29,"",DatiOriginali!C2709)</f>
        <v>8681600</v>
      </c>
      <c r="D2709" s="4">
        <v>502896</v>
      </c>
      <c r="E2709" s="4">
        <f>IF(DatiOriginali!E2709 &gt;= SogliaPicchi!$B$29,"",DatiOriginali!E2709)</f>
        <v>1734800</v>
      </c>
      <c r="F2709" s="4">
        <v>16092391</v>
      </c>
      <c r="G2709" s="4">
        <f>IF(DatiOriginali!G2709 &gt;= SogliaPicchi!$B$29,"",DatiOriginali!G2709)</f>
        <v>562700</v>
      </c>
      <c r="H2709" s="4">
        <v>20245089</v>
      </c>
      <c r="I2709" s="4">
        <f>IF(DatiOriginali!I2709 &gt;= SogliaPicchi!$B$29,"",DatiOriginali!I2709)</f>
        <v>192800</v>
      </c>
      <c r="J2709" s="4">
        <v>20211467</v>
      </c>
      <c r="K2709" s="4">
        <f>IF(DatiOriginali!K2709 &gt;= SogliaPicchi!$B$29,"",DatiOriginali!K2709)</f>
        <v>207800</v>
      </c>
    </row>
    <row r="2710" spans="1:11" x14ac:dyDescent="0.3">
      <c r="A2710" s="4" t="s">
        <v>2719</v>
      </c>
      <c r="B2710" s="4">
        <v>979300</v>
      </c>
      <c r="C2710" s="4">
        <f>IF(DatiOriginali!C2710 &gt;= SogliaPicchi!$B$29,"",DatiOriginali!C2710)</f>
        <v>9271300</v>
      </c>
      <c r="D2710" s="4">
        <v>488880</v>
      </c>
      <c r="E2710" s="4">
        <f>IF(DatiOriginali!E2710 &gt;= SogliaPicchi!$B$29,"",DatiOriginali!E2710)</f>
        <v>1691400</v>
      </c>
      <c r="F2710" s="4">
        <v>16105288</v>
      </c>
      <c r="G2710" s="4">
        <f>IF(DatiOriginali!G2710 &gt;= SogliaPicchi!$B$29,"",DatiOriginali!G2710)</f>
        <v>540100</v>
      </c>
      <c r="H2710" s="4">
        <v>20262028</v>
      </c>
      <c r="I2710" s="4">
        <f>IF(DatiOriginali!I2710 &gt;= SogliaPicchi!$B$29,"",DatiOriginali!I2710)</f>
        <v>188800</v>
      </c>
      <c r="J2710" s="4">
        <v>20228240</v>
      </c>
      <c r="K2710" s="4">
        <f>IF(DatiOriginali!K2710 &gt;= SogliaPicchi!$B$29,"",DatiOriginali!K2710)</f>
        <v>212700</v>
      </c>
    </row>
    <row r="2711" spans="1:11" x14ac:dyDescent="0.3">
      <c r="A2711" s="4" t="s">
        <v>2720</v>
      </c>
      <c r="B2711" s="4">
        <v>979300</v>
      </c>
      <c r="C2711" s="4">
        <f>IF(DatiOriginali!C2711 &gt;= SogliaPicchi!$B$29,"",DatiOriginali!C2711)</f>
        <v>8901400</v>
      </c>
      <c r="D2711" s="4">
        <v>484171</v>
      </c>
      <c r="E2711" s="4">
        <f>IF(DatiOriginali!E2711 &gt;= SogliaPicchi!$B$29,"",DatiOriginali!E2711)</f>
        <v>1662800</v>
      </c>
      <c r="F2711" s="4">
        <v>16118192</v>
      </c>
      <c r="G2711" s="4">
        <f>IF(DatiOriginali!G2711 &gt;= SogliaPicchi!$B$29,"",DatiOriginali!G2711)</f>
        <v>537600</v>
      </c>
      <c r="H2711" s="4">
        <v>20278117</v>
      </c>
      <c r="I2711" s="4">
        <f>IF(DatiOriginali!I2711 &gt;= SogliaPicchi!$B$29,"",DatiOriginali!I2711)</f>
        <v>180500</v>
      </c>
      <c r="J2711" s="4">
        <v>20245221</v>
      </c>
      <c r="K2711" s="4">
        <f>IF(DatiOriginali!K2711 &gt;= SogliaPicchi!$B$29,"",DatiOriginali!K2711)</f>
        <v>223800</v>
      </c>
    </row>
    <row r="2712" spans="1:11" x14ac:dyDescent="0.3">
      <c r="A2712" s="4" t="s">
        <v>2721</v>
      </c>
      <c r="B2712" s="4">
        <v>979300</v>
      </c>
      <c r="C2712" s="4">
        <f>IF(DatiOriginali!C2712 &gt;= SogliaPicchi!$B$29,"",DatiOriginali!C2712)</f>
        <v>8976900</v>
      </c>
      <c r="D2712" s="4">
        <v>501911</v>
      </c>
      <c r="E2712" s="4">
        <f>IF(DatiOriginali!E2712 &gt;= SogliaPicchi!$B$29,"",DatiOriginali!E2712)</f>
        <v>1726900</v>
      </c>
      <c r="F2712" s="4">
        <v>16131069</v>
      </c>
      <c r="G2712" s="4">
        <f>IF(DatiOriginali!G2712 &gt;= SogliaPicchi!$B$29,"",DatiOriginali!G2712)</f>
        <v>535400</v>
      </c>
      <c r="H2712" s="4">
        <v>20293886</v>
      </c>
      <c r="I2712" s="4">
        <f>IF(DatiOriginali!I2712 &gt;= SogliaPicchi!$B$29,"",DatiOriginali!I2712)</f>
        <v>188100</v>
      </c>
      <c r="J2712" s="4">
        <v>20263099</v>
      </c>
      <c r="K2712" s="4">
        <f>IF(DatiOriginali!K2712 &gt;= SogliaPicchi!$B$29,"",DatiOriginali!K2712)</f>
        <v>212900</v>
      </c>
    </row>
    <row r="2713" spans="1:11" x14ac:dyDescent="0.3">
      <c r="A2713" s="4" t="s">
        <v>2722</v>
      </c>
      <c r="B2713" s="4">
        <v>979300</v>
      </c>
      <c r="C2713" s="4">
        <f>IF(DatiOriginali!C2713 &gt;= SogliaPicchi!$B$29,"",DatiOriginali!C2713)</f>
        <v>8837500</v>
      </c>
      <c r="D2713" s="4">
        <v>501339</v>
      </c>
      <c r="E2713" s="4">
        <f>IF(DatiOriginali!E2713 &gt;= SogliaPicchi!$B$29,"",DatiOriginali!E2713)</f>
        <v>1727800</v>
      </c>
      <c r="F2713" s="4">
        <v>16143986</v>
      </c>
      <c r="G2713" s="4">
        <f>IF(DatiOriginali!G2713 &gt;= SogliaPicchi!$B$29,"",DatiOriginali!G2713)</f>
        <v>545800</v>
      </c>
      <c r="H2713" s="4">
        <v>20309307</v>
      </c>
      <c r="I2713" s="4">
        <f>IF(DatiOriginali!I2713 &gt;= SogliaPicchi!$B$29,"",DatiOriginali!I2713)</f>
        <v>182400</v>
      </c>
      <c r="J2713" s="4">
        <v>20278283</v>
      </c>
      <c r="K2713" s="4">
        <f>IF(DatiOriginali!K2713 &gt;= SogliaPicchi!$B$29,"",DatiOriginali!K2713)</f>
        <v>207900</v>
      </c>
    </row>
    <row r="2714" spans="1:11" x14ac:dyDescent="0.3">
      <c r="A2714" s="4" t="s">
        <v>2723</v>
      </c>
      <c r="B2714" s="4">
        <v>979300</v>
      </c>
      <c r="C2714" s="4">
        <f>IF(DatiOriginali!C2714 &gt;= SogliaPicchi!$B$29,"",DatiOriginali!C2714)</f>
        <v>9339400</v>
      </c>
      <c r="D2714" s="4">
        <v>490163</v>
      </c>
      <c r="E2714" s="4">
        <f>IF(DatiOriginali!E2714 &gt;= SogliaPicchi!$B$29,"",DatiOriginali!E2714)</f>
        <v>1687400</v>
      </c>
      <c r="F2714" s="4">
        <v>16156869</v>
      </c>
      <c r="G2714" s="4">
        <f>IF(DatiOriginali!G2714 &gt;= SogliaPicchi!$B$29,"",DatiOriginali!G2714)</f>
        <v>539800</v>
      </c>
      <c r="H2714" s="4">
        <v>20325480</v>
      </c>
      <c r="I2714" s="4">
        <f>IF(DatiOriginali!I2714 &gt;= SogliaPicchi!$B$29,"",DatiOriginali!I2714)</f>
        <v>193200</v>
      </c>
      <c r="J2714" s="4">
        <v>20294293</v>
      </c>
      <c r="K2714" s="4">
        <f>IF(DatiOriginali!K2714 &gt;= SogliaPicchi!$B$29,"",DatiOriginali!K2714)</f>
        <v>208500</v>
      </c>
    </row>
    <row r="2715" spans="1:11" x14ac:dyDescent="0.3">
      <c r="A2715" s="4" t="s">
        <v>2724</v>
      </c>
      <c r="B2715" s="4">
        <v>979300</v>
      </c>
      <c r="C2715" s="4">
        <f>IF(DatiOriginali!C2715 &gt;= SogliaPicchi!$B$29,"",DatiOriginali!C2715)</f>
        <v>8804700</v>
      </c>
      <c r="D2715" s="4">
        <v>491003</v>
      </c>
      <c r="E2715" s="4">
        <f>IF(DatiOriginali!E2715 &gt;= SogliaPicchi!$B$29,"",DatiOriginali!E2715)</f>
        <v>1690200</v>
      </c>
      <c r="F2715" s="4">
        <v>16169774</v>
      </c>
      <c r="G2715" s="4">
        <f>IF(DatiOriginali!G2715 &gt;= SogliaPicchi!$B$29,"",DatiOriginali!G2715)</f>
        <v>548700</v>
      </c>
      <c r="H2715" s="4">
        <v>20341400</v>
      </c>
      <c r="I2715" s="4">
        <f>IF(DatiOriginali!I2715 &gt;= SogliaPicchi!$B$29,"",DatiOriginali!I2715)</f>
        <v>187100</v>
      </c>
      <c r="J2715" s="4">
        <v>20311071</v>
      </c>
      <c r="K2715" s="4">
        <f>IF(DatiOriginali!K2715 &gt;= SogliaPicchi!$B$29,"",DatiOriginali!K2715)</f>
        <v>210300</v>
      </c>
    </row>
    <row r="2716" spans="1:11" x14ac:dyDescent="0.3">
      <c r="A2716" s="4" t="s">
        <v>2725</v>
      </c>
      <c r="B2716" s="4">
        <v>979300</v>
      </c>
      <c r="C2716" s="4">
        <f>IF(DatiOriginali!C2716 &gt;= SogliaPicchi!$B$29,"",DatiOriginali!C2716)</f>
        <v>8879000</v>
      </c>
      <c r="D2716" s="4">
        <v>493854</v>
      </c>
      <c r="E2716" s="4">
        <f>IF(DatiOriginali!E2716 &gt;= SogliaPicchi!$B$29,"",DatiOriginali!E2716)</f>
        <v>1700400</v>
      </c>
      <c r="F2716" s="4">
        <v>16182688</v>
      </c>
      <c r="G2716" s="4">
        <f>IF(DatiOriginali!G2716 &gt;= SogliaPicchi!$B$29,"",DatiOriginali!G2716)</f>
        <v>536600</v>
      </c>
      <c r="H2716" s="4">
        <v>20358079</v>
      </c>
      <c r="I2716" s="4">
        <f>IF(DatiOriginali!I2716 &gt;= SogliaPicchi!$B$29,"",DatiOriginali!I2716)</f>
        <v>189500</v>
      </c>
      <c r="J2716" s="4">
        <v>20330398</v>
      </c>
      <c r="K2716" s="4">
        <f>IF(DatiOriginali!K2716 &gt;= SogliaPicchi!$B$29,"",DatiOriginali!K2716)</f>
        <v>219400</v>
      </c>
    </row>
    <row r="2717" spans="1:11" x14ac:dyDescent="0.3">
      <c r="A2717" s="4" t="s">
        <v>2726</v>
      </c>
      <c r="B2717" s="4">
        <v>979300</v>
      </c>
      <c r="C2717" s="4">
        <f>IF(DatiOriginali!C2717 &gt;= SogliaPicchi!$B$29,"",DatiOriginali!C2717)</f>
        <v>9012900</v>
      </c>
      <c r="D2717" s="4">
        <v>493682</v>
      </c>
      <c r="E2717" s="4">
        <f>IF(DatiOriginali!E2717 &gt;= SogliaPicchi!$B$29,"",DatiOriginali!E2717)</f>
        <v>1902400</v>
      </c>
      <c r="F2717" s="4">
        <v>16195585</v>
      </c>
      <c r="G2717" s="4">
        <f>IF(DatiOriginali!G2717 &gt;= SogliaPicchi!$B$29,"",DatiOriginali!G2717)</f>
        <v>547600</v>
      </c>
      <c r="H2717" s="4">
        <v>20373362</v>
      </c>
      <c r="I2717" s="4">
        <f>IF(DatiOriginali!I2717 &gt;= SogliaPicchi!$B$29,"",DatiOriginali!I2717)</f>
        <v>190100</v>
      </c>
      <c r="J2717" s="4">
        <v>20348128</v>
      </c>
      <c r="K2717" s="4">
        <f>IF(DatiOriginali!K2717 &gt;= SogliaPicchi!$B$29,"",DatiOriginali!K2717)</f>
        <v>215700</v>
      </c>
    </row>
    <row r="2718" spans="1:11" x14ac:dyDescent="0.3">
      <c r="A2718" s="4" t="s">
        <v>2727</v>
      </c>
      <c r="B2718" s="4">
        <v>979300</v>
      </c>
      <c r="C2718" s="4">
        <f>IF(DatiOriginali!C2718 &gt;= SogliaPicchi!$B$29,"",DatiOriginali!C2718)</f>
        <v>9661500</v>
      </c>
      <c r="D2718" s="4">
        <v>480584</v>
      </c>
      <c r="E2718" s="4">
        <f>IF(DatiOriginali!E2718 &gt;= SogliaPicchi!$B$29,"",DatiOriginali!E2718)</f>
        <v>1650800</v>
      </c>
      <c r="F2718" s="4">
        <v>16208500</v>
      </c>
      <c r="G2718" s="4">
        <f>IF(DatiOriginali!G2718 &gt;= SogliaPicchi!$B$29,"",DatiOriginali!G2718)</f>
        <v>540400</v>
      </c>
      <c r="H2718" s="4">
        <v>20389786</v>
      </c>
      <c r="I2718" s="4">
        <f>IF(DatiOriginali!I2718 &gt;= SogliaPicchi!$B$29,"",DatiOriginali!I2718)</f>
        <v>187000</v>
      </c>
      <c r="J2718" s="4">
        <v>20366050</v>
      </c>
      <c r="K2718" s="4">
        <f>IF(DatiOriginali!K2718 &gt;= SogliaPicchi!$B$29,"",DatiOriginali!K2718)</f>
        <v>210400</v>
      </c>
    </row>
    <row r="2719" spans="1:11" x14ac:dyDescent="0.3">
      <c r="A2719" s="4" t="s">
        <v>2728</v>
      </c>
      <c r="B2719" s="4">
        <v>979300</v>
      </c>
      <c r="C2719" s="4">
        <f>IF(DatiOriginali!C2719 &gt;= SogliaPicchi!$B$29,"",DatiOriginali!C2719)</f>
        <v>8864800</v>
      </c>
      <c r="D2719" s="4">
        <v>481765</v>
      </c>
      <c r="E2719" s="4">
        <f>IF(DatiOriginali!E2719 &gt;= SogliaPicchi!$B$29,"",DatiOriginali!E2719)</f>
        <v>3864200</v>
      </c>
      <c r="F2719" s="4">
        <v>16221406</v>
      </c>
      <c r="G2719" s="4">
        <f>IF(DatiOriginali!G2719 &gt;= SogliaPicchi!$B$29,"",DatiOriginali!G2719)</f>
        <v>2656600</v>
      </c>
      <c r="H2719" s="4">
        <v>20406256</v>
      </c>
      <c r="I2719" s="4">
        <f>IF(DatiOriginali!I2719 &gt;= SogliaPicchi!$B$29,"",DatiOriginali!I2719)</f>
        <v>404600</v>
      </c>
      <c r="J2719" s="4">
        <v>20381157</v>
      </c>
      <c r="K2719" s="4">
        <f>IF(DatiOriginali!K2719 &gt;= SogliaPicchi!$B$29,"",DatiOriginali!K2719)</f>
        <v>250400</v>
      </c>
    </row>
    <row r="2720" spans="1:11" x14ac:dyDescent="0.3">
      <c r="A2720" s="4" t="s">
        <v>2729</v>
      </c>
      <c r="B2720" s="4">
        <v>979300</v>
      </c>
      <c r="C2720" s="4">
        <f>IF(DatiOriginali!C2720 &gt;= SogliaPicchi!$B$29,"",DatiOriginali!C2720)</f>
        <v>9254200</v>
      </c>
      <c r="D2720" s="4">
        <v>484719</v>
      </c>
      <c r="E2720" s="4">
        <f>IF(DatiOriginali!E2720 &gt;= SogliaPicchi!$B$29,"",DatiOriginali!E2720)</f>
        <v>1727800</v>
      </c>
      <c r="F2720" s="4">
        <v>16234305</v>
      </c>
      <c r="G2720" s="4">
        <f>IF(DatiOriginali!G2720 &gt;= SogliaPicchi!$B$29,"",DatiOriginali!G2720)</f>
        <v>544000</v>
      </c>
      <c r="H2720" s="4">
        <v>20422708</v>
      </c>
      <c r="I2720" s="4">
        <f>IF(DatiOriginali!I2720 &gt;= SogliaPicchi!$B$29,"",DatiOriginali!I2720)</f>
        <v>194000</v>
      </c>
      <c r="J2720" s="4">
        <v>20398622</v>
      </c>
      <c r="K2720" s="4">
        <f>IF(DatiOriginali!K2720 &gt;= SogliaPicchi!$B$29,"",DatiOriginali!K2720)</f>
        <v>208100</v>
      </c>
    </row>
    <row r="2721" spans="1:11" x14ac:dyDescent="0.3">
      <c r="A2721" s="4" t="s">
        <v>2730</v>
      </c>
      <c r="B2721" s="4">
        <v>979300</v>
      </c>
      <c r="C2721" s="4">
        <f>IF(DatiOriginali!C2721 &gt;= SogliaPicchi!$B$29,"",DatiOriginali!C2721)</f>
        <v>9048600</v>
      </c>
      <c r="D2721" s="4">
        <v>489252</v>
      </c>
      <c r="E2721" s="4">
        <f>IF(DatiOriginali!E2721 &gt;= SogliaPicchi!$B$29,"",DatiOriginali!E2721)</f>
        <v>1743600</v>
      </c>
      <c r="F2721" s="4">
        <v>16247216</v>
      </c>
      <c r="G2721" s="4">
        <f>IF(DatiOriginali!G2721 &gt;= SogliaPicchi!$B$29,"",DatiOriginali!G2721)</f>
        <v>552200</v>
      </c>
      <c r="H2721" s="4">
        <v>20438985</v>
      </c>
      <c r="I2721" s="4">
        <f>IF(DatiOriginali!I2721 &gt;= SogliaPicchi!$B$29,"",DatiOriginali!I2721)</f>
        <v>184400</v>
      </c>
      <c r="J2721" s="4">
        <v>20416393</v>
      </c>
      <c r="K2721" s="4">
        <f>IF(DatiOriginali!K2721 &gt;= SogliaPicchi!$B$29,"",DatiOriginali!K2721)</f>
        <v>215800</v>
      </c>
    </row>
    <row r="2722" spans="1:11" x14ac:dyDescent="0.3">
      <c r="A2722" s="4" t="s">
        <v>2731</v>
      </c>
      <c r="B2722" s="4">
        <v>979300</v>
      </c>
      <c r="C2722" s="4">
        <f>IF(DatiOriginali!C2722 &gt;= SogliaPicchi!$B$29,"",DatiOriginali!C2722)</f>
        <v>8997400</v>
      </c>
      <c r="D2722" s="4">
        <v>495121</v>
      </c>
      <c r="E2722" s="4">
        <f>IF(DatiOriginali!E2722 &gt;= SogliaPicchi!$B$29,"",DatiOriginali!E2722)</f>
        <v>1706800</v>
      </c>
      <c r="F2722" s="4">
        <v>16260133</v>
      </c>
      <c r="G2722" s="4">
        <f>IF(DatiOriginali!G2722 &gt;= SogliaPicchi!$B$29,"",DatiOriginali!G2722)</f>
        <v>549800</v>
      </c>
      <c r="H2722" s="4">
        <v>20454978</v>
      </c>
      <c r="I2722" s="4">
        <f>IF(DatiOriginali!I2722 &gt;= SogliaPicchi!$B$29,"",DatiOriginali!I2722)</f>
        <v>187900</v>
      </c>
      <c r="J2722" s="4">
        <v>20432095</v>
      </c>
      <c r="K2722" s="4">
        <f>IF(DatiOriginali!K2722 &gt;= SogliaPicchi!$B$29,"",DatiOriginali!K2722)</f>
        <v>204400</v>
      </c>
    </row>
    <row r="2723" spans="1:11" x14ac:dyDescent="0.3">
      <c r="A2723" s="4" t="s">
        <v>2732</v>
      </c>
      <c r="B2723" s="4">
        <v>979300</v>
      </c>
      <c r="C2723" s="4">
        <f>IF(DatiOriginali!C2723 &gt;= SogliaPicchi!$B$29,"",DatiOriginali!C2723)</f>
        <v>8888300</v>
      </c>
      <c r="D2723" s="4">
        <v>488963</v>
      </c>
      <c r="E2723" s="4">
        <f>IF(DatiOriginali!E2723 &gt;= SogliaPicchi!$B$29,"",DatiOriginali!E2723)</f>
        <v>1903500</v>
      </c>
      <c r="F2723" s="4">
        <v>16273019</v>
      </c>
      <c r="G2723" s="4">
        <f>IF(DatiOriginali!G2723 &gt;= SogliaPicchi!$B$29,"",DatiOriginali!G2723)</f>
        <v>571900</v>
      </c>
      <c r="H2723" s="4">
        <v>20471579</v>
      </c>
      <c r="I2723" s="4">
        <f>IF(DatiOriginali!I2723 &gt;= SogliaPicchi!$B$29,"",DatiOriginali!I2723)</f>
        <v>186200</v>
      </c>
      <c r="J2723" s="4">
        <v>20448433</v>
      </c>
      <c r="K2723" s="4">
        <f>IF(DatiOriginali!K2723 &gt;= SogliaPicchi!$B$29,"",DatiOriginali!K2723)</f>
        <v>207400</v>
      </c>
    </row>
    <row r="2724" spans="1:11" x14ac:dyDescent="0.3">
      <c r="A2724" s="4" t="s">
        <v>2733</v>
      </c>
      <c r="B2724" s="4">
        <v>979300</v>
      </c>
      <c r="C2724" s="4">
        <f>IF(DatiOriginali!C2724 &gt;= SogliaPicchi!$B$29,"",DatiOriginali!C2724)</f>
        <v>8749700</v>
      </c>
      <c r="D2724" s="4">
        <v>503311</v>
      </c>
      <c r="E2724" s="4">
        <f>IF(DatiOriginali!E2724 &gt;= SogliaPicchi!$B$29,"",DatiOriginali!E2724)</f>
        <v>1777500</v>
      </c>
      <c r="F2724" s="4">
        <v>16285944</v>
      </c>
      <c r="G2724" s="4">
        <f>IF(DatiOriginali!G2724 &gt;= SogliaPicchi!$B$29,"",DatiOriginali!G2724)</f>
        <v>544600</v>
      </c>
      <c r="H2724" s="4">
        <v>20489176</v>
      </c>
      <c r="I2724" s="4">
        <f>IF(DatiOriginali!I2724 &gt;= SogliaPicchi!$B$29,"",DatiOriginali!I2724)</f>
        <v>191000</v>
      </c>
      <c r="J2724" s="4">
        <v>20463852</v>
      </c>
      <c r="K2724" s="4">
        <f>IF(DatiOriginali!K2724 &gt;= SogliaPicchi!$B$29,"",DatiOriginali!K2724)</f>
        <v>208400</v>
      </c>
    </row>
    <row r="2725" spans="1:11" x14ac:dyDescent="0.3">
      <c r="A2725" s="4" t="s">
        <v>2734</v>
      </c>
      <c r="B2725" s="4">
        <v>979300</v>
      </c>
      <c r="C2725" s="4">
        <f>IF(DatiOriginali!C2725 &gt;= SogliaPicchi!$B$29,"",DatiOriginali!C2725)</f>
        <v>8923100</v>
      </c>
      <c r="D2725" s="4">
        <v>490885</v>
      </c>
      <c r="E2725" s="4">
        <f>IF(DatiOriginali!E2725 &gt;= SogliaPicchi!$B$29,"",DatiOriginali!E2725)</f>
        <v>1799900</v>
      </c>
      <c r="F2725" s="4">
        <v>16298833</v>
      </c>
      <c r="G2725" s="4">
        <f>IF(DatiOriginali!G2725 &gt;= SogliaPicchi!$B$29,"",DatiOriginali!G2725)</f>
        <v>549600</v>
      </c>
      <c r="H2725" s="4">
        <v>20504801</v>
      </c>
      <c r="I2725" s="4">
        <f>IF(DatiOriginali!I2725 &gt;= SogliaPicchi!$B$29,"",DatiOriginali!I2725)</f>
        <v>186100</v>
      </c>
      <c r="J2725" s="4">
        <v>20480882</v>
      </c>
      <c r="K2725" s="4">
        <f>IF(DatiOriginali!K2725 &gt;= SogliaPicchi!$B$29,"",DatiOriginali!K2725)</f>
        <v>203600</v>
      </c>
    </row>
    <row r="2726" spans="1:11" x14ac:dyDescent="0.3">
      <c r="A2726" s="4" t="s">
        <v>2735</v>
      </c>
      <c r="B2726" s="4">
        <v>979300</v>
      </c>
      <c r="C2726" s="4">
        <f>IF(DatiOriginali!C2726 &gt;= SogliaPicchi!$B$29,"",DatiOriginali!C2726)</f>
        <v>8871600</v>
      </c>
      <c r="D2726" s="4">
        <v>482812</v>
      </c>
      <c r="E2726" s="4">
        <f>IF(DatiOriginali!E2726 &gt;= SogliaPicchi!$B$29,"",DatiOriginali!E2726)</f>
        <v>1723100</v>
      </c>
      <c r="F2726" s="4">
        <v>16311743</v>
      </c>
      <c r="G2726" s="4">
        <f>IF(DatiOriginali!G2726 &gt;= SogliaPicchi!$B$29,"",DatiOriginali!G2726)</f>
        <v>538400</v>
      </c>
      <c r="H2726" s="4">
        <v>20521488</v>
      </c>
      <c r="I2726" s="4">
        <f>IF(DatiOriginali!I2726 &gt;= SogliaPicchi!$B$29,"",DatiOriginali!I2726)</f>
        <v>193900</v>
      </c>
      <c r="J2726" s="4">
        <v>20496593</v>
      </c>
      <c r="K2726" s="4">
        <f>IF(DatiOriginali!K2726 &gt;= SogliaPicchi!$B$29,"",DatiOriginali!K2726)</f>
        <v>207800</v>
      </c>
    </row>
    <row r="2727" spans="1:11" x14ac:dyDescent="0.3">
      <c r="A2727" s="4" t="s">
        <v>2736</v>
      </c>
      <c r="B2727" s="4">
        <v>979300</v>
      </c>
      <c r="C2727" s="4">
        <f>IF(DatiOriginali!C2727 &gt;= SogliaPicchi!$B$29,"",DatiOriginali!C2727)</f>
        <v>8788600</v>
      </c>
      <c r="D2727" s="4">
        <v>502321</v>
      </c>
      <c r="E2727" s="4">
        <f>IF(DatiOriginali!E2727 &gt;= SogliaPicchi!$B$29,"",DatiOriginali!E2727)</f>
        <v>1849300</v>
      </c>
      <c r="F2727" s="4">
        <v>16324630</v>
      </c>
      <c r="G2727" s="4">
        <f>IF(DatiOriginali!G2727 &gt;= SogliaPicchi!$B$29,"",DatiOriginali!G2727)</f>
        <v>567300</v>
      </c>
      <c r="H2727" s="4">
        <v>20538181</v>
      </c>
      <c r="I2727" s="4">
        <f>IF(DatiOriginali!I2727 &gt;= SogliaPicchi!$B$29,"",DatiOriginali!I2727)</f>
        <v>186700</v>
      </c>
      <c r="J2727" s="4">
        <v>20512590</v>
      </c>
      <c r="K2727" s="4">
        <f>IF(DatiOriginali!K2727 &gt;= SogliaPicchi!$B$29,"",DatiOriginali!K2727)</f>
        <v>208000</v>
      </c>
    </row>
    <row r="2728" spans="1:11" x14ac:dyDescent="0.3">
      <c r="A2728" s="4" t="s">
        <v>2737</v>
      </c>
      <c r="B2728" s="4">
        <v>979300</v>
      </c>
      <c r="C2728" s="4">
        <f>IF(DatiOriginali!C2728 &gt;= SogliaPicchi!$B$29,"",DatiOriginali!C2728)</f>
        <v>9075400</v>
      </c>
      <c r="D2728" s="4">
        <v>477291</v>
      </c>
      <c r="E2728" s="4">
        <f>IF(DatiOriginali!E2728 &gt;= SogliaPicchi!$B$29,"",DatiOriginali!E2728)</f>
        <v>1644100</v>
      </c>
      <c r="F2728" s="4">
        <v>16337562</v>
      </c>
      <c r="G2728" s="4">
        <f>IF(DatiOriginali!G2728 &gt;= SogliaPicchi!$B$29,"",DatiOriginali!G2728)</f>
        <v>534400</v>
      </c>
      <c r="H2728" s="4">
        <v>20554352</v>
      </c>
      <c r="I2728" s="4">
        <f>IF(DatiOriginali!I2728 &gt;= SogliaPicchi!$B$29,"",DatiOriginali!I2728)</f>
        <v>188000</v>
      </c>
      <c r="J2728" s="4">
        <v>20529195</v>
      </c>
      <c r="K2728" s="4">
        <f>IF(DatiOriginali!K2728 &gt;= SogliaPicchi!$B$29,"",DatiOriginali!K2728)</f>
        <v>212600</v>
      </c>
    </row>
    <row r="2729" spans="1:11" x14ac:dyDescent="0.3">
      <c r="A2729" s="4" t="s">
        <v>2738</v>
      </c>
      <c r="B2729" s="4">
        <v>979300</v>
      </c>
      <c r="C2729" s="4">
        <f>IF(DatiOriginali!C2729 &gt;= SogliaPicchi!$B$29,"",DatiOriginali!C2729)</f>
        <v>8790600</v>
      </c>
      <c r="D2729" s="4">
        <v>505471</v>
      </c>
      <c r="E2729" s="4">
        <f>IF(DatiOriginali!E2729 &gt;= SogliaPicchi!$B$29,"",DatiOriginali!E2729)</f>
        <v>1741000</v>
      </c>
      <c r="F2729" s="4">
        <v>16350528</v>
      </c>
      <c r="G2729" s="4">
        <f>IF(DatiOriginali!G2729 &gt;= SogliaPicchi!$B$29,"",DatiOriginali!G2729)</f>
        <v>538100</v>
      </c>
      <c r="H2729" s="4">
        <v>20570267</v>
      </c>
      <c r="I2729" s="4">
        <f>IF(DatiOriginali!I2729 &gt;= SogliaPicchi!$B$29,"",DatiOriginali!I2729)</f>
        <v>186200</v>
      </c>
      <c r="J2729" s="4">
        <v>20545950</v>
      </c>
      <c r="K2729" s="4">
        <f>IF(DatiOriginali!K2729 &gt;= SogliaPicchi!$B$29,"",DatiOriginali!K2729)</f>
        <v>205500</v>
      </c>
    </row>
    <row r="2730" spans="1:11" x14ac:dyDescent="0.3">
      <c r="A2730" s="4" t="s">
        <v>2739</v>
      </c>
      <c r="B2730" s="4">
        <v>979300</v>
      </c>
      <c r="C2730" s="4">
        <f>IF(DatiOriginali!C2730 &gt;= SogliaPicchi!$B$29,"",DatiOriginali!C2730)</f>
        <v>8799600</v>
      </c>
      <c r="D2730" s="4">
        <v>493435</v>
      </c>
      <c r="E2730" s="4">
        <f>IF(DatiOriginali!E2730 &gt;= SogliaPicchi!$B$29,"",DatiOriginali!E2730)</f>
        <v>1720000</v>
      </c>
      <c r="F2730" s="4">
        <v>16363396</v>
      </c>
      <c r="G2730" s="4">
        <f>IF(DatiOriginali!G2730 &gt;= SogliaPicchi!$B$29,"",DatiOriginali!G2730)</f>
        <v>542300</v>
      </c>
      <c r="H2730" s="4">
        <v>20586089</v>
      </c>
      <c r="I2730" s="4">
        <f>IF(DatiOriginali!I2730 &gt;= SogliaPicchi!$B$29,"",DatiOriginali!I2730)</f>
        <v>187500</v>
      </c>
      <c r="J2730" s="4">
        <v>20562710</v>
      </c>
      <c r="K2730" s="4">
        <f>IF(DatiOriginali!K2730 &gt;= SogliaPicchi!$B$29,"",DatiOriginali!K2730)</f>
        <v>218200</v>
      </c>
    </row>
    <row r="2731" spans="1:11" x14ac:dyDescent="0.3">
      <c r="A2731" s="4" t="s">
        <v>2740</v>
      </c>
      <c r="B2731" s="4">
        <v>979300</v>
      </c>
      <c r="C2731" s="4">
        <f>IF(DatiOriginali!C2731 &gt;= SogliaPicchi!$B$29,"",DatiOriginali!C2731)</f>
        <v>8797400</v>
      </c>
      <c r="D2731" s="4">
        <v>488094</v>
      </c>
      <c r="E2731" s="4">
        <f>IF(DatiOriginali!E2731 &gt;= SogliaPicchi!$B$29,"",DatiOriginali!E2731)</f>
        <v>1701800</v>
      </c>
      <c r="F2731" s="4">
        <v>16376329</v>
      </c>
      <c r="G2731" s="4">
        <f>IF(DatiOriginali!G2731 &gt;= SogliaPicchi!$B$29,"",DatiOriginali!G2731)</f>
        <v>546200</v>
      </c>
      <c r="H2731" s="4">
        <v>20603737</v>
      </c>
      <c r="I2731" s="4">
        <f>IF(DatiOriginali!I2731 &gt;= SogliaPicchi!$B$29,"",DatiOriginali!I2731)</f>
        <v>194000</v>
      </c>
      <c r="J2731" s="4">
        <v>20578038</v>
      </c>
      <c r="K2731" s="4">
        <f>IF(DatiOriginali!K2731 &gt;= SogliaPicchi!$B$29,"",DatiOriginali!K2731)</f>
        <v>207500</v>
      </c>
    </row>
    <row r="2732" spans="1:11" x14ac:dyDescent="0.3">
      <c r="A2732" s="4" t="s">
        <v>2741</v>
      </c>
      <c r="B2732" s="4">
        <v>979300</v>
      </c>
      <c r="C2732" s="4">
        <f>IF(DatiOriginali!C2732 &gt;= SogliaPicchi!$B$29,"",DatiOriginali!C2732)</f>
        <v>8778800</v>
      </c>
      <c r="D2732" s="4">
        <v>489522</v>
      </c>
      <c r="E2732" s="4">
        <f>IF(DatiOriginali!E2732 &gt;= SogliaPicchi!$B$29,"",DatiOriginali!E2732)</f>
        <v>1780400</v>
      </c>
      <c r="F2732" s="4">
        <v>16389164</v>
      </c>
      <c r="G2732" s="4">
        <f>IF(DatiOriginali!G2732 &gt;= SogliaPicchi!$B$29,"",DatiOriginali!G2732)</f>
        <v>541800</v>
      </c>
      <c r="H2732" s="4">
        <v>20619585</v>
      </c>
      <c r="I2732" s="4">
        <f>IF(DatiOriginali!I2732 &gt;= SogliaPicchi!$B$29,"",DatiOriginali!I2732)</f>
        <v>185700</v>
      </c>
      <c r="J2732" s="4">
        <v>20593043</v>
      </c>
      <c r="K2732" s="4">
        <f>IF(DatiOriginali!K2732 &gt;= SogliaPicchi!$B$29,"",DatiOriginali!K2732)</f>
        <v>208300</v>
      </c>
    </row>
    <row r="2733" spans="1:11" x14ac:dyDescent="0.3">
      <c r="A2733" s="4" t="s">
        <v>2742</v>
      </c>
      <c r="B2733" s="4">
        <v>979300</v>
      </c>
      <c r="C2733" s="4">
        <f>IF(DatiOriginali!C2733 &gt;= SogliaPicchi!$B$29,"",DatiOriginali!C2733)</f>
        <v>8785000</v>
      </c>
      <c r="D2733" s="4">
        <v>510821</v>
      </c>
      <c r="E2733" s="4">
        <f>IF(DatiOriginali!E2733 &gt;= SogliaPicchi!$B$29,"",DatiOriginali!E2733)</f>
        <v>1772600</v>
      </c>
      <c r="F2733" s="4">
        <v>16402088</v>
      </c>
      <c r="G2733" s="4">
        <f>IF(DatiOriginali!G2733 &gt;= SogliaPicchi!$B$29,"",DatiOriginali!G2733)</f>
        <v>541800</v>
      </c>
      <c r="H2733" s="4">
        <v>20635655</v>
      </c>
      <c r="I2733" s="4">
        <f>IF(DatiOriginali!I2733 &gt;= SogliaPicchi!$B$29,"",DatiOriginali!I2733)</f>
        <v>186500</v>
      </c>
      <c r="J2733" s="4">
        <v>20611945</v>
      </c>
      <c r="K2733" s="4">
        <f>IF(DatiOriginali!K2733 &gt;= SogliaPicchi!$B$29,"",DatiOriginali!K2733)</f>
        <v>216400</v>
      </c>
    </row>
    <row r="2734" spans="1:11" x14ac:dyDescent="0.3">
      <c r="A2734" s="4" t="s">
        <v>2743</v>
      </c>
      <c r="B2734" s="4">
        <v>979300</v>
      </c>
      <c r="C2734" s="4">
        <f>IF(DatiOriginali!C2734 &gt;= SogliaPicchi!$B$29,"",DatiOriginali!C2734)</f>
        <v>9090900</v>
      </c>
      <c r="D2734" s="4">
        <v>494651</v>
      </c>
      <c r="E2734" s="4">
        <f>IF(DatiOriginali!E2734 &gt;= SogliaPicchi!$B$29,"",DatiOriginali!E2734)</f>
        <v>1746000</v>
      </c>
      <c r="F2734" s="4">
        <v>16414974</v>
      </c>
      <c r="G2734" s="4">
        <f>IF(DatiOriginali!G2734 &gt;= SogliaPicchi!$B$29,"",DatiOriginali!G2734)</f>
        <v>544500</v>
      </c>
      <c r="H2734" s="4">
        <v>20651968</v>
      </c>
      <c r="I2734" s="4">
        <f>IF(DatiOriginali!I2734 &gt;= SogliaPicchi!$B$29,"",DatiOriginali!I2734)</f>
        <v>187900</v>
      </c>
      <c r="J2734" s="4">
        <v>20626879</v>
      </c>
      <c r="K2734" s="4">
        <f>IF(DatiOriginali!K2734 &gt;= SogliaPicchi!$B$29,"",DatiOriginali!K2734)</f>
        <v>201400</v>
      </c>
    </row>
    <row r="2735" spans="1:11" x14ac:dyDescent="0.3">
      <c r="A2735" s="4" t="s">
        <v>2744</v>
      </c>
      <c r="B2735" s="4">
        <v>979300</v>
      </c>
      <c r="C2735" s="4">
        <f>IF(DatiOriginali!C2735 &gt;= SogliaPicchi!$B$29,"",DatiOriginali!C2735)</f>
        <v>9381900</v>
      </c>
      <c r="D2735" s="4">
        <v>500072</v>
      </c>
      <c r="E2735" s="4">
        <f>IF(DatiOriginali!E2735 &gt;= SogliaPicchi!$B$29,"",DatiOriginali!E2735)</f>
        <v>1722700</v>
      </c>
      <c r="F2735" s="4">
        <v>16427866</v>
      </c>
      <c r="G2735" s="4">
        <f>IF(DatiOriginali!G2735 &gt;= SogliaPicchi!$B$29,"",DatiOriginali!G2735)</f>
        <v>708900</v>
      </c>
      <c r="H2735" s="4">
        <v>20667882</v>
      </c>
      <c r="I2735" s="4">
        <f>IF(DatiOriginali!I2735 &gt;= SogliaPicchi!$B$29,"",DatiOriginali!I2735)</f>
        <v>189100</v>
      </c>
      <c r="J2735" s="4">
        <v>20642465</v>
      </c>
      <c r="K2735" s="4">
        <f>IF(DatiOriginali!K2735 &gt;= SogliaPicchi!$B$29,"",DatiOriginali!K2735)</f>
        <v>205400</v>
      </c>
    </row>
    <row r="2736" spans="1:11" x14ac:dyDescent="0.3">
      <c r="A2736" s="4" t="s">
        <v>2745</v>
      </c>
      <c r="B2736" s="4">
        <v>979300</v>
      </c>
      <c r="C2736" s="4">
        <f>IF(DatiOriginali!C2736 &gt;= SogliaPicchi!$B$29,"",DatiOriginali!C2736)</f>
        <v>8929600</v>
      </c>
      <c r="D2736" s="4">
        <v>482955</v>
      </c>
      <c r="E2736" s="4">
        <f>IF(DatiOriginali!E2736 &gt;= SogliaPicchi!$B$29,"",DatiOriginali!E2736)</f>
        <v>1892100</v>
      </c>
      <c r="F2736" s="4">
        <v>16440802</v>
      </c>
      <c r="G2736" s="4">
        <f>IF(DatiOriginali!G2736 &gt;= SogliaPicchi!$B$29,"",DatiOriginali!G2736)</f>
        <v>549300</v>
      </c>
      <c r="H2736" s="4">
        <v>20684184</v>
      </c>
      <c r="I2736" s="4">
        <f>IF(DatiOriginali!I2736 &gt;= SogliaPicchi!$B$29,"",DatiOriginali!I2736)</f>
        <v>188400</v>
      </c>
      <c r="J2736" s="4">
        <v>20657415</v>
      </c>
      <c r="K2736" s="4">
        <f>IF(DatiOriginali!K2736 &gt;= SogliaPicchi!$B$29,"",DatiOriginali!K2736)</f>
        <v>203800</v>
      </c>
    </row>
    <row r="2737" spans="1:11" x14ac:dyDescent="0.3">
      <c r="A2737" s="4" t="s">
        <v>2746</v>
      </c>
      <c r="B2737" s="4">
        <v>979300</v>
      </c>
      <c r="C2737" s="4">
        <f>IF(DatiOriginali!C2737 &gt;= SogliaPicchi!$B$29,"",DatiOriginali!C2737)</f>
        <v>9147400</v>
      </c>
      <c r="D2737" s="4">
        <v>490952</v>
      </c>
      <c r="E2737" s="4">
        <f>IF(DatiOriginali!E2737 &gt;= SogliaPicchi!$B$29,"",DatiOriginali!E2737)</f>
        <v>1689800</v>
      </c>
      <c r="F2737" s="4">
        <v>16453698</v>
      </c>
      <c r="G2737" s="4">
        <f>IF(DatiOriginali!G2737 &gt;= SogliaPicchi!$B$29,"",DatiOriginali!G2737)</f>
        <v>541600</v>
      </c>
      <c r="H2737" s="4">
        <v>20702919</v>
      </c>
      <c r="I2737" s="4">
        <f>IF(DatiOriginali!I2737 &gt;= SogliaPicchi!$B$29,"",DatiOriginali!I2737)</f>
        <v>195700</v>
      </c>
      <c r="J2737" s="4">
        <v>20674113</v>
      </c>
      <c r="K2737" s="4">
        <f>IF(DatiOriginali!K2737 &gt;= SogliaPicchi!$B$29,"",DatiOriginali!K2737)</f>
        <v>207100</v>
      </c>
    </row>
    <row r="2738" spans="1:11" x14ac:dyDescent="0.3">
      <c r="A2738" s="4" t="s">
        <v>2747</v>
      </c>
      <c r="B2738" s="4">
        <v>979300</v>
      </c>
      <c r="C2738" s="4">
        <f>IF(DatiOriginali!C2738 &gt;= SogliaPicchi!$B$29,"",DatiOriginali!C2738)</f>
        <v>8827500</v>
      </c>
      <c r="D2738" s="4">
        <v>495986</v>
      </c>
      <c r="E2738" s="4">
        <f>IF(DatiOriginali!E2738 &gt;= SogliaPicchi!$B$29,"",DatiOriginali!E2738)</f>
        <v>1918100</v>
      </c>
      <c r="F2738" s="4">
        <v>16466597</v>
      </c>
      <c r="G2738" s="4">
        <f>IF(DatiOriginali!G2738 &gt;= SogliaPicchi!$B$29,"",DatiOriginali!G2738)</f>
        <v>551100</v>
      </c>
      <c r="H2738" s="4">
        <v>20718482</v>
      </c>
      <c r="I2738" s="4">
        <f>IF(DatiOriginali!I2738 &gt;= SogliaPicchi!$B$29,"",DatiOriginali!I2738)</f>
        <v>186700</v>
      </c>
      <c r="J2738" s="4">
        <v>20691501</v>
      </c>
      <c r="K2738" s="4">
        <f>IF(DatiOriginali!K2738 &gt;= SogliaPicchi!$B$29,"",DatiOriginali!K2738)</f>
        <v>210900</v>
      </c>
    </row>
    <row r="2739" spans="1:11" x14ac:dyDescent="0.3">
      <c r="A2739" s="4" t="s">
        <v>2748</v>
      </c>
      <c r="B2739" s="4">
        <v>979300</v>
      </c>
      <c r="C2739" s="4">
        <f>IF(DatiOriginali!C2739 &gt;= SogliaPicchi!$B$29,"",DatiOriginali!C2739)</f>
        <v>8705600</v>
      </c>
      <c r="D2739" s="4">
        <v>477909</v>
      </c>
      <c r="E2739" s="4">
        <f>IF(DatiOriginali!E2739 &gt;= SogliaPicchi!$B$29,"",DatiOriginali!E2739)</f>
        <v>1645500</v>
      </c>
      <c r="F2739" s="4">
        <v>16479479</v>
      </c>
      <c r="G2739" s="4">
        <f>IF(DatiOriginali!G2739 &gt;= SogliaPicchi!$B$29,"",DatiOriginali!G2739)</f>
        <v>543500</v>
      </c>
      <c r="H2739" s="4">
        <v>20734560</v>
      </c>
      <c r="I2739" s="4">
        <f>IF(DatiOriginali!I2739 &gt;= SogliaPicchi!$B$29,"",DatiOriginali!I2739)</f>
        <v>189800</v>
      </c>
      <c r="J2739" s="4">
        <v>20708099</v>
      </c>
      <c r="K2739" s="4">
        <f>IF(DatiOriginali!K2739 &gt;= SogliaPicchi!$B$29,"",DatiOriginali!K2739)</f>
        <v>208700</v>
      </c>
    </row>
    <row r="2740" spans="1:11" x14ac:dyDescent="0.3">
      <c r="A2740" s="4" t="s">
        <v>2749</v>
      </c>
      <c r="B2740" s="4">
        <v>979300</v>
      </c>
      <c r="C2740" s="4">
        <f>IF(DatiOriginali!C2740 &gt;= SogliaPicchi!$B$29,"",DatiOriginali!C2740)</f>
        <v>8987100</v>
      </c>
      <c r="D2740" s="4">
        <v>492825</v>
      </c>
      <c r="E2740" s="4">
        <f>IF(DatiOriginali!E2740 &gt;= SogliaPicchi!$B$29,"",DatiOriginali!E2740)</f>
        <v>1894500</v>
      </c>
      <c r="F2740" s="4">
        <v>16492403</v>
      </c>
      <c r="G2740" s="4">
        <f>IF(DatiOriginali!G2740 &gt;= SogliaPicchi!$B$29,"",DatiOriginali!G2740)</f>
        <v>549500</v>
      </c>
      <c r="H2740" s="4">
        <v>20751350</v>
      </c>
      <c r="I2740" s="4">
        <f>IF(DatiOriginali!I2740 &gt;= SogliaPicchi!$B$29,"",DatiOriginali!I2740)</f>
        <v>197000</v>
      </c>
      <c r="J2740" s="4">
        <v>20723559</v>
      </c>
      <c r="K2740" s="4">
        <f>IF(DatiOriginali!K2740 &gt;= SogliaPicchi!$B$29,"",DatiOriginali!K2740)</f>
        <v>205800</v>
      </c>
    </row>
    <row r="2741" spans="1:11" x14ac:dyDescent="0.3">
      <c r="A2741" s="4" t="s">
        <v>2750</v>
      </c>
      <c r="B2741" s="4">
        <v>979300</v>
      </c>
      <c r="C2741" s="4">
        <f>IF(DatiOriginali!C2741 &gt;= SogliaPicchi!$B$29,"",DatiOriginali!C2741)</f>
        <v>8627400</v>
      </c>
      <c r="D2741" s="4">
        <v>507078</v>
      </c>
      <c r="E2741" s="4">
        <f>IF(DatiOriginali!E2741 &gt;= SogliaPicchi!$B$29,"",DatiOriginali!E2741)</f>
        <v>1788100</v>
      </c>
      <c r="F2741" s="4">
        <v>16505285</v>
      </c>
      <c r="G2741" s="4">
        <f>IF(DatiOriginali!G2741 &gt;= SogliaPicchi!$B$29,"",DatiOriginali!G2741)</f>
        <v>543200</v>
      </c>
      <c r="H2741" s="4">
        <v>20768470</v>
      </c>
      <c r="I2741" s="4">
        <f>IF(DatiOriginali!I2741 &gt;= SogliaPicchi!$B$29,"",DatiOriginali!I2741)</f>
        <v>195600</v>
      </c>
      <c r="J2741" s="4">
        <v>20740932</v>
      </c>
      <c r="K2741" s="4">
        <f>IF(DatiOriginali!K2741 &gt;= SogliaPicchi!$B$29,"",DatiOriginali!K2741)</f>
        <v>215000</v>
      </c>
    </row>
    <row r="2742" spans="1:11" x14ac:dyDescent="0.3">
      <c r="A2742" s="4" t="s">
        <v>2751</v>
      </c>
      <c r="B2742" s="4">
        <v>979300</v>
      </c>
      <c r="C2742" s="4">
        <f>IF(DatiOriginali!C2742 &gt;= SogliaPicchi!$B$29,"",DatiOriginali!C2742)</f>
        <v>8875200</v>
      </c>
      <c r="D2742" s="4">
        <v>489445</v>
      </c>
      <c r="E2742" s="4">
        <f>IF(DatiOriginali!E2742 &gt;= SogliaPicchi!$B$29,"",DatiOriginali!E2742)</f>
        <v>1696800</v>
      </c>
      <c r="F2742" s="4">
        <v>16518181</v>
      </c>
      <c r="G2742" s="4">
        <f>IF(DatiOriginali!G2742 &gt;= SogliaPicchi!$B$29,"",DatiOriginali!G2742)</f>
        <v>545200</v>
      </c>
      <c r="H2742" s="4">
        <v>20785548</v>
      </c>
      <c r="I2742" s="4">
        <f>IF(DatiOriginali!I2742 &gt;= SogliaPicchi!$B$29,"",DatiOriginali!I2742)</f>
        <v>191100</v>
      </c>
      <c r="J2742" s="4">
        <v>20757147</v>
      </c>
      <c r="K2742" s="4">
        <f>IF(DatiOriginali!K2742 &gt;= SogliaPicchi!$B$29,"",DatiOriginali!K2742)</f>
        <v>207200</v>
      </c>
    </row>
    <row r="2743" spans="1:11" x14ac:dyDescent="0.3">
      <c r="A2743" s="4" t="s">
        <v>2752</v>
      </c>
      <c r="B2743" s="4">
        <v>979300</v>
      </c>
      <c r="C2743" s="4">
        <f>IF(DatiOriginali!C2743 &gt;= SogliaPicchi!$B$29,"",DatiOriginali!C2743)</f>
        <v>8849500</v>
      </c>
      <c r="D2743" s="4">
        <v>492189</v>
      </c>
      <c r="E2743" s="4">
        <f>IF(DatiOriginali!E2743 &gt;= SogliaPicchi!$B$29,"",DatiOriginali!E2743)</f>
        <v>1698700</v>
      </c>
      <c r="F2743" s="4">
        <v>16531077</v>
      </c>
      <c r="G2743" s="4">
        <f>IF(DatiOriginali!G2743 &gt;= SogliaPicchi!$B$29,"",DatiOriginali!G2743)</f>
        <v>538000</v>
      </c>
      <c r="H2743" s="4">
        <v>20801559</v>
      </c>
      <c r="I2743" s="4">
        <f>IF(DatiOriginali!I2743 &gt;= SogliaPicchi!$B$29,"",DatiOriginali!I2743)</f>
        <v>187100</v>
      </c>
      <c r="J2743" s="4">
        <v>20776489</v>
      </c>
      <c r="K2743" s="4">
        <f>IF(DatiOriginali!K2743 &gt;= SogliaPicchi!$B$29,"",DatiOriginali!K2743)</f>
        <v>211400</v>
      </c>
    </row>
    <row r="2744" spans="1:11" x14ac:dyDescent="0.3">
      <c r="A2744" s="4" t="s">
        <v>2753</v>
      </c>
      <c r="B2744" s="4">
        <v>979300</v>
      </c>
      <c r="C2744" s="4" t="str">
        <f>IF(DatiOriginali!C2744 &gt;= SogliaPicchi!$B$29,"",DatiOriginali!C2744)</f>
        <v/>
      </c>
      <c r="D2744" s="4">
        <v>490723</v>
      </c>
      <c r="E2744" s="4">
        <f>IF(DatiOriginali!E2744 &gt;= SogliaPicchi!$B$29,"",DatiOriginali!E2744)</f>
        <v>2543900</v>
      </c>
      <c r="F2744" s="4">
        <v>16544007</v>
      </c>
      <c r="G2744" s="4">
        <f>IF(DatiOriginali!G2744 &gt;= SogliaPicchi!$B$29,"",DatiOriginali!G2744)</f>
        <v>649300</v>
      </c>
      <c r="H2744" s="4">
        <v>20817360</v>
      </c>
      <c r="I2744" s="4">
        <f>IF(DatiOriginali!I2744 &gt;= SogliaPicchi!$B$29,"",DatiOriginali!I2744)</f>
        <v>227000</v>
      </c>
      <c r="J2744" s="4">
        <v>20793593</v>
      </c>
      <c r="K2744" s="4">
        <f>IF(DatiOriginali!K2744 &gt;= SogliaPicchi!$B$29,"",DatiOriginali!K2744)</f>
        <v>236800</v>
      </c>
    </row>
    <row r="2745" spans="1:11" x14ac:dyDescent="0.3">
      <c r="A2745" s="4" t="s">
        <v>2754</v>
      </c>
      <c r="B2745" s="4">
        <v>979300</v>
      </c>
      <c r="C2745" s="4">
        <f>IF(DatiOriginali!C2745 &gt;= SogliaPicchi!$B$29,"",DatiOriginali!C2745)</f>
        <v>8838800</v>
      </c>
      <c r="D2745" s="4">
        <v>478496</v>
      </c>
      <c r="E2745" s="4">
        <f>IF(DatiOriginali!E2745 &gt;= SogliaPicchi!$B$29,"",DatiOriginali!E2745)</f>
        <v>1851000</v>
      </c>
      <c r="F2745" s="4">
        <v>16556919</v>
      </c>
      <c r="G2745" s="4">
        <f>IF(DatiOriginali!G2745 &gt;= SogliaPicchi!$B$29,"",DatiOriginali!G2745)</f>
        <v>555500</v>
      </c>
      <c r="H2745" s="4">
        <v>20834835</v>
      </c>
      <c r="I2745" s="4">
        <f>IF(DatiOriginali!I2745 &gt;= SogliaPicchi!$B$29,"",DatiOriginali!I2745)</f>
        <v>184700</v>
      </c>
      <c r="J2745" s="4">
        <v>20809815</v>
      </c>
      <c r="K2745" s="4">
        <f>IF(DatiOriginali!K2745 &gt;= SogliaPicchi!$B$29,"",DatiOriginali!K2745)</f>
        <v>212600</v>
      </c>
    </row>
    <row r="2746" spans="1:11" x14ac:dyDescent="0.3">
      <c r="A2746" s="4" t="s">
        <v>2755</v>
      </c>
      <c r="B2746" s="4">
        <v>979300</v>
      </c>
      <c r="C2746" s="4">
        <f>IF(DatiOriginali!C2746 &gt;= SogliaPicchi!$B$29,"",DatiOriginali!C2746)</f>
        <v>8999100</v>
      </c>
      <c r="D2746" s="4">
        <v>499612</v>
      </c>
      <c r="E2746" s="4">
        <f>IF(DatiOriginali!E2746 &gt;= SogliaPicchi!$B$29,"",DatiOriginali!E2746)</f>
        <v>1823900</v>
      </c>
      <c r="F2746" s="4">
        <v>16569844</v>
      </c>
      <c r="G2746" s="4">
        <f>IF(DatiOriginali!G2746 &gt;= SogliaPicchi!$B$29,"",DatiOriginali!G2746)</f>
        <v>540400</v>
      </c>
      <c r="H2746" s="4">
        <v>20850423</v>
      </c>
      <c r="I2746" s="4">
        <f>IF(DatiOriginali!I2746 &gt;= SogliaPicchi!$B$29,"",DatiOriginali!I2746)</f>
        <v>185100</v>
      </c>
      <c r="J2746" s="4">
        <v>20826378</v>
      </c>
      <c r="K2746" s="4">
        <f>IF(DatiOriginali!K2746 &gt;= SogliaPicchi!$B$29,"",DatiOriginali!K2746)</f>
        <v>208000</v>
      </c>
    </row>
    <row r="2747" spans="1:11" x14ac:dyDescent="0.3">
      <c r="A2747" s="4" t="s">
        <v>2756</v>
      </c>
      <c r="B2747" s="4">
        <v>979300</v>
      </c>
      <c r="C2747" s="4">
        <f>IF(DatiOriginali!C2747 &gt;= SogliaPicchi!$B$29,"",DatiOriginali!C2747)</f>
        <v>9107500</v>
      </c>
      <c r="D2747" s="4">
        <v>501181</v>
      </c>
      <c r="E2747" s="4">
        <f>IF(DatiOriginali!E2747 &gt;= SogliaPicchi!$B$29,"",DatiOriginali!E2747)</f>
        <v>1794200</v>
      </c>
      <c r="F2747" s="4">
        <v>16582739</v>
      </c>
      <c r="G2747" s="4">
        <f>IF(DatiOriginali!G2747 &gt;= SogliaPicchi!$B$29,"",DatiOriginali!G2747)</f>
        <v>544500</v>
      </c>
      <c r="H2747" s="4">
        <v>20867024</v>
      </c>
      <c r="I2747" s="4">
        <f>IF(DatiOriginali!I2747 &gt;= SogliaPicchi!$B$29,"",DatiOriginali!I2747)</f>
        <v>191900</v>
      </c>
      <c r="J2747" s="4">
        <v>20843036</v>
      </c>
      <c r="K2747" s="4">
        <f>IF(DatiOriginali!K2747 &gt;= SogliaPicchi!$B$29,"",DatiOriginali!K2747)</f>
        <v>205400</v>
      </c>
    </row>
    <row r="2748" spans="1:11" x14ac:dyDescent="0.3">
      <c r="A2748" s="4" t="s">
        <v>2757</v>
      </c>
      <c r="B2748" s="4">
        <v>979300</v>
      </c>
      <c r="C2748" s="4">
        <f>IF(DatiOriginali!C2748 &gt;= SogliaPicchi!$B$29,"",DatiOriginali!C2748)</f>
        <v>9087000</v>
      </c>
      <c r="D2748" s="4">
        <v>481571</v>
      </c>
      <c r="E2748" s="4">
        <f>IF(DatiOriginali!E2748 &gt;= SogliaPicchi!$B$29,"",DatiOriginali!E2748)</f>
        <v>1658100</v>
      </c>
      <c r="F2748" s="4">
        <v>16595630</v>
      </c>
      <c r="G2748" s="4">
        <f>IF(DatiOriginali!G2748 &gt;= SogliaPicchi!$B$29,"",DatiOriginali!G2748)</f>
        <v>538700</v>
      </c>
      <c r="H2748" s="4">
        <v>20883036</v>
      </c>
      <c r="I2748" s="4">
        <f>IF(DatiOriginali!I2748 &gt;= SogliaPicchi!$B$29,"",DatiOriginali!I2748)</f>
        <v>182600</v>
      </c>
      <c r="J2748" s="4">
        <v>20859264</v>
      </c>
      <c r="K2748" s="4">
        <f>IF(DatiOriginali!K2748 &gt;= SogliaPicchi!$B$29,"",DatiOriginali!K2748)</f>
        <v>205000</v>
      </c>
    </row>
    <row r="2749" spans="1:11" x14ac:dyDescent="0.3">
      <c r="A2749" s="4" t="s">
        <v>2758</v>
      </c>
      <c r="B2749" s="4">
        <v>979300</v>
      </c>
      <c r="C2749" s="4">
        <f>IF(DatiOriginali!C2749 &gt;= SogliaPicchi!$B$29,"",DatiOriginali!C2749)</f>
        <v>9044200</v>
      </c>
      <c r="D2749" s="4">
        <v>498290</v>
      </c>
      <c r="E2749" s="4">
        <f>IF(DatiOriginali!E2749 &gt;= SogliaPicchi!$B$29,"",DatiOriginali!E2749)</f>
        <v>1851900</v>
      </c>
      <c r="F2749" s="4">
        <v>16608545</v>
      </c>
      <c r="G2749" s="4">
        <f>IF(DatiOriginali!G2749 &gt;= SogliaPicchi!$B$29,"",DatiOriginali!G2749)</f>
        <v>562800</v>
      </c>
      <c r="H2749" s="4">
        <v>20899446</v>
      </c>
      <c r="I2749" s="4">
        <f>IF(DatiOriginali!I2749 &gt;= SogliaPicchi!$B$29,"",DatiOriginali!I2749)</f>
        <v>186800</v>
      </c>
      <c r="J2749" s="4">
        <v>20875278</v>
      </c>
      <c r="K2749" s="4">
        <f>IF(DatiOriginali!K2749 &gt;= SogliaPicchi!$B$29,"",DatiOriginali!K2749)</f>
        <v>208200</v>
      </c>
    </row>
    <row r="2750" spans="1:11" x14ac:dyDescent="0.3">
      <c r="A2750" s="4" t="s">
        <v>2759</v>
      </c>
      <c r="B2750" s="4">
        <v>979300</v>
      </c>
      <c r="C2750" s="4">
        <f>IF(DatiOriginali!C2750 &gt;= SogliaPicchi!$B$29,"",DatiOriginali!C2750)</f>
        <v>9103600</v>
      </c>
      <c r="D2750" s="4">
        <v>482513</v>
      </c>
      <c r="E2750" s="4">
        <f>IF(DatiOriginali!E2750 &gt;= SogliaPicchi!$B$29,"",DatiOriginali!E2750)</f>
        <v>1671400</v>
      </c>
      <c r="F2750" s="4">
        <v>16621444</v>
      </c>
      <c r="G2750" s="4">
        <f>IF(DatiOriginali!G2750 &gt;= SogliaPicchi!$B$29,"",DatiOriginali!G2750)</f>
        <v>546400</v>
      </c>
      <c r="H2750" s="4">
        <v>20915600</v>
      </c>
      <c r="I2750" s="4">
        <f>IF(DatiOriginali!I2750 &gt;= SogliaPicchi!$B$29,"",DatiOriginali!I2750)</f>
        <v>184900</v>
      </c>
      <c r="J2750" s="4">
        <v>20890445</v>
      </c>
      <c r="K2750" s="4">
        <f>IF(DatiOriginali!K2750 &gt;= SogliaPicchi!$B$29,"",DatiOriginali!K2750)</f>
        <v>205900</v>
      </c>
    </row>
    <row r="2751" spans="1:11" x14ac:dyDescent="0.3">
      <c r="A2751" s="4" t="s">
        <v>2760</v>
      </c>
      <c r="B2751" s="4">
        <v>979300</v>
      </c>
      <c r="C2751" s="4">
        <f>IF(DatiOriginali!C2751 &gt;= SogliaPicchi!$B$29,"",DatiOriginali!C2751)</f>
        <v>9676500</v>
      </c>
      <c r="D2751" s="4">
        <v>488838</v>
      </c>
      <c r="E2751" s="4">
        <f>IF(DatiOriginali!E2751 &gt;= SogliaPicchi!$B$29,"",DatiOriginali!E2751)</f>
        <v>1683000</v>
      </c>
      <c r="F2751" s="4">
        <v>16634330</v>
      </c>
      <c r="G2751" s="4">
        <f>IF(DatiOriginali!G2751 &gt;= SogliaPicchi!$B$29,"",DatiOriginali!G2751)</f>
        <v>553600</v>
      </c>
      <c r="H2751" s="4">
        <v>20930870</v>
      </c>
      <c r="I2751" s="4">
        <f>IF(DatiOriginali!I2751 &gt;= SogliaPicchi!$B$29,"",DatiOriginali!I2751)</f>
        <v>184300</v>
      </c>
      <c r="J2751" s="4">
        <v>20906691</v>
      </c>
      <c r="K2751" s="4">
        <f>IF(DatiOriginali!K2751 &gt;= SogliaPicchi!$B$29,"",DatiOriginali!K2751)</f>
        <v>200900</v>
      </c>
    </row>
    <row r="2752" spans="1:11" x14ac:dyDescent="0.3">
      <c r="A2752" s="4" t="s">
        <v>2761</v>
      </c>
      <c r="B2752" s="4">
        <v>979300</v>
      </c>
      <c r="C2752" s="4">
        <f>IF(DatiOriginali!C2752 &gt;= SogliaPicchi!$B$29,"",DatiOriginali!C2752)</f>
        <v>8732100</v>
      </c>
      <c r="D2752" s="4">
        <v>497891</v>
      </c>
      <c r="E2752" s="4">
        <f>IF(DatiOriginali!E2752 &gt;= SogliaPicchi!$B$29,"",DatiOriginali!E2752)</f>
        <v>1718200</v>
      </c>
      <c r="F2752" s="4">
        <v>16647220</v>
      </c>
      <c r="G2752" s="4">
        <f>IF(DatiOriginali!G2752 &gt;= SogliaPicchi!$B$29,"",DatiOriginali!G2752)</f>
        <v>711900</v>
      </c>
      <c r="H2752" s="4">
        <v>20946074</v>
      </c>
      <c r="I2752" s="4">
        <f>IF(DatiOriginali!I2752 &gt;= SogliaPicchi!$B$29,"",DatiOriginali!I2752)</f>
        <v>189700</v>
      </c>
      <c r="J2752" s="4">
        <v>20921907</v>
      </c>
      <c r="K2752" s="4">
        <f>IF(DatiOriginali!K2752 &gt;= SogliaPicchi!$B$29,"",DatiOriginali!K2752)</f>
        <v>205000</v>
      </c>
    </row>
    <row r="2753" spans="1:11" x14ac:dyDescent="0.3">
      <c r="A2753" s="4" t="s">
        <v>2762</v>
      </c>
      <c r="B2753" s="4">
        <v>979300</v>
      </c>
      <c r="C2753" s="4">
        <f>IF(DatiOriginali!C2753 &gt;= SogliaPicchi!$B$29,"",DatiOriginali!C2753)</f>
        <v>8990800</v>
      </c>
      <c r="D2753" s="4">
        <v>486259</v>
      </c>
      <c r="E2753" s="4">
        <f>IF(DatiOriginali!E2753 &gt;= SogliaPicchi!$B$29,"",DatiOriginali!E2753)</f>
        <v>1674100</v>
      </c>
      <c r="F2753" s="4">
        <v>16660080</v>
      </c>
      <c r="G2753" s="4">
        <f>IF(DatiOriginali!G2753 &gt;= SogliaPicchi!$B$29,"",DatiOriginali!G2753)</f>
        <v>542600</v>
      </c>
      <c r="H2753" s="4">
        <v>20961528</v>
      </c>
      <c r="I2753" s="4">
        <f>IF(DatiOriginali!I2753 &gt;= SogliaPicchi!$B$29,"",DatiOriginali!I2753)</f>
        <v>185900</v>
      </c>
      <c r="J2753" s="4">
        <v>20938015</v>
      </c>
      <c r="K2753" s="4">
        <f>IF(DatiOriginali!K2753 &gt;= SogliaPicchi!$B$29,"",DatiOriginali!K2753)</f>
        <v>206100</v>
      </c>
    </row>
    <row r="2754" spans="1:11" x14ac:dyDescent="0.3">
      <c r="A2754" s="4" t="s">
        <v>2763</v>
      </c>
      <c r="B2754" s="4">
        <v>979300</v>
      </c>
      <c r="C2754" s="4">
        <f>IF(DatiOriginali!C2754 &gt;= SogliaPicchi!$B$29,"",DatiOriginali!C2754)</f>
        <v>8950200</v>
      </c>
      <c r="D2754" s="4">
        <v>497643</v>
      </c>
      <c r="E2754" s="4">
        <f>IF(DatiOriginali!E2754 &gt;= SogliaPicchi!$B$29,"",DatiOriginali!E2754)</f>
        <v>1800000</v>
      </c>
      <c r="F2754" s="4">
        <v>16672960</v>
      </c>
      <c r="G2754" s="4">
        <f>IF(DatiOriginali!G2754 &gt;= SogliaPicchi!$B$29,"",DatiOriginali!G2754)</f>
        <v>568200</v>
      </c>
      <c r="H2754" s="4">
        <v>20978250</v>
      </c>
      <c r="I2754" s="4">
        <f>IF(DatiOriginali!I2754 &gt;= SogliaPicchi!$B$29,"",DatiOriginali!I2754)</f>
        <v>187500</v>
      </c>
      <c r="J2754" s="4">
        <v>20954298</v>
      </c>
      <c r="K2754" s="4">
        <f>IF(DatiOriginali!K2754 &gt;= SogliaPicchi!$B$29,"",DatiOriginali!K2754)</f>
        <v>206100</v>
      </c>
    </row>
    <row r="2755" spans="1:11" x14ac:dyDescent="0.3">
      <c r="A2755" s="4" t="s">
        <v>2764</v>
      </c>
      <c r="B2755" s="4">
        <v>979300</v>
      </c>
      <c r="C2755" s="4">
        <f>IF(DatiOriginali!C2755 &gt;= SogliaPicchi!$B$29,"",DatiOriginali!C2755)</f>
        <v>8672100</v>
      </c>
      <c r="D2755" s="4">
        <v>494667</v>
      </c>
      <c r="E2755" s="4">
        <f>IF(DatiOriginali!E2755 &gt;= SogliaPicchi!$B$29,"",DatiOriginali!E2755)</f>
        <v>1756800</v>
      </c>
      <c r="F2755" s="4">
        <v>16685799</v>
      </c>
      <c r="G2755" s="4">
        <f>IF(DatiOriginali!G2755 &gt;= SogliaPicchi!$B$29,"",DatiOriginali!G2755)</f>
        <v>544100</v>
      </c>
      <c r="H2755" s="4">
        <v>20994267</v>
      </c>
      <c r="I2755" s="4">
        <f>IF(DatiOriginali!I2755 &gt;= SogliaPicchi!$B$29,"",DatiOriginali!I2755)</f>
        <v>184600</v>
      </c>
      <c r="J2755" s="4">
        <v>20969997</v>
      </c>
      <c r="K2755" s="4">
        <f>IF(DatiOriginali!K2755 &gt;= SogliaPicchi!$B$29,"",DatiOriginali!K2755)</f>
        <v>201200</v>
      </c>
    </row>
    <row r="2756" spans="1:11" x14ac:dyDescent="0.3">
      <c r="A2756" s="4" t="s">
        <v>2765</v>
      </c>
      <c r="B2756" s="4">
        <v>979300</v>
      </c>
      <c r="C2756" s="4">
        <f>IF(DatiOriginali!C2756 &gt;= SogliaPicchi!$B$29,"",DatiOriginali!C2756)</f>
        <v>9095400</v>
      </c>
      <c r="D2756" s="4">
        <v>501127</v>
      </c>
      <c r="E2756" s="4">
        <f>IF(DatiOriginali!E2756 &gt;= SogliaPicchi!$B$29,"",DatiOriginali!E2756)</f>
        <v>1782500</v>
      </c>
      <c r="F2756" s="4">
        <v>16698693</v>
      </c>
      <c r="G2756" s="4">
        <f>IF(DatiOriginali!G2756 &gt;= SogliaPicchi!$B$29,"",DatiOriginali!G2756)</f>
        <v>545500</v>
      </c>
      <c r="H2756" s="4">
        <v>21010794</v>
      </c>
      <c r="I2756" s="4">
        <f>IF(DatiOriginali!I2756 &gt;= SogliaPicchi!$B$29,"",DatiOriginali!I2756)</f>
        <v>191200</v>
      </c>
      <c r="J2756" s="4">
        <v>20985365</v>
      </c>
      <c r="K2756" s="4">
        <f>IF(DatiOriginali!K2756 &gt;= SogliaPicchi!$B$29,"",DatiOriginali!K2756)</f>
        <v>205500</v>
      </c>
    </row>
    <row r="2757" spans="1:11" x14ac:dyDescent="0.3">
      <c r="A2757" s="4" t="s">
        <v>2766</v>
      </c>
      <c r="B2757" s="4">
        <v>979300</v>
      </c>
      <c r="C2757" s="4">
        <f>IF(DatiOriginali!C2757 &gt;= SogliaPicchi!$B$29,"",DatiOriginali!C2757)</f>
        <v>8507500</v>
      </c>
      <c r="D2757" s="4">
        <v>513802</v>
      </c>
      <c r="E2757" s="4">
        <f>IF(DatiOriginali!E2757 &gt;= SogliaPicchi!$B$29,"",DatiOriginali!E2757)</f>
        <v>1766500</v>
      </c>
      <c r="F2757" s="4">
        <v>16711552</v>
      </c>
      <c r="G2757" s="4">
        <f>IF(DatiOriginali!G2757 &gt;= SogliaPicchi!$B$29,"",DatiOriginali!G2757)</f>
        <v>591600</v>
      </c>
      <c r="H2757" s="4">
        <v>21026459</v>
      </c>
      <c r="I2757" s="4">
        <f>IF(DatiOriginali!I2757 &gt;= SogliaPicchi!$B$29,"",DatiOriginali!I2757)</f>
        <v>184800</v>
      </c>
      <c r="J2757" s="4">
        <v>21001863</v>
      </c>
      <c r="K2757" s="4">
        <f>IF(DatiOriginali!K2757 &gt;= SogliaPicchi!$B$29,"",DatiOriginali!K2757)</f>
        <v>208200</v>
      </c>
    </row>
    <row r="2758" spans="1:11" x14ac:dyDescent="0.3">
      <c r="A2758" s="4" t="s">
        <v>2767</v>
      </c>
      <c r="B2758" s="4">
        <v>979300</v>
      </c>
      <c r="C2758" s="4">
        <f>IF(DatiOriginali!C2758 &gt;= SogliaPicchi!$B$29,"",DatiOriginali!C2758)</f>
        <v>8951100</v>
      </c>
      <c r="D2758" s="4">
        <v>503957</v>
      </c>
      <c r="E2758" s="4">
        <f>IF(DatiOriginali!E2758 &gt;= SogliaPicchi!$B$29,"",DatiOriginali!E2758)</f>
        <v>1811000</v>
      </c>
      <c r="F2758" s="4">
        <v>16724440</v>
      </c>
      <c r="G2758" s="4">
        <f>IF(DatiOriginali!G2758 &gt;= SogliaPicchi!$B$29,"",DatiOriginali!G2758)</f>
        <v>557100</v>
      </c>
      <c r="H2758" s="4">
        <v>21043622</v>
      </c>
      <c r="I2758" s="4">
        <f>IF(DatiOriginali!I2758 &gt;= SogliaPicchi!$B$29,"",DatiOriginali!I2758)</f>
        <v>187800</v>
      </c>
      <c r="J2758" s="4">
        <v>21017251</v>
      </c>
      <c r="K2758" s="4">
        <f>IF(DatiOriginali!K2758 &gt;= SogliaPicchi!$B$29,"",DatiOriginali!K2758)</f>
        <v>202300</v>
      </c>
    </row>
    <row r="2759" spans="1:11" x14ac:dyDescent="0.3">
      <c r="A2759" s="4" t="s">
        <v>2768</v>
      </c>
      <c r="B2759" s="4">
        <v>979300</v>
      </c>
      <c r="C2759" s="4">
        <f>IF(DatiOriginali!C2759 &gt;= SogliaPicchi!$B$29,"",DatiOriginali!C2759)</f>
        <v>9501600</v>
      </c>
      <c r="D2759" s="4">
        <v>493394</v>
      </c>
      <c r="E2759" s="4">
        <f>IF(DatiOriginali!E2759 &gt;= SogliaPicchi!$B$29,"",DatiOriginali!E2759)</f>
        <v>1760100</v>
      </c>
      <c r="F2759" s="4">
        <v>16737343</v>
      </c>
      <c r="G2759" s="4">
        <f>IF(DatiOriginali!G2759 &gt;= SogliaPicchi!$B$29,"",DatiOriginali!G2759)</f>
        <v>544100</v>
      </c>
      <c r="H2759" s="4">
        <v>21059695</v>
      </c>
      <c r="I2759" s="4">
        <f>IF(DatiOriginali!I2759 &gt;= SogliaPicchi!$B$29,"",DatiOriginali!I2759)</f>
        <v>187200</v>
      </c>
      <c r="J2759" s="4">
        <v>21032411</v>
      </c>
      <c r="K2759" s="4">
        <f>IF(DatiOriginali!K2759 &gt;= SogliaPicchi!$B$29,"",DatiOriginali!K2759)</f>
        <v>204500</v>
      </c>
    </row>
    <row r="2760" spans="1:11" x14ac:dyDescent="0.3">
      <c r="A2760" s="4" t="s">
        <v>2769</v>
      </c>
      <c r="B2760" s="4">
        <v>979300</v>
      </c>
      <c r="C2760" s="4">
        <f>IF(DatiOriginali!C2760 &gt;= SogliaPicchi!$B$29,"",DatiOriginali!C2760)</f>
        <v>9058000</v>
      </c>
      <c r="D2760" s="4">
        <v>492976</v>
      </c>
      <c r="E2760" s="4">
        <f>IF(DatiOriginali!E2760 &gt;= SogliaPicchi!$B$29,"",DatiOriginali!E2760)</f>
        <v>1775400</v>
      </c>
      <c r="F2760" s="4">
        <v>16750240</v>
      </c>
      <c r="G2760" s="4">
        <f>IF(DatiOriginali!G2760 &gt;= SogliaPicchi!$B$29,"",DatiOriginali!G2760)</f>
        <v>547900</v>
      </c>
      <c r="H2760" s="4">
        <v>21075629</v>
      </c>
      <c r="I2760" s="4">
        <f>IF(DatiOriginali!I2760 &gt;= SogliaPicchi!$B$29,"",DatiOriginali!I2760)</f>
        <v>187400</v>
      </c>
      <c r="J2760" s="4">
        <v>21048995</v>
      </c>
      <c r="K2760" s="4">
        <f>IF(DatiOriginali!K2760 &gt;= SogliaPicchi!$B$29,"",DatiOriginali!K2760)</f>
        <v>206900</v>
      </c>
    </row>
    <row r="2761" spans="1:11" x14ac:dyDescent="0.3">
      <c r="A2761" s="4" t="s">
        <v>2770</v>
      </c>
      <c r="B2761" s="4">
        <v>979300</v>
      </c>
      <c r="C2761" s="4">
        <f>IF(DatiOriginali!C2761 &gt;= SogliaPicchi!$B$29,"",DatiOriginali!C2761)</f>
        <v>9042300</v>
      </c>
      <c r="D2761" s="4">
        <v>485889</v>
      </c>
      <c r="E2761" s="4">
        <f>IF(DatiOriginali!E2761 &gt;= SogliaPicchi!$B$29,"",DatiOriginali!E2761)</f>
        <v>1668100</v>
      </c>
      <c r="F2761" s="4">
        <v>16763132</v>
      </c>
      <c r="G2761" s="4">
        <f>IF(DatiOriginali!G2761 &gt;= SogliaPicchi!$B$29,"",DatiOriginali!G2761)</f>
        <v>724300</v>
      </c>
      <c r="H2761" s="4">
        <v>21091739</v>
      </c>
      <c r="I2761" s="4">
        <f>IF(DatiOriginali!I2761 &gt;= SogliaPicchi!$B$29,"",DatiOriginali!I2761)</f>
        <v>194400</v>
      </c>
      <c r="J2761" s="4">
        <v>21063999</v>
      </c>
      <c r="K2761" s="4">
        <f>IF(DatiOriginali!K2761 &gt;= SogliaPicchi!$B$29,"",DatiOriginali!K2761)</f>
        <v>205500</v>
      </c>
    </row>
    <row r="2762" spans="1:11" x14ac:dyDescent="0.3">
      <c r="A2762" s="4" t="s">
        <v>2771</v>
      </c>
      <c r="B2762" s="4">
        <v>979300</v>
      </c>
      <c r="C2762" s="4">
        <f>IF(DatiOriginali!C2762 &gt;= SogliaPicchi!$B$29,"",DatiOriginali!C2762)</f>
        <v>8911300</v>
      </c>
      <c r="D2762" s="4">
        <v>487831</v>
      </c>
      <c r="E2762" s="4">
        <f>IF(DatiOriginali!E2762 &gt;= SogliaPicchi!$B$29,"",DatiOriginali!E2762)</f>
        <v>1679800</v>
      </c>
      <c r="F2762" s="4">
        <v>16776037</v>
      </c>
      <c r="G2762" s="4">
        <f>IF(DatiOriginali!G2762 &gt;= SogliaPicchi!$B$29,"",DatiOriginali!G2762)</f>
        <v>537100</v>
      </c>
      <c r="H2762" s="4">
        <v>21108150</v>
      </c>
      <c r="I2762" s="4">
        <f>IF(DatiOriginali!I2762 &gt;= SogliaPicchi!$B$29,"",DatiOriginali!I2762)</f>
        <v>189200</v>
      </c>
      <c r="J2762" s="4">
        <v>21080057</v>
      </c>
      <c r="K2762" s="4">
        <f>IF(DatiOriginali!K2762 &gt;= SogliaPicchi!$B$29,"",DatiOriginali!K2762)</f>
        <v>210400</v>
      </c>
    </row>
    <row r="2763" spans="1:11" x14ac:dyDescent="0.3">
      <c r="A2763" s="4" t="s">
        <v>2772</v>
      </c>
      <c r="B2763" s="4">
        <v>979300</v>
      </c>
      <c r="C2763" s="4">
        <f>IF(DatiOriginali!C2763 &gt;= SogliaPicchi!$B$29,"",DatiOriginali!C2763)</f>
        <v>8712600</v>
      </c>
      <c r="D2763" s="4">
        <v>491347</v>
      </c>
      <c r="E2763" s="4">
        <f>IF(DatiOriginali!E2763 &gt;= SogliaPicchi!$B$29,"",DatiOriginali!E2763)</f>
        <v>1926400</v>
      </c>
      <c r="F2763" s="4">
        <v>16788899</v>
      </c>
      <c r="G2763" s="4">
        <f>IF(DatiOriginali!G2763 &gt;= SogliaPicchi!$B$29,"",DatiOriginali!G2763)</f>
        <v>568000</v>
      </c>
      <c r="H2763" s="4">
        <v>21125025</v>
      </c>
      <c r="I2763" s="4">
        <f>IF(DatiOriginali!I2763 &gt;= SogliaPicchi!$B$29,"",DatiOriginali!I2763)</f>
        <v>187300</v>
      </c>
      <c r="J2763" s="4">
        <v>21096318</v>
      </c>
      <c r="K2763" s="4">
        <f>IF(DatiOriginali!K2763 &gt;= SogliaPicchi!$B$29,"",DatiOriginali!K2763)</f>
        <v>207200</v>
      </c>
    </row>
    <row r="2764" spans="1:11" x14ac:dyDescent="0.3">
      <c r="A2764" s="4" t="s">
        <v>2773</v>
      </c>
      <c r="B2764" s="4">
        <v>979300</v>
      </c>
      <c r="C2764" s="4">
        <f>IF(DatiOriginali!C2764 &gt;= SogliaPicchi!$B$29,"",DatiOriginali!C2764)</f>
        <v>9245700</v>
      </c>
      <c r="D2764" s="4">
        <v>497218</v>
      </c>
      <c r="E2764" s="4">
        <f>IF(DatiOriginali!E2764 &gt;= SogliaPicchi!$B$29,"",DatiOriginali!E2764)</f>
        <v>1708900</v>
      </c>
      <c r="F2764" s="4">
        <v>16801809</v>
      </c>
      <c r="G2764" s="4">
        <f>IF(DatiOriginali!G2764 &gt;= SogliaPicchi!$B$29,"",DatiOriginali!G2764)</f>
        <v>535500</v>
      </c>
      <c r="H2764" s="4">
        <v>21141814</v>
      </c>
      <c r="I2764" s="4">
        <f>IF(DatiOriginali!I2764 &gt;= SogliaPicchi!$B$29,"",DatiOriginali!I2764)</f>
        <v>187700</v>
      </c>
      <c r="J2764" s="4">
        <v>21112880</v>
      </c>
      <c r="K2764" s="4">
        <f>IF(DatiOriginali!K2764 &gt;= SogliaPicchi!$B$29,"",DatiOriginali!K2764)</f>
        <v>202400</v>
      </c>
    </row>
    <row r="2765" spans="1:11" x14ac:dyDescent="0.3">
      <c r="A2765" s="4" t="s">
        <v>2774</v>
      </c>
      <c r="B2765" s="4">
        <v>979300</v>
      </c>
      <c r="C2765" s="4">
        <f>IF(DatiOriginali!C2765 &gt;= SogliaPicchi!$B$29,"",DatiOriginali!C2765)</f>
        <v>9158900</v>
      </c>
      <c r="D2765" s="4">
        <v>496474</v>
      </c>
      <c r="E2765" s="4">
        <f>IF(DatiOriginali!E2765 &gt;= SogliaPicchi!$B$29,"",DatiOriginali!E2765)</f>
        <v>1744800</v>
      </c>
      <c r="F2765" s="4">
        <v>16814708</v>
      </c>
      <c r="G2765" s="4">
        <f>IF(DatiOriginali!G2765 &gt;= SogliaPicchi!$B$29,"",DatiOriginali!G2765)</f>
        <v>546500</v>
      </c>
      <c r="H2765" s="4">
        <v>21158591</v>
      </c>
      <c r="I2765" s="4">
        <f>IF(DatiOriginali!I2765 &gt;= SogliaPicchi!$B$29,"",DatiOriginali!I2765)</f>
        <v>182300</v>
      </c>
      <c r="J2765" s="4">
        <v>21129286</v>
      </c>
      <c r="K2765" s="4">
        <f>IF(DatiOriginali!K2765 &gt;= SogliaPicchi!$B$29,"",DatiOriginali!K2765)</f>
        <v>201700</v>
      </c>
    </row>
    <row r="2766" spans="1:11" x14ac:dyDescent="0.3">
      <c r="A2766" s="4" t="s">
        <v>2775</v>
      </c>
      <c r="B2766" s="4">
        <v>979300</v>
      </c>
      <c r="C2766" s="4">
        <f>IF(DatiOriginali!C2766 &gt;= SogliaPicchi!$B$29,"",DatiOriginali!C2766)</f>
        <v>8668500</v>
      </c>
      <c r="D2766" s="4">
        <v>488028</v>
      </c>
      <c r="E2766" s="4">
        <f>IF(DatiOriginali!E2766 &gt;= SogliaPicchi!$B$29,"",DatiOriginali!E2766)</f>
        <v>1682500</v>
      </c>
      <c r="F2766" s="4">
        <v>16827575</v>
      </c>
      <c r="G2766" s="4">
        <f>IF(DatiOriginali!G2766 &gt;= SogliaPicchi!$B$29,"",DatiOriginali!G2766)</f>
        <v>542600</v>
      </c>
      <c r="H2766" s="4">
        <v>21174453</v>
      </c>
      <c r="I2766" s="4">
        <f>IF(DatiOriginali!I2766 &gt;= SogliaPicchi!$B$29,"",DatiOriginali!I2766)</f>
        <v>186100</v>
      </c>
      <c r="J2766" s="4">
        <v>21146583</v>
      </c>
      <c r="K2766" s="4">
        <f>IF(DatiOriginali!K2766 &gt;= SogliaPicchi!$B$29,"",DatiOriginali!K2766)</f>
        <v>206500</v>
      </c>
    </row>
    <row r="2767" spans="1:11" x14ac:dyDescent="0.3">
      <c r="A2767" s="4" t="s">
        <v>2776</v>
      </c>
      <c r="B2767" s="4">
        <v>979300</v>
      </c>
      <c r="C2767" s="4">
        <f>IF(DatiOriginali!C2767 &gt;= SogliaPicchi!$B$29,"",DatiOriginali!C2767)</f>
        <v>10059500</v>
      </c>
      <c r="D2767" s="4">
        <v>504292</v>
      </c>
      <c r="E2767" s="4">
        <f>IF(DatiOriginali!E2767 &gt;= SogliaPicchi!$B$29,"",DatiOriginali!E2767)</f>
        <v>1734700</v>
      </c>
      <c r="F2767" s="4">
        <v>16840500</v>
      </c>
      <c r="G2767" s="4">
        <f>IF(DatiOriginali!G2767 &gt;= SogliaPicchi!$B$29,"",DatiOriginali!G2767)</f>
        <v>542400</v>
      </c>
      <c r="H2767" s="4">
        <v>21189925</v>
      </c>
      <c r="I2767" s="4">
        <f>IF(DatiOriginali!I2767 &gt;= SogliaPicchi!$B$29,"",DatiOriginali!I2767)</f>
        <v>190000</v>
      </c>
      <c r="J2767" s="4">
        <v>21161558</v>
      </c>
      <c r="K2767" s="4">
        <f>IF(DatiOriginali!K2767 &gt;= SogliaPicchi!$B$29,"",DatiOriginali!K2767)</f>
        <v>208200</v>
      </c>
    </row>
    <row r="2768" spans="1:11" x14ac:dyDescent="0.3">
      <c r="A2768" s="4" t="s">
        <v>2777</v>
      </c>
      <c r="B2768" s="4">
        <v>979300</v>
      </c>
      <c r="C2768" s="4">
        <f>IF(DatiOriginali!C2768 &gt;= SogliaPicchi!$B$29,"",DatiOriginali!C2768)</f>
        <v>9415600</v>
      </c>
      <c r="D2768" s="4">
        <v>497154</v>
      </c>
      <c r="E2768" s="4">
        <f>IF(DatiOriginali!E2768 &gt;= SogliaPicchi!$B$29,"",DatiOriginali!E2768)</f>
        <v>1757900</v>
      </c>
      <c r="F2768" s="4">
        <v>16853395</v>
      </c>
      <c r="G2768" s="4">
        <f>IF(DatiOriginali!G2768 &gt;= SogliaPicchi!$B$29,"",DatiOriginali!G2768)</f>
        <v>540400</v>
      </c>
      <c r="H2768" s="4">
        <v>21206328</v>
      </c>
      <c r="I2768" s="4">
        <f>IF(DatiOriginali!I2768 &gt;= SogliaPicchi!$B$29,"",DatiOriginali!I2768)</f>
        <v>183400</v>
      </c>
      <c r="J2768" s="4">
        <v>21179130</v>
      </c>
      <c r="K2768" s="4">
        <f>IF(DatiOriginali!K2768 &gt;= SogliaPicchi!$B$29,"",DatiOriginali!K2768)</f>
        <v>207100</v>
      </c>
    </row>
    <row r="2769" spans="1:11" x14ac:dyDescent="0.3">
      <c r="A2769" s="4" t="s">
        <v>2778</v>
      </c>
      <c r="B2769" s="4">
        <v>979300</v>
      </c>
      <c r="C2769" s="4" t="str">
        <f>IF(DatiOriginali!C2769 &gt;= SogliaPicchi!$B$29,"",DatiOriginali!C2769)</f>
        <v/>
      </c>
      <c r="D2769" s="4">
        <v>500831</v>
      </c>
      <c r="E2769" s="4">
        <f>IF(DatiOriginali!E2769 &gt;= SogliaPicchi!$B$29,"",DatiOriginali!E2769)</f>
        <v>2670500</v>
      </c>
      <c r="F2769" s="4">
        <v>16866269</v>
      </c>
      <c r="G2769" s="4">
        <f>IF(DatiOriginali!G2769 &gt;= SogliaPicchi!$B$29,"",DatiOriginali!G2769)</f>
        <v>869400</v>
      </c>
      <c r="H2769" s="4">
        <v>21222207</v>
      </c>
      <c r="I2769" s="4">
        <f>IF(DatiOriginali!I2769 &gt;= SogliaPicchi!$B$29,"",DatiOriginali!I2769)</f>
        <v>247900</v>
      </c>
      <c r="J2769" s="4">
        <v>21195734</v>
      </c>
      <c r="K2769" s="4">
        <f>IF(DatiOriginali!K2769 &gt;= SogliaPicchi!$B$29,"",DatiOriginali!K2769)</f>
        <v>219400</v>
      </c>
    </row>
    <row r="2770" spans="1:11" x14ac:dyDescent="0.3">
      <c r="A2770" s="4" t="s">
        <v>2779</v>
      </c>
      <c r="B2770" s="4">
        <v>979300</v>
      </c>
      <c r="C2770" s="4">
        <f>IF(DatiOriginali!C2770 &gt;= SogliaPicchi!$B$29,"",DatiOriginali!C2770)</f>
        <v>9177900</v>
      </c>
      <c r="D2770" s="4">
        <v>483130</v>
      </c>
      <c r="E2770" s="4">
        <f>IF(DatiOriginali!E2770 &gt;= SogliaPicchi!$B$29,"",DatiOriginali!E2770)</f>
        <v>2001500</v>
      </c>
      <c r="F2770" s="4">
        <v>16879135</v>
      </c>
      <c r="G2770" s="4">
        <f>IF(DatiOriginali!G2770 &gt;= SogliaPicchi!$B$29,"",DatiOriginali!G2770)</f>
        <v>543000</v>
      </c>
      <c r="H2770" s="4">
        <v>21238643</v>
      </c>
      <c r="I2770" s="4">
        <f>IF(DatiOriginali!I2770 &gt;= SogliaPicchi!$B$29,"",DatiOriginali!I2770)</f>
        <v>186500</v>
      </c>
      <c r="J2770" s="4">
        <v>21210984</v>
      </c>
      <c r="K2770" s="4">
        <f>IF(DatiOriginali!K2770 &gt;= SogliaPicchi!$B$29,"",DatiOriginali!K2770)</f>
        <v>211200</v>
      </c>
    </row>
    <row r="2771" spans="1:11" x14ac:dyDescent="0.3">
      <c r="A2771" s="4" t="s">
        <v>2780</v>
      </c>
      <c r="B2771" s="4">
        <v>979300</v>
      </c>
      <c r="C2771" s="4">
        <f>IF(DatiOriginali!C2771 &gt;= SogliaPicchi!$B$29,"",DatiOriginali!C2771)</f>
        <v>8807100</v>
      </c>
      <c r="D2771" s="4">
        <v>505579</v>
      </c>
      <c r="E2771" s="4">
        <f>IF(DatiOriginali!E2771 &gt;= SogliaPicchi!$B$29,"",DatiOriginali!E2771)</f>
        <v>1802200</v>
      </c>
      <c r="F2771" s="4">
        <v>16892020</v>
      </c>
      <c r="G2771" s="4">
        <f>IF(DatiOriginali!G2771 &gt;= SogliaPicchi!$B$29,"",DatiOriginali!G2771)</f>
        <v>543000</v>
      </c>
      <c r="H2771" s="4">
        <v>21255899</v>
      </c>
      <c r="I2771" s="4">
        <f>IF(DatiOriginali!I2771 &gt;= SogliaPicchi!$B$29,"",DatiOriginali!I2771)</f>
        <v>186800</v>
      </c>
      <c r="J2771" s="4">
        <v>21226930</v>
      </c>
      <c r="K2771" s="4">
        <f>IF(DatiOriginali!K2771 &gt;= SogliaPicchi!$B$29,"",DatiOriginali!K2771)</f>
        <v>207900</v>
      </c>
    </row>
    <row r="2772" spans="1:11" x14ac:dyDescent="0.3">
      <c r="A2772" s="4" t="s">
        <v>2781</v>
      </c>
      <c r="B2772" s="4">
        <v>979300</v>
      </c>
      <c r="C2772" s="4">
        <f>IF(DatiOriginali!C2772 &gt;= SogliaPicchi!$B$29,"",DatiOriginali!C2772)</f>
        <v>8969600</v>
      </c>
      <c r="D2772" s="4">
        <v>491474</v>
      </c>
      <c r="E2772" s="4">
        <f>IF(DatiOriginali!E2772 &gt;= SogliaPicchi!$B$29,"",DatiOriginali!E2772)</f>
        <v>1749500</v>
      </c>
      <c r="F2772" s="4">
        <v>16904913</v>
      </c>
      <c r="G2772" s="4">
        <f>IF(DatiOriginali!G2772 &gt;= SogliaPicchi!$B$29,"",DatiOriginali!G2772)</f>
        <v>680900</v>
      </c>
      <c r="H2772" s="4">
        <v>21271164</v>
      </c>
      <c r="I2772" s="4">
        <f>IF(DatiOriginali!I2772 &gt;= SogliaPicchi!$B$29,"",DatiOriginali!I2772)</f>
        <v>226400</v>
      </c>
      <c r="J2772" s="4">
        <v>21243084</v>
      </c>
      <c r="K2772" s="4">
        <f>IF(DatiOriginali!K2772 &gt;= SogliaPicchi!$B$29,"",DatiOriginali!K2772)</f>
        <v>244900</v>
      </c>
    </row>
    <row r="2773" spans="1:11" x14ac:dyDescent="0.3">
      <c r="A2773" s="4" t="s">
        <v>2782</v>
      </c>
      <c r="B2773" s="4">
        <v>979300</v>
      </c>
      <c r="C2773" s="4">
        <f>IF(DatiOriginali!C2773 &gt;= SogliaPicchi!$B$29,"",DatiOriginali!C2773)</f>
        <v>9017400</v>
      </c>
      <c r="D2773" s="4">
        <v>497691</v>
      </c>
      <c r="E2773" s="4">
        <f>IF(DatiOriginali!E2773 &gt;= SogliaPicchi!$B$29,"",DatiOriginali!E2773)</f>
        <v>1757100</v>
      </c>
      <c r="F2773" s="4">
        <v>16917812</v>
      </c>
      <c r="G2773" s="4">
        <f>IF(DatiOriginali!G2773 &gt;= SogliaPicchi!$B$29,"",DatiOriginali!G2773)</f>
        <v>691200</v>
      </c>
      <c r="H2773" s="4">
        <v>21288064</v>
      </c>
      <c r="I2773" s="4">
        <f>IF(DatiOriginali!I2773 &gt;= SogliaPicchi!$B$29,"",DatiOriginali!I2773)</f>
        <v>188100</v>
      </c>
      <c r="J2773" s="4">
        <v>21259305</v>
      </c>
      <c r="K2773" s="4">
        <f>IF(DatiOriginali!K2773 &gt;= SogliaPicchi!$B$29,"",DatiOriginali!K2773)</f>
        <v>203300</v>
      </c>
    </row>
    <row r="2774" spans="1:11" x14ac:dyDescent="0.3">
      <c r="A2774" s="4" t="s">
        <v>2783</v>
      </c>
      <c r="B2774" s="4">
        <v>979300</v>
      </c>
      <c r="C2774" s="4">
        <f>IF(DatiOriginali!C2774 &gt;= SogliaPicchi!$B$29,"",DatiOriginali!C2774)</f>
        <v>9439000</v>
      </c>
      <c r="D2774" s="4">
        <v>495254</v>
      </c>
      <c r="E2774" s="4">
        <f>IF(DatiOriginali!E2774 &gt;= SogliaPicchi!$B$29,"",DatiOriginali!E2774)</f>
        <v>1707300</v>
      </c>
      <c r="F2774" s="4">
        <v>16930711</v>
      </c>
      <c r="G2774" s="4">
        <f>IF(DatiOriginali!G2774 &gt;= SogliaPicchi!$B$29,"",DatiOriginali!G2774)</f>
        <v>1833300</v>
      </c>
      <c r="H2774" s="4">
        <v>21303563</v>
      </c>
      <c r="I2774" s="4">
        <f>IF(DatiOriginali!I2774 &gt;= SogliaPicchi!$B$29,"",DatiOriginali!I2774)</f>
        <v>185900</v>
      </c>
      <c r="J2774" s="4">
        <v>21275068</v>
      </c>
      <c r="K2774" s="4">
        <f>IF(DatiOriginali!K2774 &gt;= SogliaPicchi!$B$29,"",DatiOriginali!K2774)</f>
        <v>204700</v>
      </c>
    </row>
    <row r="2775" spans="1:11" x14ac:dyDescent="0.3">
      <c r="A2775" s="4" t="s">
        <v>2784</v>
      </c>
      <c r="B2775" s="4">
        <v>979300</v>
      </c>
      <c r="C2775" s="4">
        <f>IF(DatiOriginali!C2775 &gt;= SogliaPicchi!$B$29,"",DatiOriginali!C2775)</f>
        <v>8973600</v>
      </c>
      <c r="D2775" s="4">
        <v>500101</v>
      </c>
      <c r="E2775" s="4">
        <f>IF(DatiOriginali!E2775 &gt;= SogliaPicchi!$B$29,"",DatiOriginali!E2775)</f>
        <v>1728600</v>
      </c>
      <c r="F2775" s="4">
        <v>16943611</v>
      </c>
      <c r="G2775" s="4">
        <f>IF(DatiOriginali!G2775 &gt;= SogliaPicchi!$B$29,"",DatiOriginali!G2775)</f>
        <v>544000</v>
      </c>
      <c r="H2775" s="4">
        <v>21320323</v>
      </c>
      <c r="I2775" s="4">
        <f>IF(DatiOriginali!I2775 &gt;= SogliaPicchi!$B$29,"",DatiOriginali!I2775)</f>
        <v>188500</v>
      </c>
      <c r="J2775" s="4">
        <v>21291725</v>
      </c>
      <c r="K2775" s="4">
        <f>IF(DatiOriginali!K2775 &gt;= SogliaPicchi!$B$29,"",DatiOriginali!K2775)</f>
        <v>204300</v>
      </c>
    </row>
    <row r="2776" spans="1:11" x14ac:dyDescent="0.3">
      <c r="A2776" s="4" t="s">
        <v>2785</v>
      </c>
      <c r="B2776" s="4">
        <v>979300</v>
      </c>
      <c r="C2776" s="4">
        <f>IF(DatiOriginali!C2776 &gt;= SogliaPicchi!$B$29,"",DatiOriginali!C2776)</f>
        <v>8767600</v>
      </c>
      <c r="D2776" s="4">
        <v>484697</v>
      </c>
      <c r="E2776" s="4">
        <f>IF(DatiOriginali!E2776 &gt;= SogliaPicchi!$B$29,"",DatiOriginali!E2776)</f>
        <v>1666700</v>
      </c>
      <c r="F2776" s="4">
        <v>16956555</v>
      </c>
      <c r="G2776" s="4">
        <f>IF(DatiOriginali!G2776 &gt;= SogliaPicchi!$B$29,"",DatiOriginali!G2776)</f>
        <v>546900</v>
      </c>
      <c r="H2776" s="4">
        <v>21335427</v>
      </c>
      <c r="I2776" s="4">
        <f>IF(DatiOriginali!I2776 &gt;= SogliaPicchi!$B$29,"",DatiOriginali!I2776)</f>
        <v>185300</v>
      </c>
      <c r="J2776" s="4">
        <v>21309831</v>
      </c>
      <c r="K2776" s="4">
        <f>IF(DatiOriginali!K2776 &gt;= SogliaPicchi!$B$29,"",DatiOriginali!K2776)</f>
        <v>218100</v>
      </c>
    </row>
    <row r="2777" spans="1:11" x14ac:dyDescent="0.3">
      <c r="A2777" s="4" t="s">
        <v>2786</v>
      </c>
      <c r="B2777" s="4">
        <v>979300</v>
      </c>
      <c r="C2777" s="4">
        <f>IF(DatiOriginali!C2777 &gt;= SogliaPicchi!$B$29,"",DatiOriginali!C2777)</f>
        <v>8990500</v>
      </c>
      <c r="D2777" s="4">
        <v>497226</v>
      </c>
      <c r="E2777" s="4">
        <f>IF(DatiOriginali!E2777 &gt;= SogliaPicchi!$B$29,"",DatiOriginali!E2777)</f>
        <v>1712600</v>
      </c>
      <c r="F2777" s="4">
        <v>16969480</v>
      </c>
      <c r="G2777" s="4">
        <f>IF(DatiOriginali!G2777 &gt;= SogliaPicchi!$B$29,"",DatiOriginali!G2777)</f>
        <v>542100</v>
      </c>
      <c r="H2777" s="4">
        <v>21350883</v>
      </c>
      <c r="I2777" s="4">
        <f>IF(DatiOriginali!I2777 &gt;= SogliaPicchi!$B$29,"",DatiOriginali!I2777)</f>
        <v>186400</v>
      </c>
      <c r="J2777" s="4">
        <v>21325351</v>
      </c>
      <c r="K2777" s="4">
        <f>IF(DatiOriginali!K2777 &gt;= SogliaPicchi!$B$29,"",DatiOriginali!K2777)</f>
        <v>204800</v>
      </c>
    </row>
    <row r="2778" spans="1:11" x14ac:dyDescent="0.3">
      <c r="A2778" s="4" t="s">
        <v>2787</v>
      </c>
      <c r="B2778" s="4">
        <v>979300</v>
      </c>
      <c r="C2778" s="4">
        <f>IF(DatiOriginali!C2778 &gt;= SogliaPicchi!$B$29,"",DatiOriginali!C2778)</f>
        <v>8845400</v>
      </c>
      <c r="D2778" s="4">
        <v>489810</v>
      </c>
      <c r="E2778" s="4">
        <f>IF(DatiOriginali!E2778 &gt;= SogliaPicchi!$B$29,"",DatiOriginali!E2778)</f>
        <v>1816400</v>
      </c>
      <c r="F2778" s="4">
        <v>16982335</v>
      </c>
      <c r="G2778" s="4">
        <f>IF(DatiOriginali!G2778 &gt;= SogliaPicchi!$B$29,"",DatiOriginali!G2778)</f>
        <v>679200</v>
      </c>
      <c r="H2778" s="4">
        <v>21366384</v>
      </c>
      <c r="I2778" s="4">
        <f>IF(DatiOriginali!I2778 &gt;= SogliaPicchi!$B$29,"",DatiOriginali!I2778)</f>
        <v>188300</v>
      </c>
      <c r="J2778" s="4">
        <v>21341355</v>
      </c>
      <c r="K2778" s="4">
        <f>IF(DatiOriginali!K2778 &gt;= SogliaPicchi!$B$29,"",DatiOriginali!K2778)</f>
        <v>207400</v>
      </c>
    </row>
    <row r="2779" spans="1:11" x14ac:dyDescent="0.3">
      <c r="A2779" s="4" t="s">
        <v>2788</v>
      </c>
      <c r="B2779" s="4">
        <v>979300</v>
      </c>
      <c r="C2779" s="4">
        <f>IF(DatiOriginali!C2779 &gt;= SogliaPicchi!$B$29,"",DatiOriginali!C2779)</f>
        <v>8782700</v>
      </c>
      <c r="D2779" s="4">
        <v>480827</v>
      </c>
      <c r="E2779" s="4">
        <f>IF(DatiOriginali!E2779 &gt;= SogliaPicchi!$B$29,"",DatiOriginali!E2779)</f>
        <v>1677900</v>
      </c>
      <c r="F2779" s="4">
        <v>16995222</v>
      </c>
      <c r="G2779" s="4">
        <f>IF(DatiOriginali!G2779 &gt;= SogliaPicchi!$B$29,"",DatiOriginali!G2779)</f>
        <v>537800</v>
      </c>
      <c r="H2779" s="4">
        <v>21382404</v>
      </c>
      <c r="I2779" s="4">
        <f>IF(DatiOriginali!I2779 &gt;= SogliaPicchi!$B$29,"",DatiOriginali!I2779)</f>
        <v>188200</v>
      </c>
      <c r="J2779" s="4">
        <v>21357938</v>
      </c>
      <c r="K2779" s="4">
        <f>IF(DatiOriginali!K2779 &gt;= SogliaPicchi!$B$29,"",DatiOriginali!K2779)</f>
        <v>214200</v>
      </c>
    </row>
    <row r="2780" spans="1:11" x14ac:dyDescent="0.3">
      <c r="A2780" s="4" t="s">
        <v>2789</v>
      </c>
      <c r="B2780" s="4">
        <v>979300</v>
      </c>
      <c r="C2780" s="4">
        <f>IF(DatiOriginali!C2780 &gt;= SogliaPicchi!$B$29,"",DatiOriginali!C2780)</f>
        <v>9194300</v>
      </c>
      <c r="D2780" s="4">
        <v>472727</v>
      </c>
      <c r="E2780" s="4">
        <f>IF(DatiOriginali!E2780 &gt;= SogliaPicchi!$B$29,"",DatiOriginali!E2780)</f>
        <v>1676800</v>
      </c>
      <c r="F2780" s="4">
        <v>17008104</v>
      </c>
      <c r="G2780" s="4">
        <f>IF(DatiOriginali!G2780 &gt;= SogliaPicchi!$B$29,"",DatiOriginali!G2780)</f>
        <v>571600</v>
      </c>
      <c r="H2780" s="4">
        <v>21398823</v>
      </c>
      <c r="I2780" s="4">
        <f>IF(DatiOriginali!I2780 &gt;= SogliaPicchi!$B$29,"",DatiOriginali!I2780)</f>
        <v>185900</v>
      </c>
      <c r="J2780" s="4">
        <v>21374893</v>
      </c>
      <c r="K2780" s="4">
        <f>IF(DatiOriginali!K2780 &gt;= SogliaPicchi!$B$29,"",DatiOriginali!K2780)</f>
        <v>210600</v>
      </c>
    </row>
    <row r="2781" spans="1:11" x14ac:dyDescent="0.3">
      <c r="A2781" s="4" t="s">
        <v>2790</v>
      </c>
      <c r="B2781" s="4">
        <v>979300</v>
      </c>
      <c r="C2781" s="4">
        <f>IF(DatiOriginali!C2781 &gt;= SogliaPicchi!$B$29,"",DatiOriginali!C2781)</f>
        <v>9198800</v>
      </c>
      <c r="D2781" s="4">
        <v>488924</v>
      </c>
      <c r="E2781" s="4">
        <f>IF(DatiOriginali!E2781 &gt;= SogliaPicchi!$B$29,"",DatiOriginali!E2781)</f>
        <v>1679900</v>
      </c>
      <c r="F2781" s="4">
        <v>17021010</v>
      </c>
      <c r="G2781" s="4">
        <f>IF(DatiOriginali!G2781 &gt;= SogliaPicchi!$B$29,"",DatiOriginali!G2781)</f>
        <v>544500</v>
      </c>
      <c r="H2781" s="4">
        <v>21415404</v>
      </c>
      <c r="I2781" s="4">
        <f>IF(DatiOriginali!I2781 &gt;= SogliaPicchi!$B$29,"",DatiOriginali!I2781)</f>
        <v>189800</v>
      </c>
      <c r="J2781" s="4">
        <v>21391157</v>
      </c>
      <c r="K2781" s="4">
        <f>IF(DatiOriginali!K2781 &gt;= SogliaPicchi!$B$29,"",DatiOriginali!K2781)</f>
        <v>207900</v>
      </c>
    </row>
    <row r="2782" spans="1:11" x14ac:dyDescent="0.3">
      <c r="A2782" s="4" t="s">
        <v>2791</v>
      </c>
      <c r="B2782" s="4">
        <v>979300</v>
      </c>
      <c r="C2782" s="4">
        <f>IF(DatiOriginali!C2782 &gt;= SogliaPicchi!$B$29,"",DatiOriginali!C2782)</f>
        <v>9052500</v>
      </c>
      <c r="D2782" s="4">
        <v>475270</v>
      </c>
      <c r="E2782" s="4">
        <f>IF(DatiOriginali!E2782 &gt;= SogliaPicchi!$B$29,"",DatiOriginali!E2782)</f>
        <v>1683500</v>
      </c>
      <c r="F2782" s="4">
        <v>17033914</v>
      </c>
      <c r="G2782" s="4">
        <f>IF(DatiOriginali!G2782 &gt;= SogliaPicchi!$B$29,"",DatiOriginali!G2782)</f>
        <v>545800</v>
      </c>
      <c r="H2782" s="4">
        <v>21430812</v>
      </c>
      <c r="I2782" s="4">
        <f>IF(DatiOriginali!I2782 &gt;= SogliaPicchi!$B$29,"",DatiOriginali!I2782)</f>
        <v>185000</v>
      </c>
      <c r="J2782" s="4">
        <v>21406844</v>
      </c>
      <c r="K2782" s="4">
        <f>IF(DatiOriginali!K2782 &gt;= SogliaPicchi!$B$29,"",DatiOriginali!K2782)</f>
        <v>201100</v>
      </c>
    </row>
    <row r="2783" spans="1:11" x14ac:dyDescent="0.3">
      <c r="A2783" s="4" t="s">
        <v>2792</v>
      </c>
      <c r="B2783" s="4">
        <v>979300</v>
      </c>
      <c r="C2783" s="4">
        <f>IF(DatiOriginali!C2783 &gt;= SogliaPicchi!$B$29,"",DatiOriginali!C2783)</f>
        <v>8944800</v>
      </c>
      <c r="D2783" s="4">
        <v>479182</v>
      </c>
      <c r="E2783" s="4">
        <f>IF(DatiOriginali!E2783 &gt;= SogliaPicchi!$B$29,"",DatiOriginali!E2783)</f>
        <v>1788300</v>
      </c>
      <c r="F2783" s="4">
        <v>17046809</v>
      </c>
      <c r="G2783" s="4">
        <f>IF(DatiOriginali!G2783 &gt;= SogliaPicchi!$B$29,"",DatiOriginali!G2783)</f>
        <v>555900</v>
      </c>
      <c r="H2783" s="4">
        <v>21448515</v>
      </c>
      <c r="I2783" s="4">
        <f>IF(DatiOriginali!I2783 &gt;= SogliaPicchi!$B$29,"",DatiOriginali!I2783)</f>
        <v>188800</v>
      </c>
      <c r="J2783" s="4">
        <v>21422643</v>
      </c>
      <c r="K2783" s="4">
        <f>IF(DatiOriginali!K2783 &gt;= SogliaPicchi!$B$29,"",DatiOriginali!K2783)</f>
        <v>205100</v>
      </c>
    </row>
    <row r="2784" spans="1:11" x14ac:dyDescent="0.3">
      <c r="A2784" s="4" t="s">
        <v>2793</v>
      </c>
      <c r="B2784" s="4">
        <v>979300</v>
      </c>
      <c r="C2784" s="4">
        <f>IF(DatiOriginali!C2784 &gt;= SogliaPicchi!$B$29,"",DatiOriginali!C2784)</f>
        <v>8795100</v>
      </c>
      <c r="D2784" s="4">
        <v>487068</v>
      </c>
      <c r="E2784" s="4">
        <f>IF(DatiOriginali!E2784 &gt;= SogliaPicchi!$B$29,"",DatiOriginali!E2784)</f>
        <v>1716300</v>
      </c>
      <c r="F2784" s="4">
        <v>17059697</v>
      </c>
      <c r="G2784" s="4">
        <f>IF(DatiOriginali!G2784 &gt;= SogliaPicchi!$B$29,"",DatiOriginali!G2784)</f>
        <v>543700</v>
      </c>
      <c r="H2784" s="4">
        <v>21466423</v>
      </c>
      <c r="I2784" s="4">
        <f>IF(DatiOriginali!I2784 &gt;= SogliaPicchi!$B$29,"",DatiOriginali!I2784)</f>
        <v>198200</v>
      </c>
      <c r="J2784" s="4">
        <v>21438483</v>
      </c>
      <c r="K2784" s="4">
        <f>IF(DatiOriginali!K2784 &gt;= SogliaPicchi!$B$29,"",DatiOriginali!K2784)</f>
        <v>206100</v>
      </c>
    </row>
    <row r="2785" spans="1:11" x14ac:dyDescent="0.3">
      <c r="A2785" s="4" t="s">
        <v>2794</v>
      </c>
      <c r="B2785" s="4">
        <v>979300</v>
      </c>
      <c r="C2785" s="4">
        <f>IF(DatiOriginali!C2785 &gt;= SogliaPicchi!$B$29,"",DatiOriginali!C2785)</f>
        <v>9831300</v>
      </c>
      <c r="D2785" s="4">
        <v>498756</v>
      </c>
      <c r="E2785" s="4">
        <f>IF(DatiOriginali!E2785 &gt;= SogliaPicchi!$B$29,"",DatiOriginali!E2785)</f>
        <v>1713600</v>
      </c>
      <c r="F2785" s="4">
        <v>17072614</v>
      </c>
      <c r="G2785" s="4">
        <f>IF(DatiOriginali!G2785 &gt;= SogliaPicchi!$B$29,"",DatiOriginali!G2785)</f>
        <v>541100</v>
      </c>
      <c r="H2785" s="4">
        <v>21484150</v>
      </c>
      <c r="I2785" s="4">
        <f>IF(DatiOriginali!I2785 &gt;= SogliaPicchi!$B$29,"",DatiOriginali!I2785)</f>
        <v>193600</v>
      </c>
      <c r="J2785" s="4">
        <v>21453703</v>
      </c>
      <c r="K2785" s="4">
        <f>IF(DatiOriginali!K2785 &gt;= SogliaPicchi!$B$29,"",DatiOriginali!K2785)</f>
        <v>207500</v>
      </c>
    </row>
    <row r="2786" spans="1:11" x14ac:dyDescent="0.3">
      <c r="A2786" s="4" t="s">
        <v>2795</v>
      </c>
      <c r="B2786" s="4">
        <v>979300</v>
      </c>
      <c r="C2786" s="4">
        <f>IF(DatiOriginali!C2786 &gt;= SogliaPicchi!$B$29,"",DatiOriginali!C2786)</f>
        <v>8902400</v>
      </c>
      <c r="D2786" s="4">
        <v>476900</v>
      </c>
      <c r="E2786" s="4">
        <f>IF(DatiOriginali!E2786 &gt;= SogliaPicchi!$B$29,"",DatiOriginali!E2786)</f>
        <v>1644000</v>
      </c>
      <c r="F2786" s="4">
        <v>17085507</v>
      </c>
      <c r="G2786" s="4">
        <f>IF(DatiOriginali!G2786 &gt;= SogliaPicchi!$B$29,"",DatiOriginali!G2786)</f>
        <v>633800</v>
      </c>
      <c r="H2786" s="4">
        <v>21499942</v>
      </c>
      <c r="I2786" s="4">
        <f>IF(DatiOriginali!I2786 &gt;= SogliaPicchi!$B$29,"",DatiOriginali!I2786)</f>
        <v>189800</v>
      </c>
      <c r="J2786" s="4">
        <v>21472168</v>
      </c>
      <c r="K2786" s="4">
        <f>IF(DatiOriginali!K2786 &gt;= SogliaPicchi!$B$29,"",DatiOriginali!K2786)</f>
        <v>219300</v>
      </c>
    </row>
    <row r="2787" spans="1:11" x14ac:dyDescent="0.3">
      <c r="A2787" s="4" t="s">
        <v>2796</v>
      </c>
      <c r="B2787" s="4">
        <v>979300</v>
      </c>
      <c r="C2787" s="4">
        <f>IF(DatiOriginali!C2787 &gt;= SogliaPicchi!$B$29,"",DatiOriginali!C2787)</f>
        <v>8918000</v>
      </c>
      <c r="D2787" s="4">
        <v>493368</v>
      </c>
      <c r="E2787" s="4">
        <f>IF(DatiOriginali!E2787 &gt;= SogliaPicchi!$B$29,"",DatiOriginali!E2787)</f>
        <v>1706100</v>
      </c>
      <c r="F2787" s="4">
        <v>17098413</v>
      </c>
      <c r="G2787" s="4">
        <f>IF(DatiOriginali!G2787 &gt;= SogliaPicchi!$B$29,"",DatiOriginali!G2787)</f>
        <v>544900</v>
      </c>
      <c r="H2787" s="4">
        <v>21515828</v>
      </c>
      <c r="I2787" s="4">
        <f>IF(DatiOriginali!I2787 &gt;= SogliaPicchi!$B$29,"",DatiOriginali!I2787)</f>
        <v>185500</v>
      </c>
      <c r="J2787" s="4">
        <v>21487384</v>
      </c>
      <c r="K2787" s="4">
        <f>IF(DatiOriginali!K2787 &gt;= SogliaPicchi!$B$29,"",DatiOriginali!K2787)</f>
        <v>201700</v>
      </c>
    </row>
    <row r="2788" spans="1:11" x14ac:dyDescent="0.3">
      <c r="A2788" s="4" t="s">
        <v>2797</v>
      </c>
      <c r="B2788" s="4">
        <v>979300</v>
      </c>
      <c r="C2788" s="4">
        <f>IF(DatiOriginali!C2788 &gt;= SogliaPicchi!$B$29,"",DatiOriginali!C2788)</f>
        <v>9777200</v>
      </c>
      <c r="D2788" s="4">
        <v>478953</v>
      </c>
      <c r="E2788" s="4">
        <f>IF(DatiOriginali!E2788 &gt;= SogliaPicchi!$B$29,"",DatiOriginali!E2788)</f>
        <v>1707800</v>
      </c>
      <c r="F2788" s="4">
        <v>17111331</v>
      </c>
      <c r="G2788" s="4">
        <f>IF(DatiOriginali!G2788 &gt;= SogliaPicchi!$B$29,"",DatiOriginali!G2788)</f>
        <v>545800</v>
      </c>
      <c r="H2788" s="4">
        <v>21531937</v>
      </c>
      <c r="I2788" s="4">
        <f>IF(DatiOriginali!I2788 &gt;= SogliaPicchi!$B$29,"",DatiOriginali!I2788)</f>
        <v>184400</v>
      </c>
      <c r="J2788" s="4">
        <v>21504652</v>
      </c>
      <c r="K2788" s="4">
        <f>IF(DatiOriginali!K2788 &gt;= SogliaPicchi!$B$29,"",DatiOriginali!K2788)</f>
        <v>214900</v>
      </c>
    </row>
    <row r="2789" spans="1:11" x14ac:dyDescent="0.3">
      <c r="A2789" s="4" t="s">
        <v>2798</v>
      </c>
      <c r="B2789" s="4">
        <v>979300</v>
      </c>
      <c r="C2789" s="4">
        <f>IF(DatiOriginali!C2789 &gt;= SogliaPicchi!$B$29,"",DatiOriginali!C2789)</f>
        <v>9248000</v>
      </c>
      <c r="D2789" s="4">
        <v>486837</v>
      </c>
      <c r="E2789" s="4">
        <f>IF(DatiOriginali!E2789 &gt;= SogliaPicchi!$B$29,"",DatiOriginali!E2789)</f>
        <v>1983100</v>
      </c>
      <c r="F2789" s="4">
        <v>17124199</v>
      </c>
      <c r="G2789" s="4">
        <f>IF(DatiOriginali!G2789 &gt;= SogliaPicchi!$B$29,"",DatiOriginali!G2789)</f>
        <v>701600</v>
      </c>
      <c r="H2789" s="4">
        <v>21548298</v>
      </c>
      <c r="I2789" s="4">
        <f>IF(DatiOriginali!I2789 &gt;= SogliaPicchi!$B$29,"",DatiOriginali!I2789)</f>
        <v>232500</v>
      </c>
      <c r="J2789" s="4">
        <v>21519728</v>
      </c>
      <c r="K2789" s="4">
        <f>IF(DatiOriginali!K2789 &gt;= SogliaPicchi!$B$29,"",DatiOriginali!K2789)</f>
        <v>281200</v>
      </c>
    </row>
    <row r="2790" spans="1:11" x14ac:dyDescent="0.3">
      <c r="A2790" s="4" t="s">
        <v>2799</v>
      </c>
      <c r="B2790" s="4">
        <v>979300</v>
      </c>
      <c r="C2790" s="4">
        <f>IF(DatiOriginali!C2790 &gt;= SogliaPicchi!$B$29,"",DatiOriginali!C2790)</f>
        <v>9381800</v>
      </c>
      <c r="D2790" s="4">
        <v>478729</v>
      </c>
      <c r="E2790" s="4">
        <f>IF(DatiOriginali!E2790 &gt;= SogliaPicchi!$B$29,"",DatiOriginali!E2790)</f>
        <v>1649700</v>
      </c>
      <c r="F2790" s="4">
        <v>17137104</v>
      </c>
      <c r="G2790" s="4">
        <f>IF(DatiOriginali!G2790 &gt;= SogliaPicchi!$B$29,"",DatiOriginali!G2790)</f>
        <v>550300</v>
      </c>
      <c r="H2790" s="4">
        <v>21564556</v>
      </c>
      <c r="I2790" s="4">
        <f>IF(DatiOriginali!I2790 &gt;= SogliaPicchi!$B$29,"",DatiOriginali!I2790)</f>
        <v>188200</v>
      </c>
      <c r="J2790" s="4">
        <v>21534786</v>
      </c>
      <c r="K2790" s="4">
        <f>IF(DatiOriginali!K2790 &gt;= SogliaPicchi!$B$29,"",DatiOriginali!K2790)</f>
        <v>204500</v>
      </c>
    </row>
    <row r="2791" spans="1:11" x14ac:dyDescent="0.3">
      <c r="A2791" s="4" t="s">
        <v>2800</v>
      </c>
      <c r="B2791" s="4">
        <v>979300</v>
      </c>
      <c r="C2791" s="4">
        <f>IF(DatiOriginali!C2791 &gt;= SogliaPicchi!$B$29,"",DatiOriginali!C2791)</f>
        <v>9075700</v>
      </c>
      <c r="D2791" s="4">
        <v>488127</v>
      </c>
      <c r="E2791" s="4">
        <f>IF(DatiOriginali!E2791 &gt;= SogliaPicchi!$B$29,"",DatiOriginali!E2791)</f>
        <v>1755700</v>
      </c>
      <c r="F2791" s="4">
        <v>17149991</v>
      </c>
      <c r="G2791" s="4">
        <f>IF(DatiOriginali!G2791 &gt;= SogliaPicchi!$B$29,"",DatiOriginali!G2791)</f>
        <v>536200</v>
      </c>
      <c r="H2791" s="4">
        <v>21581132</v>
      </c>
      <c r="I2791" s="4">
        <f>IF(DatiOriginali!I2791 &gt;= SogliaPicchi!$B$29,"",DatiOriginali!I2791)</f>
        <v>185700</v>
      </c>
      <c r="J2791" s="4">
        <v>21551211</v>
      </c>
      <c r="K2791" s="4">
        <f>IF(DatiOriginali!K2791 &gt;= SogliaPicchi!$B$29,"",DatiOriginali!K2791)</f>
        <v>214700</v>
      </c>
    </row>
    <row r="2792" spans="1:11" x14ac:dyDescent="0.3">
      <c r="A2792" s="4" t="s">
        <v>2801</v>
      </c>
      <c r="B2792" s="4">
        <v>979300</v>
      </c>
      <c r="C2792" s="4">
        <f>IF(DatiOriginali!C2792 &gt;= SogliaPicchi!$B$29,"",DatiOriginali!C2792)</f>
        <v>8808600</v>
      </c>
      <c r="D2792" s="4">
        <v>484398</v>
      </c>
      <c r="E2792" s="4">
        <f>IF(DatiOriginali!E2792 &gt;= SogliaPicchi!$B$29,"",DatiOriginali!E2792)</f>
        <v>1668900</v>
      </c>
      <c r="F2792" s="4">
        <v>17162883</v>
      </c>
      <c r="G2792" s="4">
        <f>IF(DatiOriginali!G2792 &gt;= SogliaPicchi!$B$29,"",DatiOriginali!G2792)</f>
        <v>536200</v>
      </c>
      <c r="H2792" s="4">
        <v>21598185</v>
      </c>
      <c r="I2792" s="4">
        <f>IF(DatiOriginali!I2792 &gt;= SogliaPicchi!$B$29,"",DatiOriginali!I2792)</f>
        <v>183500</v>
      </c>
      <c r="J2792" s="4">
        <v>21566963</v>
      </c>
      <c r="K2792" s="4">
        <f>IF(DatiOriginali!K2792 &gt;= SogliaPicchi!$B$29,"",DatiOriginali!K2792)</f>
        <v>206500</v>
      </c>
    </row>
    <row r="2793" spans="1:11" x14ac:dyDescent="0.3">
      <c r="A2793" s="4" t="s">
        <v>2802</v>
      </c>
      <c r="B2793" s="4">
        <v>979300</v>
      </c>
      <c r="C2793" s="4">
        <f>IF(DatiOriginali!C2793 &gt;= SogliaPicchi!$B$29,"",DatiOriginali!C2793)</f>
        <v>8994800</v>
      </c>
      <c r="D2793" s="4">
        <v>485231</v>
      </c>
      <c r="E2793" s="4">
        <f>IF(DatiOriginali!E2793 &gt;= SogliaPicchi!$B$29,"",DatiOriginali!E2793)</f>
        <v>1694900</v>
      </c>
      <c r="F2793" s="4">
        <v>17175773</v>
      </c>
      <c r="G2793" s="4">
        <f>IF(DatiOriginali!G2793 &gt;= SogliaPicchi!$B$29,"",DatiOriginali!G2793)</f>
        <v>545700</v>
      </c>
      <c r="H2793" s="4">
        <v>21613535</v>
      </c>
      <c r="I2793" s="4">
        <f>IF(DatiOriginali!I2793 &gt;= SogliaPicchi!$B$29,"",DatiOriginali!I2793)</f>
        <v>182800</v>
      </c>
      <c r="J2793" s="4">
        <v>21582959</v>
      </c>
      <c r="K2793" s="4">
        <f>IF(DatiOriginali!K2793 &gt;= SogliaPicchi!$B$29,"",DatiOriginali!K2793)</f>
        <v>211100</v>
      </c>
    </row>
    <row r="2794" spans="1:11" x14ac:dyDescent="0.3">
      <c r="A2794" s="4" t="s">
        <v>2803</v>
      </c>
      <c r="B2794" s="4">
        <v>979300</v>
      </c>
      <c r="C2794" s="4">
        <f>IF(DatiOriginali!C2794 &gt;= SogliaPicchi!$B$29,"",DatiOriginali!C2794)</f>
        <v>9029600</v>
      </c>
      <c r="D2794" s="4">
        <v>495268</v>
      </c>
      <c r="E2794" s="4">
        <f>IF(DatiOriginali!E2794 &gt;= SogliaPicchi!$B$29,"",DatiOriginali!E2794)</f>
        <v>2070800</v>
      </c>
      <c r="F2794" s="4">
        <v>17188701</v>
      </c>
      <c r="G2794" s="4">
        <f>IF(DatiOriginali!G2794 &gt;= SogliaPicchi!$B$29,"",DatiOriginali!G2794)</f>
        <v>713400</v>
      </c>
      <c r="H2794" s="4">
        <v>21630067</v>
      </c>
      <c r="I2794" s="4">
        <f>IF(DatiOriginali!I2794 &gt;= SogliaPicchi!$B$29,"",DatiOriginali!I2794)</f>
        <v>228000</v>
      </c>
      <c r="J2794" s="4">
        <v>21599712</v>
      </c>
      <c r="K2794" s="4">
        <f>IF(DatiOriginali!K2794 &gt;= SogliaPicchi!$B$29,"",DatiOriginali!K2794)</f>
        <v>258300</v>
      </c>
    </row>
    <row r="2795" spans="1:11" x14ac:dyDescent="0.3">
      <c r="A2795" s="4" t="s">
        <v>2804</v>
      </c>
      <c r="B2795" s="4">
        <v>979300</v>
      </c>
      <c r="C2795" s="4">
        <f>IF(DatiOriginali!C2795 &gt;= SogliaPicchi!$B$29,"",DatiOriginali!C2795)</f>
        <v>9424800</v>
      </c>
      <c r="D2795" s="4">
        <v>487079</v>
      </c>
      <c r="E2795" s="4">
        <f>IF(DatiOriginali!E2795 &gt;= SogliaPicchi!$B$29,"",DatiOriginali!E2795)</f>
        <v>1678300</v>
      </c>
      <c r="F2795" s="4">
        <v>17201593</v>
      </c>
      <c r="G2795" s="4">
        <f>IF(DatiOriginali!G2795 &gt;= SogliaPicchi!$B$29,"",DatiOriginali!G2795)</f>
        <v>553000</v>
      </c>
      <c r="H2795" s="4">
        <v>21646300</v>
      </c>
      <c r="I2795" s="4">
        <f>IF(DatiOriginali!I2795 &gt;= SogliaPicchi!$B$29,"",DatiOriginali!I2795)</f>
        <v>192500</v>
      </c>
      <c r="J2795" s="4">
        <v>21615717</v>
      </c>
      <c r="K2795" s="4">
        <f>IF(DatiOriginali!K2795 &gt;= SogliaPicchi!$B$29,"",DatiOriginali!K2795)</f>
        <v>209200</v>
      </c>
    </row>
    <row r="2796" spans="1:11" x14ac:dyDescent="0.3">
      <c r="A2796" s="4" t="s">
        <v>2805</v>
      </c>
      <c r="B2796" s="4">
        <v>979300</v>
      </c>
      <c r="C2796" s="4">
        <f>IF(DatiOriginali!C2796 &gt;= SogliaPicchi!$B$29,"",DatiOriginali!C2796)</f>
        <v>9502200</v>
      </c>
      <c r="D2796" s="4">
        <v>491455</v>
      </c>
      <c r="E2796" s="4">
        <f>IF(DatiOriginali!E2796 &gt;= SogliaPicchi!$B$29,"",DatiOriginali!E2796)</f>
        <v>1929600</v>
      </c>
      <c r="F2796" s="4">
        <v>17214484</v>
      </c>
      <c r="G2796" s="4">
        <f>IF(DatiOriginali!G2796 &gt;= SogliaPicchi!$B$29,"",DatiOriginali!G2796)</f>
        <v>540000</v>
      </c>
      <c r="H2796" s="4">
        <v>21662010</v>
      </c>
      <c r="I2796" s="4">
        <f>IF(DatiOriginali!I2796 &gt;= SogliaPicchi!$B$29,"",DatiOriginali!I2796)</f>
        <v>187100</v>
      </c>
      <c r="J2796" s="4">
        <v>21632021</v>
      </c>
      <c r="K2796" s="4">
        <f>IF(DatiOriginali!K2796 &gt;= SogliaPicchi!$B$29,"",DatiOriginali!K2796)</f>
        <v>207500</v>
      </c>
    </row>
    <row r="2797" spans="1:11" x14ac:dyDescent="0.3">
      <c r="A2797" s="4" t="s">
        <v>2806</v>
      </c>
      <c r="B2797" s="4">
        <v>979300</v>
      </c>
      <c r="C2797" s="4">
        <f>IF(DatiOriginali!C2797 &gt;= SogliaPicchi!$B$29,"",DatiOriginali!C2797)</f>
        <v>9124700</v>
      </c>
      <c r="D2797" s="4">
        <v>492421</v>
      </c>
      <c r="E2797" s="4">
        <f>IF(DatiOriginali!E2797 &gt;= SogliaPicchi!$B$29,"",DatiOriginali!E2797)</f>
        <v>1822700</v>
      </c>
      <c r="F2797" s="4">
        <v>17227412</v>
      </c>
      <c r="G2797" s="4">
        <f>IF(DatiOriginali!G2797 &gt;= SogliaPicchi!$B$29,"",DatiOriginali!G2797)</f>
        <v>554900</v>
      </c>
      <c r="H2797" s="4">
        <v>21678092</v>
      </c>
      <c r="I2797" s="4">
        <f>IF(DatiOriginali!I2797 &gt;= SogliaPicchi!$B$29,"",DatiOriginali!I2797)</f>
        <v>189400</v>
      </c>
      <c r="J2797" s="4">
        <v>21647888</v>
      </c>
      <c r="K2797" s="4">
        <f>IF(DatiOriginali!K2797 &gt;= SogliaPicchi!$B$29,"",DatiOriginali!K2797)</f>
        <v>205800</v>
      </c>
    </row>
    <row r="2798" spans="1:11" x14ac:dyDescent="0.3">
      <c r="A2798" s="4" t="s">
        <v>2807</v>
      </c>
      <c r="B2798" s="4">
        <v>979300</v>
      </c>
      <c r="C2798" s="4">
        <f>IF(DatiOriginali!C2798 &gt;= SogliaPicchi!$B$29,"",DatiOriginali!C2798)</f>
        <v>8840600</v>
      </c>
      <c r="D2798" s="4">
        <v>495586</v>
      </c>
      <c r="E2798" s="4">
        <f>IF(DatiOriginali!E2798 &gt;= SogliaPicchi!$B$29,"",DatiOriginali!E2798)</f>
        <v>1805100</v>
      </c>
      <c r="F2798" s="4">
        <v>17240327</v>
      </c>
      <c r="G2798" s="4">
        <f>IF(DatiOriginali!G2798 &gt;= SogliaPicchi!$B$29,"",DatiOriginali!G2798)</f>
        <v>535400</v>
      </c>
      <c r="H2798" s="4">
        <v>21694921</v>
      </c>
      <c r="I2798" s="4">
        <f>IF(DatiOriginali!I2798 &gt;= SogliaPicchi!$B$29,"",DatiOriginali!I2798)</f>
        <v>193200</v>
      </c>
      <c r="J2798" s="4">
        <v>21664968</v>
      </c>
      <c r="K2798" s="4">
        <f>IF(DatiOriginali!K2798 &gt;= SogliaPicchi!$B$29,"",DatiOriginali!K2798)</f>
        <v>205400</v>
      </c>
    </row>
    <row r="2799" spans="1:11" x14ac:dyDescent="0.3">
      <c r="A2799" s="4" t="s">
        <v>2808</v>
      </c>
      <c r="B2799" s="4">
        <v>979300</v>
      </c>
      <c r="C2799" s="4">
        <f>IF(DatiOriginali!C2799 &gt;= SogliaPicchi!$B$29,"",DatiOriginali!C2799)</f>
        <v>8930600</v>
      </c>
      <c r="D2799" s="4">
        <v>486346</v>
      </c>
      <c r="E2799" s="4">
        <f>IF(DatiOriginali!E2799 &gt;= SogliaPicchi!$B$29,"",DatiOriginali!E2799)</f>
        <v>1675400</v>
      </c>
      <c r="F2799" s="4">
        <v>17253230</v>
      </c>
      <c r="G2799" s="4">
        <f>IF(DatiOriginali!G2799 &gt;= SogliaPicchi!$B$29,"",DatiOriginali!G2799)</f>
        <v>542500</v>
      </c>
      <c r="H2799" s="4">
        <v>21710106</v>
      </c>
      <c r="I2799" s="4">
        <f>IF(DatiOriginali!I2799 &gt;= SogliaPicchi!$B$29,"",DatiOriginali!I2799)</f>
        <v>185300</v>
      </c>
      <c r="J2799" s="4">
        <v>21682466</v>
      </c>
      <c r="K2799" s="4">
        <f>IF(DatiOriginali!K2799 &gt;= SogliaPicchi!$B$29,"",DatiOriginali!K2799)</f>
        <v>216700</v>
      </c>
    </row>
    <row r="2800" spans="1:11" x14ac:dyDescent="0.3">
      <c r="A2800" s="4" t="s">
        <v>2809</v>
      </c>
      <c r="B2800" s="4">
        <v>979300</v>
      </c>
      <c r="C2800" s="4">
        <f>IF(DatiOriginali!C2800 &gt;= SogliaPicchi!$B$29,"",DatiOriginali!C2800)</f>
        <v>9170300</v>
      </c>
      <c r="D2800" s="4">
        <v>494976</v>
      </c>
      <c r="E2800" s="4">
        <f>IF(DatiOriginali!E2800 &gt;= SogliaPicchi!$B$29,"",DatiOriginali!E2800)</f>
        <v>1921400</v>
      </c>
      <c r="F2800" s="4">
        <v>17266127</v>
      </c>
      <c r="G2800" s="4">
        <f>IF(DatiOriginali!G2800 &gt;= SogliaPicchi!$B$29,"",DatiOriginali!G2800)</f>
        <v>543700</v>
      </c>
      <c r="H2800" s="4">
        <v>21725246</v>
      </c>
      <c r="I2800" s="4">
        <f>IF(DatiOriginali!I2800 &gt;= SogliaPicchi!$B$29,"",DatiOriginali!I2800)</f>
        <v>181300</v>
      </c>
      <c r="J2800" s="4">
        <v>21698283</v>
      </c>
      <c r="K2800" s="4">
        <f>IF(DatiOriginali!K2800 &gt;= SogliaPicchi!$B$29,"",DatiOriginali!K2800)</f>
        <v>206100</v>
      </c>
    </row>
    <row r="2801" spans="1:11" x14ac:dyDescent="0.3">
      <c r="A2801" s="4" t="s">
        <v>2810</v>
      </c>
      <c r="B2801" s="4">
        <v>979300</v>
      </c>
      <c r="C2801" s="4">
        <f>IF(DatiOriginali!C2801 &gt;= SogliaPicchi!$B$29,"",DatiOriginali!C2801)</f>
        <v>9027100</v>
      </c>
      <c r="D2801" s="4">
        <v>496540</v>
      </c>
      <c r="E2801" s="4">
        <f>IF(DatiOriginali!E2801 &gt;= SogliaPicchi!$B$29,"",DatiOriginali!E2801)</f>
        <v>1711400</v>
      </c>
      <c r="F2801" s="4">
        <v>17278977</v>
      </c>
      <c r="G2801" s="4">
        <f>IF(DatiOriginali!G2801 &gt;= SogliaPicchi!$B$30,"",DatiOriginali!G2801)</f>
        <v>536000</v>
      </c>
      <c r="H2801" s="4">
        <v>21743122</v>
      </c>
      <c r="I2801" s="4">
        <f>IF(DatiOriginali!I2801 &gt;= SogliaPicchi!$B$30,"",DatiOriginali!I2801)</f>
        <v>179600</v>
      </c>
      <c r="J2801" s="4">
        <v>21714149</v>
      </c>
      <c r="K2801" s="4">
        <f>IF(DatiOriginali!K2801 &gt;= SogliaPicchi!$B$30,"",DatiOriginali!K2801)</f>
        <v>197800</v>
      </c>
    </row>
    <row r="2802" spans="1:11" x14ac:dyDescent="0.3">
      <c r="A2802" s="4" t="s">
        <v>2811</v>
      </c>
      <c r="B2802" s="4">
        <v>1050525</v>
      </c>
      <c r="C2802" s="4">
        <f>IF(DatiOriginali!C2802 &gt;= SogliaPicchi!$B$30,"",DatiOriginali!C2802)</f>
        <v>10292100</v>
      </c>
      <c r="D2802" s="4">
        <v>525688</v>
      </c>
      <c r="E2802" s="4">
        <f>IF(DatiOriginali!E2802 &gt;= SogliaPicchi!$B$30,"",DatiOriginali!E2802)</f>
        <v>1811200</v>
      </c>
      <c r="F2802" s="4">
        <v>17292420</v>
      </c>
      <c r="G2802" s="4">
        <f>IF(DatiOriginali!G2802 &gt;= SogliaPicchi!$B$30,"",DatiOriginali!G2802)</f>
        <v>565400</v>
      </c>
      <c r="H2802" s="4">
        <v>21759591</v>
      </c>
      <c r="I2802" s="4">
        <f>IF(DatiOriginali!I2802 &gt;= SogliaPicchi!$B$30,"",DatiOriginali!I2802)</f>
        <v>192800</v>
      </c>
      <c r="J2802" s="4">
        <v>21731791</v>
      </c>
      <c r="K2802" s="4">
        <f>IF(DatiOriginali!K2802 &gt;= SogliaPicchi!$B$30,"",DatiOriginali!K2802)</f>
        <v>221500</v>
      </c>
    </row>
    <row r="2803" spans="1:11" x14ac:dyDescent="0.3">
      <c r="A2803" s="4" t="s">
        <v>2812</v>
      </c>
      <c r="B2803" s="4">
        <v>1050525</v>
      </c>
      <c r="C2803" s="4">
        <f>IF(DatiOriginali!C2803 &gt;= SogliaPicchi!$B$30,"",DatiOriginali!C2803)</f>
        <v>10117300</v>
      </c>
      <c r="D2803" s="4">
        <v>521304</v>
      </c>
      <c r="E2803" s="4">
        <f>IF(DatiOriginali!E2803 &gt;= SogliaPicchi!$B$30,"",DatiOriginali!E2803)</f>
        <v>2087000</v>
      </c>
      <c r="F2803" s="4">
        <v>17305845</v>
      </c>
      <c r="G2803" s="4">
        <f>IF(DatiOriginali!G2803 &gt;= SogliaPicchi!$B$30,"",DatiOriginali!G2803)</f>
        <v>718400</v>
      </c>
      <c r="H2803" s="4">
        <v>21775974</v>
      </c>
      <c r="I2803" s="4">
        <f>IF(DatiOriginali!I2803 &gt;= SogliaPicchi!$B$30,"",DatiOriginali!I2803)</f>
        <v>232500</v>
      </c>
      <c r="J2803" s="4">
        <v>21748159</v>
      </c>
      <c r="K2803" s="4">
        <f>IF(DatiOriginali!K2803 &gt;= SogliaPicchi!$B$30,"",DatiOriginali!K2803)</f>
        <v>252500</v>
      </c>
    </row>
    <row r="2804" spans="1:11" x14ac:dyDescent="0.3">
      <c r="A2804" s="4" t="s">
        <v>2813</v>
      </c>
      <c r="B2804" s="4">
        <v>1050525</v>
      </c>
      <c r="C2804" s="4">
        <f>IF(DatiOriginali!C2804 &gt;= SogliaPicchi!$B$30,"",DatiOriginali!C2804)</f>
        <v>9506200</v>
      </c>
      <c r="D2804" s="4">
        <v>524694</v>
      </c>
      <c r="E2804" s="4">
        <f>IF(DatiOriginali!E2804 &gt;= SogliaPicchi!$B$30,"",DatiOriginali!E2804)</f>
        <v>1805300</v>
      </c>
      <c r="F2804" s="4">
        <v>17319238</v>
      </c>
      <c r="G2804" s="4">
        <f>IF(DatiOriginali!G2804 &gt;= SogliaPicchi!$B$30,"",DatiOriginali!G2804)</f>
        <v>566600</v>
      </c>
      <c r="H2804" s="4">
        <v>21794399</v>
      </c>
      <c r="I2804" s="4">
        <f>IF(DatiOriginali!I2804 &gt;= SogliaPicchi!$B$30,"",DatiOriginali!I2804)</f>
        <v>189900</v>
      </c>
      <c r="J2804" s="4">
        <v>21765389</v>
      </c>
      <c r="K2804" s="4">
        <f>IF(DatiOriginali!K2804 &gt;= SogliaPicchi!$B$30,"",DatiOriginali!K2804)</f>
        <v>215800</v>
      </c>
    </row>
    <row r="2805" spans="1:11" x14ac:dyDescent="0.3">
      <c r="A2805" s="4" t="s">
        <v>2814</v>
      </c>
      <c r="B2805" s="4">
        <v>1050525</v>
      </c>
      <c r="C2805" s="4">
        <f>IF(DatiOriginali!C2805 &gt;= SogliaPicchi!$B$30,"",DatiOriginali!C2805)</f>
        <v>10433100</v>
      </c>
      <c r="D2805" s="4">
        <v>534821</v>
      </c>
      <c r="E2805" s="4">
        <f>IF(DatiOriginali!E2805 &gt;= SogliaPicchi!$B$30,"",DatiOriginali!E2805)</f>
        <v>1854100</v>
      </c>
      <c r="F2805" s="4">
        <v>17332620</v>
      </c>
      <c r="G2805" s="4">
        <f>IF(DatiOriginali!G2805 &gt;= SogliaPicchi!$B$30,"",DatiOriginali!G2805)</f>
        <v>562100</v>
      </c>
      <c r="H2805" s="4">
        <v>21813460</v>
      </c>
      <c r="I2805" s="4">
        <f>IF(DatiOriginali!I2805 &gt;= SogliaPicchi!$B$30,"",DatiOriginali!I2805)</f>
        <v>194700</v>
      </c>
      <c r="J2805" s="4">
        <v>21782926</v>
      </c>
      <c r="K2805" s="4">
        <f>IF(DatiOriginali!K2805 &gt;= SogliaPicchi!$B$30,"",DatiOriginali!K2805)</f>
        <v>207100</v>
      </c>
    </row>
    <row r="2806" spans="1:11" x14ac:dyDescent="0.3">
      <c r="A2806" s="4" t="s">
        <v>2815</v>
      </c>
      <c r="B2806" s="4">
        <v>1050525</v>
      </c>
      <c r="C2806" s="4">
        <f>IF(DatiOriginali!C2806 &gt;= SogliaPicchi!$B$30,"",DatiOriginali!C2806)</f>
        <v>9590700</v>
      </c>
      <c r="D2806" s="4">
        <v>516228</v>
      </c>
      <c r="E2806" s="4">
        <f>IF(DatiOriginali!E2806 &gt;= SogliaPicchi!$B$30,"",DatiOriginali!E2806)</f>
        <v>2445100</v>
      </c>
      <c r="F2806" s="4">
        <v>17346026</v>
      </c>
      <c r="G2806" s="4">
        <f>IF(DatiOriginali!G2806 &gt;= SogliaPicchi!$B$30,"",DatiOriginali!G2806)</f>
        <v>720400</v>
      </c>
      <c r="H2806" s="4">
        <v>21829749</v>
      </c>
      <c r="I2806" s="4">
        <f>IF(DatiOriginali!I2806 &gt;= SogliaPicchi!$B$30,"",DatiOriginali!I2806)</f>
        <v>238600</v>
      </c>
      <c r="J2806" s="4">
        <v>21800476</v>
      </c>
      <c r="K2806" s="4">
        <f>IF(DatiOriginali!K2806 &gt;= SogliaPicchi!$B$30,"",DatiOriginali!K2806)</f>
        <v>271000</v>
      </c>
    </row>
    <row r="2807" spans="1:11" x14ac:dyDescent="0.3">
      <c r="A2807" s="4" t="s">
        <v>2816</v>
      </c>
      <c r="B2807" s="4">
        <v>1050525</v>
      </c>
      <c r="C2807" s="4">
        <f>IF(DatiOriginali!C2807 &gt;= SogliaPicchi!$B$30,"",DatiOriginali!C2807)</f>
        <v>9812200</v>
      </c>
      <c r="D2807" s="4">
        <v>523805</v>
      </c>
      <c r="E2807" s="4">
        <f>IF(DatiOriginali!E2807 &gt;= SogliaPicchi!$B$30,"",DatiOriginali!E2807)</f>
        <v>1803500</v>
      </c>
      <c r="F2807" s="4">
        <v>17359423</v>
      </c>
      <c r="G2807" s="4">
        <f>IF(DatiOriginali!G2807 &gt;= SogliaPicchi!$B$30,"",DatiOriginali!G2807)</f>
        <v>568700</v>
      </c>
      <c r="H2807" s="4">
        <v>21846166</v>
      </c>
      <c r="I2807" s="4">
        <f>IF(DatiOriginali!I2807 &gt;= SogliaPicchi!$B$30,"",DatiOriginali!I2807)</f>
        <v>199100</v>
      </c>
      <c r="J2807" s="4">
        <v>21818377</v>
      </c>
      <c r="K2807" s="4">
        <f>IF(DatiOriginali!K2807 &gt;= SogliaPicchi!$B$30,"",DatiOriginali!K2807)</f>
        <v>208300</v>
      </c>
    </row>
    <row r="2808" spans="1:11" x14ac:dyDescent="0.3">
      <c r="A2808" s="4" t="s">
        <v>2817</v>
      </c>
      <c r="B2808" s="4">
        <v>1050525</v>
      </c>
      <c r="C2808" s="4">
        <f>IF(DatiOriginali!C2808 &gt;= SogliaPicchi!$B$30,"",DatiOriginali!C2808)</f>
        <v>9932900</v>
      </c>
      <c r="D2808" s="4">
        <v>548653</v>
      </c>
      <c r="E2808" s="4">
        <f>IF(DatiOriginali!E2808 &gt;= SogliaPicchi!$B$30,"",DatiOriginali!E2808)</f>
        <v>1883700</v>
      </c>
      <c r="F2808" s="4">
        <v>17372839</v>
      </c>
      <c r="G2808" s="4">
        <f>IF(DatiOriginali!G2808 &gt;= SogliaPicchi!$B$30,"",DatiOriginali!G2808)</f>
        <v>563100</v>
      </c>
      <c r="H2808" s="4">
        <v>21863549</v>
      </c>
      <c r="I2808" s="4">
        <f>IF(DatiOriginali!I2808 &gt;= SogliaPicchi!$B$30,"",DatiOriginali!I2808)</f>
        <v>197800</v>
      </c>
      <c r="J2808" s="4">
        <v>21835480</v>
      </c>
      <c r="K2808" s="4">
        <f>IF(DatiOriginali!K2808 &gt;= SogliaPicchi!$B$30,"",DatiOriginali!K2808)</f>
        <v>211300</v>
      </c>
    </row>
    <row r="2809" spans="1:11" x14ac:dyDescent="0.3">
      <c r="A2809" s="4" t="s">
        <v>2818</v>
      </c>
      <c r="B2809" s="4">
        <v>1050525</v>
      </c>
      <c r="C2809" s="4">
        <f>IF(DatiOriginali!C2809 &gt;= SogliaPicchi!$B$30,"",DatiOriginali!C2809)</f>
        <v>10177700</v>
      </c>
      <c r="D2809" s="4">
        <v>506227</v>
      </c>
      <c r="E2809" s="4">
        <f>IF(DatiOriginali!E2809 &gt;= SogliaPicchi!$B$30,"",DatiOriginali!E2809)</f>
        <v>1801400</v>
      </c>
      <c r="F2809" s="4">
        <v>17386295</v>
      </c>
      <c r="G2809" s="4">
        <f>IF(DatiOriginali!G2809 &gt;= SogliaPicchi!$B$30,"",DatiOriginali!G2809)</f>
        <v>664800</v>
      </c>
      <c r="H2809" s="4">
        <v>21881318</v>
      </c>
      <c r="I2809" s="4">
        <f>IF(DatiOriginali!I2809 &gt;= SogliaPicchi!$B$30,"",DatiOriginali!I2809)</f>
        <v>236200</v>
      </c>
      <c r="J2809" s="4">
        <v>21851542</v>
      </c>
      <c r="K2809" s="4">
        <f>IF(DatiOriginali!K2809 &gt;= SogliaPicchi!$B$30,"",DatiOriginali!K2809)</f>
        <v>228500</v>
      </c>
    </row>
    <row r="2810" spans="1:11" x14ac:dyDescent="0.3">
      <c r="A2810" s="4" t="s">
        <v>2819</v>
      </c>
      <c r="B2810" s="4">
        <v>1050525</v>
      </c>
      <c r="C2810" s="4">
        <f>IF(DatiOriginali!C2810 &gt;= SogliaPicchi!$B$30,"",DatiOriginali!C2810)</f>
        <v>9505300</v>
      </c>
      <c r="D2810" s="4">
        <v>518631</v>
      </c>
      <c r="E2810" s="4">
        <f>IF(DatiOriginali!E2810 &gt;= SogliaPicchi!$B$30,"",DatiOriginali!E2810)</f>
        <v>1785100</v>
      </c>
      <c r="F2810" s="4">
        <v>17399755</v>
      </c>
      <c r="G2810" s="4">
        <f>IF(DatiOriginali!G2810 &gt;= SogliaPicchi!$B$30,"",DatiOriginali!G2810)</f>
        <v>558200</v>
      </c>
      <c r="H2810" s="4">
        <v>21898628</v>
      </c>
      <c r="I2810" s="4">
        <f>IF(DatiOriginali!I2810 &gt;= SogliaPicchi!$B$30,"",DatiOriginali!I2810)</f>
        <v>200700</v>
      </c>
      <c r="J2810" s="4">
        <v>21868386</v>
      </c>
      <c r="K2810" s="4">
        <f>IF(DatiOriginali!K2810 &gt;= SogliaPicchi!$B$30,"",DatiOriginali!K2810)</f>
        <v>217300</v>
      </c>
    </row>
    <row r="2811" spans="1:11" x14ac:dyDescent="0.3">
      <c r="A2811" s="4" t="s">
        <v>2820</v>
      </c>
      <c r="B2811" s="4">
        <v>1050525</v>
      </c>
      <c r="C2811" s="4">
        <f>IF(DatiOriginali!C2811 &gt;= SogliaPicchi!$B$30,"",DatiOriginali!C2811)</f>
        <v>9929300</v>
      </c>
      <c r="D2811" s="4">
        <v>521234</v>
      </c>
      <c r="E2811" s="4">
        <f>IF(DatiOriginali!E2811 &gt;= SogliaPicchi!$B$30,"",DatiOriginali!E2811)</f>
        <v>1800200</v>
      </c>
      <c r="F2811" s="4">
        <v>17413188</v>
      </c>
      <c r="G2811" s="4">
        <f>IF(DatiOriginali!G2811 &gt;= SogliaPicchi!$B$30,"",DatiOriginali!G2811)</f>
        <v>560400</v>
      </c>
      <c r="H2811" s="4">
        <v>21916300</v>
      </c>
      <c r="I2811" s="4">
        <f>IF(DatiOriginali!I2811 &gt;= SogliaPicchi!$B$30,"",DatiOriginali!I2811)</f>
        <v>192500</v>
      </c>
      <c r="J2811" s="4">
        <v>21884507</v>
      </c>
      <c r="K2811" s="4">
        <f>IF(DatiOriginali!K2811 &gt;= SogliaPicchi!$B$30,"",DatiOriginali!K2811)</f>
        <v>212700</v>
      </c>
    </row>
    <row r="2812" spans="1:11" x14ac:dyDescent="0.3">
      <c r="A2812" s="4" t="s">
        <v>2821</v>
      </c>
      <c r="B2812" s="4">
        <v>1050525</v>
      </c>
      <c r="C2812" s="4">
        <f>IF(DatiOriginali!C2812 &gt;= SogliaPicchi!$B$30,"",DatiOriginali!C2812)</f>
        <v>9765000</v>
      </c>
      <c r="D2812" s="4">
        <v>522931</v>
      </c>
      <c r="E2812" s="4">
        <f>IF(DatiOriginali!E2812 &gt;= SogliaPicchi!$B$30,"",DatiOriginali!E2812)</f>
        <v>1820400</v>
      </c>
      <c r="F2812" s="4">
        <v>17426627</v>
      </c>
      <c r="G2812" s="4">
        <f>IF(DatiOriginali!G2812 &gt;= SogliaPicchi!$B$30,"",DatiOriginali!G2812)</f>
        <v>564600</v>
      </c>
      <c r="H2812" s="4">
        <v>21936536</v>
      </c>
      <c r="I2812" s="4">
        <f>IF(DatiOriginali!I2812 &gt;= SogliaPicchi!$B$30,"",DatiOriginali!I2812)</f>
        <v>204500</v>
      </c>
      <c r="J2812" s="4">
        <v>21902971</v>
      </c>
      <c r="K2812" s="4">
        <f>IF(DatiOriginali!K2812 &gt;= SogliaPicchi!$B$30,"",DatiOriginali!K2812)</f>
        <v>218000</v>
      </c>
    </row>
    <row r="2813" spans="1:11" x14ac:dyDescent="0.3">
      <c r="A2813" s="4" t="s">
        <v>2822</v>
      </c>
      <c r="B2813" s="4">
        <v>1050525</v>
      </c>
      <c r="C2813" s="4">
        <f>IF(DatiOriginali!C2813 &gt;= SogliaPicchi!$B$30,"",DatiOriginali!C2813)</f>
        <v>10084500</v>
      </c>
      <c r="D2813" s="4">
        <v>520991</v>
      </c>
      <c r="E2813" s="4">
        <f>IF(DatiOriginali!E2813 &gt;= SogliaPicchi!$B$30,"",DatiOriginali!E2813)</f>
        <v>1799300</v>
      </c>
      <c r="F2813" s="4">
        <v>17440093</v>
      </c>
      <c r="G2813" s="4">
        <f>IF(DatiOriginali!G2813 &gt;= SogliaPicchi!$B$30,"",DatiOriginali!G2813)</f>
        <v>557700</v>
      </c>
      <c r="H2813" s="4">
        <v>21953681</v>
      </c>
      <c r="I2813" s="4">
        <f>IF(DatiOriginali!I2813 &gt;= SogliaPicchi!$B$30,"",DatiOriginali!I2813)</f>
        <v>200100</v>
      </c>
      <c r="J2813" s="4">
        <v>21922333</v>
      </c>
      <c r="K2813" s="4">
        <f>IF(DatiOriginali!K2813 &gt;= SogliaPicchi!$B$30,"",DatiOriginali!K2813)</f>
        <v>221800</v>
      </c>
    </row>
    <row r="2814" spans="1:11" x14ac:dyDescent="0.3">
      <c r="A2814" s="4" t="s">
        <v>2823</v>
      </c>
      <c r="B2814" s="4">
        <v>1050525</v>
      </c>
      <c r="C2814" s="4">
        <f>IF(DatiOriginali!C2814 &gt;= SogliaPicchi!$B$30,"",DatiOriginali!C2814)</f>
        <v>10187200</v>
      </c>
      <c r="D2814" s="4">
        <v>510844</v>
      </c>
      <c r="E2814" s="4">
        <f>IF(DatiOriginali!E2814 &gt;= SogliaPicchi!$B$30,"",DatiOriginali!E2814)</f>
        <v>1908600</v>
      </c>
      <c r="F2814" s="4">
        <v>17453497</v>
      </c>
      <c r="G2814" s="4">
        <f>IF(DatiOriginali!G2814 &gt;= SogliaPicchi!$B$30,"",DatiOriginali!G2814)</f>
        <v>571700</v>
      </c>
      <c r="H2814" s="4">
        <v>21970555</v>
      </c>
      <c r="I2814" s="4">
        <f>IF(DatiOriginali!I2814 &gt;= SogliaPicchi!$B$30,"",DatiOriginali!I2814)</f>
        <v>189900</v>
      </c>
      <c r="J2814" s="4">
        <v>21939434</v>
      </c>
      <c r="K2814" s="4">
        <f>IF(DatiOriginali!K2814 &gt;= SogliaPicchi!$B$30,"",DatiOriginali!K2814)</f>
        <v>217600</v>
      </c>
    </row>
    <row r="2815" spans="1:11" x14ac:dyDescent="0.3">
      <c r="A2815" s="4" t="s">
        <v>2824</v>
      </c>
      <c r="B2815" s="4">
        <v>1050525</v>
      </c>
      <c r="C2815" s="4">
        <f>IF(DatiOriginali!C2815 &gt;= SogliaPicchi!$B$30,"",DatiOriginali!C2815)</f>
        <v>9521200</v>
      </c>
      <c r="D2815" s="4">
        <v>516165</v>
      </c>
      <c r="E2815" s="4">
        <f>IF(DatiOriginali!E2815 &gt;= SogliaPicchi!$B$30,"",DatiOriginali!E2815)</f>
        <v>1779400</v>
      </c>
      <c r="F2815" s="4">
        <v>17466941</v>
      </c>
      <c r="G2815" s="4">
        <f>IF(DatiOriginali!G2815 &gt;= SogliaPicchi!$B$30,"",DatiOriginali!G2815)</f>
        <v>560700</v>
      </c>
      <c r="H2815" s="4">
        <v>21986809</v>
      </c>
      <c r="I2815" s="4">
        <f>IF(DatiOriginali!I2815 &gt;= SogliaPicchi!$B$30,"",DatiOriginali!I2815)</f>
        <v>195800</v>
      </c>
      <c r="J2815" s="4">
        <v>21957650</v>
      </c>
      <c r="K2815" s="4">
        <f>IF(DatiOriginali!K2815 &gt;= SogliaPicchi!$B$30,"",DatiOriginali!K2815)</f>
        <v>220000</v>
      </c>
    </row>
    <row r="2816" spans="1:11" x14ac:dyDescent="0.3">
      <c r="A2816" s="4" t="s">
        <v>2825</v>
      </c>
      <c r="B2816" s="4">
        <v>1050525</v>
      </c>
      <c r="C2816" s="4">
        <f>IF(DatiOriginali!C2816 &gt;= SogliaPicchi!$B$30,"",DatiOriginali!C2816)</f>
        <v>9630000</v>
      </c>
      <c r="D2816" s="4">
        <v>528249</v>
      </c>
      <c r="E2816" s="4">
        <f>IF(DatiOriginali!E2816 &gt;= SogliaPicchi!$B$30,"",DatiOriginali!E2816)</f>
        <v>1838900</v>
      </c>
      <c r="F2816" s="4">
        <v>17480345</v>
      </c>
      <c r="G2816" s="4">
        <f>IF(DatiOriginali!G2816 &gt;= SogliaPicchi!$B$30,"",DatiOriginali!G2816)</f>
        <v>563400</v>
      </c>
      <c r="H2816" s="4">
        <v>22004016</v>
      </c>
      <c r="I2816" s="4">
        <f>IF(DatiOriginali!I2816 &gt;= SogliaPicchi!$B$30,"",DatiOriginali!I2816)</f>
        <v>196300</v>
      </c>
      <c r="J2816" s="4">
        <v>21973987</v>
      </c>
      <c r="K2816" s="4">
        <f>IF(DatiOriginali!K2816 &gt;= SogliaPicchi!$B$30,"",DatiOriginali!K2816)</f>
        <v>211200</v>
      </c>
    </row>
    <row r="2817" spans="1:11" x14ac:dyDescent="0.3">
      <c r="A2817" s="4" t="s">
        <v>2826</v>
      </c>
      <c r="B2817" s="4">
        <v>1050525</v>
      </c>
      <c r="C2817" s="4">
        <f>IF(DatiOriginali!C2817 &gt;= SogliaPicchi!$B$30,"",DatiOriginali!C2817)</f>
        <v>9444300</v>
      </c>
      <c r="D2817" s="4">
        <v>528732</v>
      </c>
      <c r="E2817" s="4">
        <f>IF(DatiOriginali!E2817 &gt;= SogliaPicchi!$B$30,"",DatiOriginali!E2817)</f>
        <v>1940400</v>
      </c>
      <c r="F2817" s="4">
        <v>17493809</v>
      </c>
      <c r="G2817" s="4">
        <f>IF(DatiOriginali!G2817 &gt;= SogliaPicchi!$B$30,"",DatiOriginali!G2817)</f>
        <v>580500</v>
      </c>
      <c r="H2817" s="4">
        <v>22020552</v>
      </c>
      <c r="I2817" s="4">
        <f>IF(DatiOriginali!I2817 &gt;= SogliaPicchi!$B$30,"",DatiOriginali!I2817)</f>
        <v>197100</v>
      </c>
      <c r="J2817" s="4">
        <v>21991809</v>
      </c>
      <c r="K2817" s="4">
        <f>IF(DatiOriginali!K2817 &gt;= SogliaPicchi!$B$30,"",DatiOriginali!K2817)</f>
        <v>210600</v>
      </c>
    </row>
    <row r="2818" spans="1:11" x14ac:dyDescent="0.3">
      <c r="A2818" s="4" t="s">
        <v>2827</v>
      </c>
      <c r="B2818" s="4">
        <v>1050525</v>
      </c>
      <c r="C2818" s="4">
        <f>IF(DatiOriginali!C2818 &gt;= SogliaPicchi!$B$30,"",DatiOriginali!C2818)</f>
        <v>9463000</v>
      </c>
      <c r="D2818" s="4">
        <v>534952</v>
      </c>
      <c r="E2818" s="4">
        <f>IF(DatiOriginali!E2818 &gt;= SogliaPicchi!$B$30,"",DatiOriginali!E2818)</f>
        <v>1840400</v>
      </c>
      <c r="F2818" s="4">
        <v>17507273</v>
      </c>
      <c r="G2818" s="4">
        <f>IF(DatiOriginali!G2818 &gt;= SogliaPicchi!$B$30,"",DatiOriginali!G2818)</f>
        <v>569300</v>
      </c>
      <c r="H2818" s="4">
        <v>22038252</v>
      </c>
      <c r="I2818" s="4">
        <f>IF(DatiOriginali!I2818 &gt;= SogliaPicchi!$B$30,"",DatiOriginali!I2818)</f>
        <v>193000</v>
      </c>
      <c r="J2818" s="4">
        <v>22008460</v>
      </c>
      <c r="K2818" s="4">
        <f>IF(DatiOriginali!K2818 &gt;= SogliaPicchi!$B$30,"",DatiOriginali!K2818)</f>
        <v>216300</v>
      </c>
    </row>
    <row r="2819" spans="1:11" x14ac:dyDescent="0.3">
      <c r="A2819" s="4" t="s">
        <v>2828</v>
      </c>
      <c r="B2819" s="4">
        <v>1050525</v>
      </c>
      <c r="C2819" s="4">
        <f>IF(DatiOriginali!C2819 &gt;= SogliaPicchi!$B$30,"",DatiOriginali!C2819)</f>
        <v>9761400</v>
      </c>
      <c r="D2819" s="4">
        <v>546805</v>
      </c>
      <c r="E2819" s="4">
        <f>IF(DatiOriginali!E2819 &gt;= SogliaPicchi!$B$30,"",DatiOriginali!E2819)</f>
        <v>1878900</v>
      </c>
      <c r="F2819" s="4">
        <v>17520703</v>
      </c>
      <c r="G2819" s="4">
        <f>IF(DatiOriginali!G2819 &gt;= SogliaPicchi!$B$30,"",DatiOriginali!G2819)</f>
        <v>568800</v>
      </c>
      <c r="H2819" s="4">
        <v>22055875</v>
      </c>
      <c r="I2819" s="4">
        <f>IF(DatiOriginali!I2819 &gt;= SogliaPicchi!$B$30,"",DatiOriginali!I2819)</f>
        <v>191900</v>
      </c>
      <c r="J2819" s="4">
        <v>22026216</v>
      </c>
      <c r="K2819" s="4">
        <f>IF(DatiOriginali!K2819 &gt;= SogliaPicchi!$B$30,"",DatiOriginali!K2819)</f>
        <v>220600</v>
      </c>
    </row>
    <row r="2820" spans="1:11" x14ac:dyDescent="0.3">
      <c r="A2820" s="4" t="s">
        <v>2829</v>
      </c>
      <c r="B2820" s="4">
        <v>1050525</v>
      </c>
      <c r="C2820" s="4">
        <f>IF(DatiOriginali!C2820 &gt;= SogliaPicchi!$B$30,"",DatiOriginali!C2820)</f>
        <v>9713800</v>
      </c>
      <c r="D2820" s="4">
        <v>519217</v>
      </c>
      <c r="E2820" s="4">
        <f>IF(DatiOriginali!E2820 &gt;= SogliaPicchi!$B$30,"",DatiOriginali!E2820)</f>
        <v>1787900</v>
      </c>
      <c r="F2820" s="4">
        <v>17534090</v>
      </c>
      <c r="G2820" s="4">
        <f>IF(DatiOriginali!G2820 &gt;= SogliaPicchi!$B$30,"",DatiOriginali!G2820)</f>
        <v>565400</v>
      </c>
      <c r="H2820" s="4">
        <v>22071877</v>
      </c>
      <c r="I2820" s="4">
        <f>IF(DatiOriginali!I2820 &gt;= SogliaPicchi!$B$30,"",DatiOriginali!I2820)</f>
        <v>191900</v>
      </c>
      <c r="J2820" s="4">
        <v>22042927</v>
      </c>
      <c r="K2820" s="4">
        <f>IF(DatiOriginali!K2820 &gt;= SogliaPicchi!$B$30,"",DatiOriginali!K2820)</f>
        <v>211500</v>
      </c>
    </row>
    <row r="2821" spans="1:11" x14ac:dyDescent="0.3">
      <c r="A2821" s="4" t="s">
        <v>2830</v>
      </c>
      <c r="B2821" s="4">
        <v>1050525</v>
      </c>
      <c r="C2821" s="4">
        <f>IF(DatiOriginali!C2821 &gt;= SogliaPicchi!$B$30,"",DatiOriginali!C2821)</f>
        <v>9687400</v>
      </c>
      <c r="D2821" s="4">
        <v>520349</v>
      </c>
      <c r="E2821" s="4">
        <f>IF(DatiOriginali!E2821 &gt;= SogliaPicchi!$B$30,"",DatiOriginali!E2821)</f>
        <v>1836100</v>
      </c>
      <c r="F2821" s="4">
        <v>17547498</v>
      </c>
      <c r="G2821" s="4">
        <f>IF(DatiOriginali!G2821 &gt;= SogliaPicchi!$B$30,"",DatiOriginali!G2821)</f>
        <v>563400</v>
      </c>
      <c r="H2821" s="4">
        <v>22090639</v>
      </c>
      <c r="I2821" s="4">
        <f>IF(DatiOriginali!I2821 &gt;= SogliaPicchi!$B$30,"",DatiOriginali!I2821)</f>
        <v>195000</v>
      </c>
      <c r="J2821" s="4">
        <v>22059722</v>
      </c>
      <c r="K2821" s="4">
        <f>IF(DatiOriginali!K2821 &gt;= SogliaPicchi!$B$30,"",DatiOriginali!K2821)</f>
        <v>215500</v>
      </c>
    </row>
    <row r="2822" spans="1:11" x14ac:dyDescent="0.3">
      <c r="A2822" s="4" t="s">
        <v>2831</v>
      </c>
      <c r="B2822" s="4">
        <v>1050525</v>
      </c>
      <c r="C2822" s="4">
        <f>IF(DatiOriginali!C2822 &gt;= SogliaPicchi!$B$30,"",DatiOriginali!C2822)</f>
        <v>9657700</v>
      </c>
      <c r="D2822" s="4">
        <v>534937</v>
      </c>
      <c r="E2822" s="4">
        <f>IF(DatiOriginali!E2822 &gt;= SogliaPicchi!$B$30,"",DatiOriginali!E2822)</f>
        <v>1959100</v>
      </c>
      <c r="F2822" s="4">
        <v>17560945</v>
      </c>
      <c r="G2822" s="4">
        <f>IF(DatiOriginali!G2822 &gt;= SogliaPicchi!$B$30,"",DatiOriginali!G2822)</f>
        <v>568100</v>
      </c>
      <c r="H2822" s="4">
        <v>22107549</v>
      </c>
      <c r="I2822" s="4">
        <f>IF(DatiOriginali!I2822 &gt;= SogliaPicchi!$B$30,"",DatiOriginali!I2822)</f>
        <v>193400</v>
      </c>
      <c r="J2822" s="4">
        <v>22078413</v>
      </c>
      <c r="K2822" s="4">
        <f>IF(DatiOriginali!K2822 &gt;= SogliaPicchi!$B$30,"",DatiOriginali!K2822)</f>
        <v>217000</v>
      </c>
    </row>
    <row r="2823" spans="1:11" x14ac:dyDescent="0.3">
      <c r="A2823" s="4" t="s">
        <v>2832</v>
      </c>
      <c r="B2823" s="4">
        <v>1050525</v>
      </c>
      <c r="C2823" s="4">
        <f>IF(DatiOriginali!C2823 &gt;= SogliaPicchi!$B$30,"",DatiOriginali!C2823)</f>
        <v>10437000</v>
      </c>
      <c r="D2823" s="4">
        <v>514684</v>
      </c>
      <c r="E2823" s="4">
        <f>IF(DatiOriginali!E2823 &gt;= SogliaPicchi!$B$30,"",DatiOriginali!E2823)</f>
        <v>1774100</v>
      </c>
      <c r="F2823" s="4">
        <v>17574395</v>
      </c>
      <c r="G2823" s="4">
        <f>IF(DatiOriginali!G2823 &gt;= SogliaPicchi!$B$30,"",DatiOriginali!G2823)</f>
        <v>574800</v>
      </c>
      <c r="H2823" s="4">
        <v>22124196</v>
      </c>
      <c r="I2823" s="4">
        <f>IF(DatiOriginali!I2823 &gt;= SogliaPicchi!$B$30,"",DatiOriginali!I2823)</f>
        <v>193500</v>
      </c>
      <c r="J2823" s="4">
        <v>22094850</v>
      </c>
      <c r="K2823" s="4">
        <f>IF(DatiOriginali!K2823 &gt;= SogliaPicchi!$B$30,"",DatiOriginali!K2823)</f>
        <v>212500</v>
      </c>
    </row>
    <row r="2824" spans="1:11" x14ac:dyDescent="0.3">
      <c r="A2824" s="4" t="s">
        <v>2833</v>
      </c>
      <c r="B2824" s="4">
        <v>1050525</v>
      </c>
      <c r="C2824" s="4">
        <f>IF(DatiOriginali!C2824 &gt;= SogliaPicchi!$B$30,"",DatiOriginali!C2824)</f>
        <v>9681100</v>
      </c>
      <c r="D2824" s="4">
        <v>518945</v>
      </c>
      <c r="E2824" s="4">
        <f>IF(DatiOriginali!E2824 &gt;= SogliaPicchi!$B$30,"",DatiOriginali!E2824)</f>
        <v>1780600</v>
      </c>
      <c r="F2824" s="4">
        <v>17587834</v>
      </c>
      <c r="G2824" s="4">
        <f>IF(DatiOriginali!G2824 &gt;= SogliaPicchi!$B$30,"",DatiOriginali!G2824)</f>
        <v>576400</v>
      </c>
      <c r="H2824" s="4">
        <v>22142843</v>
      </c>
      <c r="I2824" s="4">
        <f>IF(DatiOriginali!I2824 &gt;= SogliaPicchi!$B$30,"",DatiOriginali!I2824)</f>
        <v>205800</v>
      </c>
      <c r="J2824" s="4">
        <v>22112137</v>
      </c>
      <c r="K2824" s="4">
        <f>IF(DatiOriginali!K2824 &gt;= SogliaPicchi!$B$30,"",DatiOriginali!K2824)</f>
        <v>215300</v>
      </c>
    </row>
    <row r="2825" spans="1:11" x14ac:dyDescent="0.3">
      <c r="A2825" s="4" t="s">
        <v>2834</v>
      </c>
      <c r="B2825" s="4">
        <v>1050525</v>
      </c>
      <c r="C2825" s="4">
        <f>IF(DatiOriginali!C2825 &gt;= SogliaPicchi!$B$30,"",DatiOriginali!C2825)</f>
        <v>9619200</v>
      </c>
      <c r="D2825" s="4">
        <v>519587</v>
      </c>
      <c r="E2825" s="4">
        <f>IF(DatiOriginali!E2825 &gt;= SogliaPicchi!$B$30,"",DatiOriginali!E2825)</f>
        <v>2028700</v>
      </c>
      <c r="F2825" s="4">
        <v>17601238</v>
      </c>
      <c r="G2825" s="4">
        <f>IF(DatiOriginali!G2825 &gt;= SogliaPicchi!$B$30,"",DatiOriginali!G2825)</f>
        <v>586800</v>
      </c>
      <c r="H2825" s="4">
        <v>22159160</v>
      </c>
      <c r="I2825" s="4">
        <f>IF(DatiOriginali!I2825 &gt;= SogliaPicchi!$B$30,"",DatiOriginali!I2825)</f>
        <v>191000</v>
      </c>
      <c r="J2825" s="4">
        <v>22129781</v>
      </c>
      <c r="K2825" s="4">
        <f>IF(DatiOriginali!K2825 &gt;= SogliaPicchi!$B$30,"",DatiOriginali!K2825)</f>
        <v>216600</v>
      </c>
    </row>
    <row r="2826" spans="1:11" x14ac:dyDescent="0.3">
      <c r="A2826" s="4" t="s">
        <v>2835</v>
      </c>
      <c r="B2826" s="4">
        <v>1050525</v>
      </c>
      <c r="C2826" s="4">
        <f>IF(DatiOriginali!C2826 &gt;= SogliaPicchi!$B$30,"",DatiOriginali!C2826)</f>
        <v>10054500</v>
      </c>
      <c r="D2826" s="4">
        <v>544096</v>
      </c>
      <c r="E2826" s="4">
        <f>IF(DatiOriginali!E2826 &gt;= SogliaPicchi!$B$30,"",DatiOriginali!E2826)</f>
        <v>1872400</v>
      </c>
      <c r="F2826" s="4">
        <v>17614676</v>
      </c>
      <c r="G2826" s="4">
        <f>IF(DatiOriginali!G2826 &gt;= SogliaPicchi!$B$30,"",DatiOriginali!G2826)</f>
        <v>559100</v>
      </c>
      <c r="H2826" s="4">
        <v>22176045</v>
      </c>
      <c r="I2826" s="4">
        <f>IF(DatiOriginali!I2826 &gt;= SogliaPicchi!$B$30,"",DatiOriginali!I2826)</f>
        <v>194100</v>
      </c>
      <c r="J2826" s="4">
        <v>22146547</v>
      </c>
      <c r="K2826" s="4">
        <f>IF(DatiOriginali!K2826 &gt;= SogliaPicchi!$B$30,"",DatiOriginali!K2826)</f>
        <v>214800</v>
      </c>
    </row>
    <row r="2827" spans="1:11" x14ac:dyDescent="0.3">
      <c r="A2827" s="4" t="s">
        <v>2836</v>
      </c>
      <c r="B2827" s="4">
        <v>1050525</v>
      </c>
      <c r="C2827" s="4">
        <f>IF(DatiOriginali!C2827 &gt;= SogliaPicchi!$B$30,"",DatiOriginali!C2827)</f>
        <v>10217700</v>
      </c>
      <c r="D2827" s="4">
        <v>531143</v>
      </c>
      <c r="E2827" s="4">
        <f>IF(DatiOriginali!E2827 &gt;= SogliaPicchi!$B$30,"",DatiOriginali!E2827)</f>
        <v>1830200</v>
      </c>
      <c r="F2827" s="4">
        <v>17628084</v>
      </c>
      <c r="G2827" s="4">
        <f>IF(DatiOriginali!G2827 &gt;= SogliaPicchi!$B$30,"",DatiOriginali!G2827)</f>
        <v>562600</v>
      </c>
      <c r="H2827" s="4">
        <v>22192689</v>
      </c>
      <c r="I2827" s="4">
        <f>IF(DatiOriginali!I2827 &gt;= SogliaPicchi!$B$30,"",DatiOriginali!I2827)</f>
        <v>189600</v>
      </c>
      <c r="J2827" s="4">
        <v>22163517</v>
      </c>
      <c r="K2827" s="4">
        <f>IF(DatiOriginali!K2827 &gt;= SogliaPicchi!$B$30,"",DatiOriginali!K2827)</f>
        <v>221500</v>
      </c>
    </row>
    <row r="2828" spans="1:11" x14ac:dyDescent="0.3">
      <c r="A2828" s="4" t="s">
        <v>2837</v>
      </c>
      <c r="B2828" s="4">
        <v>1050525</v>
      </c>
      <c r="C2828" s="4">
        <f>IF(DatiOriginali!C2828 &gt;= SogliaPicchi!$B$30,"",DatiOriginali!C2828)</f>
        <v>10180400</v>
      </c>
      <c r="D2828" s="4">
        <v>515082</v>
      </c>
      <c r="E2828" s="4">
        <f>IF(DatiOriginali!E2828 &gt;= SogliaPicchi!$B$30,"",DatiOriginali!E2828)</f>
        <v>1929100</v>
      </c>
      <c r="F2828" s="4">
        <v>17641527</v>
      </c>
      <c r="G2828" s="4">
        <f>IF(DatiOriginali!G2828 &gt;= SogliaPicchi!$B$30,"",DatiOriginali!G2828)</f>
        <v>673200</v>
      </c>
      <c r="H2828" s="4">
        <v>22208118</v>
      </c>
      <c r="I2828" s="4">
        <f>IF(DatiOriginali!I2828 &gt;= SogliaPicchi!$B$30,"",DatiOriginali!I2828)</f>
        <v>194000</v>
      </c>
      <c r="J2828" s="4">
        <v>22181773</v>
      </c>
      <c r="K2828" s="4">
        <f>IF(DatiOriginali!K2828 &gt;= SogliaPicchi!$B$30,"",DatiOriginali!K2828)</f>
        <v>215300</v>
      </c>
    </row>
    <row r="2829" spans="1:11" x14ac:dyDescent="0.3">
      <c r="A2829" s="4" t="s">
        <v>2838</v>
      </c>
      <c r="B2829" s="4">
        <v>1050525</v>
      </c>
      <c r="C2829" s="4">
        <f>IF(DatiOriginali!C2829 &gt;= SogliaPicchi!$B$30,"",DatiOriginali!C2829)</f>
        <v>9684700</v>
      </c>
      <c r="D2829" s="4">
        <v>515428</v>
      </c>
      <c r="E2829" s="4">
        <f>IF(DatiOriginali!E2829 &gt;= SogliaPicchi!$B$30,"",DatiOriginali!E2829)</f>
        <v>1775400</v>
      </c>
      <c r="F2829" s="4">
        <v>17654947</v>
      </c>
      <c r="G2829" s="4">
        <f>IF(DatiOriginali!G2829 &gt;= SogliaPicchi!$B$30,"",DatiOriginali!G2829)</f>
        <v>563000</v>
      </c>
      <c r="H2829" s="4">
        <v>22224754</v>
      </c>
      <c r="I2829" s="4">
        <f>IF(DatiOriginali!I2829 &gt;= SogliaPicchi!$B$30,"",DatiOriginali!I2829)</f>
        <v>199800</v>
      </c>
      <c r="J2829" s="4">
        <v>22198428</v>
      </c>
      <c r="K2829" s="4">
        <f>IF(DatiOriginali!K2829 &gt;= SogliaPicchi!$B$30,"",DatiOriginali!K2829)</f>
        <v>221900</v>
      </c>
    </row>
    <row r="2830" spans="1:11" x14ac:dyDescent="0.3">
      <c r="A2830" s="4" t="s">
        <v>2839</v>
      </c>
      <c r="B2830" s="4">
        <v>1050525</v>
      </c>
      <c r="C2830" s="4">
        <f>IF(DatiOriginali!C2830 &gt;= SogliaPicchi!$B$30,"",DatiOriginali!C2830)</f>
        <v>10123500</v>
      </c>
      <c r="D2830" s="4">
        <v>520413</v>
      </c>
      <c r="E2830" s="4">
        <f>IF(DatiOriginali!E2830 &gt;= SogliaPicchi!$B$30,"",DatiOriginali!E2830)</f>
        <v>1796300</v>
      </c>
      <c r="F2830" s="4">
        <v>17668395</v>
      </c>
      <c r="G2830" s="4">
        <f>IF(DatiOriginali!G2830 &gt;= SogliaPicchi!$B$30,"",DatiOriginali!G2830)</f>
        <v>565300</v>
      </c>
      <c r="H2830" s="4">
        <v>22244680</v>
      </c>
      <c r="I2830" s="4">
        <f>IF(DatiOriginali!I2830 &gt;= SogliaPicchi!$B$30,"",DatiOriginali!I2830)</f>
        <v>203200</v>
      </c>
      <c r="J2830" s="4">
        <v>22215019</v>
      </c>
      <c r="K2830" s="4">
        <f>IF(DatiOriginali!K2830 &gt;= SogliaPicchi!$B$30,"",DatiOriginali!K2830)</f>
        <v>215000</v>
      </c>
    </row>
    <row r="2831" spans="1:11" x14ac:dyDescent="0.3">
      <c r="A2831" s="4" t="s">
        <v>2840</v>
      </c>
      <c r="B2831" s="4">
        <v>1050525</v>
      </c>
      <c r="C2831" s="4">
        <f>IF(DatiOriginali!C2831 &gt;= SogliaPicchi!$B$30,"",DatiOriginali!C2831)</f>
        <v>10118800</v>
      </c>
      <c r="D2831" s="4">
        <v>525067</v>
      </c>
      <c r="E2831" s="4">
        <f>IF(DatiOriginali!E2831 &gt;= SogliaPicchi!$B$30,"",DatiOriginali!E2831)</f>
        <v>1816500</v>
      </c>
      <c r="F2831" s="4">
        <v>17681818</v>
      </c>
      <c r="G2831" s="4">
        <f>IF(DatiOriginali!G2831 &gt;= SogliaPicchi!$B$30,"",DatiOriginali!G2831)</f>
        <v>613300</v>
      </c>
      <c r="H2831" s="4">
        <v>22261187</v>
      </c>
      <c r="I2831" s="4">
        <f>IF(DatiOriginali!I2831 &gt;= SogliaPicchi!$B$30,"",DatiOriginali!I2831)</f>
        <v>266300</v>
      </c>
      <c r="J2831" s="4">
        <v>22233323</v>
      </c>
      <c r="K2831" s="4">
        <f>IF(DatiOriginali!K2831 &gt;= SogliaPicchi!$B$30,"",DatiOriginali!K2831)</f>
        <v>265100</v>
      </c>
    </row>
    <row r="2832" spans="1:11" x14ac:dyDescent="0.3">
      <c r="A2832" s="4" t="s">
        <v>2841</v>
      </c>
      <c r="B2832" s="4">
        <v>1050525</v>
      </c>
      <c r="C2832" s="4">
        <f>IF(DatiOriginali!C2832 &gt;= SogliaPicchi!$B$30,"",DatiOriginali!C2832)</f>
        <v>9667800</v>
      </c>
      <c r="D2832" s="4">
        <v>516228</v>
      </c>
      <c r="E2832" s="4">
        <f>IF(DatiOriginali!E2832 &gt;= SogliaPicchi!$B$30,"",DatiOriginali!E2832)</f>
        <v>2003700</v>
      </c>
      <c r="F2832" s="4">
        <v>17695264</v>
      </c>
      <c r="G2832" s="4">
        <f>IF(DatiOriginali!G2832 &gt;= SogliaPicchi!$B$30,"",DatiOriginali!G2832)</f>
        <v>566100</v>
      </c>
      <c r="H2832" s="4">
        <v>22278645</v>
      </c>
      <c r="I2832" s="4">
        <f>IF(DatiOriginali!I2832 &gt;= SogliaPicchi!$B$30,"",DatiOriginali!I2832)</f>
        <v>201200</v>
      </c>
      <c r="J2832" s="4">
        <v>22249550</v>
      </c>
      <c r="K2832" s="4">
        <f>IF(DatiOriginali!K2832 &gt;= SogliaPicchi!$B$30,"",DatiOriginali!K2832)</f>
        <v>210400</v>
      </c>
    </row>
    <row r="2833" spans="1:11" x14ac:dyDescent="0.3">
      <c r="A2833" s="4" t="s">
        <v>2842</v>
      </c>
      <c r="B2833" s="4">
        <v>1050525</v>
      </c>
      <c r="C2833" s="4">
        <f>IF(DatiOriginali!C2833 &gt;= SogliaPicchi!$B$30,"",DatiOriginali!C2833)</f>
        <v>9710100</v>
      </c>
      <c r="D2833" s="4">
        <v>541188</v>
      </c>
      <c r="E2833" s="4">
        <f>IF(DatiOriginali!E2833 &gt;= SogliaPicchi!$B$30,"",DatiOriginali!E2833)</f>
        <v>1905700</v>
      </c>
      <c r="F2833" s="4">
        <v>17708722</v>
      </c>
      <c r="G2833" s="4">
        <f>IF(DatiOriginali!G2833 &gt;= SogliaPicchi!$B$30,"",DatiOriginali!G2833)</f>
        <v>564700</v>
      </c>
      <c r="H2833" s="4">
        <v>22296630</v>
      </c>
      <c r="I2833" s="4">
        <f>IF(DatiOriginali!I2833 &gt;= SogliaPicchi!$B$30,"",DatiOriginali!I2833)</f>
        <v>195100</v>
      </c>
      <c r="J2833" s="4">
        <v>22266042</v>
      </c>
      <c r="K2833" s="4">
        <f>IF(DatiOriginali!K2833 &gt;= SogliaPicchi!$B$30,"",DatiOriginali!K2833)</f>
        <v>216900</v>
      </c>
    </row>
    <row r="2834" spans="1:11" x14ac:dyDescent="0.3">
      <c r="A2834" s="4" t="s">
        <v>2843</v>
      </c>
      <c r="B2834" s="4">
        <v>1050525</v>
      </c>
      <c r="C2834" s="4">
        <f>IF(DatiOriginali!C2834 &gt;= SogliaPicchi!$B$30,"",DatiOriginali!C2834)</f>
        <v>10043000</v>
      </c>
      <c r="D2834" s="4">
        <v>524165</v>
      </c>
      <c r="E2834" s="4">
        <f>IF(DatiOriginali!E2834 &gt;= SogliaPicchi!$B$30,"",DatiOriginali!E2834)</f>
        <v>1867800</v>
      </c>
      <c r="F2834" s="4">
        <v>17722169</v>
      </c>
      <c r="G2834" s="4">
        <f>IF(DatiOriginali!G2834 &gt;= SogliaPicchi!$B$30,"",DatiOriginali!G2834)</f>
        <v>568700</v>
      </c>
      <c r="H2834" s="4">
        <v>22312679</v>
      </c>
      <c r="I2834" s="4">
        <f>IF(DatiOriginali!I2834 &gt;= SogliaPicchi!$B$30,"",DatiOriginali!I2834)</f>
        <v>201500</v>
      </c>
      <c r="J2834" s="4">
        <v>22283109</v>
      </c>
      <c r="K2834" s="4">
        <f>IF(DatiOriginali!K2834 &gt;= SogliaPicchi!$B$30,"",DatiOriginali!K2834)</f>
        <v>211200</v>
      </c>
    </row>
    <row r="2835" spans="1:11" x14ac:dyDescent="0.3">
      <c r="A2835" s="4" t="s">
        <v>2844</v>
      </c>
      <c r="B2835" s="4">
        <v>1050525</v>
      </c>
      <c r="C2835" s="4">
        <f>IF(DatiOriginali!C2835 &gt;= SogliaPicchi!$B$30,"",DatiOriginali!C2835)</f>
        <v>10403300</v>
      </c>
      <c r="D2835" s="4">
        <v>527604</v>
      </c>
      <c r="E2835" s="4">
        <f>IF(DatiOriginali!E2835 &gt;= SogliaPicchi!$B$30,"",DatiOriginali!E2835)</f>
        <v>1857900</v>
      </c>
      <c r="F2835" s="4">
        <v>17735613</v>
      </c>
      <c r="G2835" s="4">
        <f>IF(DatiOriginali!G2835 &gt;= SogliaPicchi!$B$30,"",DatiOriginali!G2835)</f>
        <v>559700</v>
      </c>
      <c r="H2835" s="4">
        <v>22332039</v>
      </c>
      <c r="I2835" s="4">
        <f>IF(DatiOriginali!I2835 &gt;= SogliaPicchi!$B$30,"",DatiOriginali!I2835)</f>
        <v>197300</v>
      </c>
      <c r="J2835" s="4">
        <v>22300300</v>
      </c>
      <c r="K2835" s="4">
        <f>IF(DatiOriginali!K2835 &gt;= SogliaPicchi!$B$30,"",DatiOriginali!K2835)</f>
        <v>219400</v>
      </c>
    </row>
    <row r="2836" spans="1:11" x14ac:dyDescent="0.3">
      <c r="A2836" s="4" t="s">
        <v>2845</v>
      </c>
      <c r="B2836" s="4">
        <v>1050525</v>
      </c>
      <c r="C2836" s="4">
        <f>IF(DatiOriginali!C2836 &gt;= SogliaPicchi!$B$30,"",DatiOriginali!C2836)</f>
        <v>10320600</v>
      </c>
      <c r="D2836" s="4">
        <v>511828</v>
      </c>
      <c r="E2836" s="4">
        <f>IF(DatiOriginali!E2836 &gt;= SogliaPicchi!$B$30,"",DatiOriginali!E2836)</f>
        <v>1824000</v>
      </c>
      <c r="F2836" s="4">
        <v>17749057</v>
      </c>
      <c r="G2836" s="4">
        <f>IF(DatiOriginali!G2836 &gt;= SogliaPicchi!$B$30,"",DatiOriginali!G2836)</f>
        <v>648900</v>
      </c>
      <c r="H2836" s="4">
        <v>22350685</v>
      </c>
      <c r="I2836" s="4">
        <f>IF(DatiOriginali!I2836 &gt;= SogliaPicchi!$B$30,"",DatiOriginali!I2836)</f>
        <v>194100</v>
      </c>
      <c r="J2836" s="4">
        <v>22316561</v>
      </c>
      <c r="K2836" s="4">
        <f>IF(DatiOriginali!K2836 &gt;= SogliaPicchi!$B$30,"",DatiOriginali!K2836)</f>
        <v>218700</v>
      </c>
    </row>
    <row r="2837" spans="1:11" x14ac:dyDescent="0.3">
      <c r="A2837" s="4" t="s">
        <v>2846</v>
      </c>
      <c r="B2837" s="4">
        <v>1050525</v>
      </c>
      <c r="C2837" s="4">
        <f>IF(DatiOriginali!C2837 &gt;= SogliaPicchi!$B$30,"",DatiOriginali!C2837)</f>
        <v>9826500</v>
      </c>
      <c r="D2837" s="4">
        <v>524299</v>
      </c>
      <c r="E2837" s="4">
        <f>IF(DatiOriginali!E2837 &gt;= SogliaPicchi!$B$30,"",DatiOriginali!E2837)</f>
        <v>1806300</v>
      </c>
      <c r="F2837" s="4">
        <v>17762493</v>
      </c>
      <c r="G2837" s="4">
        <f>IF(DatiOriginali!G2837 &gt;= SogliaPicchi!$B$30,"",DatiOriginali!G2837)</f>
        <v>561200</v>
      </c>
      <c r="H2837" s="4">
        <v>22367205</v>
      </c>
      <c r="I2837" s="4">
        <f>IF(DatiOriginali!I2837 &gt;= SogliaPicchi!$B$30,"",DatiOriginali!I2837)</f>
        <v>196800</v>
      </c>
      <c r="J2837" s="4">
        <v>22333404</v>
      </c>
      <c r="K2837" s="4">
        <f>IF(DatiOriginali!K2837 &gt;= SogliaPicchi!$B$30,"",DatiOriginali!K2837)</f>
        <v>216900</v>
      </c>
    </row>
    <row r="2838" spans="1:11" x14ac:dyDescent="0.3">
      <c r="A2838" s="4" t="s">
        <v>2847</v>
      </c>
      <c r="B2838" s="4">
        <v>1050525</v>
      </c>
      <c r="C2838" s="4">
        <f>IF(DatiOriginali!C2838 &gt;= SogliaPicchi!$B$30,"",DatiOriginali!C2838)</f>
        <v>9530400</v>
      </c>
      <c r="D2838" s="4">
        <v>537337</v>
      </c>
      <c r="E2838" s="4">
        <f>IF(DatiOriginali!E2838 &gt;= SogliaPicchi!$B$30,"",DatiOriginali!E2838)</f>
        <v>1875300</v>
      </c>
      <c r="F2838" s="4">
        <v>17775946</v>
      </c>
      <c r="G2838" s="4">
        <f>IF(DatiOriginali!G2838 &gt;= SogliaPicchi!$B$30,"",DatiOriginali!G2838)</f>
        <v>562300</v>
      </c>
      <c r="H2838" s="4">
        <v>22385923</v>
      </c>
      <c r="I2838" s="4">
        <f>IF(DatiOriginali!I2838 &gt;= SogliaPicchi!$B$30,"",DatiOriginali!I2838)</f>
        <v>198500</v>
      </c>
      <c r="J2838" s="4">
        <v>22349403</v>
      </c>
      <c r="K2838" s="4">
        <f>IF(DatiOriginali!K2838 &gt;= SogliaPicchi!$B$30,"",DatiOriginali!K2838)</f>
        <v>225900</v>
      </c>
    </row>
    <row r="2839" spans="1:11" x14ac:dyDescent="0.3">
      <c r="A2839" s="4" t="s">
        <v>2848</v>
      </c>
      <c r="B2839" s="4">
        <v>1050525</v>
      </c>
      <c r="C2839" s="4">
        <f>IF(DatiOriginali!C2839 &gt;= SogliaPicchi!$B$30,"",DatiOriginali!C2839)</f>
        <v>9699600</v>
      </c>
      <c r="D2839" s="4">
        <v>505538</v>
      </c>
      <c r="E2839" s="4">
        <f>IF(DatiOriginali!E2839 &gt;= SogliaPicchi!$B$30,"",DatiOriginali!E2839)</f>
        <v>2062800</v>
      </c>
      <c r="F2839" s="4">
        <v>17789347</v>
      </c>
      <c r="G2839" s="4">
        <f>IF(DatiOriginali!G2839 &gt;= SogliaPicchi!$B$30,"",DatiOriginali!G2839)</f>
        <v>560300</v>
      </c>
      <c r="H2839" s="4">
        <v>22402019</v>
      </c>
      <c r="I2839" s="4">
        <f>IF(DatiOriginali!I2839 &gt;= SogliaPicchi!$B$30,"",DatiOriginali!I2839)</f>
        <v>199600</v>
      </c>
      <c r="J2839" s="4">
        <v>22365202</v>
      </c>
      <c r="K2839" s="4">
        <f>IF(DatiOriginali!K2839 &gt;= SogliaPicchi!$B$30,"",DatiOriginali!K2839)</f>
        <v>214400</v>
      </c>
    </row>
    <row r="2840" spans="1:11" x14ac:dyDescent="0.3">
      <c r="A2840" s="4" t="s">
        <v>2849</v>
      </c>
      <c r="B2840" s="4">
        <v>1050525</v>
      </c>
      <c r="C2840" s="4">
        <f>IF(DatiOriginali!C2840 &gt;= SogliaPicchi!$B$30,"",DatiOriginali!C2840)</f>
        <v>9606400</v>
      </c>
      <c r="D2840" s="4">
        <v>530528</v>
      </c>
      <c r="E2840" s="4">
        <f>IF(DatiOriginali!E2840 &gt;= SogliaPicchi!$B$30,"",DatiOriginali!E2840)</f>
        <v>1823500</v>
      </c>
      <c r="F2840" s="4">
        <v>17802786</v>
      </c>
      <c r="G2840" s="4">
        <f>IF(DatiOriginali!G2840 &gt;= SogliaPicchi!$B$30,"",DatiOriginali!G2840)</f>
        <v>562900</v>
      </c>
      <c r="H2840" s="4">
        <v>22419324</v>
      </c>
      <c r="I2840" s="4">
        <f>IF(DatiOriginali!I2840 &gt;= SogliaPicchi!$B$30,"",DatiOriginali!I2840)</f>
        <v>189400</v>
      </c>
      <c r="J2840" s="4">
        <v>22381559</v>
      </c>
      <c r="K2840" s="4">
        <f>IF(DatiOriginali!K2840 &gt;= SogliaPicchi!$B$30,"",DatiOriginali!K2840)</f>
        <v>217200</v>
      </c>
    </row>
    <row r="2841" spans="1:11" x14ac:dyDescent="0.3">
      <c r="A2841" s="4" t="s">
        <v>2850</v>
      </c>
      <c r="B2841" s="4">
        <v>1050525</v>
      </c>
      <c r="C2841" s="4">
        <f>IF(DatiOriginali!C2841 &gt;= SogliaPicchi!$B$30,"",DatiOriginali!C2841)</f>
        <v>10489300</v>
      </c>
      <c r="D2841" s="4">
        <v>523425</v>
      </c>
      <c r="E2841" s="4">
        <f>IF(DatiOriginali!E2841 &gt;= SogliaPicchi!$B$30,"",DatiOriginali!E2841)</f>
        <v>1817000</v>
      </c>
      <c r="F2841" s="4">
        <v>17816234</v>
      </c>
      <c r="G2841" s="4">
        <f>IF(DatiOriginali!G2841 &gt;= SogliaPicchi!$B$30,"",DatiOriginali!G2841)</f>
        <v>569700</v>
      </c>
      <c r="H2841" s="4">
        <v>22436665</v>
      </c>
      <c r="I2841" s="4">
        <f>IF(DatiOriginali!I2841 &gt;= SogliaPicchi!$B$30,"",DatiOriginali!I2841)</f>
        <v>199800</v>
      </c>
      <c r="J2841" s="4">
        <v>22397607</v>
      </c>
      <c r="K2841" s="4">
        <f>IF(DatiOriginali!K2841 &gt;= SogliaPicchi!$B$30,"",DatiOriginali!K2841)</f>
        <v>216700</v>
      </c>
    </row>
    <row r="2842" spans="1:11" x14ac:dyDescent="0.3">
      <c r="A2842" s="4" t="s">
        <v>2851</v>
      </c>
      <c r="B2842" s="4">
        <v>1050525</v>
      </c>
      <c r="C2842" s="4">
        <f>IF(DatiOriginali!C2842 &gt;= SogliaPicchi!$B$30,"",DatiOriginali!C2842)</f>
        <v>9391000</v>
      </c>
      <c r="D2842" s="4">
        <v>507492</v>
      </c>
      <c r="E2842" s="4">
        <f>IF(DatiOriginali!E2842 &gt;= SogliaPicchi!$B$30,"",DatiOriginali!E2842)</f>
        <v>1826200</v>
      </c>
      <c r="F2842" s="4">
        <v>17829658</v>
      </c>
      <c r="G2842" s="4">
        <f>IF(DatiOriginali!G2842 &gt;= SogliaPicchi!$B$30,"",DatiOriginali!G2842)</f>
        <v>578200</v>
      </c>
      <c r="H2842" s="4">
        <v>22453468</v>
      </c>
      <c r="I2842" s="4">
        <f>IF(DatiOriginali!I2842 &gt;= SogliaPicchi!$B$30,"",DatiOriginali!I2842)</f>
        <v>192400</v>
      </c>
      <c r="J2842" s="4">
        <v>22414440</v>
      </c>
      <c r="K2842" s="4">
        <f>IF(DatiOriginali!K2842 &gt;= SogliaPicchi!$B$30,"",DatiOriginali!K2842)</f>
        <v>219600</v>
      </c>
    </row>
    <row r="2843" spans="1:11" x14ac:dyDescent="0.3">
      <c r="A2843" s="4" t="s">
        <v>2852</v>
      </c>
      <c r="B2843" s="4">
        <v>1050525</v>
      </c>
      <c r="C2843" s="4">
        <f>IF(DatiOriginali!C2843 &gt;= SogliaPicchi!$B$30,"",DatiOriginali!C2843)</f>
        <v>9679700</v>
      </c>
      <c r="D2843" s="4">
        <v>510412</v>
      </c>
      <c r="E2843" s="4">
        <f>IF(DatiOriginali!E2843 &gt;= SogliaPicchi!$B$30,"",DatiOriginali!E2843)</f>
        <v>1790100</v>
      </c>
      <c r="F2843" s="4">
        <v>17843099</v>
      </c>
      <c r="G2843" s="4">
        <f>IF(DatiOriginali!G2843 &gt;= SogliaPicchi!$B$30,"",DatiOriginali!G2843)</f>
        <v>601900</v>
      </c>
      <c r="H2843" s="4">
        <v>22469694</v>
      </c>
      <c r="I2843" s="4">
        <f>IF(DatiOriginali!I2843 &gt;= SogliaPicchi!$B$30,"",DatiOriginali!I2843)</f>
        <v>207800</v>
      </c>
      <c r="J2843" s="4">
        <v>22432225</v>
      </c>
      <c r="K2843" s="4">
        <f>IF(DatiOriginali!K2843 &gt;= SogliaPicchi!$B$30,"",DatiOriginali!K2843)</f>
        <v>223400</v>
      </c>
    </row>
    <row r="2844" spans="1:11" x14ac:dyDescent="0.3">
      <c r="A2844" s="4" t="s">
        <v>2853</v>
      </c>
      <c r="B2844" s="4">
        <v>1050525</v>
      </c>
      <c r="C2844" s="4">
        <f>IF(DatiOriginali!C2844 &gt;= SogliaPicchi!$B$30,"",DatiOriginali!C2844)</f>
        <v>10804000</v>
      </c>
      <c r="D2844" s="4">
        <v>526397</v>
      </c>
      <c r="E2844" s="4">
        <f>IF(DatiOriginali!E2844 &gt;= SogliaPicchi!$B$30,"",DatiOriginali!E2844)</f>
        <v>2168300</v>
      </c>
      <c r="F2844" s="4">
        <v>17856539</v>
      </c>
      <c r="G2844" s="4">
        <f>IF(DatiOriginali!G2844 &gt;= SogliaPicchi!$B$30,"",DatiOriginali!G2844)</f>
        <v>560900</v>
      </c>
      <c r="H2844" s="4">
        <v>22485731</v>
      </c>
      <c r="I2844" s="4">
        <f>IF(DatiOriginali!I2844 &gt;= SogliaPicchi!$B$30,"",DatiOriginali!I2844)</f>
        <v>194900</v>
      </c>
      <c r="J2844" s="4">
        <v>22448419</v>
      </c>
      <c r="K2844" s="4">
        <f>IF(DatiOriginali!K2844 &gt;= SogliaPicchi!$B$30,"",DatiOriginali!K2844)</f>
        <v>217700</v>
      </c>
    </row>
    <row r="2845" spans="1:11" x14ac:dyDescent="0.3">
      <c r="A2845" s="4" t="s">
        <v>2854</v>
      </c>
      <c r="B2845" s="4">
        <v>1050525</v>
      </c>
      <c r="C2845" s="4">
        <f>IF(DatiOriginali!C2845 &gt;= SogliaPicchi!$B$30,"",DatiOriginali!C2845)</f>
        <v>9572300</v>
      </c>
      <c r="D2845" s="4">
        <v>520509</v>
      </c>
      <c r="E2845" s="4">
        <f>IF(DatiOriginali!E2845 &gt;= SogliaPicchi!$B$30,"",DatiOriginali!E2845)</f>
        <v>1792900</v>
      </c>
      <c r="F2845" s="4">
        <v>17869960</v>
      </c>
      <c r="G2845" s="4">
        <f>IF(DatiOriginali!G2845 &gt;= SogliaPicchi!$B$30,"",DatiOriginali!G2845)</f>
        <v>665900</v>
      </c>
      <c r="H2845" s="4">
        <v>22503062</v>
      </c>
      <c r="I2845" s="4">
        <f>IF(DatiOriginali!I2845 &gt;= SogliaPicchi!$B$30,"",DatiOriginali!I2845)</f>
        <v>190900</v>
      </c>
      <c r="J2845" s="4">
        <v>22466253</v>
      </c>
      <c r="K2845" s="4">
        <f>IF(DatiOriginali!K2845 &gt;= SogliaPicchi!$B$30,"",DatiOriginali!K2845)</f>
        <v>213800</v>
      </c>
    </row>
    <row r="2846" spans="1:11" x14ac:dyDescent="0.3">
      <c r="A2846" s="4" t="s">
        <v>2855</v>
      </c>
      <c r="B2846" s="4">
        <v>1050525</v>
      </c>
      <c r="C2846" s="4">
        <f>IF(DatiOriginali!C2846 &gt;= SogliaPicchi!$B$30,"",DatiOriginali!C2846)</f>
        <v>9552300</v>
      </c>
      <c r="D2846" s="4">
        <v>523844</v>
      </c>
      <c r="E2846" s="4">
        <f>IF(DatiOriginali!E2846 &gt;= SogliaPicchi!$B$30,"",DatiOriginali!E2846)</f>
        <v>1804600</v>
      </c>
      <c r="F2846" s="4">
        <v>17883355</v>
      </c>
      <c r="G2846" s="4">
        <f>IF(DatiOriginali!G2846 &gt;= SogliaPicchi!$B$30,"",DatiOriginali!G2846)</f>
        <v>564300</v>
      </c>
      <c r="H2846" s="4">
        <v>22520243</v>
      </c>
      <c r="I2846" s="4">
        <f>IF(DatiOriginali!I2846 &gt;= SogliaPicchi!$B$30,"",DatiOriginali!I2846)</f>
        <v>195800</v>
      </c>
      <c r="J2846" s="4">
        <v>22483831</v>
      </c>
      <c r="K2846" s="4">
        <f>IF(DatiOriginali!K2846 &gt;= SogliaPicchi!$B$30,"",DatiOriginali!K2846)</f>
        <v>211600</v>
      </c>
    </row>
    <row r="2847" spans="1:11" x14ac:dyDescent="0.3">
      <c r="A2847" s="4" t="s">
        <v>2856</v>
      </c>
      <c r="B2847" s="4">
        <v>1050525</v>
      </c>
      <c r="C2847" s="4">
        <f>IF(DatiOriginali!C2847 &gt;= SogliaPicchi!$B$30,"",DatiOriginali!C2847)</f>
        <v>9324700</v>
      </c>
      <c r="D2847" s="4">
        <v>524711</v>
      </c>
      <c r="E2847" s="4">
        <f>IF(DatiOriginali!E2847 &gt;= SogliaPicchi!$B$30,"",DatiOriginali!E2847)</f>
        <v>1813500</v>
      </c>
      <c r="F2847" s="4">
        <v>17896776</v>
      </c>
      <c r="G2847" s="4">
        <f>IF(DatiOriginali!G2847 &gt;= SogliaPicchi!$B$30,"",DatiOriginali!G2847)</f>
        <v>563700</v>
      </c>
      <c r="H2847" s="4">
        <v>22536891</v>
      </c>
      <c r="I2847" s="4">
        <f>IF(DatiOriginali!I2847 &gt;= SogliaPicchi!$B$30,"",DatiOriginali!I2847)</f>
        <v>195400</v>
      </c>
      <c r="J2847" s="4">
        <v>22502042</v>
      </c>
      <c r="K2847" s="4">
        <f>IF(DatiOriginali!K2847 &gt;= SogliaPicchi!$B$30,"",DatiOriginali!K2847)</f>
        <v>211100</v>
      </c>
    </row>
    <row r="2848" spans="1:11" x14ac:dyDescent="0.3">
      <c r="A2848" s="4" t="s">
        <v>2857</v>
      </c>
      <c r="B2848" s="4">
        <v>1050525</v>
      </c>
      <c r="C2848" s="4">
        <f>IF(DatiOriginali!C2848 &gt;= SogliaPicchi!$B$30,"",DatiOriginali!C2848)</f>
        <v>10388400</v>
      </c>
      <c r="D2848" s="4">
        <v>522802</v>
      </c>
      <c r="E2848" s="4">
        <f>IF(DatiOriginali!E2848 &gt;= SogliaPicchi!$B$30,"",DatiOriginali!E2848)</f>
        <v>1887100</v>
      </c>
      <c r="F2848" s="4">
        <v>17910224</v>
      </c>
      <c r="G2848" s="4">
        <f>IF(DatiOriginali!G2848 &gt;= SogliaPicchi!$B$30,"",DatiOriginali!G2848)</f>
        <v>567400</v>
      </c>
      <c r="H2848" s="4">
        <v>22553001</v>
      </c>
      <c r="I2848" s="4">
        <f>IF(DatiOriginali!I2848 &gt;= SogliaPicchi!$B$30,"",DatiOriginali!I2848)</f>
        <v>197300</v>
      </c>
      <c r="J2848" s="4">
        <v>22518413</v>
      </c>
      <c r="K2848" s="4">
        <f>IF(DatiOriginali!K2848 &gt;= SogliaPicchi!$B$30,"",DatiOriginali!K2848)</f>
        <v>216800</v>
      </c>
    </row>
    <row r="2849" spans="1:11" x14ac:dyDescent="0.3">
      <c r="A2849" s="4" t="s">
        <v>2858</v>
      </c>
      <c r="B2849" s="4">
        <v>1050525</v>
      </c>
      <c r="C2849" s="4">
        <f>IF(DatiOriginali!C2849 &gt;= SogliaPicchi!$B$30,"",DatiOriginali!C2849)</f>
        <v>10591500</v>
      </c>
      <c r="D2849" s="4">
        <v>524503</v>
      </c>
      <c r="E2849" s="4">
        <f>IF(DatiOriginali!E2849 &gt;= SogliaPicchi!$B$30,"",DatiOriginali!E2849)</f>
        <v>1866000</v>
      </c>
      <c r="F2849" s="4">
        <v>17923658</v>
      </c>
      <c r="G2849" s="4">
        <f>IF(DatiOriginali!G2849 &gt;= SogliaPicchi!$B$30,"",DatiOriginali!G2849)</f>
        <v>562700</v>
      </c>
      <c r="H2849" s="4">
        <v>22569865</v>
      </c>
      <c r="I2849" s="4">
        <f>IF(DatiOriginali!I2849 &gt;= SogliaPicchi!$B$30,"",DatiOriginali!I2849)</f>
        <v>193200</v>
      </c>
      <c r="J2849" s="4">
        <v>22535971</v>
      </c>
      <c r="K2849" s="4">
        <f>IF(DatiOriginali!K2849 &gt;= SogliaPicchi!$B$30,"",DatiOriginali!K2849)</f>
        <v>219700</v>
      </c>
    </row>
    <row r="2850" spans="1:11" x14ac:dyDescent="0.3">
      <c r="A2850" s="4" t="s">
        <v>2859</v>
      </c>
      <c r="B2850" s="4">
        <v>1050525</v>
      </c>
      <c r="C2850" s="4">
        <f>IF(DatiOriginali!C2850 &gt;= SogliaPicchi!$B$30,"",DatiOriginali!C2850)</f>
        <v>9683000</v>
      </c>
      <c r="D2850" s="4">
        <v>519447</v>
      </c>
      <c r="E2850" s="4">
        <f>IF(DatiOriginali!E2850 &gt;= SogliaPicchi!$B$30,"",DatiOriginali!E2850)</f>
        <v>1964500</v>
      </c>
      <c r="F2850" s="4">
        <v>17937078</v>
      </c>
      <c r="G2850" s="4">
        <f>IF(DatiOriginali!G2850 &gt;= SogliaPicchi!$B$30,"",DatiOriginali!G2850)</f>
        <v>559600</v>
      </c>
      <c r="H2850" s="4">
        <v>22587537</v>
      </c>
      <c r="I2850" s="4">
        <f>IF(DatiOriginali!I2850 &gt;= SogliaPicchi!$B$30,"",DatiOriginali!I2850)</f>
        <v>200000</v>
      </c>
      <c r="J2850" s="4">
        <v>22552304</v>
      </c>
      <c r="K2850" s="4">
        <f>IF(DatiOriginali!K2850 &gt;= SogliaPicchi!$B$30,"",DatiOriginali!K2850)</f>
        <v>211000</v>
      </c>
    </row>
    <row r="2851" spans="1:11" x14ac:dyDescent="0.3">
      <c r="A2851" s="4" t="s">
        <v>2860</v>
      </c>
      <c r="B2851" s="4">
        <v>1050525</v>
      </c>
      <c r="C2851" s="4">
        <f>IF(DatiOriginali!C2851 &gt;= SogliaPicchi!$B$30,"",DatiOriginali!C2851)</f>
        <v>9601200</v>
      </c>
      <c r="D2851" s="4">
        <v>538480</v>
      </c>
      <c r="E2851" s="4">
        <f>IF(DatiOriginali!E2851 &gt;= SogliaPicchi!$B$30,"",DatiOriginali!E2851)</f>
        <v>1854500</v>
      </c>
      <c r="F2851" s="4">
        <v>17950476</v>
      </c>
      <c r="G2851" s="4">
        <f>IF(DatiOriginali!G2851 &gt;= SogliaPicchi!$B$30,"",DatiOriginali!G2851)</f>
        <v>561600</v>
      </c>
      <c r="H2851" s="4">
        <v>22605549</v>
      </c>
      <c r="I2851" s="4">
        <f>IF(DatiOriginali!I2851 &gt;= SogliaPicchi!$B$30,"",DatiOriginali!I2851)</f>
        <v>192800</v>
      </c>
      <c r="J2851" s="4">
        <v>22569806</v>
      </c>
      <c r="K2851" s="4">
        <f>IF(DatiOriginali!K2851 &gt;= SogliaPicchi!$B$30,"",DatiOriginali!K2851)</f>
        <v>213200</v>
      </c>
    </row>
    <row r="2852" spans="1:11" x14ac:dyDescent="0.3">
      <c r="A2852" s="4" t="s">
        <v>2861</v>
      </c>
      <c r="B2852" s="4">
        <v>1050525</v>
      </c>
      <c r="C2852" s="4">
        <f>IF(DatiOriginali!C2852 &gt;= SogliaPicchi!$B$30,"",DatiOriginali!C2852)</f>
        <v>9624200</v>
      </c>
      <c r="D2852" s="4">
        <v>533698</v>
      </c>
      <c r="E2852" s="4">
        <f>IF(DatiOriginali!E2852 &gt;= SogliaPicchi!$B$30,"",DatiOriginali!E2852)</f>
        <v>1836000</v>
      </c>
      <c r="F2852" s="4">
        <v>17963917</v>
      </c>
      <c r="G2852" s="4">
        <f>IF(DatiOriginali!G2852 &gt;= SogliaPicchi!$B$30,"",DatiOriginali!G2852)</f>
        <v>560700</v>
      </c>
      <c r="H2852" s="4">
        <v>22622214</v>
      </c>
      <c r="I2852" s="4">
        <f>IF(DatiOriginali!I2852 &gt;= SogliaPicchi!$B$30,"",DatiOriginali!I2852)</f>
        <v>193100</v>
      </c>
      <c r="J2852" s="4">
        <v>22586249</v>
      </c>
      <c r="K2852" s="4">
        <f>IF(DatiOriginali!K2852 &gt;= SogliaPicchi!$B$30,"",DatiOriginali!K2852)</f>
        <v>212300</v>
      </c>
    </row>
    <row r="2853" spans="1:11" x14ac:dyDescent="0.3">
      <c r="A2853" s="4" t="s">
        <v>2862</v>
      </c>
      <c r="B2853" s="4">
        <v>1050525</v>
      </c>
      <c r="C2853" s="4">
        <f>IF(DatiOriginali!C2853 &gt;= SogliaPicchi!$B$30,"",DatiOriginali!C2853)</f>
        <v>10279400</v>
      </c>
      <c r="D2853" s="4">
        <v>509496</v>
      </c>
      <c r="E2853" s="4">
        <f>IF(DatiOriginali!E2853 &gt;= SogliaPicchi!$B$30,"",DatiOriginali!E2853)</f>
        <v>1911000</v>
      </c>
      <c r="F2853" s="4">
        <v>17977328</v>
      </c>
      <c r="G2853" s="4">
        <f>IF(DatiOriginali!G2853 &gt;= SogliaPicchi!$B$30,"",DatiOriginali!G2853)</f>
        <v>672400</v>
      </c>
      <c r="H2853" s="4">
        <v>22640365</v>
      </c>
      <c r="I2853" s="4">
        <f>IF(DatiOriginali!I2853 &gt;= SogliaPicchi!$B$30,"",DatiOriginali!I2853)</f>
        <v>195500</v>
      </c>
      <c r="J2853" s="4">
        <v>22602757</v>
      </c>
      <c r="K2853" s="4">
        <f>IF(DatiOriginali!K2853 &gt;= SogliaPicchi!$B$30,"",DatiOriginali!K2853)</f>
        <v>217900</v>
      </c>
    </row>
    <row r="2854" spans="1:11" x14ac:dyDescent="0.3">
      <c r="A2854" s="4" t="s">
        <v>2863</v>
      </c>
      <c r="B2854" s="4">
        <v>1050525</v>
      </c>
      <c r="C2854" s="4">
        <f>IF(DatiOriginali!C2854 &gt;= SogliaPicchi!$B$30,"",DatiOriginali!C2854)</f>
        <v>9781800</v>
      </c>
      <c r="D2854" s="4">
        <v>529992</v>
      </c>
      <c r="E2854" s="4">
        <f>IF(DatiOriginali!E2854 &gt;= SogliaPicchi!$B$30,"",DatiOriginali!E2854)</f>
        <v>1887800</v>
      </c>
      <c r="F2854" s="4">
        <v>17990767</v>
      </c>
      <c r="G2854" s="4">
        <f>IF(DatiOriginali!G2854 &gt;= SogliaPicchi!$B$30,"",DatiOriginali!G2854)</f>
        <v>563300</v>
      </c>
      <c r="H2854" s="4">
        <v>22656616</v>
      </c>
      <c r="I2854" s="4">
        <f>IF(DatiOriginali!I2854 &gt;= SogliaPicchi!$B$30,"",DatiOriginali!I2854)</f>
        <v>261600</v>
      </c>
      <c r="J2854" s="4">
        <v>22620273</v>
      </c>
      <c r="K2854" s="4">
        <f>IF(DatiOriginali!K2854 &gt;= SogliaPicchi!$B$30,"",DatiOriginali!K2854)</f>
        <v>271500</v>
      </c>
    </row>
    <row r="2855" spans="1:11" x14ac:dyDescent="0.3">
      <c r="A2855" s="4" t="s">
        <v>2864</v>
      </c>
      <c r="B2855" s="4">
        <v>1050525</v>
      </c>
      <c r="C2855" s="4">
        <f>IF(DatiOriginali!C2855 &gt;= SogliaPicchi!$B$30,"",DatiOriginali!C2855)</f>
        <v>10456600</v>
      </c>
      <c r="D2855" s="4">
        <v>521596</v>
      </c>
      <c r="E2855" s="4">
        <f>IF(DatiOriginali!E2855 &gt;= SogliaPicchi!$B$30,"",DatiOriginali!E2855)</f>
        <v>1791700</v>
      </c>
      <c r="F2855" s="4">
        <v>18004183</v>
      </c>
      <c r="G2855" s="4">
        <f>IF(DatiOriginali!G2855 &gt;= SogliaPicchi!$B$30,"",DatiOriginali!G2855)</f>
        <v>566000</v>
      </c>
      <c r="H2855" s="4">
        <v>22674404</v>
      </c>
      <c r="I2855" s="4">
        <f>IF(DatiOriginali!I2855 &gt;= SogliaPicchi!$B$30,"",DatiOriginali!I2855)</f>
        <v>198600</v>
      </c>
      <c r="J2855" s="4">
        <v>22636911</v>
      </c>
      <c r="K2855" s="4">
        <f>IF(DatiOriginali!K2855 &gt;= SogliaPicchi!$B$30,"",DatiOriginali!K2855)</f>
        <v>213500</v>
      </c>
    </row>
    <row r="2856" spans="1:11" x14ac:dyDescent="0.3">
      <c r="A2856" s="4" t="s">
        <v>2865</v>
      </c>
      <c r="B2856" s="4">
        <v>1050525</v>
      </c>
      <c r="C2856" s="4">
        <f>IF(DatiOriginali!C2856 &gt;= SogliaPicchi!$B$30,"",DatiOriginali!C2856)</f>
        <v>9941000</v>
      </c>
      <c r="D2856" s="4">
        <v>527624</v>
      </c>
      <c r="E2856" s="4">
        <f>IF(DatiOriginali!E2856 &gt;= SogliaPicchi!$B$30,"",DatiOriginali!E2856)</f>
        <v>1877800</v>
      </c>
      <c r="F2856" s="4">
        <v>18017588</v>
      </c>
      <c r="G2856" s="4">
        <f>IF(DatiOriginali!G2856 &gt;= SogliaPicchi!$B$30,"",DatiOriginali!G2856)</f>
        <v>728400</v>
      </c>
      <c r="H2856" s="4">
        <v>22692006</v>
      </c>
      <c r="I2856" s="4">
        <f>IF(DatiOriginali!I2856 &gt;= SogliaPicchi!$B$30,"",DatiOriginali!I2856)</f>
        <v>237900</v>
      </c>
      <c r="J2856" s="4">
        <v>22654596</v>
      </c>
      <c r="K2856" s="4">
        <f>IF(DatiOriginali!K2856 &gt;= SogliaPicchi!$B$30,"",DatiOriginali!K2856)</f>
        <v>266700</v>
      </c>
    </row>
    <row r="2857" spans="1:11" x14ac:dyDescent="0.3">
      <c r="A2857" s="4" t="s">
        <v>2866</v>
      </c>
      <c r="B2857" s="4">
        <v>1050525</v>
      </c>
      <c r="C2857" s="4">
        <f>IF(DatiOriginali!C2857 &gt;= SogliaPicchi!$B$30,"",DatiOriginali!C2857)</f>
        <v>10072800</v>
      </c>
      <c r="D2857" s="4">
        <v>520386</v>
      </c>
      <c r="E2857" s="4">
        <f>IF(DatiOriginali!E2857 &gt;= SogliaPicchi!$B$30,"",DatiOriginali!E2857)</f>
        <v>1909600</v>
      </c>
      <c r="F2857" s="4">
        <v>18030995</v>
      </c>
      <c r="G2857" s="4">
        <f>IF(DatiOriginali!G2857 &gt;= SogliaPicchi!$B$30,"",DatiOriginali!G2857)</f>
        <v>561400</v>
      </c>
      <c r="H2857" s="4">
        <v>22708101</v>
      </c>
      <c r="I2857" s="4">
        <f>IF(DatiOriginali!I2857 &gt;= SogliaPicchi!$B$30,"",DatiOriginali!I2857)</f>
        <v>198200</v>
      </c>
      <c r="J2857" s="4">
        <v>22671810</v>
      </c>
      <c r="K2857" s="4">
        <f>IF(DatiOriginali!K2857 &gt;= SogliaPicchi!$B$30,"",DatiOriginali!K2857)</f>
        <v>219900</v>
      </c>
    </row>
    <row r="2858" spans="1:11" x14ac:dyDescent="0.3">
      <c r="A2858" s="4" t="s">
        <v>2867</v>
      </c>
      <c r="B2858" s="4">
        <v>1050525</v>
      </c>
      <c r="C2858" s="4">
        <f>IF(DatiOriginali!C2858 &gt;= SogliaPicchi!$B$30,"",DatiOriginali!C2858)</f>
        <v>9638300</v>
      </c>
      <c r="D2858" s="4">
        <v>529383</v>
      </c>
      <c r="E2858" s="4">
        <f>IF(DatiOriginali!E2858 &gt;= SogliaPicchi!$B$30,"",DatiOriginali!E2858)</f>
        <v>1855400</v>
      </c>
      <c r="F2858" s="4">
        <v>18044431</v>
      </c>
      <c r="G2858" s="4">
        <f>IF(DatiOriginali!G2858 &gt;= SogliaPicchi!$B$30,"",DatiOriginali!G2858)</f>
        <v>563500</v>
      </c>
      <c r="H2858" s="4">
        <v>22725311</v>
      </c>
      <c r="I2858" s="4">
        <f>IF(DatiOriginali!I2858 &gt;= SogliaPicchi!$B$30,"",DatiOriginali!I2858)</f>
        <v>197700</v>
      </c>
      <c r="J2858" s="4">
        <v>22688515</v>
      </c>
      <c r="K2858" s="4">
        <f>IF(DatiOriginali!K2858 &gt;= SogliaPicchi!$B$30,"",DatiOriginali!K2858)</f>
        <v>209200</v>
      </c>
    </row>
    <row r="2859" spans="1:11" x14ac:dyDescent="0.3">
      <c r="A2859" s="4" t="s">
        <v>2868</v>
      </c>
      <c r="B2859" s="4">
        <v>1050525</v>
      </c>
      <c r="C2859" s="4">
        <f>IF(DatiOriginali!C2859 &gt;= SogliaPicchi!$B$30,"",DatiOriginali!C2859)</f>
        <v>10075400</v>
      </c>
      <c r="D2859" s="4">
        <v>529283</v>
      </c>
      <c r="E2859" s="4">
        <f>IF(DatiOriginali!E2859 &gt;= SogliaPicchi!$B$30,"",DatiOriginali!E2859)</f>
        <v>1886900</v>
      </c>
      <c r="F2859" s="4">
        <v>18057882</v>
      </c>
      <c r="G2859" s="4">
        <f>IF(DatiOriginali!G2859 &gt;= SogliaPicchi!$B$30,"",DatiOriginali!G2859)</f>
        <v>566400</v>
      </c>
      <c r="H2859" s="4">
        <v>22742007</v>
      </c>
      <c r="I2859" s="4">
        <f>IF(DatiOriginali!I2859 &gt;= SogliaPicchi!$B$30,"",DatiOriginali!I2859)</f>
        <v>196500</v>
      </c>
      <c r="J2859" s="4">
        <v>22704678</v>
      </c>
      <c r="K2859" s="4">
        <f>IF(DatiOriginali!K2859 &gt;= SogliaPicchi!$B$30,"",DatiOriginali!K2859)</f>
        <v>213900</v>
      </c>
    </row>
    <row r="2860" spans="1:11" x14ac:dyDescent="0.3">
      <c r="A2860" s="4" t="s">
        <v>2869</v>
      </c>
      <c r="B2860" s="4">
        <v>1050525</v>
      </c>
      <c r="C2860" s="4">
        <f>IF(DatiOriginali!C2860 &gt;= SogliaPicchi!$B$30,"",DatiOriginali!C2860)</f>
        <v>9516000</v>
      </c>
      <c r="D2860" s="4">
        <v>537089</v>
      </c>
      <c r="E2860" s="4">
        <f>IF(DatiOriginali!E2860 &gt;= SogliaPicchi!$B$30,"",DatiOriginali!E2860)</f>
        <v>1912000</v>
      </c>
      <c r="F2860" s="4">
        <v>18071275</v>
      </c>
      <c r="G2860" s="4">
        <f>IF(DatiOriginali!G2860 &gt;= SogliaPicchi!$B$30,"",DatiOriginali!G2860)</f>
        <v>562700</v>
      </c>
      <c r="H2860" s="4">
        <v>22759803</v>
      </c>
      <c r="I2860" s="4">
        <f>IF(DatiOriginali!I2860 &gt;= SogliaPicchi!$B$30,"",DatiOriginali!I2860)</f>
        <v>189800</v>
      </c>
      <c r="J2860" s="4">
        <v>22722390</v>
      </c>
      <c r="K2860" s="4">
        <f>IF(DatiOriginali!K2860 &gt;= SogliaPicchi!$B$30,"",DatiOriginali!K2860)</f>
        <v>214600</v>
      </c>
    </row>
    <row r="2861" spans="1:11" x14ac:dyDescent="0.3">
      <c r="A2861" s="4" t="s">
        <v>2870</v>
      </c>
      <c r="B2861" s="4">
        <v>1050525</v>
      </c>
      <c r="C2861" s="4">
        <f>IF(DatiOriginali!C2861 &gt;= SogliaPicchi!$B$30,"",DatiOriginali!C2861)</f>
        <v>9553600</v>
      </c>
      <c r="D2861" s="4">
        <v>520567</v>
      </c>
      <c r="E2861" s="4">
        <f>IF(DatiOriginali!E2861 &gt;= SogliaPicchi!$B$30,"",DatiOriginali!E2861)</f>
        <v>1814800</v>
      </c>
      <c r="F2861" s="4">
        <v>18084718</v>
      </c>
      <c r="G2861" s="4">
        <f>IF(DatiOriginali!G2861 &gt;= SogliaPicchi!$B$30,"",DatiOriginali!G2861)</f>
        <v>568000</v>
      </c>
      <c r="H2861" s="4">
        <v>22778042</v>
      </c>
      <c r="I2861" s="4">
        <f>IF(DatiOriginali!I2861 &gt;= SogliaPicchi!$B$30,"",DatiOriginali!I2861)</f>
        <v>197300</v>
      </c>
      <c r="J2861" s="4">
        <v>22739661</v>
      </c>
      <c r="K2861" s="4">
        <f>IF(DatiOriginali!K2861 &gt;= SogliaPicchi!$B$30,"",DatiOriginali!K2861)</f>
        <v>217600</v>
      </c>
    </row>
    <row r="2862" spans="1:11" x14ac:dyDescent="0.3">
      <c r="A2862" s="4" t="s">
        <v>2871</v>
      </c>
      <c r="B2862" s="4">
        <v>1050525</v>
      </c>
      <c r="C2862" s="4">
        <f>IF(DatiOriginali!C2862 &gt;= SogliaPicchi!$B$30,"",DatiOriginali!C2862)</f>
        <v>10011900</v>
      </c>
      <c r="D2862" s="4">
        <v>543598</v>
      </c>
      <c r="E2862" s="4">
        <f>IF(DatiOriginali!E2862 &gt;= SogliaPicchi!$B$30,"",DatiOriginali!E2862)</f>
        <v>1873200</v>
      </c>
      <c r="F2862" s="4">
        <v>18098136</v>
      </c>
      <c r="G2862" s="4">
        <f>IF(DatiOriginali!G2862 &gt;= SogliaPicchi!$B$30,"",DatiOriginali!G2862)</f>
        <v>567100</v>
      </c>
      <c r="H2862" s="4">
        <v>22794801</v>
      </c>
      <c r="I2862" s="4">
        <f>IF(DatiOriginali!I2862 &gt;= SogliaPicchi!$B$30,"",DatiOriginali!I2862)</f>
        <v>194100</v>
      </c>
      <c r="J2862" s="4">
        <v>22755733</v>
      </c>
      <c r="K2862" s="4">
        <f>IF(DatiOriginali!K2862 &gt;= SogliaPicchi!$B$30,"",DatiOriginali!K2862)</f>
        <v>211900</v>
      </c>
    </row>
    <row r="2863" spans="1:11" x14ac:dyDescent="0.3">
      <c r="A2863" s="4" t="s">
        <v>2872</v>
      </c>
      <c r="B2863" s="4">
        <v>1050525</v>
      </c>
      <c r="C2863" s="4">
        <f>IF(DatiOriginali!C2863 &gt;= SogliaPicchi!$B$30,"",DatiOriginali!C2863)</f>
        <v>10284700</v>
      </c>
      <c r="D2863" s="4">
        <v>522506</v>
      </c>
      <c r="E2863" s="4">
        <f>IF(DatiOriginali!E2863 &gt;= SogliaPicchi!$B$30,"",DatiOriginali!E2863)</f>
        <v>1939700</v>
      </c>
      <c r="F2863" s="4">
        <v>18111575</v>
      </c>
      <c r="G2863" s="4">
        <f>IF(DatiOriginali!G2863 &gt;= SogliaPicchi!$B$30,"",DatiOriginali!G2863)</f>
        <v>582500</v>
      </c>
      <c r="H2863" s="4">
        <v>22811830</v>
      </c>
      <c r="I2863" s="4">
        <f>IF(DatiOriginali!I2863 &gt;= SogliaPicchi!$B$30,"",DatiOriginali!I2863)</f>
        <v>197600</v>
      </c>
      <c r="J2863" s="4">
        <v>22772081</v>
      </c>
      <c r="K2863" s="4">
        <f>IF(DatiOriginali!K2863 &gt;= SogliaPicchi!$B$30,"",DatiOriginali!K2863)</f>
        <v>213700</v>
      </c>
    </row>
    <row r="2864" spans="1:11" x14ac:dyDescent="0.3">
      <c r="A2864" s="4" t="s">
        <v>2873</v>
      </c>
      <c r="B2864" s="4">
        <v>1050525</v>
      </c>
      <c r="C2864" s="4">
        <f>IF(DatiOriginali!C2864 &gt;= SogliaPicchi!$B$30,"",DatiOriginali!C2864)</f>
        <v>9460500</v>
      </c>
      <c r="D2864" s="4">
        <v>540255</v>
      </c>
      <c r="E2864" s="4">
        <f>IF(DatiOriginali!E2864 &gt;= SogliaPicchi!$B$30,"",DatiOriginali!E2864)</f>
        <v>1916400</v>
      </c>
      <c r="F2864" s="4">
        <v>18124997</v>
      </c>
      <c r="G2864" s="4">
        <f>IF(DatiOriginali!G2864 &gt;= SogliaPicchi!$B$30,"",DatiOriginali!G2864)</f>
        <v>718300</v>
      </c>
      <c r="H2864" s="4">
        <v>22828901</v>
      </c>
      <c r="I2864" s="4">
        <f>IF(DatiOriginali!I2864 &gt;= SogliaPicchi!$B$30,"",DatiOriginali!I2864)</f>
        <v>198700</v>
      </c>
      <c r="J2864" s="4">
        <v>22789405</v>
      </c>
      <c r="K2864" s="4">
        <f>IF(DatiOriginali!K2864 &gt;= SogliaPicchi!$B$30,"",DatiOriginali!K2864)</f>
        <v>230400</v>
      </c>
    </row>
    <row r="2865" spans="1:11" x14ac:dyDescent="0.3">
      <c r="A2865" s="4" t="s">
        <v>2874</v>
      </c>
      <c r="B2865" s="4">
        <v>1050525</v>
      </c>
      <c r="C2865" s="4">
        <f>IF(DatiOriginali!C2865 &gt;= SogliaPicchi!$B$30,"",DatiOriginali!C2865)</f>
        <v>9718300</v>
      </c>
      <c r="D2865" s="4">
        <v>522777</v>
      </c>
      <c r="E2865" s="4">
        <f>IF(DatiOriginali!E2865 &gt;= SogliaPicchi!$B$30,"",DatiOriginali!E2865)</f>
        <v>1794200</v>
      </c>
      <c r="F2865" s="4">
        <v>18138412</v>
      </c>
      <c r="G2865" s="4">
        <f>IF(DatiOriginali!G2865 &gt;= SogliaPicchi!$B$30,"",DatiOriginali!G2865)</f>
        <v>569600</v>
      </c>
      <c r="H2865" s="4">
        <v>22846706</v>
      </c>
      <c r="I2865" s="4">
        <f>IF(DatiOriginali!I2865 &gt;= SogliaPicchi!$B$30,"",DatiOriginali!I2865)</f>
        <v>189300</v>
      </c>
      <c r="J2865" s="4">
        <v>22807637</v>
      </c>
      <c r="K2865" s="4">
        <f>IF(DatiOriginali!K2865 &gt;= SogliaPicchi!$B$30,"",DatiOriginali!K2865)</f>
        <v>210000</v>
      </c>
    </row>
    <row r="2866" spans="1:11" x14ac:dyDescent="0.3">
      <c r="A2866" s="4" t="s">
        <v>2875</v>
      </c>
      <c r="B2866" s="4">
        <v>1050525</v>
      </c>
      <c r="C2866" s="4">
        <f>IF(DatiOriginali!C2866 &gt;= SogliaPicchi!$B$30,"",DatiOriginali!C2866)</f>
        <v>9608500</v>
      </c>
      <c r="D2866" s="4">
        <v>533751</v>
      </c>
      <c r="E2866" s="4">
        <f>IF(DatiOriginali!E2866 &gt;= SogliaPicchi!$B$30,"",DatiOriginali!E2866)</f>
        <v>1882500</v>
      </c>
      <c r="F2866" s="4">
        <v>18151851</v>
      </c>
      <c r="G2866" s="4">
        <f>IF(DatiOriginali!G2866 &gt;= SogliaPicchi!$B$30,"",DatiOriginali!G2866)</f>
        <v>567400</v>
      </c>
      <c r="H2866" s="4">
        <v>22862881</v>
      </c>
      <c r="I2866" s="4">
        <f>IF(DatiOriginali!I2866 &gt;= SogliaPicchi!$B$30,"",DatiOriginali!I2866)</f>
        <v>262700</v>
      </c>
      <c r="J2866" s="4">
        <v>22827398</v>
      </c>
      <c r="K2866" s="4">
        <f>IF(DatiOriginali!K2866 &gt;= SogliaPicchi!$B$30,"",DatiOriginali!K2866)</f>
        <v>284100</v>
      </c>
    </row>
    <row r="2867" spans="1:11" x14ac:dyDescent="0.3">
      <c r="A2867" s="4" t="s">
        <v>2876</v>
      </c>
      <c r="B2867" s="4">
        <v>1050525</v>
      </c>
      <c r="C2867" s="4">
        <f>IF(DatiOriginali!C2867 &gt;= SogliaPicchi!$B$30,"",DatiOriginali!C2867)</f>
        <v>9705400</v>
      </c>
      <c r="D2867" s="4">
        <v>529788</v>
      </c>
      <c r="E2867" s="4">
        <f>IF(DatiOriginali!E2867 &gt;= SogliaPicchi!$B$30,"",DatiOriginali!E2867)</f>
        <v>2038300</v>
      </c>
      <c r="F2867" s="4">
        <v>18165279</v>
      </c>
      <c r="G2867" s="4">
        <f>IF(DatiOriginali!G2867 &gt;= SogliaPicchi!$B$30,"",DatiOriginali!G2867)</f>
        <v>567300</v>
      </c>
      <c r="H2867" s="4">
        <v>22880294</v>
      </c>
      <c r="I2867" s="4">
        <f>IF(DatiOriginali!I2867 &gt;= SogliaPicchi!$B$30,"",DatiOriginali!I2867)</f>
        <v>197200</v>
      </c>
      <c r="J2867" s="4">
        <v>22844763</v>
      </c>
      <c r="K2867" s="4">
        <f>IF(DatiOriginali!K2867 &gt;= SogliaPicchi!$B$30,"",DatiOriginali!K2867)</f>
        <v>217300</v>
      </c>
    </row>
    <row r="2868" spans="1:11" x14ac:dyDescent="0.3">
      <c r="A2868" s="4" t="s">
        <v>2877</v>
      </c>
      <c r="B2868" s="4">
        <v>1050525</v>
      </c>
      <c r="C2868" s="4">
        <f>IF(DatiOriginali!C2868 &gt;= SogliaPicchi!$B$30,"",DatiOriginali!C2868)</f>
        <v>10382200</v>
      </c>
      <c r="D2868" s="4">
        <v>522394</v>
      </c>
      <c r="E2868" s="4">
        <f>IF(DatiOriginali!E2868 &gt;= SogliaPicchi!$B$30,"",DatiOriginali!E2868)</f>
        <v>1803800</v>
      </c>
      <c r="F2868" s="4">
        <v>18178722</v>
      </c>
      <c r="G2868" s="4">
        <f>IF(DatiOriginali!G2868 &gt;= SogliaPicchi!$B$30,"",DatiOriginali!G2868)</f>
        <v>669800</v>
      </c>
      <c r="H2868" s="4">
        <v>22896713</v>
      </c>
      <c r="I2868" s="4">
        <f>IF(DatiOriginali!I2868 &gt;= SogliaPicchi!$B$30,"",DatiOriginali!I2868)</f>
        <v>263500</v>
      </c>
      <c r="J2868" s="4">
        <v>22861941</v>
      </c>
      <c r="K2868" s="4">
        <f>IF(DatiOriginali!K2868 &gt;= SogliaPicchi!$B$30,"",DatiOriginali!K2868)</f>
        <v>280900</v>
      </c>
    </row>
    <row r="2869" spans="1:11" x14ac:dyDescent="0.3">
      <c r="A2869" s="4" t="s">
        <v>2878</v>
      </c>
      <c r="B2869" s="4">
        <v>1050525</v>
      </c>
      <c r="C2869" s="4">
        <f>IF(DatiOriginali!C2869 &gt;= SogliaPicchi!$B$30,"",DatiOriginali!C2869)</f>
        <v>9849300</v>
      </c>
      <c r="D2869" s="4">
        <v>516659</v>
      </c>
      <c r="E2869" s="4">
        <f>IF(DatiOriginali!E2869 &gt;= SogliaPicchi!$B$30,"",DatiOriginali!E2869)</f>
        <v>1780700</v>
      </c>
      <c r="F2869" s="4">
        <v>18192185</v>
      </c>
      <c r="G2869" s="4">
        <f>IF(DatiOriginali!G2869 &gt;= SogliaPicchi!$B$30,"",DatiOriginali!G2869)</f>
        <v>569800</v>
      </c>
      <c r="H2869" s="4">
        <v>22914225</v>
      </c>
      <c r="I2869" s="4">
        <f>IF(DatiOriginali!I2869 &gt;= SogliaPicchi!$B$30,"",DatiOriginali!I2869)</f>
        <v>195200</v>
      </c>
      <c r="J2869" s="4">
        <v>22877941</v>
      </c>
      <c r="K2869" s="4">
        <f>IF(DatiOriginali!K2869 &gt;= SogliaPicchi!$B$30,"",DatiOriginali!K2869)</f>
        <v>238200</v>
      </c>
    </row>
    <row r="2870" spans="1:11" x14ac:dyDescent="0.3">
      <c r="A2870" s="4" t="s">
        <v>2879</v>
      </c>
      <c r="B2870" s="4">
        <v>1050525</v>
      </c>
      <c r="C2870" s="4">
        <f>IF(DatiOriginali!C2870 &gt;= SogliaPicchi!$B$30,"",DatiOriginali!C2870)</f>
        <v>9682800</v>
      </c>
      <c r="D2870" s="4">
        <v>538400</v>
      </c>
      <c r="E2870" s="4">
        <f>IF(DatiOriginali!E2870 &gt;= SogliaPicchi!$B$30,"",DatiOriginali!E2870)</f>
        <v>1914700</v>
      </c>
      <c r="F2870" s="4">
        <v>18205613</v>
      </c>
      <c r="G2870" s="4">
        <f>IF(DatiOriginali!G2870 &gt;= SogliaPicchi!$B$30,"",DatiOriginali!G2870)</f>
        <v>564100</v>
      </c>
      <c r="H2870" s="4">
        <v>22932120</v>
      </c>
      <c r="I2870" s="4">
        <f>IF(DatiOriginali!I2870 &gt;= SogliaPicchi!$B$30,"",DatiOriginali!I2870)</f>
        <v>196500</v>
      </c>
      <c r="J2870" s="4">
        <v>22893986</v>
      </c>
      <c r="K2870" s="4">
        <f>IF(DatiOriginali!K2870 &gt;= SogliaPicchi!$B$30,"",DatiOriginali!K2870)</f>
        <v>215500</v>
      </c>
    </row>
    <row r="2871" spans="1:11" x14ac:dyDescent="0.3">
      <c r="A2871" s="4" t="s">
        <v>2880</v>
      </c>
      <c r="B2871" s="4">
        <v>1050525</v>
      </c>
      <c r="C2871" s="4">
        <f>IF(DatiOriginali!C2871 &gt;= SogliaPicchi!$B$30,"",DatiOriginali!C2871)</f>
        <v>10580400</v>
      </c>
      <c r="D2871" s="4">
        <v>523308</v>
      </c>
      <c r="E2871" s="4">
        <f>IF(DatiOriginali!E2871 &gt;= SogliaPicchi!$B$30,"",DatiOriginali!E2871)</f>
        <v>1809500</v>
      </c>
      <c r="F2871" s="4">
        <v>18219046</v>
      </c>
      <c r="G2871" s="4">
        <f>IF(DatiOriginali!G2871 &gt;= SogliaPicchi!$B$30,"",DatiOriginali!G2871)</f>
        <v>575400</v>
      </c>
      <c r="H2871" s="4">
        <v>22950893</v>
      </c>
      <c r="I2871" s="4">
        <f>IF(DatiOriginali!I2871 &gt;= SogliaPicchi!$B$30,"",DatiOriginali!I2871)</f>
        <v>201400</v>
      </c>
      <c r="J2871" s="4">
        <v>22911161</v>
      </c>
      <c r="K2871" s="4">
        <f>IF(DatiOriginali!K2871 &gt;= SogliaPicchi!$B$30,"",DatiOriginali!K2871)</f>
        <v>220500</v>
      </c>
    </row>
    <row r="2872" spans="1:11" x14ac:dyDescent="0.3">
      <c r="A2872" s="4" t="s">
        <v>2881</v>
      </c>
      <c r="B2872" s="4">
        <v>1050525</v>
      </c>
      <c r="C2872" s="4">
        <f>IF(DatiOriginali!C2872 &gt;= SogliaPicchi!$B$30,"",DatiOriginali!C2872)</f>
        <v>9376900</v>
      </c>
      <c r="D2872" s="4">
        <v>528265</v>
      </c>
      <c r="E2872" s="4">
        <f>IF(DatiOriginali!E2872 &gt;= SogliaPicchi!$B$30,"",DatiOriginali!E2872)</f>
        <v>1844500</v>
      </c>
      <c r="F2872" s="4">
        <v>18232497</v>
      </c>
      <c r="G2872" s="4">
        <f>IF(DatiOriginali!G2872 &gt;= SogliaPicchi!$B$30,"",DatiOriginali!G2872)</f>
        <v>706400</v>
      </c>
      <c r="H2872" s="4">
        <v>22966820</v>
      </c>
      <c r="I2872" s="4">
        <f>IF(DatiOriginali!I2872 &gt;= SogliaPicchi!$B$30,"",DatiOriginali!I2872)</f>
        <v>236000</v>
      </c>
      <c r="J2872" s="4">
        <v>22927584</v>
      </c>
      <c r="K2872" s="4">
        <f>IF(DatiOriginali!K2872 &gt;= SogliaPicchi!$B$30,"",DatiOriginali!K2872)</f>
        <v>274100</v>
      </c>
    </row>
    <row r="2873" spans="1:11" x14ac:dyDescent="0.3">
      <c r="A2873" s="4" t="s">
        <v>2882</v>
      </c>
      <c r="B2873" s="4">
        <v>1050525</v>
      </c>
      <c r="C2873" s="4">
        <f>IF(DatiOriginali!C2873 &gt;= SogliaPicchi!$B$30,"",DatiOriginali!C2873)</f>
        <v>10399700</v>
      </c>
      <c r="D2873" s="4">
        <v>530416</v>
      </c>
      <c r="E2873" s="4">
        <f>IF(DatiOriginali!E2873 &gt;= SogliaPicchi!$B$30,"",DatiOriginali!E2873)</f>
        <v>1907800</v>
      </c>
      <c r="F2873" s="4">
        <v>18245928</v>
      </c>
      <c r="G2873" s="4">
        <f>IF(DatiOriginali!G2873 &gt;= SogliaPicchi!$B$30,"",DatiOriginali!G2873)</f>
        <v>571400</v>
      </c>
      <c r="H2873" s="4">
        <v>22987066</v>
      </c>
      <c r="I2873" s="4">
        <f>IF(DatiOriginali!I2873 &gt;= SogliaPicchi!$B$30,"",DatiOriginali!I2873)</f>
        <v>204300</v>
      </c>
      <c r="J2873" s="4">
        <v>22943928</v>
      </c>
      <c r="K2873" s="4">
        <f>IF(DatiOriginali!K2873 &gt;= SogliaPicchi!$B$30,"",DatiOriginali!K2873)</f>
        <v>214300</v>
      </c>
    </row>
    <row r="2874" spans="1:11" x14ac:dyDescent="0.3">
      <c r="A2874" s="4" t="s">
        <v>2883</v>
      </c>
      <c r="B2874" s="4">
        <v>1050525</v>
      </c>
      <c r="C2874" s="4">
        <f>IF(DatiOriginali!C2874 &gt;= SogliaPicchi!$B$30,"",DatiOriginali!C2874)</f>
        <v>9852900</v>
      </c>
      <c r="D2874" s="4">
        <v>536256</v>
      </c>
      <c r="E2874" s="4">
        <f>IF(DatiOriginali!E2874 &gt;= SogliaPicchi!$B$30,"",DatiOriginali!E2874)</f>
        <v>1855000</v>
      </c>
      <c r="F2874" s="4">
        <v>18259364</v>
      </c>
      <c r="G2874" s="4">
        <f>IF(DatiOriginali!G2874 &gt;= SogliaPicchi!$B$30,"",DatiOriginali!G2874)</f>
        <v>565300</v>
      </c>
      <c r="H2874" s="4">
        <v>23003264</v>
      </c>
      <c r="I2874" s="4">
        <f>IF(DatiOriginali!I2874 &gt;= SogliaPicchi!$B$30,"",DatiOriginali!I2874)</f>
        <v>191600</v>
      </c>
      <c r="J2874" s="4">
        <v>22960000</v>
      </c>
      <c r="K2874" s="4">
        <f>IF(DatiOriginali!K2874 &gt;= SogliaPicchi!$B$30,"",DatiOriginali!K2874)</f>
        <v>212500</v>
      </c>
    </row>
    <row r="2875" spans="1:11" x14ac:dyDescent="0.3">
      <c r="A2875" s="4" t="s">
        <v>2884</v>
      </c>
      <c r="B2875" s="4">
        <v>1050525</v>
      </c>
      <c r="C2875" s="4">
        <f>IF(DatiOriginali!C2875 &gt;= SogliaPicchi!$B$30,"",DatiOriginali!C2875)</f>
        <v>9639600</v>
      </c>
      <c r="D2875" s="4">
        <v>535414</v>
      </c>
      <c r="E2875" s="4">
        <f>IF(DatiOriginali!E2875 &gt;= SogliaPicchi!$B$30,"",DatiOriginali!E2875)</f>
        <v>1846500</v>
      </c>
      <c r="F2875" s="4">
        <v>18272791</v>
      </c>
      <c r="G2875" s="4">
        <f>IF(DatiOriginali!G2875 &gt;= SogliaPicchi!$B$30,"",DatiOriginali!G2875)</f>
        <v>562600</v>
      </c>
      <c r="H2875" s="4">
        <v>23019263</v>
      </c>
      <c r="I2875" s="4">
        <f>IF(DatiOriginali!I2875 &gt;= SogliaPicchi!$B$30,"",DatiOriginali!I2875)</f>
        <v>194200</v>
      </c>
      <c r="J2875" s="4">
        <v>22977100</v>
      </c>
      <c r="K2875" s="4">
        <f>IF(DatiOriginali!K2875 &gt;= SogliaPicchi!$B$30,"",DatiOriginali!K2875)</f>
        <v>217300</v>
      </c>
    </row>
    <row r="2876" spans="1:11" x14ac:dyDescent="0.3">
      <c r="A2876" s="4" t="s">
        <v>2885</v>
      </c>
      <c r="B2876" s="4">
        <v>1050525</v>
      </c>
      <c r="C2876" s="4">
        <f>IF(DatiOriginali!C2876 &gt;= SogliaPicchi!$B$30,"",DatiOriginali!C2876)</f>
        <v>9385100</v>
      </c>
      <c r="D2876" s="4">
        <v>506494</v>
      </c>
      <c r="E2876" s="4">
        <f>IF(DatiOriginali!E2876 &gt;= SogliaPicchi!$B$30,"",DatiOriginali!E2876)</f>
        <v>1744700</v>
      </c>
      <c r="F2876" s="4">
        <v>18286203</v>
      </c>
      <c r="G2876" s="4">
        <f>IF(DatiOriginali!G2876 &gt;= SogliaPicchi!$B$30,"",DatiOriginali!G2876)</f>
        <v>727700</v>
      </c>
      <c r="H2876" s="4">
        <v>23037095</v>
      </c>
      <c r="I2876" s="4">
        <f>IF(DatiOriginali!I2876 &gt;= SogliaPicchi!$B$30,"",DatiOriginali!I2876)</f>
        <v>198100</v>
      </c>
      <c r="J2876" s="4">
        <v>22994610</v>
      </c>
      <c r="K2876" s="4">
        <f>IF(DatiOriginali!K2876 &gt;= SogliaPicchi!$B$30,"",DatiOriginali!K2876)</f>
        <v>218200</v>
      </c>
    </row>
    <row r="2877" spans="1:11" x14ac:dyDescent="0.3">
      <c r="A2877" s="4" t="s">
        <v>2886</v>
      </c>
      <c r="B2877" s="4">
        <v>1050525</v>
      </c>
      <c r="C2877" s="4">
        <f>IF(DatiOriginali!C2877 &gt;= SogliaPicchi!$B$30,"",DatiOriginali!C2877)</f>
        <v>9564800</v>
      </c>
      <c r="D2877" s="4">
        <v>529462</v>
      </c>
      <c r="E2877" s="4">
        <f>IF(DatiOriginali!E2877 &gt;= SogliaPicchi!$B$30,"",DatiOriginali!E2877)</f>
        <v>2071900</v>
      </c>
      <c r="F2877" s="4">
        <v>18299639</v>
      </c>
      <c r="G2877" s="4">
        <f>IF(DatiOriginali!G2877 &gt;= SogliaPicchi!$B$30,"",DatiOriginali!G2877)</f>
        <v>562400</v>
      </c>
      <c r="H2877" s="4">
        <v>23055822</v>
      </c>
      <c r="I2877" s="4">
        <f>IF(DatiOriginali!I2877 &gt;= SogliaPicchi!$B$30,"",DatiOriginali!I2877)</f>
        <v>210000</v>
      </c>
      <c r="J2877" s="4">
        <v>23011641</v>
      </c>
      <c r="K2877" s="4">
        <f>IF(DatiOriginali!K2877 &gt;= SogliaPicchi!$B$30,"",DatiOriginali!K2877)</f>
        <v>212900</v>
      </c>
    </row>
    <row r="2878" spans="1:11" x14ac:dyDescent="0.3">
      <c r="A2878" s="4" t="s">
        <v>2887</v>
      </c>
      <c r="B2878" s="4">
        <v>1050525</v>
      </c>
      <c r="C2878" s="4">
        <f>IF(DatiOriginali!C2878 &gt;= SogliaPicchi!$B$30,"",DatiOriginali!C2878)</f>
        <v>9463400</v>
      </c>
      <c r="D2878" s="4">
        <v>531326</v>
      </c>
      <c r="E2878" s="4">
        <f>IF(DatiOriginali!E2878 &gt;= SogliaPicchi!$B$30,"",DatiOriginali!E2878)</f>
        <v>1827900</v>
      </c>
      <c r="F2878" s="4">
        <v>18313044</v>
      </c>
      <c r="G2878" s="4">
        <f>IF(DatiOriginali!G2878 &gt;= SogliaPicchi!$B$30,"",DatiOriginali!G2878)</f>
        <v>565500</v>
      </c>
      <c r="H2878" s="4">
        <v>23071727</v>
      </c>
      <c r="I2878" s="4">
        <f>IF(DatiOriginali!I2878 &gt;= SogliaPicchi!$B$30,"",DatiOriginali!I2878)</f>
        <v>193500</v>
      </c>
      <c r="J2878" s="4">
        <v>23029772</v>
      </c>
      <c r="K2878" s="4">
        <f>IF(DatiOriginali!K2878 &gt;= SogliaPicchi!$B$30,"",DatiOriginali!K2878)</f>
        <v>212400</v>
      </c>
    </row>
    <row r="2879" spans="1:11" x14ac:dyDescent="0.3">
      <c r="A2879" s="4" t="s">
        <v>2888</v>
      </c>
      <c r="B2879" s="4">
        <v>1050525</v>
      </c>
      <c r="C2879" s="4">
        <f>IF(DatiOriginali!C2879 &gt;= SogliaPicchi!$B$30,"",DatiOriginali!C2879)</f>
        <v>10211100</v>
      </c>
      <c r="D2879" s="4">
        <v>514557</v>
      </c>
      <c r="E2879" s="4">
        <f>IF(DatiOriginali!E2879 &gt;= SogliaPicchi!$B$30,"",DatiOriginali!E2879)</f>
        <v>1858200</v>
      </c>
      <c r="F2879" s="4">
        <v>18326448</v>
      </c>
      <c r="G2879" s="4">
        <f>IF(DatiOriginali!G2879 &gt;= SogliaPicchi!$B$30,"",DatiOriginali!G2879)</f>
        <v>567300</v>
      </c>
      <c r="H2879" s="4">
        <v>23089187</v>
      </c>
      <c r="I2879" s="4">
        <f>IF(DatiOriginali!I2879 &gt;= SogliaPicchi!$B$30,"",DatiOriginali!I2879)</f>
        <v>198100</v>
      </c>
      <c r="J2879" s="4">
        <v>23050119</v>
      </c>
      <c r="K2879" s="4">
        <f>IF(DatiOriginali!K2879 &gt;= SogliaPicchi!$B$30,"",DatiOriginali!K2879)</f>
        <v>224400</v>
      </c>
    </row>
    <row r="2880" spans="1:11" x14ac:dyDescent="0.3">
      <c r="A2880" s="4" t="s">
        <v>2889</v>
      </c>
      <c r="B2880" s="4">
        <v>1050525</v>
      </c>
      <c r="C2880" s="4">
        <f>IF(DatiOriginali!C2880 &gt;= SogliaPicchi!$B$30,"",DatiOriginali!C2880)</f>
        <v>9502200</v>
      </c>
      <c r="D2880" s="4">
        <v>526526</v>
      </c>
      <c r="E2880" s="4">
        <f>IF(DatiOriginali!E2880 &gt;= SogliaPicchi!$B$30,"",DatiOriginali!E2880)</f>
        <v>2046400</v>
      </c>
      <c r="F2880" s="4">
        <v>18339897</v>
      </c>
      <c r="G2880" s="4">
        <f>IF(DatiOriginali!G2880 &gt;= SogliaPicchi!$B$30,"",DatiOriginali!G2880)</f>
        <v>580400</v>
      </c>
      <c r="H2880" s="4">
        <v>23105990</v>
      </c>
      <c r="I2880" s="4">
        <f>IF(DatiOriginali!I2880 &gt;= SogliaPicchi!$B$30,"",DatiOriginali!I2880)</f>
        <v>269400</v>
      </c>
      <c r="J2880" s="4">
        <v>23066505</v>
      </c>
      <c r="K2880" s="4">
        <f>IF(DatiOriginali!K2880 &gt;= SogliaPicchi!$B$30,"",DatiOriginali!K2880)</f>
        <v>215500</v>
      </c>
    </row>
    <row r="2881" spans="1:11" x14ac:dyDescent="0.3">
      <c r="A2881" s="4" t="s">
        <v>2890</v>
      </c>
      <c r="B2881" s="4">
        <v>1050525</v>
      </c>
      <c r="C2881" s="4">
        <f>IF(DatiOriginali!C2881 &gt;= SogliaPicchi!$B$30,"",DatiOriginali!C2881)</f>
        <v>9816400</v>
      </c>
      <c r="D2881" s="4">
        <v>524499</v>
      </c>
      <c r="E2881" s="4">
        <f>IF(DatiOriginali!E2881 &gt;= SogliaPicchi!$B$30,"",DatiOriginali!E2881)</f>
        <v>1803900</v>
      </c>
      <c r="F2881" s="4">
        <v>18353342</v>
      </c>
      <c r="G2881" s="4">
        <f>IF(DatiOriginali!G2881 &gt;= SogliaPicchi!$B$30,"",DatiOriginali!G2881)</f>
        <v>566600</v>
      </c>
      <c r="H2881" s="4">
        <v>23122244</v>
      </c>
      <c r="I2881" s="4">
        <f>IF(DatiOriginali!I2881 &gt;= SogliaPicchi!$B$30,"",DatiOriginali!I2881)</f>
        <v>197200</v>
      </c>
      <c r="J2881" s="4">
        <v>23083521</v>
      </c>
      <c r="K2881" s="4">
        <f>IF(DatiOriginali!K2881 &gt;= SogliaPicchi!$B$30,"",DatiOriginali!K2881)</f>
        <v>208400</v>
      </c>
    </row>
    <row r="2882" spans="1:11" x14ac:dyDescent="0.3">
      <c r="A2882" s="4" t="s">
        <v>2891</v>
      </c>
      <c r="B2882" s="4">
        <v>1050525</v>
      </c>
      <c r="C2882" s="4">
        <f>IF(DatiOriginali!C2882 &gt;= SogliaPicchi!$B$30,"",DatiOriginali!C2882)</f>
        <v>9875100</v>
      </c>
      <c r="D2882" s="4">
        <v>537335</v>
      </c>
      <c r="E2882" s="4">
        <f>IF(DatiOriginali!E2882 &gt;= SogliaPicchi!$B$30,"",DatiOriginali!E2882)</f>
        <v>1912700</v>
      </c>
      <c r="F2882" s="4">
        <v>18366790</v>
      </c>
      <c r="G2882" s="4">
        <f>IF(DatiOriginali!G2882 &gt;= SogliaPicchi!$B$30,"",DatiOriginali!G2882)</f>
        <v>569900</v>
      </c>
      <c r="H2882" s="4">
        <v>23139707</v>
      </c>
      <c r="I2882" s="4">
        <f>IF(DatiOriginali!I2882 &gt;= SogliaPicchi!$B$30,"",DatiOriginali!I2882)</f>
        <v>195800</v>
      </c>
      <c r="J2882" s="4">
        <v>23100135</v>
      </c>
      <c r="K2882" s="4">
        <f>IF(DatiOriginali!K2882 &gt;= SogliaPicchi!$B$30,"",DatiOriginali!K2882)</f>
        <v>217200</v>
      </c>
    </row>
    <row r="2883" spans="1:11" x14ac:dyDescent="0.3">
      <c r="A2883" s="4" t="s">
        <v>2892</v>
      </c>
      <c r="B2883" s="4">
        <v>1050525</v>
      </c>
      <c r="C2883" s="4">
        <f>IF(DatiOriginali!C2883 &gt;= SogliaPicchi!$B$30,"",DatiOriginali!C2883)</f>
        <v>9594400</v>
      </c>
      <c r="D2883" s="4">
        <v>517693</v>
      </c>
      <c r="E2883" s="4">
        <f>IF(DatiOriginali!E2883 &gt;= SogliaPicchi!$B$30,"",DatiOriginali!E2883)</f>
        <v>1792300</v>
      </c>
      <c r="F2883" s="4">
        <v>18380229</v>
      </c>
      <c r="G2883" s="4">
        <f>IF(DatiOriginali!G2883 &gt;= SogliaPicchi!$B$30,"",DatiOriginali!G2883)</f>
        <v>568200</v>
      </c>
      <c r="H2883" s="4">
        <v>23155572</v>
      </c>
      <c r="I2883" s="4">
        <f>IF(DatiOriginali!I2883 &gt;= SogliaPicchi!$B$30,"",DatiOriginali!I2883)</f>
        <v>195400</v>
      </c>
      <c r="J2883" s="4">
        <v>23116501</v>
      </c>
      <c r="K2883" s="4">
        <f>IF(DatiOriginali!K2883 &gt;= SogliaPicchi!$B$30,"",DatiOriginali!K2883)</f>
        <v>286200</v>
      </c>
    </row>
    <row r="2884" spans="1:11" x14ac:dyDescent="0.3">
      <c r="A2884" s="4" t="s">
        <v>2893</v>
      </c>
      <c r="B2884" s="4">
        <v>1050525</v>
      </c>
      <c r="C2884" s="4">
        <f>IF(DatiOriginali!C2884 &gt;= SogliaPicchi!$B$30,"",DatiOriginali!C2884)</f>
        <v>9527000</v>
      </c>
      <c r="D2884" s="4">
        <v>523308</v>
      </c>
      <c r="E2884" s="4">
        <f>IF(DatiOriginali!E2884 &gt;= SogliaPicchi!$B$30,"",DatiOriginali!E2884)</f>
        <v>1836800</v>
      </c>
      <c r="F2884" s="4">
        <v>18393632</v>
      </c>
      <c r="G2884" s="4">
        <f>IF(DatiOriginali!G2884 &gt;= SogliaPicchi!$B$30,"",DatiOriginali!G2884)</f>
        <v>560900</v>
      </c>
      <c r="H2884" s="4">
        <v>23174288</v>
      </c>
      <c r="I2884" s="4">
        <f>IF(DatiOriginali!I2884 &gt;= SogliaPicchi!$B$30,"",DatiOriginali!I2884)</f>
        <v>199200</v>
      </c>
      <c r="J2884" s="4">
        <v>23132681</v>
      </c>
      <c r="K2884" s="4">
        <f>IF(DatiOriginali!K2884 &gt;= SogliaPicchi!$B$30,"",DatiOriginali!K2884)</f>
        <v>212700</v>
      </c>
    </row>
    <row r="2885" spans="1:11" x14ac:dyDescent="0.3">
      <c r="A2885" s="4" t="s">
        <v>2894</v>
      </c>
      <c r="B2885" s="4">
        <v>1050525</v>
      </c>
      <c r="C2885" s="4">
        <f>IF(DatiOriginali!C2885 &gt;= SogliaPicchi!$B$30,"",DatiOriginali!C2885)</f>
        <v>9719500</v>
      </c>
      <c r="D2885" s="4">
        <v>510166</v>
      </c>
      <c r="E2885" s="4">
        <f>IF(DatiOriginali!E2885 &gt;= SogliaPicchi!$B$30,"",DatiOriginali!E2885)</f>
        <v>1983800</v>
      </c>
      <c r="F2885" s="4">
        <v>18407092</v>
      </c>
      <c r="G2885" s="4">
        <f>IF(DatiOriginali!G2885 &gt;= SogliaPicchi!$B$30,"",DatiOriginali!G2885)</f>
        <v>605200</v>
      </c>
      <c r="H2885" s="4">
        <v>23190493</v>
      </c>
      <c r="I2885" s="4">
        <f>IF(DatiOriginali!I2885 &gt;= SogliaPicchi!$B$30,"",DatiOriginali!I2885)</f>
        <v>191200</v>
      </c>
      <c r="J2885" s="4">
        <v>23149020</v>
      </c>
      <c r="K2885" s="4">
        <f>IF(DatiOriginali!K2885 &gt;= SogliaPicchi!$B$30,"",DatiOriginali!K2885)</f>
        <v>223700</v>
      </c>
    </row>
    <row r="2886" spans="1:11" x14ac:dyDescent="0.3">
      <c r="A2886" s="4" t="s">
        <v>2895</v>
      </c>
      <c r="B2886" s="4">
        <v>1050525</v>
      </c>
      <c r="C2886" s="4">
        <f>IF(DatiOriginali!C2886 &gt;= SogliaPicchi!$B$30,"",DatiOriginali!C2886)</f>
        <v>9285200</v>
      </c>
      <c r="D2886" s="4">
        <v>531027</v>
      </c>
      <c r="E2886" s="4">
        <f>IF(DatiOriginali!E2886 &gt;= SogliaPicchi!$B$30,"",DatiOriginali!E2886)</f>
        <v>2048300</v>
      </c>
      <c r="F2886" s="4">
        <v>18420513</v>
      </c>
      <c r="G2886" s="4">
        <f>IF(DatiOriginali!G2886 &gt;= SogliaPicchi!$B$30,"",DatiOriginali!G2886)</f>
        <v>691000</v>
      </c>
      <c r="H2886" s="4">
        <v>23208210</v>
      </c>
      <c r="I2886" s="4">
        <f>IF(DatiOriginali!I2886 &gt;= SogliaPicchi!$B$30,"",DatiOriginali!I2886)</f>
        <v>263300</v>
      </c>
      <c r="J2886" s="4">
        <v>23166624</v>
      </c>
      <c r="K2886" s="4">
        <f>IF(DatiOriginali!K2886 &gt;= SogliaPicchi!$B$30,"",DatiOriginali!K2886)</f>
        <v>217200</v>
      </c>
    </row>
    <row r="2887" spans="1:11" x14ac:dyDescent="0.3">
      <c r="A2887" s="4" t="s">
        <v>2896</v>
      </c>
      <c r="B2887" s="4">
        <v>1050525</v>
      </c>
      <c r="C2887" s="4">
        <f>IF(DatiOriginali!C2887 &gt;= SogliaPicchi!$B$30,"",DatiOriginali!C2887)</f>
        <v>9517200</v>
      </c>
      <c r="D2887" s="4">
        <v>536464</v>
      </c>
      <c r="E2887" s="4">
        <f>IF(DatiOriginali!E2887 &gt;= SogliaPicchi!$B$30,"",DatiOriginali!E2887)</f>
        <v>1909100</v>
      </c>
      <c r="F2887" s="4">
        <v>18433961</v>
      </c>
      <c r="G2887" s="4">
        <f>IF(DatiOriginali!G2887 &gt;= SogliaPicchi!$B$30,"",DatiOriginali!G2887)</f>
        <v>571100</v>
      </c>
      <c r="H2887" s="4">
        <v>23225706</v>
      </c>
      <c r="I2887" s="4">
        <f>IF(DatiOriginali!I2887 &gt;= SogliaPicchi!$B$30,"",DatiOriginali!I2887)</f>
        <v>196900</v>
      </c>
      <c r="J2887" s="4">
        <v>23183936</v>
      </c>
      <c r="K2887" s="4">
        <f>IF(DatiOriginali!K2887 &gt;= SogliaPicchi!$B$30,"",DatiOriginali!K2887)</f>
        <v>221100</v>
      </c>
    </row>
    <row r="2888" spans="1:11" x14ac:dyDescent="0.3">
      <c r="A2888" s="4" t="s">
        <v>2897</v>
      </c>
      <c r="B2888" s="4">
        <v>1050525</v>
      </c>
      <c r="C2888" s="4">
        <f>IF(DatiOriginali!C2888 &gt;= SogliaPicchi!$B$30,"",DatiOriginali!C2888)</f>
        <v>9793700</v>
      </c>
      <c r="D2888" s="4">
        <v>514687</v>
      </c>
      <c r="E2888" s="4">
        <f>IF(DatiOriginali!E2888 &gt;= SogliaPicchi!$B$30,"",DatiOriginali!E2888)</f>
        <v>1774300</v>
      </c>
      <c r="F2888" s="4">
        <v>18447408</v>
      </c>
      <c r="G2888" s="4">
        <f>IF(DatiOriginali!G2888 &gt;= SogliaPicchi!$B$30,"",DatiOriginali!G2888)</f>
        <v>565200</v>
      </c>
      <c r="H2888" s="4">
        <v>23243589</v>
      </c>
      <c r="I2888" s="4">
        <f>IF(DatiOriginali!I2888 &gt;= SogliaPicchi!$B$30,"",DatiOriginali!I2888)</f>
        <v>202500</v>
      </c>
      <c r="J2888" s="4">
        <v>23198892</v>
      </c>
      <c r="K2888" s="4">
        <f>IF(DatiOriginali!K2888 &gt;= SogliaPicchi!$B$30,"",DatiOriginali!K2888)</f>
        <v>212300</v>
      </c>
    </row>
    <row r="2889" spans="1:11" x14ac:dyDescent="0.3">
      <c r="A2889" s="4" t="s">
        <v>2898</v>
      </c>
      <c r="B2889" s="4">
        <v>1050525</v>
      </c>
      <c r="C2889" s="4">
        <f>IF(DatiOriginali!C2889 &gt;= SogliaPicchi!$B$30,"",DatiOriginali!C2889)</f>
        <v>9808900</v>
      </c>
      <c r="D2889" s="4">
        <v>518523</v>
      </c>
      <c r="E2889" s="4">
        <f>IF(DatiOriginali!E2889 &gt;= SogliaPicchi!$B$30,"",DatiOriginali!E2889)</f>
        <v>1816900</v>
      </c>
      <c r="F2889" s="4">
        <v>18460840</v>
      </c>
      <c r="G2889" s="4">
        <f>IF(DatiOriginali!G2889 &gt;= SogliaPicchi!$B$30,"",DatiOriginali!G2889)</f>
        <v>568800</v>
      </c>
      <c r="H2889" s="4">
        <v>23263343</v>
      </c>
      <c r="I2889" s="4">
        <f>IF(DatiOriginali!I2889 &gt;= SogliaPicchi!$B$30,"",DatiOriginali!I2889)</f>
        <v>200500</v>
      </c>
      <c r="J2889" s="4">
        <v>23216054</v>
      </c>
      <c r="K2889" s="4">
        <f>IF(DatiOriginali!K2889 &gt;= SogliaPicchi!$B$30,"",DatiOriginali!K2889)</f>
        <v>217800</v>
      </c>
    </row>
    <row r="2890" spans="1:11" x14ac:dyDescent="0.3">
      <c r="A2890" s="4" t="s">
        <v>2899</v>
      </c>
      <c r="B2890" s="4">
        <v>1050525</v>
      </c>
      <c r="C2890" s="4">
        <f>IF(DatiOriginali!C2890 &gt;= SogliaPicchi!$B$30,"",DatiOriginali!C2890)</f>
        <v>9603500</v>
      </c>
      <c r="D2890" s="4">
        <v>518793</v>
      </c>
      <c r="E2890" s="4">
        <f>IF(DatiOriginali!E2890 &gt;= SogliaPicchi!$B$30,"",DatiOriginali!E2890)</f>
        <v>1787200</v>
      </c>
      <c r="F2890" s="4">
        <v>18474260</v>
      </c>
      <c r="G2890" s="4">
        <f>IF(DatiOriginali!G2890 &gt;= SogliaPicchi!$B$30,"",DatiOriginali!G2890)</f>
        <v>564800</v>
      </c>
      <c r="H2890" s="4">
        <v>23281377</v>
      </c>
      <c r="I2890" s="4">
        <f>IF(DatiOriginali!I2890 &gt;= SogliaPicchi!$B$30,"",DatiOriginali!I2890)</f>
        <v>200100</v>
      </c>
      <c r="J2890" s="4">
        <v>23232222</v>
      </c>
      <c r="K2890" s="4">
        <f>IF(DatiOriginali!K2890 &gt;= SogliaPicchi!$B$30,"",DatiOriginali!K2890)</f>
        <v>211400</v>
      </c>
    </row>
    <row r="2891" spans="1:11" x14ac:dyDescent="0.3">
      <c r="A2891" s="4" t="s">
        <v>2900</v>
      </c>
      <c r="B2891" s="4">
        <v>1050525</v>
      </c>
      <c r="C2891" s="4">
        <f>IF(DatiOriginali!C2891 &gt;= SogliaPicchi!$B$30,"",DatiOriginali!C2891)</f>
        <v>9734500</v>
      </c>
      <c r="D2891" s="4">
        <v>533324</v>
      </c>
      <c r="E2891" s="4">
        <f>IF(DatiOriginali!E2891 &gt;= SogliaPicchi!$B$30,"",DatiOriginali!E2891)</f>
        <v>1841700</v>
      </c>
      <c r="F2891" s="4">
        <v>18487695</v>
      </c>
      <c r="G2891" s="4">
        <f>IF(DatiOriginali!G2891 &gt;= SogliaPicchi!$B$30,"",DatiOriginali!G2891)</f>
        <v>568900</v>
      </c>
      <c r="H2891" s="4">
        <v>23298123</v>
      </c>
      <c r="I2891" s="4">
        <f>IF(DatiOriginali!I2891 &gt;= SogliaPicchi!$B$30,"",DatiOriginali!I2891)</f>
        <v>196200</v>
      </c>
      <c r="J2891" s="4">
        <v>23250803</v>
      </c>
      <c r="K2891" s="4">
        <f>IF(DatiOriginali!K2891 &gt;= SogliaPicchi!$B$30,"",DatiOriginali!K2891)</f>
        <v>222300</v>
      </c>
    </row>
    <row r="2892" spans="1:11" x14ac:dyDescent="0.3">
      <c r="A2892" s="4" t="s">
        <v>2901</v>
      </c>
      <c r="B2892" s="4">
        <v>1050525</v>
      </c>
      <c r="C2892" s="4">
        <f>IF(DatiOriginali!C2892 &gt;= SogliaPicchi!$B$30,"",DatiOriginali!C2892)</f>
        <v>9653300</v>
      </c>
      <c r="D2892" s="4">
        <v>514574</v>
      </c>
      <c r="E2892" s="4">
        <f>IF(DatiOriginali!E2892 &gt;= SogliaPicchi!$B$30,"",DatiOriginali!E2892)</f>
        <v>1976900</v>
      </c>
      <c r="F2892" s="4">
        <v>18501068</v>
      </c>
      <c r="G2892" s="4">
        <f>IF(DatiOriginali!G2892 &gt;= SogliaPicchi!$B$30,"",DatiOriginali!G2892)</f>
        <v>665200</v>
      </c>
      <c r="H2892" s="4">
        <v>23314780</v>
      </c>
      <c r="I2892" s="4">
        <f>IF(DatiOriginali!I2892 &gt;= SogliaPicchi!$B$30,"",DatiOriginali!I2892)</f>
        <v>272400</v>
      </c>
      <c r="J2892" s="4">
        <v>23266988</v>
      </c>
      <c r="K2892" s="4">
        <f>IF(DatiOriginali!K2892 &gt;= SogliaPicchi!$B$30,"",DatiOriginali!K2892)</f>
        <v>254000</v>
      </c>
    </row>
    <row r="2893" spans="1:11" x14ac:dyDescent="0.3">
      <c r="A2893" s="4" t="s">
        <v>2902</v>
      </c>
      <c r="B2893" s="4">
        <v>1050525</v>
      </c>
      <c r="C2893" s="4">
        <f>IF(DatiOriginali!C2893 &gt;= SogliaPicchi!$B$30,"",DatiOriginali!C2893)</f>
        <v>10267200</v>
      </c>
      <c r="D2893" s="4">
        <v>527083</v>
      </c>
      <c r="E2893" s="4">
        <f>IF(DatiOriginali!E2893 &gt;= SogliaPicchi!$B$30,"",DatiOriginali!E2893)</f>
        <v>1881100</v>
      </c>
      <c r="F2893" s="4">
        <v>18514529</v>
      </c>
      <c r="G2893" s="4">
        <f>IF(DatiOriginali!G2893 &gt;= SogliaPicchi!$B$30,"",DatiOriginali!G2893)</f>
        <v>570400</v>
      </c>
      <c r="H2893" s="4">
        <v>23331489</v>
      </c>
      <c r="I2893" s="4">
        <f>IF(DatiOriginali!I2893 &gt;= SogliaPicchi!$B$30,"",DatiOriginali!I2893)</f>
        <v>199000</v>
      </c>
      <c r="J2893" s="4">
        <v>23282855</v>
      </c>
      <c r="K2893" s="4">
        <f>IF(DatiOriginali!K2893 &gt;= SogliaPicchi!$B$30,"",DatiOriginali!K2893)</f>
        <v>212600</v>
      </c>
    </row>
    <row r="2894" spans="1:11" x14ac:dyDescent="0.3">
      <c r="A2894" s="4" t="s">
        <v>2903</v>
      </c>
      <c r="B2894" s="4">
        <v>1050525</v>
      </c>
      <c r="C2894" s="4">
        <f>IF(DatiOriginali!C2894 &gt;= SogliaPicchi!$B$30,"",DatiOriginali!C2894)</f>
        <v>10018900</v>
      </c>
      <c r="D2894" s="4">
        <v>519316</v>
      </c>
      <c r="E2894" s="4">
        <f>IF(DatiOriginali!E2894 &gt;= SogliaPicchi!$B$30,"",DatiOriginali!E2894)</f>
        <v>1829600</v>
      </c>
      <c r="F2894" s="4">
        <v>18527962</v>
      </c>
      <c r="G2894" s="4">
        <f>IF(DatiOriginali!G2894 &gt;= SogliaPicchi!$B$30,"",DatiOriginali!G2894)</f>
        <v>574600</v>
      </c>
      <c r="H2894" s="4">
        <v>23349944</v>
      </c>
      <c r="I2894" s="4">
        <f>IF(DatiOriginali!I2894 &gt;= SogliaPicchi!$B$30,"",DatiOriginali!I2894)</f>
        <v>195900</v>
      </c>
      <c r="J2894" s="4">
        <v>23299438</v>
      </c>
      <c r="K2894" s="4">
        <f>IF(DatiOriginali!K2894 &gt;= SogliaPicchi!$B$30,"",DatiOriginali!K2894)</f>
        <v>214000</v>
      </c>
    </row>
    <row r="2895" spans="1:11" x14ac:dyDescent="0.3">
      <c r="A2895" s="4" t="s">
        <v>2904</v>
      </c>
      <c r="B2895" s="4">
        <v>1050525</v>
      </c>
      <c r="C2895" s="4">
        <f>IF(DatiOriginali!C2895 &gt;= SogliaPicchi!$B$30,"",DatiOriginali!C2895)</f>
        <v>9228600</v>
      </c>
      <c r="D2895" s="4">
        <v>535979</v>
      </c>
      <c r="E2895" s="4">
        <f>IF(DatiOriginali!E2895 &gt;= SogliaPicchi!$B$30,"",DatiOriginali!E2895)</f>
        <v>1872200</v>
      </c>
      <c r="F2895" s="4">
        <v>18541447</v>
      </c>
      <c r="G2895" s="4">
        <f>IF(DatiOriginali!G2895 &gt;= SogliaPicchi!$B$30,"",DatiOriginali!G2895)</f>
        <v>556800</v>
      </c>
      <c r="H2895" s="4">
        <v>23367700</v>
      </c>
      <c r="I2895" s="4">
        <f>IF(DatiOriginali!I2895 &gt;= SogliaPicchi!$B$30,"",DatiOriginali!I2895)</f>
        <v>193800</v>
      </c>
      <c r="J2895" s="4">
        <v>23316869</v>
      </c>
      <c r="K2895" s="4">
        <f>IF(DatiOriginali!K2895 &gt;= SogliaPicchi!$B$30,"",DatiOriginali!K2895)</f>
        <v>222600</v>
      </c>
    </row>
    <row r="2896" spans="1:11" x14ac:dyDescent="0.3">
      <c r="A2896" s="4" t="s">
        <v>2905</v>
      </c>
      <c r="B2896" s="4">
        <v>1050525</v>
      </c>
      <c r="C2896" s="4">
        <f>IF(DatiOriginali!C2896 &gt;= SogliaPicchi!$B$30,"",DatiOriginali!C2896)</f>
        <v>9524900</v>
      </c>
      <c r="D2896" s="4">
        <v>530901</v>
      </c>
      <c r="E2896" s="4">
        <f>IF(DatiOriginali!E2896 &gt;= SogliaPicchi!$B$30,"",DatiOriginali!E2896)</f>
        <v>1872900</v>
      </c>
      <c r="F2896" s="4">
        <v>18554906</v>
      </c>
      <c r="G2896" s="4">
        <f>IF(DatiOriginali!G2896 &gt;= SogliaPicchi!$B$30,"",DatiOriginali!G2896)</f>
        <v>568100</v>
      </c>
      <c r="H2896" s="4">
        <v>23383993</v>
      </c>
      <c r="I2896" s="4">
        <f>IF(DatiOriginali!I2896 &gt;= SogliaPicchi!$B$30,"",DatiOriginali!I2896)</f>
        <v>193100</v>
      </c>
      <c r="J2896" s="4">
        <v>23333316</v>
      </c>
      <c r="K2896" s="4">
        <f>IF(DatiOriginali!K2896 &gt;= SogliaPicchi!$B$30,"",DatiOriginali!K2896)</f>
        <v>215500</v>
      </c>
    </row>
    <row r="2897" spans="1:11" x14ac:dyDescent="0.3">
      <c r="A2897" s="4" t="s">
        <v>2906</v>
      </c>
      <c r="B2897" s="4">
        <v>1050525</v>
      </c>
      <c r="C2897" s="4">
        <f>IF(DatiOriginali!C2897 &gt;= SogliaPicchi!$B$30,"",DatiOriginali!C2897)</f>
        <v>10502900</v>
      </c>
      <c r="D2897" s="4">
        <v>514022</v>
      </c>
      <c r="E2897" s="4">
        <f>IF(DatiOriginali!E2897 &gt;= SogliaPicchi!$B$30,"",DatiOriginali!E2897)</f>
        <v>1767800</v>
      </c>
      <c r="F2897" s="4">
        <v>18568327</v>
      </c>
      <c r="G2897" s="4">
        <f>IF(DatiOriginali!G2897 &gt;= SogliaPicchi!$B$30,"",DatiOriginali!G2897)</f>
        <v>564800</v>
      </c>
      <c r="H2897" s="4">
        <v>23400640</v>
      </c>
      <c r="I2897" s="4">
        <f>IF(DatiOriginali!I2897 &gt;= SogliaPicchi!$B$30,"",DatiOriginali!I2897)</f>
        <v>198500</v>
      </c>
      <c r="J2897" s="4">
        <v>23350209</v>
      </c>
      <c r="K2897" s="4">
        <f>IF(DatiOriginali!K2897 &gt;= SogliaPicchi!$B$30,"",DatiOriginali!K2897)</f>
        <v>218500</v>
      </c>
    </row>
    <row r="2898" spans="1:11" x14ac:dyDescent="0.3">
      <c r="A2898" s="4" t="s">
        <v>2907</v>
      </c>
      <c r="B2898" s="4">
        <v>1050525</v>
      </c>
      <c r="C2898" s="4">
        <f>IF(DatiOriginali!C2898 &gt;= SogliaPicchi!$B$30,"",DatiOriginali!C2898)</f>
        <v>9455200</v>
      </c>
      <c r="D2898" s="4">
        <v>520496</v>
      </c>
      <c r="E2898" s="4">
        <f>IF(DatiOriginali!E2898 &gt;= SogliaPicchi!$B$30,"",DatiOriginali!E2898)</f>
        <v>2162000</v>
      </c>
      <c r="F2898" s="4">
        <v>18581796</v>
      </c>
      <c r="G2898" s="4">
        <f>IF(DatiOriginali!G2898 &gt;= SogliaPicchi!$B$30,"",DatiOriginali!G2898)</f>
        <v>569900</v>
      </c>
      <c r="H2898" s="4">
        <v>23417003</v>
      </c>
      <c r="I2898" s="4">
        <f>IF(DatiOriginali!I2898 &gt;= SogliaPicchi!$B$30,"",DatiOriginali!I2898)</f>
        <v>195300</v>
      </c>
      <c r="J2898" s="4">
        <v>23368188</v>
      </c>
      <c r="K2898" s="4">
        <f>IF(DatiOriginali!K2898 &gt;= SogliaPicchi!$B$30,"",DatiOriginali!K2898)</f>
        <v>219200</v>
      </c>
    </row>
    <row r="2899" spans="1:11" x14ac:dyDescent="0.3">
      <c r="A2899" s="4" t="s">
        <v>2908</v>
      </c>
      <c r="B2899" s="4">
        <v>1050525</v>
      </c>
      <c r="C2899" s="4">
        <f>IF(DatiOriginali!C2899 &gt;= SogliaPicchi!$B$30,"",DatiOriginali!C2899)</f>
        <v>9406500</v>
      </c>
      <c r="D2899" s="4">
        <v>530910</v>
      </c>
      <c r="E2899" s="4">
        <f>IF(DatiOriginali!E2899 &gt;= SogliaPicchi!$B$30,"",DatiOriginali!E2899)</f>
        <v>1830100</v>
      </c>
      <c r="F2899" s="4">
        <v>18595230</v>
      </c>
      <c r="G2899" s="4">
        <f>IF(DatiOriginali!G2899 &gt;= SogliaPicchi!$B$30,"",DatiOriginali!G2899)</f>
        <v>566500</v>
      </c>
      <c r="H2899" s="4">
        <v>23434991</v>
      </c>
      <c r="I2899" s="4">
        <f>IF(DatiOriginali!I2899 &gt;= SogliaPicchi!$B$30,"",DatiOriginali!I2899)</f>
        <v>207300</v>
      </c>
      <c r="J2899" s="4">
        <v>23384764</v>
      </c>
      <c r="K2899" s="4">
        <f>IF(DatiOriginali!K2899 &gt;= SogliaPicchi!$B$30,"",DatiOriginali!K2899)</f>
        <v>220900</v>
      </c>
    </row>
    <row r="2900" spans="1:11" x14ac:dyDescent="0.3">
      <c r="A2900" s="4" t="s">
        <v>2909</v>
      </c>
      <c r="B2900" s="4">
        <v>1050525</v>
      </c>
      <c r="C2900" s="4">
        <f>IF(DatiOriginali!C2900 &gt;= SogliaPicchi!$B$30,"",DatiOriginali!C2900)</f>
        <v>9523500</v>
      </c>
      <c r="D2900" s="4">
        <v>531647</v>
      </c>
      <c r="E2900" s="4">
        <f>IF(DatiOriginali!E2900 &gt;= SogliaPicchi!$B$30,"",DatiOriginali!E2900)</f>
        <v>1828300</v>
      </c>
      <c r="F2900" s="4">
        <v>18608669</v>
      </c>
      <c r="G2900" s="4">
        <f>IF(DatiOriginali!G2900 &gt;= SogliaPicchi!$B$30,"",DatiOriginali!G2900)</f>
        <v>560800</v>
      </c>
      <c r="H2900" s="4">
        <v>23451216</v>
      </c>
      <c r="I2900" s="4">
        <f>IF(DatiOriginali!I2900 &gt;= SogliaPicchi!$B$30,"",DatiOriginali!I2900)</f>
        <v>192000</v>
      </c>
      <c r="J2900" s="4">
        <v>23400702</v>
      </c>
      <c r="K2900" s="4">
        <f>IF(DatiOriginali!K2900 &gt;= SogliaPicchi!$B$30,"",DatiOriginali!K2900)</f>
        <v>214100</v>
      </c>
    </row>
    <row r="2901" spans="1:11" x14ac:dyDescent="0.3">
      <c r="A2901" s="4" t="s">
        <v>2910</v>
      </c>
      <c r="B2901" s="4">
        <v>1050525</v>
      </c>
      <c r="C2901" s="4">
        <f>IF(DatiOriginali!C2901 &gt;= SogliaPicchi!$B$30,"",DatiOriginali!C2901)</f>
        <v>9742800</v>
      </c>
      <c r="D2901" s="4">
        <v>521875</v>
      </c>
      <c r="E2901" s="4">
        <f>IF(DatiOriginali!E2901 &gt;= SogliaPicchi!$B$30,"",DatiOriginali!E2901)</f>
        <v>1902800</v>
      </c>
      <c r="F2901" s="4">
        <v>18622140</v>
      </c>
      <c r="G2901" s="4">
        <f>IF(DatiOriginali!G2901 &gt;= SogliaPicchi!$B$31,"",DatiOriginali!G2901)</f>
        <v>730900</v>
      </c>
      <c r="H2901" s="4">
        <v>23468891</v>
      </c>
      <c r="I2901" s="4">
        <f>IF(DatiOriginali!I2901 &gt;= SogliaPicchi!$B$31,"",DatiOriginali!I2901)</f>
        <v>202700</v>
      </c>
      <c r="J2901" s="4">
        <v>23418311</v>
      </c>
      <c r="K2901" s="4">
        <f>IF(DatiOriginali!K2901 &gt;= SogliaPicchi!$B$31,"",DatiOriginali!K2901)</f>
        <v>217900</v>
      </c>
    </row>
    <row r="2902" spans="1:11" x14ac:dyDescent="0.3">
      <c r="A2902" s="4" t="s">
        <v>2911</v>
      </c>
      <c r="B2902" s="4">
        <v>1124250</v>
      </c>
      <c r="C2902" s="4">
        <f>IF(DatiOriginali!C2902 &gt;= SogliaPicchi!$B$31,"",DatiOriginali!C2902)</f>
        <v>10604300</v>
      </c>
      <c r="D2902" s="4">
        <v>567959</v>
      </c>
      <c r="E2902" s="4">
        <f>IF(DatiOriginali!E2902 &gt;= SogliaPicchi!$B$31,"",DatiOriginali!E2902)</f>
        <v>1967300</v>
      </c>
      <c r="F2902" s="4">
        <v>18636078</v>
      </c>
      <c r="G2902" s="4">
        <f>IF(DatiOriginali!G2902 &gt;= SogliaPicchi!$B$31,"",DatiOriginali!G2902)</f>
        <v>587900</v>
      </c>
      <c r="H2902" s="4">
        <v>23486253</v>
      </c>
      <c r="I2902" s="4">
        <f>IF(DatiOriginali!I2902 &gt;= SogliaPicchi!$B$31,"",DatiOriginali!I2902)</f>
        <v>199300</v>
      </c>
      <c r="J2902" s="4">
        <v>23436244</v>
      </c>
      <c r="K2902" s="4">
        <f>IF(DatiOriginali!K2902 &gt;= SogliaPicchi!$B$31,"",DatiOriginali!K2902)</f>
        <v>228400</v>
      </c>
    </row>
    <row r="2903" spans="1:11" x14ac:dyDescent="0.3">
      <c r="A2903" s="4" t="s">
        <v>2912</v>
      </c>
      <c r="B2903" s="4">
        <v>1124250</v>
      </c>
      <c r="C2903" s="4">
        <f>IF(DatiOriginali!C2903 &gt;= SogliaPicchi!$B$31,"",DatiOriginali!C2903)</f>
        <v>10178500</v>
      </c>
      <c r="D2903" s="4">
        <v>566457</v>
      </c>
      <c r="E2903" s="4">
        <f>IF(DatiOriginali!E2903 &gt;= SogliaPicchi!$B$31,"",DatiOriginali!E2903)</f>
        <v>2005200</v>
      </c>
      <c r="F2903" s="4">
        <v>18650032</v>
      </c>
      <c r="G2903" s="4">
        <f>IF(DatiOriginali!G2903 &gt;= SogliaPicchi!$B$31,"",DatiOriginali!G2903)</f>
        <v>580200</v>
      </c>
      <c r="H2903" s="4">
        <v>23505374</v>
      </c>
      <c r="I2903" s="4">
        <f>IF(DatiOriginali!I2903 &gt;= SogliaPicchi!$B$31,"",DatiOriginali!I2903)</f>
        <v>203300</v>
      </c>
      <c r="J2903" s="4">
        <v>23453973</v>
      </c>
      <c r="K2903" s="4">
        <f>IF(DatiOriginali!K2903 &gt;= SogliaPicchi!$B$31,"",DatiOriginali!K2903)</f>
        <v>229900</v>
      </c>
    </row>
    <row r="2904" spans="1:11" x14ac:dyDescent="0.3">
      <c r="A2904" s="4" t="s">
        <v>2913</v>
      </c>
      <c r="B2904" s="4">
        <v>1124250</v>
      </c>
      <c r="C2904" s="4">
        <f>IF(DatiOriginali!C2904 &gt;= SogliaPicchi!$B$31,"",DatiOriginali!C2904)</f>
        <v>10331000</v>
      </c>
      <c r="D2904" s="4">
        <v>561416</v>
      </c>
      <c r="E2904" s="4">
        <f>IF(DatiOriginali!E2904 &gt;= SogliaPicchi!$B$31,"",DatiOriginali!E2904)</f>
        <v>1977800</v>
      </c>
      <c r="F2904" s="4">
        <v>18663957</v>
      </c>
      <c r="G2904" s="4">
        <f>IF(DatiOriginali!G2904 &gt;= SogliaPicchi!$B$31,"",DatiOriginali!G2904)</f>
        <v>596500</v>
      </c>
      <c r="H2904" s="4">
        <v>23522026</v>
      </c>
      <c r="I2904" s="4">
        <f>IF(DatiOriginali!I2904 &gt;= SogliaPicchi!$B$31,"",DatiOriginali!I2904)</f>
        <v>201500</v>
      </c>
      <c r="J2904" s="4">
        <v>23470382</v>
      </c>
      <c r="K2904" s="4">
        <f>IF(DatiOriginali!K2904 &gt;= SogliaPicchi!$B$31,"",DatiOriginali!K2904)</f>
        <v>221000</v>
      </c>
    </row>
    <row r="2905" spans="1:11" x14ac:dyDescent="0.3">
      <c r="A2905" s="4" t="s">
        <v>2914</v>
      </c>
      <c r="B2905" s="4">
        <v>1124250</v>
      </c>
      <c r="C2905" s="4">
        <f>IF(DatiOriginali!C2905 &gt;= SogliaPicchi!$B$31,"",DatiOriginali!C2905)</f>
        <v>10350800</v>
      </c>
      <c r="D2905" s="4">
        <v>582575</v>
      </c>
      <c r="E2905" s="4">
        <f>IF(DatiOriginali!E2905 &gt;= SogliaPicchi!$B$31,"",DatiOriginali!E2905)</f>
        <v>2071500</v>
      </c>
      <c r="F2905" s="4">
        <v>18677908</v>
      </c>
      <c r="G2905" s="4">
        <f>IF(DatiOriginali!G2905 &gt;= SogliaPicchi!$B$31,"",DatiOriginali!G2905)</f>
        <v>590400</v>
      </c>
      <c r="H2905" s="4">
        <v>23539642</v>
      </c>
      <c r="I2905" s="4">
        <f>IF(DatiOriginali!I2905 &gt;= SogliaPicchi!$B$31,"",DatiOriginali!I2905)</f>
        <v>203400</v>
      </c>
      <c r="J2905" s="4">
        <v>23487083</v>
      </c>
      <c r="K2905" s="4">
        <f>IF(DatiOriginali!K2905 &gt;= SogliaPicchi!$B$31,"",DatiOriginali!K2905)</f>
        <v>218700</v>
      </c>
    </row>
    <row r="2906" spans="1:11" x14ac:dyDescent="0.3">
      <c r="A2906" s="4" t="s">
        <v>2915</v>
      </c>
      <c r="B2906" s="4">
        <v>1124250</v>
      </c>
      <c r="C2906" s="4">
        <f>IF(DatiOriginali!C2906 &gt;= SogliaPicchi!$B$31,"",DatiOriginali!C2906)</f>
        <v>10506700</v>
      </c>
      <c r="D2906" s="4">
        <v>566125</v>
      </c>
      <c r="E2906" s="4">
        <f>IF(DatiOriginali!E2906 &gt;= SogliaPicchi!$B$31,"",DatiOriginali!E2906)</f>
        <v>1981600</v>
      </c>
      <c r="F2906" s="4">
        <v>18691878</v>
      </c>
      <c r="G2906" s="4">
        <f>IF(DatiOriginali!G2906 &gt;= SogliaPicchi!$B$31,"",DatiOriginali!G2906)</f>
        <v>583800</v>
      </c>
      <c r="H2906" s="4">
        <v>23557502</v>
      </c>
      <c r="I2906" s="4">
        <f>IF(DatiOriginali!I2906 &gt;= SogliaPicchi!$B$31,"",DatiOriginali!I2906)</f>
        <v>202300</v>
      </c>
      <c r="J2906" s="4">
        <v>23505210</v>
      </c>
      <c r="K2906" s="4">
        <f>IF(DatiOriginali!K2906 &gt;= SogliaPicchi!$B$31,"",DatiOriginali!K2906)</f>
        <v>221600</v>
      </c>
    </row>
    <row r="2907" spans="1:11" x14ac:dyDescent="0.3">
      <c r="A2907" s="4" t="s">
        <v>2916</v>
      </c>
      <c r="B2907" s="4">
        <v>1124250</v>
      </c>
      <c r="C2907" s="4">
        <f>IF(DatiOriginali!C2907 &gt;= SogliaPicchi!$B$31,"",DatiOriginali!C2907)</f>
        <v>10483100</v>
      </c>
      <c r="D2907" s="4">
        <v>577865</v>
      </c>
      <c r="E2907" s="4">
        <f>IF(DatiOriginali!E2907 &gt;= SogliaPicchi!$B$31,"",DatiOriginali!E2907)</f>
        <v>1997700</v>
      </c>
      <c r="F2907" s="4">
        <v>18705861</v>
      </c>
      <c r="G2907" s="4">
        <f>IF(DatiOriginali!G2907 &gt;= SogliaPicchi!$B$31,"",DatiOriginali!G2907)</f>
        <v>583900</v>
      </c>
      <c r="H2907" s="4">
        <v>23574964</v>
      </c>
      <c r="I2907" s="4">
        <f>IF(DatiOriginali!I2907 &gt;= SogliaPicchi!$B$31,"",DatiOriginali!I2907)</f>
        <v>204100</v>
      </c>
      <c r="J2907" s="4">
        <v>23522473</v>
      </c>
      <c r="K2907" s="4">
        <f>IF(DatiOriginali!K2907 &gt;= SogliaPicchi!$B$31,"",DatiOriginali!K2907)</f>
        <v>225600</v>
      </c>
    </row>
    <row r="2908" spans="1:11" x14ac:dyDescent="0.3">
      <c r="A2908" s="4" t="s">
        <v>2917</v>
      </c>
      <c r="B2908" s="4">
        <v>1124250</v>
      </c>
      <c r="C2908" s="4">
        <f>IF(DatiOriginali!C2908 &gt;= SogliaPicchi!$B$31,"",DatiOriginali!C2908)</f>
        <v>10576900</v>
      </c>
      <c r="D2908" s="4">
        <v>542145</v>
      </c>
      <c r="E2908" s="4">
        <f>IF(DatiOriginali!E2908 &gt;= SogliaPicchi!$B$31,"",DatiOriginali!E2908)</f>
        <v>1866700</v>
      </c>
      <c r="F2908" s="4">
        <v>18719857</v>
      </c>
      <c r="G2908" s="4">
        <f>IF(DatiOriginali!G2908 &gt;= SogliaPicchi!$B$31,"",DatiOriginali!G2908)</f>
        <v>578700</v>
      </c>
      <c r="H2908" s="4">
        <v>23592231</v>
      </c>
      <c r="I2908" s="4">
        <f>IF(DatiOriginali!I2908 &gt;= SogliaPicchi!$B$31,"",DatiOriginali!I2908)</f>
        <v>203600</v>
      </c>
      <c r="J2908" s="4">
        <v>23539878</v>
      </c>
      <c r="K2908" s="4">
        <f>IF(DatiOriginali!K2908 &gt;= SogliaPicchi!$B$31,"",DatiOriginali!K2908)</f>
        <v>221300</v>
      </c>
    </row>
    <row r="2909" spans="1:11" x14ac:dyDescent="0.3">
      <c r="A2909" s="4" t="s">
        <v>2918</v>
      </c>
      <c r="B2909" s="4">
        <v>1124250</v>
      </c>
      <c r="C2909" s="4">
        <f>IF(DatiOriginali!C2909 &gt;= SogliaPicchi!$B$31,"",DatiOriginali!C2909)</f>
        <v>10182700</v>
      </c>
      <c r="D2909" s="4">
        <v>565481</v>
      </c>
      <c r="E2909" s="4">
        <f>IF(DatiOriginali!E2909 &gt;= SogliaPicchi!$B$31,"",DatiOriginali!E2909)</f>
        <v>2190800</v>
      </c>
      <c r="F2909" s="4">
        <v>18733800</v>
      </c>
      <c r="G2909" s="4">
        <f>IF(DatiOriginali!G2909 &gt;= SogliaPicchi!$B$31,"",DatiOriginali!G2909)</f>
        <v>599300</v>
      </c>
      <c r="H2909" s="4">
        <v>23609033</v>
      </c>
      <c r="I2909" s="4">
        <f>IF(DatiOriginali!I2909 &gt;= SogliaPicchi!$B$31,"",DatiOriginali!I2909)</f>
        <v>204200</v>
      </c>
      <c r="J2909" s="4">
        <v>23558762</v>
      </c>
      <c r="K2909" s="4">
        <f>IF(DatiOriginali!K2909 &gt;= SogliaPicchi!$B$31,"",DatiOriginali!K2909)</f>
        <v>256600</v>
      </c>
    </row>
    <row r="2910" spans="1:11" x14ac:dyDescent="0.3">
      <c r="A2910" s="4" t="s">
        <v>2919</v>
      </c>
      <c r="B2910" s="4">
        <v>1124250</v>
      </c>
      <c r="C2910" s="4">
        <f>IF(DatiOriginali!C2910 &gt;= SogliaPicchi!$B$31,"",DatiOriginali!C2910)</f>
        <v>11037600</v>
      </c>
      <c r="D2910" s="4">
        <v>555822</v>
      </c>
      <c r="E2910" s="4">
        <f>IF(DatiOriginali!E2910 &gt;= SogliaPicchi!$B$31,"",DatiOriginali!E2910)</f>
        <v>1935500</v>
      </c>
      <c r="F2910" s="4">
        <v>18747768</v>
      </c>
      <c r="G2910" s="4">
        <f>IF(DatiOriginali!G2910 &gt;= SogliaPicchi!$B$31,"",DatiOriginali!G2910)</f>
        <v>591200</v>
      </c>
      <c r="H2910" s="4">
        <v>23626047</v>
      </c>
      <c r="I2910" s="4">
        <f>IF(DatiOriginali!I2910 &gt;= SogliaPicchi!$B$31,"",DatiOriginali!I2910)</f>
        <v>208500</v>
      </c>
      <c r="J2910" s="4">
        <v>23576410</v>
      </c>
      <c r="K2910" s="4">
        <f>IF(DatiOriginali!K2910 &gt;= SogliaPicchi!$B$31,"",DatiOriginali!K2910)</f>
        <v>223500</v>
      </c>
    </row>
    <row r="2911" spans="1:11" x14ac:dyDescent="0.3">
      <c r="A2911" s="4" t="s">
        <v>2920</v>
      </c>
      <c r="B2911" s="4">
        <v>1124250</v>
      </c>
      <c r="C2911" s="4">
        <f>IF(DatiOriginali!C2911 &gt;= SogliaPicchi!$B$31,"",DatiOriginali!C2911)</f>
        <v>10363200</v>
      </c>
      <c r="D2911" s="4">
        <v>563795</v>
      </c>
      <c r="E2911" s="4">
        <f>IF(DatiOriginali!E2911 &gt;= SogliaPicchi!$B$31,"",DatiOriginali!E2911)</f>
        <v>1941700</v>
      </c>
      <c r="F2911" s="4">
        <v>18761742</v>
      </c>
      <c r="G2911" s="4">
        <f>IF(DatiOriginali!G2911 &gt;= SogliaPicchi!$B$31,"",DatiOriginali!G2911)</f>
        <v>587800</v>
      </c>
      <c r="H2911" s="4">
        <v>23643301</v>
      </c>
      <c r="I2911" s="4">
        <f>IF(DatiOriginali!I2911 &gt;= SogliaPicchi!$B$31,"",DatiOriginali!I2911)</f>
        <v>196800</v>
      </c>
      <c r="J2911" s="4">
        <v>23594983</v>
      </c>
      <c r="K2911" s="4">
        <f>IF(DatiOriginali!K2911 &gt;= SogliaPicchi!$B$31,"",DatiOriginali!K2911)</f>
        <v>226800</v>
      </c>
    </row>
    <row r="2912" spans="1:11" x14ac:dyDescent="0.3">
      <c r="A2912" s="4" t="s">
        <v>2921</v>
      </c>
      <c r="B2912" s="4">
        <v>1124250</v>
      </c>
      <c r="C2912" s="4">
        <f>IF(DatiOriginali!C2912 &gt;= SogliaPicchi!$B$31,"",DatiOriginali!C2912)</f>
        <v>10499400</v>
      </c>
      <c r="D2912" s="4">
        <v>575230</v>
      </c>
      <c r="E2912" s="4">
        <f>IF(DatiOriginali!E2912 &gt;= SogliaPicchi!$B$31,"",DatiOriginali!E2912)</f>
        <v>2229400</v>
      </c>
      <c r="F2912" s="4">
        <v>18775731</v>
      </c>
      <c r="G2912" s="4">
        <f>IF(DatiOriginali!G2912 &gt;= SogliaPicchi!$B$31,"",DatiOriginali!G2912)</f>
        <v>586200</v>
      </c>
      <c r="H2912" s="4">
        <v>23662191</v>
      </c>
      <c r="I2912" s="4">
        <f>IF(DatiOriginali!I2912 &gt;= SogliaPicchi!$B$31,"",DatiOriginali!I2912)</f>
        <v>216600</v>
      </c>
      <c r="J2912" s="4">
        <v>23612047</v>
      </c>
      <c r="K2912" s="4">
        <f>IF(DatiOriginali!K2912 &gt;= SogliaPicchi!$B$31,"",DatiOriginali!K2912)</f>
        <v>218200</v>
      </c>
    </row>
    <row r="2913" spans="1:11" x14ac:dyDescent="0.3">
      <c r="A2913" s="4" t="s">
        <v>2922</v>
      </c>
      <c r="B2913" s="4">
        <v>1124250</v>
      </c>
      <c r="C2913" s="4">
        <f>IF(DatiOriginali!C2913 &gt;= SogliaPicchi!$B$31,"",DatiOriginali!C2913)</f>
        <v>10534200</v>
      </c>
      <c r="D2913" s="4">
        <v>559233</v>
      </c>
      <c r="E2913" s="4">
        <f>IF(DatiOriginali!E2913 &gt;= SogliaPicchi!$B$31,"",DatiOriginali!E2913)</f>
        <v>1974200</v>
      </c>
      <c r="F2913" s="4">
        <v>18789701</v>
      </c>
      <c r="G2913" s="4">
        <f>IF(DatiOriginali!G2913 &gt;= SogliaPicchi!$B$31,"",DatiOriginali!G2913)</f>
        <v>582100</v>
      </c>
      <c r="H2913" s="4">
        <v>23681019</v>
      </c>
      <c r="I2913" s="4">
        <f>IF(DatiOriginali!I2913 &gt;= SogliaPicchi!$B$31,"",DatiOriginali!I2913)</f>
        <v>244300</v>
      </c>
      <c r="J2913" s="4">
        <v>23630145</v>
      </c>
      <c r="K2913" s="4">
        <f>IF(DatiOriginali!K2913 &gt;= SogliaPicchi!$B$31,"",DatiOriginali!K2913)</f>
        <v>261100</v>
      </c>
    </row>
    <row r="2914" spans="1:11" x14ac:dyDescent="0.3">
      <c r="A2914" s="4" t="s">
        <v>2923</v>
      </c>
      <c r="B2914" s="4">
        <v>1124250</v>
      </c>
      <c r="C2914" s="4">
        <f>IF(DatiOriginali!C2914 &gt;= SogliaPicchi!$B$31,"",DatiOriginali!C2914)</f>
        <v>11331700</v>
      </c>
      <c r="D2914" s="4">
        <v>577130</v>
      </c>
      <c r="E2914" s="4">
        <f>IF(DatiOriginali!E2914 &gt;= SogliaPicchi!$B$31,"",DatiOriginali!E2914)</f>
        <v>1985000</v>
      </c>
      <c r="F2914" s="4">
        <v>18803638</v>
      </c>
      <c r="G2914" s="4">
        <f>IF(DatiOriginali!G2914 &gt;= SogliaPicchi!$B$31,"",DatiOriginali!G2914)</f>
        <v>582600</v>
      </c>
      <c r="H2914" s="4">
        <v>23699286</v>
      </c>
      <c r="I2914" s="4">
        <f>IF(DatiOriginali!I2914 &gt;= SogliaPicchi!$B$31,"",DatiOriginali!I2914)</f>
        <v>200000</v>
      </c>
      <c r="J2914" s="4">
        <v>23648106</v>
      </c>
      <c r="K2914" s="4">
        <f>IF(DatiOriginali!K2914 &gt;= SogliaPicchi!$B$31,"",DatiOriginali!K2914)</f>
        <v>227000</v>
      </c>
    </row>
    <row r="2915" spans="1:11" x14ac:dyDescent="0.3">
      <c r="A2915" s="4" t="s">
        <v>2924</v>
      </c>
      <c r="B2915" s="4">
        <v>1124250</v>
      </c>
      <c r="C2915" s="4">
        <f>IF(DatiOriginali!C2915 &gt;= SogliaPicchi!$B$31,"",DatiOriginali!C2915)</f>
        <v>11121400</v>
      </c>
      <c r="D2915" s="4">
        <v>553912</v>
      </c>
      <c r="E2915" s="4">
        <f>IF(DatiOriginali!E2915 &gt;= SogliaPicchi!$B$31,"",DatiOriginali!E2915)</f>
        <v>2117100</v>
      </c>
      <c r="F2915" s="4">
        <v>18817595</v>
      </c>
      <c r="G2915" s="4">
        <f>IF(DatiOriginali!G2915 &gt;= SogliaPicchi!$B$31,"",DatiOriginali!G2915)</f>
        <v>602900</v>
      </c>
      <c r="H2915" s="4">
        <v>23718152</v>
      </c>
      <c r="I2915" s="4">
        <f>IF(DatiOriginali!I2915 &gt;= SogliaPicchi!$B$31,"",DatiOriginali!I2915)</f>
        <v>221800</v>
      </c>
      <c r="J2915" s="4">
        <v>23665430</v>
      </c>
      <c r="K2915" s="4">
        <f>IF(DatiOriginali!K2915 &gt;= SogliaPicchi!$B$31,"",DatiOriginali!K2915)</f>
        <v>220500</v>
      </c>
    </row>
    <row r="2916" spans="1:11" x14ac:dyDescent="0.3">
      <c r="A2916" s="4" t="s">
        <v>2925</v>
      </c>
      <c r="B2916" s="4">
        <v>1124250</v>
      </c>
      <c r="C2916" s="4">
        <f>IF(DatiOriginali!C2916 &gt;= SogliaPicchi!$B$31,"",DatiOriginali!C2916)</f>
        <v>10185400</v>
      </c>
      <c r="D2916" s="4">
        <v>572191</v>
      </c>
      <c r="E2916" s="4">
        <f>IF(DatiOriginali!E2916 &gt;= SogliaPicchi!$B$31,"",DatiOriginali!E2916)</f>
        <v>1973400</v>
      </c>
      <c r="F2916" s="4">
        <v>18831572</v>
      </c>
      <c r="G2916" s="4">
        <f>IF(DatiOriginali!G2916 &gt;= SogliaPicchi!$B$31,"",DatiOriginali!G2916)</f>
        <v>576600</v>
      </c>
      <c r="H2916" s="4">
        <v>23735944</v>
      </c>
      <c r="I2916" s="4">
        <f>IF(DatiOriginali!I2916 &gt;= SogliaPicchi!$B$31,"",DatiOriginali!I2916)</f>
        <v>199300</v>
      </c>
      <c r="J2916" s="4">
        <v>23682919</v>
      </c>
      <c r="K2916" s="4">
        <f>IF(DatiOriginali!K2916 &gt;= SogliaPicchi!$B$31,"",DatiOriginali!K2916)</f>
        <v>224600</v>
      </c>
    </row>
    <row r="2917" spans="1:11" x14ac:dyDescent="0.3">
      <c r="A2917" s="4" t="s">
        <v>2926</v>
      </c>
      <c r="B2917" s="4">
        <v>1124250</v>
      </c>
      <c r="C2917" s="4">
        <f>IF(DatiOriginali!C2917 &gt;= SogliaPicchi!$B$31,"",DatiOriginali!C2917)</f>
        <v>11369400</v>
      </c>
      <c r="D2917" s="4">
        <v>559283</v>
      </c>
      <c r="E2917" s="4">
        <f>IF(DatiOriginali!E2917 &gt;= SogliaPicchi!$B$31,"",DatiOriginali!E2917)</f>
        <v>1930200</v>
      </c>
      <c r="F2917" s="4">
        <v>18845538</v>
      </c>
      <c r="G2917" s="4">
        <f>IF(DatiOriginali!G2917 &gt;= SogliaPicchi!$B$31,"",DatiOriginali!G2917)</f>
        <v>782600</v>
      </c>
      <c r="H2917" s="4">
        <v>23753061</v>
      </c>
      <c r="I2917" s="4">
        <f>IF(DatiOriginali!I2917 &gt;= SogliaPicchi!$B$31,"",DatiOriginali!I2917)</f>
        <v>210100</v>
      </c>
      <c r="J2917" s="4">
        <v>23701344</v>
      </c>
      <c r="K2917" s="4">
        <f>IF(DatiOriginali!K2917 &gt;= SogliaPicchi!$B$31,"",DatiOriginali!K2917)</f>
        <v>223600</v>
      </c>
    </row>
    <row r="2918" spans="1:11" x14ac:dyDescent="0.3">
      <c r="A2918" s="4" t="s">
        <v>2927</v>
      </c>
      <c r="B2918" s="4">
        <v>1124250</v>
      </c>
      <c r="C2918" s="4">
        <f>IF(DatiOriginali!C2918 &gt;= SogliaPicchi!$B$31,"",DatiOriginali!C2918)</f>
        <v>10555700</v>
      </c>
      <c r="D2918" s="4">
        <v>568845</v>
      </c>
      <c r="E2918" s="4">
        <f>IF(DatiOriginali!E2918 &gt;= SogliaPicchi!$B$31,"",DatiOriginali!E2918)</f>
        <v>2023300</v>
      </c>
      <c r="F2918" s="4">
        <v>18859504</v>
      </c>
      <c r="G2918" s="4">
        <f>IF(DatiOriginali!G2918 &gt;= SogliaPicchi!$B$31,"",DatiOriginali!G2918)</f>
        <v>654100</v>
      </c>
      <c r="H2918" s="4">
        <v>23770879</v>
      </c>
      <c r="I2918" s="4">
        <f>IF(DatiOriginali!I2918 &gt;= SogliaPicchi!$B$31,"",DatiOriginali!I2918)</f>
        <v>277900</v>
      </c>
      <c r="J2918" s="4">
        <v>23719853</v>
      </c>
      <c r="K2918" s="4">
        <f>IF(DatiOriginali!K2918 &gt;= SogliaPicchi!$B$31,"",DatiOriginali!K2918)</f>
        <v>315700</v>
      </c>
    </row>
    <row r="2919" spans="1:11" x14ac:dyDescent="0.3">
      <c r="A2919" s="4" t="s">
        <v>2928</v>
      </c>
      <c r="B2919" s="4">
        <v>1124250</v>
      </c>
      <c r="C2919" s="4">
        <f>IF(DatiOriginali!C2919 &gt;= SogliaPicchi!$B$31,"",DatiOriginali!C2919)</f>
        <v>10112900</v>
      </c>
      <c r="D2919" s="4">
        <v>580997</v>
      </c>
      <c r="E2919" s="4">
        <f>IF(DatiOriginali!E2919 &gt;= SogliaPicchi!$B$31,"",DatiOriginali!E2919)</f>
        <v>2039300</v>
      </c>
      <c r="F2919" s="4">
        <v>18873451</v>
      </c>
      <c r="G2919" s="4">
        <f>IF(DatiOriginali!G2919 &gt;= SogliaPicchi!$B$31,"",DatiOriginali!G2919)</f>
        <v>578600</v>
      </c>
      <c r="H2919" s="4">
        <v>23788178</v>
      </c>
      <c r="I2919" s="4">
        <f>IF(DatiOriginali!I2919 &gt;= SogliaPicchi!$B$31,"",DatiOriginali!I2919)</f>
        <v>198600</v>
      </c>
      <c r="J2919" s="4">
        <v>23737430</v>
      </c>
      <c r="K2919" s="4">
        <f>IF(DatiOriginali!K2919 &gt;= SogliaPicchi!$B$31,"",DatiOriginali!K2919)</f>
        <v>226700</v>
      </c>
    </row>
    <row r="2920" spans="1:11" x14ac:dyDescent="0.3">
      <c r="A2920" s="4" t="s">
        <v>2929</v>
      </c>
      <c r="B2920" s="4">
        <v>1124250</v>
      </c>
      <c r="C2920" s="4">
        <f>IF(DatiOriginali!C2920 &gt;= SogliaPicchi!$B$31,"",DatiOriginali!C2920)</f>
        <v>11112600</v>
      </c>
      <c r="D2920" s="4">
        <v>562687</v>
      </c>
      <c r="E2920" s="4">
        <f>IF(DatiOriginali!E2920 &gt;= SogliaPicchi!$B$31,"",DatiOriginali!E2920)</f>
        <v>1945000</v>
      </c>
      <c r="F2920" s="4">
        <v>18887462</v>
      </c>
      <c r="G2920" s="4">
        <f>IF(DatiOriginali!G2920 &gt;= SogliaPicchi!$B$31,"",DatiOriginali!G2920)</f>
        <v>574500</v>
      </c>
      <c r="H2920" s="4">
        <v>23805493</v>
      </c>
      <c r="I2920" s="4">
        <f>IF(DatiOriginali!I2920 &gt;= SogliaPicchi!$B$31,"",DatiOriginali!I2920)</f>
        <v>200400</v>
      </c>
      <c r="J2920" s="4">
        <v>23754656</v>
      </c>
      <c r="K2920" s="4">
        <f>IF(DatiOriginali!K2920 &gt;= SogliaPicchi!$B$31,"",DatiOriginali!K2920)</f>
        <v>224400</v>
      </c>
    </row>
    <row r="2921" spans="1:11" x14ac:dyDescent="0.3">
      <c r="A2921" s="4" t="s">
        <v>2930</v>
      </c>
      <c r="B2921" s="4">
        <v>1124250</v>
      </c>
      <c r="C2921" s="4">
        <f>IF(DatiOriginali!C2921 &gt;= SogliaPicchi!$B$31,"",DatiOriginali!C2921)</f>
        <v>10065300</v>
      </c>
      <c r="D2921" s="4">
        <v>570752</v>
      </c>
      <c r="E2921" s="4">
        <f>IF(DatiOriginali!E2921 &gt;= SogliaPicchi!$B$31,"",DatiOriginali!E2921)</f>
        <v>1973900</v>
      </c>
      <c r="F2921" s="4">
        <v>18901411</v>
      </c>
      <c r="G2921" s="4">
        <f>IF(DatiOriginali!G2921 &gt;= SogliaPicchi!$B$31,"",DatiOriginali!G2921)</f>
        <v>613200</v>
      </c>
      <c r="H2921" s="4">
        <v>23823895</v>
      </c>
      <c r="I2921" s="4">
        <f>IF(DatiOriginali!I2921 &gt;= SogliaPicchi!$B$31,"",DatiOriginali!I2921)</f>
        <v>200800</v>
      </c>
      <c r="J2921" s="4">
        <v>23771878</v>
      </c>
      <c r="K2921" s="4">
        <f>IF(DatiOriginali!K2921 &gt;= SogliaPicchi!$B$31,"",DatiOriginali!K2921)</f>
        <v>225600</v>
      </c>
    </row>
    <row r="2922" spans="1:11" x14ac:dyDescent="0.3">
      <c r="A2922" s="4" t="s">
        <v>2931</v>
      </c>
      <c r="B2922" s="4">
        <v>1124250</v>
      </c>
      <c r="C2922" s="4">
        <f>IF(DatiOriginali!C2922 &gt;= SogliaPicchi!$B$31,"",DatiOriginali!C2922)</f>
        <v>10547100</v>
      </c>
      <c r="D2922" s="4">
        <v>581442</v>
      </c>
      <c r="E2922" s="4">
        <f>IF(DatiOriginali!E2922 &gt;= SogliaPicchi!$B$31,"",DatiOriginali!E2922)</f>
        <v>1999400</v>
      </c>
      <c r="F2922" s="4">
        <v>18915379</v>
      </c>
      <c r="G2922" s="4">
        <f>IF(DatiOriginali!G2922 &gt;= SogliaPicchi!$B$31,"",DatiOriginali!G2922)</f>
        <v>584200</v>
      </c>
      <c r="H2922" s="4">
        <v>23840598</v>
      </c>
      <c r="I2922" s="4">
        <f>IF(DatiOriginali!I2922 &gt;= SogliaPicchi!$B$31,"",DatiOriginali!I2922)</f>
        <v>198800</v>
      </c>
      <c r="J2922" s="4">
        <v>23789540</v>
      </c>
      <c r="K2922" s="4">
        <f>IF(DatiOriginali!K2922 &gt;= SogliaPicchi!$B$31,"",DatiOriginali!K2922)</f>
        <v>228600</v>
      </c>
    </row>
    <row r="2923" spans="1:11" x14ac:dyDescent="0.3">
      <c r="A2923" s="4" t="s">
        <v>2932</v>
      </c>
      <c r="B2923" s="4">
        <v>1124250</v>
      </c>
      <c r="C2923" s="4">
        <f>IF(DatiOriginali!C2923 &gt;= SogliaPicchi!$B$31,"",DatiOriginali!C2923)</f>
        <v>10507700</v>
      </c>
      <c r="D2923" s="4">
        <v>596481</v>
      </c>
      <c r="E2923" s="4">
        <f>IF(DatiOriginali!E2923 &gt;= SogliaPicchi!$B$31,"",DatiOriginali!E2923)</f>
        <v>2137100</v>
      </c>
      <c r="F2923" s="4">
        <v>18929291</v>
      </c>
      <c r="G2923" s="4">
        <f>IF(DatiOriginali!G2923 &gt;= SogliaPicchi!$B$31,"",DatiOriginali!G2923)</f>
        <v>593700</v>
      </c>
      <c r="H2923" s="4">
        <v>23858875</v>
      </c>
      <c r="I2923" s="4">
        <f>IF(DatiOriginali!I2923 &gt;= SogliaPicchi!$B$31,"",DatiOriginali!I2923)</f>
        <v>206100</v>
      </c>
      <c r="J2923" s="4">
        <v>23809045</v>
      </c>
      <c r="K2923" s="4">
        <f>IF(DatiOriginali!K2923 &gt;= SogliaPicchi!$B$31,"",DatiOriginali!K2923)</f>
        <v>224900</v>
      </c>
    </row>
    <row r="2924" spans="1:11" x14ac:dyDescent="0.3">
      <c r="A2924" s="4" t="s">
        <v>2933</v>
      </c>
      <c r="B2924" s="4">
        <v>1124250</v>
      </c>
      <c r="C2924" s="4">
        <f>IF(DatiOriginali!C2924 &gt;= SogliaPicchi!$B$31,"",DatiOriginali!C2924)</f>
        <v>10169200</v>
      </c>
      <c r="D2924" s="4">
        <v>577928</v>
      </c>
      <c r="E2924" s="4">
        <f>IF(DatiOriginali!E2924 &gt;= SogliaPicchi!$B$31,"",DatiOriginali!E2924)</f>
        <v>2484700</v>
      </c>
      <c r="F2924" s="4">
        <v>18943221</v>
      </c>
      <c r="G2924" s="4">
        <f>IF(DatiOriginali!G2924 &gt;= SogliaPicchi!$B$31,"",DatiOriginali!G2924)</f>
        <v>580600</v>
      </c>
      <c r="H2924" s="4">
        <v>23876179</v>
      </c>
      <c r="I2924" s="4">
        <f>IF(DatiOriginali!I2924 &gt;= SogliaPicchi!$B$31,"",DatiOriginali!I2924)</f>
        <v>205700</v>
      </c>
      <c r="J2924" s="4">
        <v>23826513</v>
      </c>
      <c r="K2924" s="4">
        <f>IF(DatiOriginali!K2924 &gt;= SogliaPicchi!$B$31,"",DatiOriginali!K2924)</f>
        <v>221400</v>
      </c>
    </row>
    <row r="2925" spans="1:11" x14ac:dyDescent="0.3">
      <c r="A2925" s="4" t="s">
        <v>2934</v>
      </c>
      <c r="B2925" s="4">
        <v>1124250</v>
      </c>
      <c r="C2925" s="4">
        <f>IF(DatiOriginali!C2925 &gt;= SogliaPicchi!$B$31,"",DatiOriginali!C2925)</f>
        <v>10181600</v>
      </c>
      <c r="D2925" s="4">
        <v>585257</v>
      </c>
      <c r="E2925" s="4">
        <f>IF(DatiOriginali!E2925 &gt;= SogliaPicchi!$B$31,"",DatiOriginali!E2925)</f>
        <v>2010200</v>
      </c>
      <c r="F2925" s="4">
        <v>18957210</v>
      </c>
      <c r="G2925" s="4">
        <f>IF(DatiOriginali!G2925 &gt;= SogliaPicchi!$B$31,"",DatiOriginali!G2925)</f>
        <v>585500</v>
      </c>
      <c r="H2925" s="4">
        <v>23895140</v>
      </c>
      <c r="I2925" s="4">
        <f>IF(DatiOriginali!I2925 &gt;= SogliaPicchi!$B$31,"",DatiOriginali!I2925)</f>
        <v>209000</v>
      </c>
      <c r="J2925" s="4">
        <v>23844216</v>
      </c>
      <c r="K2925" s="4">
        <f>IF(DatiOriginali!K2925 &gt;= SogliaPicchi!$B$31,"",DatiOriginali!K2925)</f>
        <v>340900</v>
      </c>
    </row>
    <row r="2926" spans="1:11" x14ac:dyDescent="0.3">
      <c r="A2926" s="4" t="s">
        <v>2935</v>
      </c>
      <c r="B2926" s="4">
        <v>1124250</v>
      </c>
      <c r="C2926" s="4">
        <f>IF(DatiOriginali!C2926 &gt;= SogliaPicchi!$B$31,"",DatiOriginali!C2926)</f>
        <v>10142900</v>
      </c>
      <c r="D2926" s="4">
        <v>573897</v>
      </c>
      <c r="E2926" s="4">
        <f>IF(DatiOriginali!E2926 &gt;= SogliaPicchi!$B$31,"",DatiOriginali!E2926)</f>
        <v>2212600</v>
      </c>
      <c r="F2926" s="4">
        <v>18971195</v>
      </c>
      <c r="G2926" s="4">
        <f>IF(DatiOriginali!G2926 &gt;= SogliaPicchi!$B$31,"",DatiOriginali!G2926)</f>
        <v>589700</v>
      </c>
      <c r="H2926" s="4">
        <v>23912873</v>
      </c>
      <c r="I2926" s="4">
        <f>IF(DatiOriginali!I2926 &gt;= SogliaPicchi!$B$31,"",DatiOriginali!I2926)</f>
        <v>203100</v>
      </c>
      <c r="J2926" s="4">
        <v>23860691</v>
      </c>
      <c r="K2926" s="4">
        <f>IF(DatiOriginali!K2926 &gt;= SogliaPicchi!$B$31,"",DatiOriginali!K2926)</f>
        <v>224500</v>
      </c>
    </row>
    <row r="2927" spans="1:11" x14ac:dyDescent="0.3">
      <c r="A2927" s="4" t="s">
        <v>2936</v>
      </c>
      <c r="B2927" s="4">
        <v>1124250</v>
      </c>
      <c r="C2927" s="4">
        <f>IF(DatiOriginali!C2927 &gt;= SogliaPicchi!$B$31,"",DatiOriginali!C2927)</f>
        <v>10545000</v>
      </c>
      <c r="D2927" s="4">
        <v>574934</v>
      </c>
      <c r="E2927" s="4">
        <f>IF(DatiOriginali!E2927 &gt;= SogliaPicchi!$B$31,"",DatiOriginali!E2927)</f>
        <v>2015800</v>
      </c>
      <c r="F2927" s="4">
        <v>18985174</v>
      </c>
      <c r="G2927" s="4">
        <f>IF(DatiOriginali!G2927 &gt;= SogliaPicchi!$B$31,"",DatiOriginali!G2927)</f>
        <v>588000</v>
      </c>
      <c r="H2927" s="4">
        <v>23930602</v>
      </c>
      <c r="I2927" s="4">
        <f>IF(DatiOriginali!I2927 &gt;= SogliaPicchi!$B$31,"",DatiOriginali!I2927)</f>
        <v>195900</v>
      </c>
      <c r="J2927" s="4">
        <v>23877167</v>
      </c>
      <c r="K2927" s="4">
        <f>IF(DatiOriginali!K2927 &gt;= SogliaPicchi!$B$31,"",DatiOriginali!K2927)</f>
        <v>220800</v>
      </c>
    </row>
    <row r="2928" spans="1:11" x14ac:dyDescent="0.3">
      <c r="A2928" s="4" t="s">
        <v>2937</v>
      </c>
      <c r="B2928" s="4">
        <v>1124250</v>
      </c>
      <c r="C2928" s="4">
        <f>IF(DatiOriginali!C2928 &gt;= SogliaPicchi!$B$31,"",DatiOriginali!C2928)</f>
        <v>10779000</v>
      </c>
      <c r="D2928" s="4">
        <v>573999</v>
      </c>
      <c r="E2928" s="4">
        <f>IF(DatiOriginali!E2928 &gt;= SogliaPicchi!$B$31,"",DatiOriginali!E2928)</f>
        <v>2033600</v>
      </c>
      <c r="F2928" s="4">
        <v>18999104</v>
      </c>
      <c r="G2928" s="4">
        <f>IF(DatiOriginali!G2928 &gt;= SogliaPicchi!$B$31,"",DatiOriginali!G2928)</f>
        <v>577700</v>
      </c>
      <c r="H2928" s="4">
        <v>23948385</v>
      </c>
      <c r="I2928" s="4">
        <f>IF(DatiOriginali!I2928 &gt;= SogliaPicchi!$B$31,"",DatiOriginali!I2928)</f>
        <v>204000</v>
      </c>
      <c r="J2928" s="4">
        <v>23894772</v>
      </c>
      <c r="K2928" s="4">
        <f>IF(DatiOriginali!K2928 &gt;= SogliaPicchi!$B$31,"",DatiOriginali!K2928)</f>
        <v>220200</v>
      </c>
    </row>
    <row r="2929" spans="1:11" x14ac:dyDescent="0.3">
      <c r="A2929" s="4" t="s">
        <v>2938</v>
      </c>
      <c r="B2929" s="4">
        <v>1124250</v>
      </c>
      <c r="C2929" s="4">
        <f>IF(DatiOriginali!C2929 &gt;= SogliaPicchi!$B$31,"",DatiOriginali!C2929)</f>
        <v>10149900</v>
      </c>
      <c r="D2929" s="4">
        <v>575039</v>
      </c>
      <c r="E2929" s="4">
        <f>IF(DatiOriginali!E2929 &gt;= SogliaPicchi!$B$31,"",DatiOriginali!E2929)</f>
        <v>2025000</v>
      </c>
      <c r="F2929" s="4">
        <v>19013034</v>
      </c>
      <c r="G2929" s="4">
        <f>IF(DatiOriginali!G2929 &gt;= SogliaPicchi!$B$31,"",DatiOriginali!G2929)</f>
        <v>578700</v>
      </c>
      <c r="H2929" s="4">
        <v>23966765</v>
      </c>
      <c r="I2929" s="4">
        <f>IF(DatiOriginali!I2929 &gt;= SogliaPicchi!$B$31,"",DatiOriginali!I2929)</f>
        <v>212800</v>
      </c>
      <c r="J2929" s="4">
        <v>23912955</v>
      </c>
      <c r="K2929" s="4">
        <f>IF(DatiOriginali!K2929 &gt;= SogliaPicchi!$B$31,"",DatiOriginali!K2929)</f>
        <v>228500</v>
      </c>
    </row>
    <row r="2930" spans="1:11" x14ac:dyDescent="0.3">
      <c r="A2930" s="4" t="s">
        <v>2939</v>
      </c>
      <c r="B2930" s="4">
        <v>1124250</v>
      </c>
      <c r="C2930" s="4">
        <f>IF(DatiOriginali!C2930 &gt;= SogliaPicchi!$B$31,"",DatiOriginali!C2930)</f>
        <v>10434800</v>
      </c>
      <c r="D2930" s="4">
        <v>558175</v>
      </c>
      <c r="E2930" s="4">
        <f>IF(DatiOriginali!E2930 &gt;= SogliaPicchi!$B$31,"",DatiOriginali!E2930)</f>
        <v>1922100</v>
      </c>
      <c r="F2930" s="4">
        <v>19026991</v>
      </c>
      <c r="G2930" s="4">
        <f>IF(DatiOriginali!G2930 &gt;= SogliaPicchi!$B$31,"",DatiOriginali!G2930)</f>
        <v>580300</v>
      </c>
      <c r="H2930" s="4">
        <v>23983350</v>
      </c>
      <c r="I2930" s="4">
        <f>IF(DatiOriginali!I2930 &gt;= SogliaPicchi!$B$31,"",DatiOriginali!I2930)</f>
        <v>204100</v>
      </c>
      <c r="J2930" s="4">
        <v>23930124</v>
      </c>
      <c r="K2930" s="4">
        <f>IF(DatiOriginali!K2930 &gt;= SogliaPicchi!$B$31,"",DatiOriginali!K2930)</f>
        <v>220300</v>
      </c>
    </row>
    <row r="2931" spans="1:11" x14ac:dyDescent="0.3">
      <c r="A2931" s="4" t="s">
        <v>2940</v>
      </c>
      <c r="B2931" s="4">
        <v>1124250</v>
      </c>
      <c r="C2931" s="4">
        <f>IF(DatiOriginali!C2931 &gt;= SogliaPicchi!$B$31,"",DatiOriginali!C2931)</f>
        <v>10875800</v>
      </c>
      <c r="D2931" s="4">
        <v>566112</v>
      </c>
      <c r="E2931" s="4">
        <f>IF(DatiOriginali!E2931 &gt;= SogliaPicchi!$B$31,"",DatiOriginali!E2931)</f>
        <v>1981800</v>
      </c>
      <c r="F2931" s="4">
        <v>19041002</v>
      </c>
      <c r="G2931" s="4">
        <f>IF(DatiOriginali!G2931 &gt;= SogliaPicchi!$B$31,"",DatiOriginali!G2931)</f>
        <v>581600</v>
      </c>
      <c r="H2931" s="4">
        <v>24002308</v>
      </c>
      <c r="I2931" s="4">
        <f>IF(DatiOriginali!I2931 &gt;= SogliaPicchi!$B$31,"",DatiOriginali!I2931)</f>
        <v>207900</v>
      </c>
      <c r="J2931" s="4">
        <v>23949138</v>
      </c>
      <c r="K2931" s="4">
        <f>IF(DatiOriginali!K2931 &gt;= SogliaPicchi!$B$31,"",DatiOriginali!K2931)</f>
        <v>224300</v>
      </c>
    </row>
    <row r="2932" spans="1:11" x14ac:dyDescent="0.3">
      <c r="A2932" s="4" t="s">
        <v>2941</v>
      </c>
      <c r="B2932" s="4">
        <v>1124250</v>
      </c>
      <c r="C2932" s="4">
        <f>IF(DatiOriginali!C2932 &gt;= SogliaPicchi!$B$31,"",DatiOriginali!C2932)</f>
        <v>10369000</v>
      </c>
      <c r="D2932" s="4">
        <v>547905</v>
      </c>
      <c r="E2932" s="4">
        <f>IF(DatiOriginali!E2932 &gt;= SogliaPicchi!$B$31,"",DatiOriginali!E2932)</f>
        <v>1954500</v>
      </c>
      <c r="F2932" s="4">
        <v>19054941</v>
      </c>
      <c r="G2932" s="4">
        <f>IF(DatiOriginali!G2932 &gt;= SogliaPicchi!$B$31,"",DatiOriginali!G2932)</f>
        <v>591700</v>
      </c>
      <c r="H2932" s="4">
        <v>24020519</v>
      </c>
      <c r="I2932" s="4">
        <f>IF(DatiOriginali!I2932 &gt;= SogliaPicchi!$B$31,"",DatiOriginali!I2932)</f>
        <v>204200</v>
      </c>
      <c r="J2932" s="4">
        <v>23967490</v>
      </c>
      <c r="K2932" s="4">
        <f>IF(DatiOriginali!K2932 &gt;= SogliaPicchi!$B$31,"",DatiOriginali!K2932)</f>
        <v>223300</v>
      </c>
    </row>
    <row r="2933" spans="1:11" x14ac:dyDescent="0.3">
      <c r="A2933" s="4" t="s">
        <v>2942</v>
      </c>
      <c r="B2933" s="4">
        <v>1124250</v>
      </c>
      <c r="C2933" s="4">
        <f>IF(DatiOriginali!C2933 &gt;= SogliaPicchi!$B$31,"",DatiOriginali!C2933)</f>
        <v>11282200</v>
      </c>
      <c r="D2933" s="4">
        <v>559238</v>
      </c>
      <c r="E2933" s="4">
        <f>IF(DatiOriginali!E2933 &gt;= SogliaPicchi!$B$31,"",DatiOriginali!E2933)</f>
        <v>1929600</v>
      </c>
      <c r="F2933" s="4">
        <v>19068931</v>
      </c>
      <c r="G2933" s="4">
        <f>IF(DatiOriginali!G2933 &gt;= SogliaPicchi!$B$31,"",DatiOriginali!G2933)</f>
        <v>578400</v>
      </c>
      <c r="H2933" s="4">
        <v>24037408</v>
      </c>
      <c r="I2933" s="4">
        <f>IF(DatiOriginali!I2933 &gt;= SogliaPicchi!$B$31,"",DatiOriginali!I2933)</f>
        <v>201000</v>
      </c>
      <c r="J2933" s="4">
        <v>23985715</v>
      </c>
      <c r="K2933" s="4">
        <f>IF(DatiOriginali!K2933 &gt;= SogliaPicchi!$B$31,"",DatiOriginali!K2933)</f>
        <v>224800</v>
      </c>
    </row>
    <row r="2934" spans="1:11" x14ac:dyDescent="0.3">
      <c r="A2934" s="4" t="s">
        <v>2943</v>
      </c>
      <c r="B2934" s="4">
        <v>1124250</v>
      </c>
      <c r="C2934" s="4">
        <f>IF(DatiOriginali!C2934 &gt;= SogliaPicchi!$B$31,"",DatiOriginali!C2934)</f>
        <v>10825800</v>
      </c>
      <c r="D2934" s="4">
        <v>560544</v>
      </c>
      <c r="E2934" s="4">
        <f>IF(DatiOriginali!E2934 &gt;= SogliaPicchi!$B$31,"",DatiOriginali!E2934)</f>
        <v>2199200</v>
      </c>
      <c r="F2934" s="4">
        <v>19082906</v>
      </c>
      <c r="G2934" s="4">
        <f>IF(DatiOriginali!G2934 &gt;= SogliaPicchi!$B$31,"",DatiOriginali!G2934)</f>
        <v>645000</v>
      </c>
      <c r="H2934" s="4">
        <v>24054271</v>
      </c>
      <c r="I2934" s="4">
        <f>IF(DatiOriginali!I2934 &gt;= SogliaPicchi!$B$31,"",DatiOriginali!I2934)</f>
        <v>248800</v>
      </c>
      <c r="J2934" s="4">
        <v>24005896</v>
      </c>
      <c r="K2934" s="4">
        <f>IF(DatiOriginali!K2934 &gt;= SogliaPicchi!$B$31,"",DatiOriginali!K2934)</f>
        <v>276000</v>
      </c>
    </row>
    <row r="2935" spans="1:11" x14ac:dyDescent="0.3">
      <c r="A2935" s="4" t="s">
        <v>2944</v>
      </c>
      <c r="B2935" s="4">
        <v>1124250</v>
      </c>
      <c r="C2935" s="4">
        <f>IF(DatiOriginali!C2935 &gt;= SogliaPicchi!$B$31,"",DatiOriginali!C2935)</f>
        <v>10515900</v>
      </c>
      <c r="D2935" s="4">
        <v>574927</v>
      </c>
      <c r="E2935" s="4">
        <f>IF(DatiOriginali!E2935 &gt;= SogliaPicchi!$B$31,"",DatiOriginali!E2935)</f>
        <v>1978000</v>
      </c>
      <c r="F2935" s="4">
        <v>19096862</v>
      </c>
      <c r="G2935" s="4">
        <f>IF(DatiOriginali!G2935 &gt;= SogliaPicchi!$B$31,"",DatiOriginali!G2935)</f>
        <v>586000</v>
      </c>
      <c r="H2935" s="4">
        <v>24072408</v>
      </c>
      <c r="I2935" s="4">
        <f>IF(DatiOriginali!I2935 &gt;= SogliaPicchi!$B$31,"",DatiOriginali!I2935)</f>
        <v>201200</v>
      </c>
      <c r="J2935" s="4">
        <v>24024923</v>
      </c>
      <c r="K2935" s="4">
        <f>IF(DatiOriginali!K2935 &gt;= SogliaPicchi!$B$31,"",DatiOriginali!K2935)</f>
        <v>228900</v>
      </c>
    </row>
    <row r="2936" spans="1:11" x14ac:dyDescent="0.3">
      <c r="A2936" s="4" t="s">
        <v>2945</v>
      </c>
      <c r="B2936" s="4">
        <v>1124250</v>
      </c>
      <c r="C2936" s="4">
        <f>IF(DatiOriginali!C2936 &gt;= SogliaPicchi!$B$31,"",DatiOriginali!C2936)</f>
        <v>10887700</v>
      </c>
      <c r="D2936" s="4">
        <v>553298</v>
      </c>
      <c r="E2936" s="4">
        <f>IF(DatiOriginali!E2936 &gt;= SogliaPicchi!$B$31,"",DatiOriginali!E2936)</f>
        <v>1902800</v>
      </c>
      <c r="F2936" s="4">
        <v>19110800</v>
      </c>
      <c r="G2936" s="4">
        <f>IF(DatiOriginali!G2936 &gt;= SogliaPicchi!$B$31,"",DatiOriginali!G2936)</f>
        <v>576600</v>
      </c>
      <c r="H2936" s="4">
        <v>24091242</v>
      </c>
      <c r="I2936" s="4">
        <f>IF(DatiOriginali!I2936 &gt;= SogliaPicchi!$B$31,"",DatiOriginali!I2936)</f>
        <v>199100</v>
      </c>
      <c r="J2936" s="4">
        <v>24041490</v>
      </c>
      <c r="K2936" s="4">
        <f>IF(DatiOriginali!K2936 &gt;= SogliaPicchi!$B$31,"",DatiOriginali!K2936)</f>
        <v>232200</v>
      </c>
    </row>
    <row r="2937" spans="1:11" x14ac:dyDescent="0.3">
      <c r="A2937" s="4" t="s">
        <v>2946</v>
      </c>
      <c r="B2937" s="4">
        <v>1124250</v>
      </c>
      <c r="C2937" s="4">
        <f>IF(DatiOriginali!C2937 &gt;= SogliaPicchi!$B$31,"",DatiOriginali!C2937)</f>
        <v>10276400</v>
      </c>
      <c r="D2937" s="4">
        <v>554223</v>
      </c>
      <c r="E2937" s="4">
        <f>IF(DatiOriginali!E2937 &gt;= SogliaPicchi!$B$31,"",DatiOriginali!E2937)</f>
        <v>2072300</v>
      </c>
      <c r="F2937" s="4">
        <v>19124779</v>
      </c>
      <c r="G2937" s="4">
        <f>IF(DatiOriginali!G2937 &gt;= SogliaPicchi!$B$31,"",DatiOriginali!G2937)</f>
        <v>586700</v>
      </c>
      <c r="H2937" s="4">
        <v>24107781</v>
      </c>
      <c r="I2937" s="4">
        <f>IF(DatiOriginali!I2937 &gt;= SogliaPicchi!$B$31,"",DatiOriginali!I2937)</f>
        <v>201800</v>
      </c>
      <c r="J2937" s="4">
        <v>24058314</v>
      </c>
      <c r="K2937" s="4">
        <f>IF(DatiOriginali!K2937 &gt;= SogliaPicchi!$B$31,"",DatiOriginali!K2937)</f>
        <v>216500</v>
      </c>
    </row>
    <row r="2938" spans="1:11" x14ac:dyDescent="0.3">
      <c r="A2938" s="4" t="s">
        <v>2947</v>
      </c>
      <c r="B2938" s="4">
        <v>1124250</v>
      </c>
      <c r="C2938" s="4">
        <f>IF(DatiOriginali!C2938 &gt;= SogliaPicchi!$B$31,"",DatiOriginali!C2938)</f>
        <v>10366800</v>
      </c>
      <c r="D2938" s="4">
        <v>564275</v>
      </c>
      <c r="E2938" s="4">
        <f>IF(DatiOriginali!E2938 &gt;= SogliaPicchi!$B$31,"",DatiOriginali!E2938)</f>
        <v>1942500</v>
      </c>
      <c r="F2938" s="4">
        <v>19138748</v>
      </c>
      <c r="G2938" s="4">
        <f>IF(DatiOriginali!G2938 &gt;= SogliaPicchi!$B$31,"",DatiOriginali!G2938)</f>
        <v>591900</v>
      </c>
      <c r="H2938" s="4">
        <v>24125422</v>
      </c>
      <c r="I2938" s="4">
        <f>IF(DatiOriginali!I2938 &gt;= SogliaPicchi!$B$31,"",DatiOriginali!I2938)</f>
        <v>203100</v>
      </c>
      <c r="J2938" s="4">
        <v>24076822</v>
      </c>
      <c r="K2938" s="4">
        <f>IF(DatiOriginali!K2938 &gt;= SogliaPicchi!$B$31,"",DatiOriginali!K2938)</f>
        <v>238800</v>
      </c>
    </row>
    <row r="2939" spans="1:11" x14ac:dyDescent="0.3">
      <c r="A2939" s="4" t="s">
        <v>2948</v>
      </c>
      <c r="B2939" s="4">
        <v>1124250</v>
      </c>
      <c r="C2939" s="4">
        <f>IF(DatiOriginali!C2939 &gt;= SogliaPicchi!$B$31,"",DatiOriginali!C2939)</f>
        <v>10673600</v>
      </c>
      <c r="D2939" s="4">
        <v>550955</v>
      </c>
      <c r="E2939" s="4">
        <f>IF(DatiOriginali!E2939 &gt;= SogliaPicchi!$B$31,"",DatiOriginali!E2939)</f>
        <v>1960100</v>
      </c>
      <c r="F2939" s="4">
        <v>19152685</v>
      </c>
      <c r="G2939" s="4">
        <f>IF(DatiOriginali!G2939 &gt;= SogliaPicchi!$B$31,"",DatiOriginali!G2939)</f>
        <v>576100</v>
      </c>
      <c r="H2939" s="4">
        <v>24142275</v>
      </c>
      <c r="I2939" s="4">
        <f>IF(DatiOriginali!I2939 &gt;= SogliaPicchi!$B$31,"",DatiOriginali!I2939)</f>
        <v>202200</v>
      </c>
      <c r="J2939" s="4">
        <v>24094698</v>
      </c>
      <c r="K2939" s="4">
        <f>IF(DatiOriginali!K2939 &gt;= SogliaPicchi!$B$31,"",DatiOriginali!K2939)</f>
        <v>223200</v>
      </c>
    </row>
    <row r="2940" spans="1:11" x14ac:dyDescent="0.3">
      <c r="A2940" s="4" t="s">
        <v>2949</v>
      </c>
      <c r="B2940" s="4">
        <v>1124250</v>
      </c>
      <c r="C2940" s="4">
        <f>IF(DatiOriginali!C2940 &gt;= SogliaPicchi!$B$31,"",DatiOriginali!C2940)</f>
        <v>10551200</v>
      </c>
      <c r="D2940" s="4">
        <v>542640</v>
      </c>
      <c r="E2940" s="4">
        <f>IF(DatiOriginali!E2940 &gt;= SogliaPicchi!$B$31,"",DatiOriginali!E2940)</f>
        <v>1868600</v>
      </c>
      <c r="F2940" s="4">
        <v>19166621</v>
      </c>
      <c r="G2940" s="4">
        <f>IF(DatiOriginali!G2940 &gt;= SogliaPicchi!$B$31,"",DatiOriginali!G2940)</f>
        <v>576900</v>
      </c>
      <c r="H2940" s="4">
        <v>24160727</v>
      </c>
      <c r="I2940" s="4">
        <f>IF(DatiOriginali!I2940 &gt;= SogliaPicchi!$B$31,"",DatiOriginali!I2940)</f>
        <v>200100</v>
      </c>
      <c r="J2940" s="4">
        <v>24111535</v>
      </c>
      <c r="K2940" s="4">
        <f>IF(DatiOriginali!K2940 &gt;= SogliaPicchi!$B$31,"",DatiOriginali!K2940)</f>
        <v>219700</v>
      </c>
    </row>
    <row r="2941" spans="1:11" x14ac:dyDescent="0.3">
      <c r="A2941" s="4" t="s">
        <v>2950</v>
      </c>
      <c r="B2941" s="4">
        <v>1124250</v>
      </c>
      <c r="C2941" s="4">
        <f>IF(DatiOriginali!C2941 &gt;= SogliaPicchi!$B$31,"",DatiOriginali!C2941)</f>
        <v>10474400</v>
      </c>
      <c r="D2941" s="4">
        <v>566773</v>
      </c>
      <c r="E2941" s="4">
        <f>IF(DatiOriginali!E2941 &gt;= SogliaPicchi!$B$31,"",DatiOriginali!E2941)</f>
        <v>1949400</v>
      </c>
      <c r="F2941" s="4">
        <v>19180566</v>
      </c>
      <c r="G2941" s="4">
        <f>IF(DatiOriginali!G2941 &gt;= SogliaPicchi!$B$31,"",DatiOriginali!G2941)</f>
        <v>611200</v>
      </c>
      <c r="H2941" s="4">
        <v>24178134</v>
      </c>
      <c r="I2941" s="4">
        <f>IF(DatiOriginali!I2941 &gt;= SogliaPicchi!$B$31,"",DatiOriginali!I2941)</f>
        <v>210900</v>
      </c>
      <c r="J2941" s="4">
        <v>24128015</v>
      </c>
      <c r="K2941" s="4">
        <f>IF(DatiOriginali!K2941 &gt;= SogliaPicchi!$B$31,"",DatiOriginali!K2941)</f>
        <v>224400</v>
      </c>
    </row>
    <row r="2942" spans="1:11" x14ac:dyDescent="0.3">
      <c r="A2942" s="4" t="s">
        <v>2951</v>
      </c>
      <c r="B2942" s="4">
        <v>1124250</v>
      </c>
      <c r="C2942" s="4">
        <f>IF(DatiOriginali!C2942 &gt;= SogliaPicchi!$B$31,"",DatiOriginali!C2942)</f>
        <v>10559200</v>
      </c>
      <c r="D2942" s="4">
        <v>565937</v>
      </c>
      <c r="E2942" s="4">
        <f>IF(DatiOriginali!E2942 &gt;= SogliaPicchi!$B$31,"",DatiOriginali!E2942)</f>
        <v>2011800</v>
      </c>
      <c r="F2942" s="4">
        <v>19194520</v>
      </c>
      <c r="G2942" s="4">
        <f>IF(DatiOriginali!G2942 &gt;= SogliaPicchi!$B$31,"",DatiOriginali!G2942)</f>
        <v>585300</v>
      </c>
      <c r="H2942" s="4">
        <v>24195294</v>
      </c>
      <c r="I2942" s="4">
        <f>IF(DatiOriginali!I2942 &gt;= SogliaPicchi!$B$31,"",DatiOriginali!I2942)</f>
        <v>195600</v>
      </c>
      <c r="J2942" s="4">
        <v>24147107</v>
      </c>
      <c r="K2942" s="4">
        <f>IF(DatiOriginali!K2942 &gt;= SogliaPicchi!$B$31,"",DatiOriginali!K2942)</f>
        <v>222200</v>
      </c>
    </row>
    <row r="2943" spans="1:11" x14ac:dyDescent="0.3">
      <c r="A2943" s="4" t="s">
        <v>2952</v>
      </c>
      <c r="B2943" s="4">
        <v>1124250</v>
      </c>
      <c r="C2943" s="4">
        <f>IF(DatiOriginali!C2943 &gt;= SogliaPicchi!$B$31,"",DatiOriginali!C2943)</f>
        <v>10352200</v>
      </c>
      <c r="D2943" s="4">
        <v>566191</v>
      </c>
      <c r="E2943" s="4">
        <f>IF(DatiOriginali!E2943 &gt;= SogliaPicchi!$B$31,"",DatiOriginali!E2943)</f>
        <v>1947200</v>
      </c>
      <c r="F2943" s="4">
        <v>19208506</v>
      </c>
      <c r="G2943" s="4">
        <f>IF(DatiOriginali!G2943 &gt;= SogliaPicchi!$B$31,"",DatiOriginali!G2943)</f>
        <v>588400</v>
      </c>
      <c r="H2943" s="4">
        <v>24212746</v>
      </c>
      <c r="I2943" s="4">
        <f>IF(DatiOriginali!I2943 &gt;= SogliaPicchi!$B$31,"",DatiOriginali!I2943)</f>
        <v>198400</v>
      </c>
      <c r="J2943" s="4">
        <v>24163858</v>
      </c>
      <c r="K2943" s="4">
        <f>IF(DatiOriginali!K2943 &gt;= SogliaPicchi!$B$31,"",DatiOriginali!K2943)</f>
        <v>220500</v>
      </c>
    </row>
    <row r="2944" spans="1:11" x14ac:dyDescent="0.3">
      <c r="A2944" s="4" t="s">
        <v>2953</v>
      </c>
      <c r="B2944" s="4">
        <v>1124250</v>
      </c>
      <c r="C2944" s="4">
        <f>IF(DatiOriginali!C2944 &gt;= SogliaPicchi!$B$31,"",DatiOriginali!C2944)</f>
        <v>10872300</v>
      </c>
      <c r="D2944" s="4">
        <v>555106</v>
      </c>
      <c r="E2944" s="4">
        <f>IF(DatiOriginali!E2944 &gt;= SogliaPicchi!$B$31,"",DatiOriginali!E2944)</f>
        <v>2360700</v>
      </c>
      <c r="F2944" s="4">
        <v>19222447</v>
      </c>
      <c r="G2944" s="4">
        <f>IF(DatiOriginali!G2944 &gt;= SogliaPicchi!$B$31,"",DatiOriginali!G2944)</f>
        <v>770300</v>
      </c>
      <c r="H2944" s="4">
        <v>24230572</v>
      </c>
      <c r="I2944" s="4">
        <f>IF(DatiOriginali!I2944 &gt;= SogliaPicchi!$B$31,"",DatiOriginali!I2944)</f>
        <v>208500</v>
      </c>
      <c r="J2944" s="4">
        <v>24181596</v>
      </c>
      <c r="K2944" s="4">
        <f>IF(DatiOriginali!K2944 &gt;= SogliaPicchi!$B$31,"",DatiOriginali!K2944)</f>
        <v>225100</v>
      </c>
    </row>
    <row r="2945" spans="1:11" x14ac:dyDescent="0.3">
      <c r="A2945" s="4" t="s">
        <v>2954</v>
      </c>
      <c r="B2945" s="4">
        <v>1124250</v>
      </c>
      <c r="C2945" s="4">
        <f>IF(DatiOriginali!C2945 &gt;= SogliaPicchi!$B$31,"",DatiOriginali!C2945)</f>
        <v>10473300</v>
      </c>
      <c r="D2945" s="4">
        <v>554821</v>
      </c>
      <c r="E2945" s="4">
        <f>IF(DatiOriginali!E2945 &gt;= SogliaPicchi!$B$31,"",DatiOriginali!E2945)</f>
        <v>1914400</v>
      </c>
      <c r="F2945" s="4">
        <v>19236394</v>
      </c>
      <c r="G2945" s="4">
        <f>IF(DatiOriginali!G2945 &gt;= SogliaPicchi!$B$31,"",DatiOriginali!G2945)</f>
        <v>584300</v>
      </c>
      <c r="H2945" s="4">
        <v>24248220</v>
      </c>
      <c r="I2945" s="4">
        <f>IF(DatiOriginali!I2945 &gt;= SogliaPicchi!$B$31,"",DatiOriginali!I2945)</f>
        <v>204800</v>
      </c>
      <c r="J2945" s="4">
        <v>24199772</v>
      </c>
      <c r="K2945" s="4">
        <f>IF(DatiOriginali!K2945 &gt;= SogliaPicchi!$B$31,"",DatiOriginali!K2945)</f>
        <v>223400</v>
      </c>
    </row>
    <row r="2946" spans="1:11" x14ac:dyDescent="0.3">
      <c r="A2946" s="4" t="s">
        <v>2955</v>
      </c>
      <c r="B2946" s="4">
        <v>1124250</v>
      </c>
      <c r="C2946" s="4">
        <f>IF(DatiOriginali!C2946 &gt;= SogliaPicchi!$B$31,"",DatiOriginali!C2946)</f>
        <v>10649300</v>
      </c>
      <c r="D2946" s="4">
        <v>558232</v>
      </c>
      <c r="E2946" s="4">
        <f>IF(DatiOriginali!E2946 &gt;= SogliaPicchi!$B$31,"",DatiOriginali!E2946)</f>
        <v>1922700</v>
      </c>
      <c r="F2946" s="4">
        <v>19250377</v>
      </c>
      <c r="G2946" s="4">
        <f>IF(DatiOriginali!G2946 &gt;= SogliaPicchi!$B$31,"",DatiOriginali!G2946)</f>
        <v>582100</v>
      </c>
      <c r="H2946" s="4">
        <v>24266679</v>
      </c>
      <c r="I2946" s="4">
        <f>IF(DatiOriginali!I2946 &gt;= SogliaPicchi!$B$31,"",DatiOriginali!I2946)</f>
        <v>200900</v>
      </c>
      <c r="J2946" s="4">
        <v>24216099</v>
      </c>
      <c r="K2946" s="4">
        <f>IF(DatiOriginali!K2946 &gt;= SogliaPicchi!$B$31,"",DatiOriginali!K2946)</f>
        <v>224500</v>
      </c>
    </row>
    <row r="2947" spans="1:11" x14ac:dyDescent="0.3">
      <c r="A2947" s="4" t="s">
        <v>2956</v>
      </c>
      <c r="B2947" s="4">
        <v>1124250</v>
      </c>
      <c r="C2947" s="4">
        <f>IF(DatiOriginali!C2947 &gt;= SogliaPicchi!$B$31,"",DatiOriginali!C2947)</f>
        <v>10567000</v>
      </c>
      <c r="D2947" s="4">
        <v>571381</v>
      </c>
      <c r="E2947" s="4">
        <f>IF(DatiOriginali!E2947 &gt;= SogliaPicchi!$B$31,"",DatiOriginali!E2947)</f>
        <v>1973300</v>
      </c>
      <c r="F2947" s="4">
        <v>19264369</v>
      </c>
      <c r="G2947" s="4">
        <f>IF(DatiOriginali!G2947 &gt;= SogliaPicchi!$B$31,"",DatiOriginali!G2947)</f>
        <v>579700</v>
      </c>
      <c r="H2947" s="4">
        <v>24284516</v>
      </c>
      <c r="I2947" s="4">
        <f>IF(DatiOriginali!I2947 &gt;= SogliaPicchi!$B$31,"",DatiOriginali!I2947)</f>
        <v>199200</v>
      </c>
      <c r="J2947" s="4">
        <v>24233448</v>
      </c>
      <c r="K2947" s="4">
        <f>IF(DatiOriginali!K2947 &gt;= SogliaPicchi!$B$31,"",DatiOriginali!K2947)</f>
        <v>222800</v>
      </c>
    </row>
    <row r="2948" spans="1:11" x14ac:dyDescent="0.3">
      <c r="A2948" s="4" t="s">
        <v>2957</v>
      </c>
      <c r="B2948" s="4">
        <v>1124250</v>
      </c>
      <c r="C2948" s="4">
        <f>IF(DatiOriginali!C2948 &gt;= SogliaPicchi!$B$31,"",DatiOriginali!C2948)</f>
        <v>10341100</v>
      </c>
      <c r="D2948" s="4">
        <v>571258</v>
      </c>
      <c r="E2948" s="4">
        <f>IF(DatiOriginali!E2948 &gt;= SogliaPicchi!$B$31,"",DatiOriginali!E2948)</f>
        <v>1966900</v>
      </c>
      <c r="F2948" s="4">
        <v>19278298</v>
      </c>
      <c r="G2948" s="4">
        <f>IF(DatiOriginali!G2948 &gt;= SogliaPicchi!$B$31,"",DatiOriginali!G2948)</f>
        <v>797700</v>
      </c>
      <c r="H2948" s="4">
        <v>24302572</v>
      </c>
      <c r="I2948" s="4">
        <f>IF(DatiOriginali!I2948 &gt;= SogliaPicchi!$B$31,"",DatiOriginali!I2948)</f>
        <v>210000</v>
      </c>
      <c r="J2948" s="4">
        <v>24251193</v>
      </c>
      <c r="K2948" s="4">
        <f>IF(DatiOriginali!K2948 &gt;= SogliaPicchi!$B$31,"",DatiOriginali!K2948)</f>
        <v>221500</v>
      </c>
    </row>
    <row r="2949" spans="1:11" x14ac:dyDescent="0.3">
      <c r="A2949" s="4" t="s">
        <v>2958</v>
      </c>
      <c r="B2949" s="4">
        <v>1124250</v>
      </c>
      <c r="C2949" s="4">
        <f>IF(DatiOriginali!C2949 &gt;= SogliaPicchi!$B$31,"",DatiOriginali!C2949)</f>
        <v>10465400</v>
      </c>
      <c r="D2949" s="4">
        <v>573854</v>
      </c>
      <c r="E2949" s="4">
        <f>IF(DatiOriginali!E2949 &gt;= SogliaPicchi!$B$31,"",DatiOriginali!E2949)</f>
        <v>2041500</v>
      </c>
      <c r="F2949" s="4">
        <v>19292258</v>
      </c>
      <c r="G2949" s="4">
        <f>IF(DatiOriginali!G2949 &gt;= SogliaPicchi!$B$31,"",DatiOriginali!G2949)</f>
        <v>577800</v>
      </c>
      <c r="H2949" s="4">
        <v>24320376</v>
      </c>
      <c r="I2949" s="4">
        <f>IF(DatiOriginali!I2949 &gt;= SogliaPicchi!$B$31,"",DatiOriginali!I2949)</f>
        <v>197800</v>
      </c>
      <c r="J2949" s="4">
        <v>24270468</v>
      </c>
      <c r="K2949" s="4">
        <f>IF(DatiOriginali!K2949 &gt;= SogliaPicchi!$B$31,"",DatiOriginali!K2949)</f>
        <v>234000</v>
      </c>
    </row>
    <row r="2950" spans="1:11" x14ac:dyDescent="0.3">
      <c r="A2950" s="4" t="s">
        <v>2959</v>
      </c>
      <c r="B2950" s="4">
        <v>1124250</v>
      </c>
      <c r="C2950" s="4">
        <f>IF(DatiOriginali!C2950 &gt;= SogliaPicchi!$B$31,"",DatiOriginali!C2950)</f>
        <v>10316800</v>
      </c>
      <c r="D2950" s="4">
        <v>570757</v>
      </c>
      <c r="E2950" s="4">
        <f>IF(DatiOriginali!E2950 &gt;= SogliaPicchi!$B$31,"",DatiOriginali!E2950)</f>
        <v>1986900</v>
      </c>
      <c r="F2950" s="4">
        <v>19306206</v>
      </c>
      <c r="G2950" s="4">
        <f>IF(DatiOriginali!G2950 &gt;= SogliaPicchi!$B$31,"",DatiOriginali!G2950)</f>
        <v>1773300</v>
      </c>
      <c r="H2950" s="4">
        <v>24338650</v>
      </c>
      <c r="I2950" s="4">
        <f>IF(DatiOriginali!I2950 &gt;= SogliaPicchi!$B$31,"",DatiOriginali!I2950)</f>
        <v>198100</v>
      </c>
      <c r="J2950" s="4">
        <v>24288604</v>
      </c>
      <c r="K2950" s="4">
        <f>IF(DatiOriginali!K2950 &gt;= SogliaPicchi!$B$31,"",DatiOriginali!K2950)</f>
        <v>227300</v>
      </c>
    </row>
    <row r="2951" spans="1:11" x14ac:dyDescent="0.3">
      <c r="A2951" s="4" t="s">
        <v>2960</v>
      </c>
      <c r="B2951" s="4">
        <v>1124250</v>
      </c>
      <c r="C2951" s="4">
        <f>IF(DatiOriginali!C2951 &gt;= SogliaPicchi!$B$31,"",DatiOriginali!C2951)</f>
        <v>10355100</v>
      </c>
      <c r="D2951" s="4">
        <v>540543</v>
      </c>
      <c r="E2951" s="4">
        <f>IF(DatiOriginali!E2951 &gt;= SogliaPicchi!$B$31,"",DatiOriginali!E2951)</f>
        <v>1874500</v>
      </c>
      <c r="F2951" s="4">
        <v>19320181</v>
      </c>
      <c r="G2951" s="4">
        <f>IF(DatiOriginali!G2951 &gt;= SogliaPicchi!$B$31,"",DatiOriginali!G2951)</f>
        <v>585100</v>
      </c>
      <c r="H2951" s="4">
        <v>24356105</v>
      </c>
      <c r="I2951" s="4">
        <f>IF(DatiOriginali!I2951 &gt;= SogliaPicchi!$B$31,"",DatiOriginali!I2951)</f>
        <v>204500</v>
      </c>
      <c r="J2951" s="4">
        <v>24305729</v>
      </c>
      <c r="K2951" s="4">
        <f>IF(DatiOriginali!K2951 &gt;= SogliaPicchi!$B$31,"",DatiOriginali!K2951)</f>
        <v>217800</v>
      </c>
    </row>
    <row r="2952" spans="1:11" x14ac:dyDescent="0.3">
      <c r="A2952" s="4" t="s">
        <v>2961</v>
      </c>
      <c r="B2952" s="4">
        <v>1124250</v>
      </c>
      <c r="C2952" s="4">
        <f>IF(DatiOriginali!C2952 &gt;= SogliaPicchi!$B$31,"",DatiOriginali!C2952)</f>
        <v>10392200</v>
      </c>
      <c r="D2952" s="4">
        <v>577757</v>
      </c>
      <c r="E2952" s="4">
        <f>IF(DatiOriginali!E2952 &gt;= SogliaPicchi!$B$31,"",DatiOriginali!E2952)</f>
        <v>2003400</v>
      </c>
      <c r="F2952" s="4">
        <v>19334129</v>
      </c>
      <c r="G2952" s="4">
        <f>IF(DatiOriginali!G2952 &gt;= SogliaPicchi!$B$31,"",DatiOriginali!G2952)</f>
        <v>591900</v>
      </c>
      <c r="H2952" s="4">
        <v>24373194</v>
      </c>
      <c r="I2952" s="4">
        <f>IF(DatiOriginali!I2952 &gt;= SogliaPicchi!$B$31,"",DatiOriginali!I2952)</f>
        <v>202700</v>
      </c>
      <c r="J2952" s="4">
        <v>24322594</v>
      </c>
      <c r="K2952" s="4">
        <f>IF(DatiOriginali!K2952 &gt;= SogliaPicchi!$B$31,"",DatiOriginali!K2952)</f>
        <v>225800</v>
      </c>
    </row>
    <row r="2953" spans="1:11" x14ac:dyDescent="0.3">
      <c r="A2953" s="4" t="s">
        <v>2962</v>
      </c>
      <c r="B2953" s="4">
        <v>1124250</v>
      </c>
      <c r="C2953" s="4">
        <f>IF(DatiOriginali!C2953 &gt;= SogliaPicchi!$B$31,"",DatiOriginali!C2953)</f>
        <v>10844900</v>
      </c>
      <c r="D2953" s="4">
        <v>559307</v>
      </c>
      <c r="E2953" s="4">
        <f>IF(DatiOriginali!E2953 &gt;= SogliaPicchi!$B$31,"",DatiOriginali!E2953)</f>
        <v>2077900</v>
      </c>
      <c r="F2953" s="4">
        <v>19348058</v>
      </c>
      <c r="G2953" s="4">
        <f>IF(DatiOriginali!G2953 &gt;= SogliaPicchi!$B$31,"",DatiOriginali!G2953)</f>
        <v>586100</v>
      </c>
      <c r="H2953" s="4">
        <v>24389561</v>
      </c>
      <c r="I2953" s="4">
        <f>IF(DatiOriginali!I2953 &gt;= SogliaPicchi!$B$31,"",DatiOriginali!I2953)</f>
        <v>201500</v>
      </c>
      <c r="J2953" s="4">
        <v>24340367</v>
      </c>
      <c r="K2953" s="4">
        <f>IF(DatiOriginali!K2953 &gt;= SogliaPicchi!$B$31,"",DatiOriginali!K2953)</f>
        <v>221300</v>
      </c>
    </row>
    <row r="2954" spans="1:11" x14ac:dyDescent="0.3">
      <c r="A2954" s="4" t="s">
        <v>2963</v>
      </c>
      <c r="B2954" s="4">
        <v>1124250</v>
      </c>
      <c r="C2954" s="4">
        <f>IF(DatiOriginali!C2954 &gt;= SogliaPicchi!$B$31,"",DatiOriginali!C2954)</f>
        <v>11588300</v>
      </c>
      <c r="D2954" s="4">
        <v>561474</v>
      </c>
      <c r="E2954" s="4">
        <f>IF(DatiOriginali!E2954 &gt;= SogliaPicchi!$B$31,"",DatiOriginali!E2954)</f>
        <v>1932400</v>
      </c>
      <c r="F2954" s="4">
        <v>19362035</v>
      </c>
      <c r="G2954" s="4">
        <f>IF(DatiOriginali!G2954 &gt;= SogliaPicchi!$B$31,"",DatiOriginali!G2954)</f>
        <v>583200</v>
      </c>
      <c r="H2954" s="4">
        <v>24408431</v>
      </c>
      <c r="I2954" s="4">
        <f>IF(DatiOriginali!I2954 &gt;= SogliaPicchi!$B$31,"",DatiOriginali!I2954)</f>
        <v>206400</v>
      </c>
      <c r="J2954" s="4">
        <v>24358296</v>
      </c>
      <c r="K2954" s="4">
        <f>IF(DatiOriginali!K2954 &gt;= SogliaPicchi!$B$31,"",DatiOriginali!K2954)</f>
        <v>263000</v>
      </c>
    </row>
    <row r="2955" spans="1:11" x14ac:dyDescent="0.3">
      <c r="A2955" s="4" t="s">
        <v>2964</v>
      </c>
      <c r="B2955" s="4">
        <v>1124250</v>
      </c>
      <c r="C2955" s="4">
        <f>IF(DatiOriginali!C2955 &gt;= SogliaPicchi!$B$31,"",DatiOriginali!C2955)</f>
        <v>10628200</v>
      </c>
      <c r="D2955" s="4">
        <v>560489</v>
      </c>
      <c r="E2955" s="4">
        <f>IF(DatiOriginali!E2955 &gt;= SogliaPicchi!$B$31,"",DatiOriginali!E2955)</f>
        <v>2146300</v>
      </c>
      <c r="F2955" s="4">
        <v>19376004</v>
      </c>
      <c r="G2955" s="4">
        <f>IF(DatiOriginali!G2955 &gt;= SogliaPicchi!$B$31,"",DatiOriginali!G2955)</f>
        <v>593100</v>
      </c>
      <c r="H2955" s="4">
        <v>24428643</v>
      </c>
      <c r="I2955" s="4">
        <f>IF(DatiOriginali!I2955 &gt;= SogliaPicchi!$B$31,"",DatiOriginali!I2955)</f>
        <v>215800</v>
      </c>
      <c r="J2955" s="4">
        <v>24375665</v>
      </c>
      <c r="K2955" s="4">
        <f>IF(DatiOriginali!K2955 &gt;= SogliaPicchi!$B$31,"",DatiOriginali!K2955)</f>
        <v>220400</v>
      </c>
    </row>
    <row r="2956" spans="1:11" x14ac:dyDescent="0.3">
      <c r="A2956" s="4" t="s">
        <v>2965</v>
      </c>
      <c r="B2956" s="4">
        <v>1124250</v>
      </c>
      <c r="C2956" s="4">
        <f>IF(DatiOriginali!C2956 &gt;= SogliaPicchi!$B$31,"",DatiOriginali!C2956)</f>
        <v>10207600</v>
      </c>
      <c r="D2956" s="4">
        <v>582387</v>
      </c>
      <c r="E2956" s="4">
        <f>IF(DatiOriginali!E2956 &gt;= SogliaPicchi!$B$31,"",DatiOriginali!E2956)</f>
        <v>2000300</v>
      </c>
      <c r="F2956" s="4">
        <v>19389961</v>
      </c>
      <c r="G2956" s="4">
        <f>IF(DatiOriginali!G2956 &gt;= SogliaPicchi!$B$31,"",DatiOriginali!G2956)</f>
        <v>580300</v>
      </c>
      <c r="H2956" s="4">
        <v>24446380</v>
      </c>
      <c r="I2956" s="4">
        <f>IF(DatiOriginali!I2956 &gt;= SogliaPicchi!$B$31,"",DatiOriginali!I2956)</f>
        <v>205400</v>
      </c>
      <c r="J2956" s="4">
        <v>24394251</v>
      </c>
      <c r="K2956" s="4">
        <f>IF(DatiOriginali!K2956 &gt;= SogliaPicchi!$B$31,"",DatiOriginali!K2956)</f>
        <v>225800</v>
      </c>
    </row>
    <row r="2957" spans="1:11" x14ac:dyDescent="0.3">
      <c r="A2957" s="4" t="s">
        <v>2966</v>
      </c>
      <c r="B2957" s="4">
        <v>1124250</v>
      </c>
      <c r="C2957" s="4">
        <f>IF(DatiOriginali!C2957 &gt;= SogliaPicchi!$B$31,"",DatiOriginali!C2957)</f>
        <v>10466000</v>
      </c>
      <c r="D2957" s="4">
        <v>548608</v>
      </c>
      <c r="E2957" s="4">
        <f>IF(DatiOriginali!E2957 &gt;= SogliaPicchi!$B$31,"",DatiOriginali!E2957)</f>
        <v>1949600</v>
      </c>
      <c r="F2957" s="4">
        <v>19403933</v>
      </c>
      <c r="G2957" s="4">
        <f>IF(DatiOriginali!G2957 &gt;= SogliaPicchi!$B$31,"",DatiOriginali!G2957)</f>
        <v>580800</v>
      </c>
      <c r="H2957" s="4">
        <v>24465747</v>
      </c>
      <c r="I2957" s="4">
        <f>IF(DatiOriginali!I2957 &gt;= SogliaPicchi!$B$31,"",DatiOriginali!I2957)</f>
        <v>206400</v>
      </c>
      <c r="J2957" s="4">
        <v>24412510</v>
      </c>
      <c r="K2957" s="4">
        <f>IF(DatiOriginali!K2957 &gt;= SogliaPicchi!$B$31,"",DatiOriginali!K2957)</f>
        <v>223500</v>
      </c>
    </row>
    <row r="2958" spans="1:11" x14ac:dyDescent="0.3">
      <c r="A2958" s="4" t="s">
        <v>2967</v>
      </c>
      <c r="B2958" s="4">
        <v>1124250</v>
      </c>
      <c r="C2958" s="4">
        <f>IF(DatiOriginali!C2958 &gt;= SogliaPicchi!$B$31,"",DatiOriginali!C2958)</f>
        <v>11488300</v>
      </c>
      <c r="D2958" s="4">
        <v>575097</v>
      </c>
      <c r="E2958" s="4">
        <f>IF(DatiOriginali!E2958 &gt;= SogliaPicchi!$B$31,"",DatiOriginali!E2958)</f>
        <v>2863300</v>
      </c>
      <c r="F2958" s="4">
        <v>19417878</v>
      </c>
      <c r="G2958" s="4">
        <f>IF(DatiOriginali!G2958 &gt;= SogliaPicchi!$B$31,"",DatiOriginali!G2958)</f>
        <v>595500</v>
      </c>
      <c r="H2958" s="4">
        <v>24483887</v>
      </c>
      <c r="I2958" s="4">
        <f>IF(DatiOriginali!I2958 &gt;= SogliaPicchi!$B$31,"",DatiOriginali!I2958)</f>
        <v>205300</v>
      </c>
      <c r="J2958" s="4">
        <v>24429650</v>
      </c>
      <c r="K2958" s="4">
        <f>IF(DatiOriginali!K2958 &gt;= SogliaPicchi!$B$31,"",DatiOriginali!K2958)</f>
        <v>224700</v>
      </c>
    </row>
    <row r="2959" spans="1:11" x14ac:dyDescent="0.3">
      <c r="A2959" s="4" t="s">
        <v>2968</v>
      </c>
      <c r="B2959" s="4">
        <v>1124250</v>
      </c>
      <c r="C2959" s="4">
        <f>IF(DatiOriginali!C2959 &gt;= SogliaPicchi!$B$31,"",DatiOriginali!C2959)</f>
        <v>10795700</v>
      </c>
      <c r="D2959" s="4">
        <v>566761</v>
      </c>
      <c r="E2959" s="4">
        <f>IF(DatiOriginali!E2959 &gt;= SogliaPicchi!$B$31,"",DatiOriginali!E2959)</f>
        <v>2379300</v>
      </c>
      <c r="F2959" s="4">
        <v>19431866</v>
      </c>
      <c r="G2959" s="4">
        <f>IF(DatiOriginali!G2959 &gt;= SogliaPicchi!$B$31,"",DatiOriginali!G2959)</f>
        <v>608900</v>
      </c>
      <c r="H2959" s="4">
        <v>24502438</v>
      </c>
      <c r="I2959" s="4">
        <f>IF(DatiOriginali!I2959 &gt;= SogliaPicchi!$B$31,"",DatiOriginali!I2959)</f>
        <v>359800</v>
      </c>
      <c r="J2959" s="4">
        <v>24447165</v>
      </c>
      <c r="K2959" s="4">
        <f>IF(DatiOriginali!K2959 &gt;= SogliaPicchi!$B$31,"",DatiOriginali!K2959)</f>
        <v>229900</v>
      </c>
    </row>
    <row r="2960" spans="1:11" x14ac:dyDescent="0.3">
      <c r="A2960" s="4" t="s">
        <v>2969</v>
      </c>
      <c r="B2960" s="4">
        <v>1124250</v>
      </c>
      <c r="C2960" s="4">
        <f>IF(DatiOriginali!C2960 &gt;= SogliaPicchi!$B$31,"",DatiOriginali!C2960)</f>
        <v>10168200</v>
      </c>
      <c r="D2960" s="4">
        <v>573018</v>
      </c>
      <c r="E2960" s="4">
        <f>IF(DatiOriginali!E2960 &gt;= SogliaPicchi!$B$31,"",DatiOriginali!E2960)</f>
        <v>1970200</v>
      </c>
      <c r="F2960" s="4">
        <v>19445816</v>
      </c>
      <c r="G2960" s="4">
        <f>IF(DatiOriginali!G2960 &gt;= SogliaPicchi!$B$31,"",DatiOriginali!G2960)</f>
        <v>585800</v>
      </c>
      <c r="H2960" s="4">
        <v>24520542</v>
      </c>
      <c r="I2960" s="4">
        <f>IF(DatiOriginali!I2960 &gt;= SogliaPicchi!$B$31,"",DatiOriginali!I2960)</f>
        <v>203100</v>
      </c>
      <c r="J2960" s="4">
        <v>24464450</v>
      </c>
      <c r="K2960" s="4">
        <f>IF(DatiOriginali!K2960 &gt;= SogliaPicchi!$B$31,"",DatiOriginali!K2960)</f>
        <v>229800</v>
      </c>
    </row>
    <row r="2961" spans="1:11" x14ac:dyDescent="0.3">
      <c r="A2961" s="4" t="s">
        <v>2970</v>
      </c>
      <c r="B2961" s="4">
        <v>1124250</v>
      </c>
      <c r="C2961" s="4">
        <f>IF(DatiOriginali!C2961 &gt;= SogliaPicchi!$B$31,"",DatiOriginali!C2961)</f>
        <v>10411200</v>
      </c>
      <c r="D2961" s="4">
        <v>571147</v>
      </c>
      <c r="E2961" s="4">
        <f>IF(DatiOriginali!E2961 &gt;= SogliaPicchi!$B$31,"",DatiOriginali!E2961)</f>
        <v>1990300</v>
      </c>
      <c r="F2961" s="4">
        <v>19459744</v>
      </c>
      <c r="G2961" s="4">
        <f>IF(DatiOriginali!G2961 &gt;= SogliaPicchi!$B$31,"",DatiOriginali!G2961)</f>
        <v>587200</v>
      </c>
      <c r="H2961" s="4">
        <v>24537561</v>
      </c>
      <c r="I2961" s="4">
        <f>IF(DatiOriginali!I2961 &gt;= SogliaPicchi!$B$31,"",DatiOriginali!I2961)</f>
        <v>198600</v>
      </c>
      <c r="J2961" s="4">
        <v>24481915</v>
      </c>
      <c r="K2961" s="4">
        <f>IF(DatiOriginali!K2961 &gt;= SogliaPicchi!$B$31,"",DatiOriginali!K2961)</f>
        <v>215700</v>
      </c>
    </row>
    <row r="2962" spans="1:11" x14ac:dyDescent="0.3">
      <c r="A2962" s="4" t="s">
        <v>2971</v>
      </c>
      <c r="B2962" s="4">
        <v>1124250</v>
      </c>
      <c r="C2962" s="4">
        <f>IF(DatiOriginali!C2962 &gt;= SogliaPicchi!$B$31,"",DatiOriginali!C2962)</f>
        <v>11173500</v>
      </c>
      <c r="D2962" s="4">
        <v>580214</v>
      </c>
      <c r="E2962" s="4">
        <f>IF(DatiOriginali!E2962 &gt;= SogliaPicchi!$B$31,"",DatiOriginali!E2962)</f>
        <v>2067400</v>
      </c>
      <c r="F2962" s="4">
        <v>19473695</v>
      </c>
      <c r="G2962" s="4">
        <f>IF(DatiOriginali!G2962 &gt;= SogliaPicchi!$B$31,"",DatiOriginali!G2962)</f>
        <v>586100</v>
      </c>
      <c r="H2962" s="4">
        <v>24553985</v>
      </c>
      <c r="I2962" s="4">
        <f>IF(DatiOriginali!I2962 &gt;= SogliaPicchi!$B$31,"",DatiOriginali!I2962)</f>
        <v>199100</v>
      </c>
      <c r="J2962" s="4">
        <v>24499458</v>
      </c>
      <c r="K2962" s="4">
        <f>IF(DatiOriginali!K2962 &gt;= SogliaPicchi!$B$31,"",DatiOriginali!K2962)</f>
        <v>222000</v>
      </c>
    </row>
    <row r="2963" spans="1:11" x14ac:dyDescent="0.3">
      <c r="A2963" s="4" t="s">
        <v>2972</v>
      </c>
      <c r="B2963" s="4">
        <v>1124250</v>
      </c>
      <c r="C2963" s="4">
        <f>IF(DatiOriginali!C2963 &gt;= SogliaPicchi!$B$31,"",DatiOriginali!C2963)</f>
        <v>10325200</v>
      </c>
      <c r="D2963" s="4">
        <v>570292</v>
      </c>
      <c r="E2963" s="4">
        <f>IF(DatiOriginali!E2963 &gt;= SogliaPicchi!$B$31,"",DatiOriginali!E2963)</f>
        <v>2026700</v>
      </c>
      <c r="F2963" s="4">
        <v>19487637</v>
      </c>
      <c r="G2963" s="4">
        <f>IF(DatiOriginali!G2963 &gt;= SogliaPicchi!$B$31,"",DatiOriginali!G2963)</f>
        <v>582400</v>
      </c>
      <c r="H2963" s="4">
        <v>24571501</v>
      </c>
      <c r="I2963" s="4">
        <f>IF(DatiOriginali!I2963 &gt;= SogliaPicchi!$B$31,"",DatiOriginali!I2963)</f>
        <v>201600</v>
      </c>
      <c r="J2963" s="4">
        <v>24517533</v>
      </c>
      <c r="K2963" s="4">
        <f>IF(DatiOriginali!K2963 &gt;= SogliaPicchi!$B$31,"",DatiOriginali!K2963)</f>
        <v>227400</v>
      </c>
    </row>
    <row r="2964" spans="1:11" x14ac:dyDescent="0.3">
      <c r="A2964" s="4" t="s">
        <v>2973</v>
      </c>
      <c r="B2964" s="4">
        <v>1124250</v>
      </c>
      <c r="C2964" s="4">
        <f>IF(DatiOriginali!C2964 &gt;= SogliaPicchi!$B$31,"",DatiOriginali!C2964)</f>
        <v>10203600</v>
      </c>
      <c r="D2964" s="4">
        <v>572308</v>
      </c>
      <c r="E2964" s="4">
        <f>IF(DatiOriginali!E2964 &gt;= SogliaPicchi!$B$31,"",DatiOriginali!E2964)</f>
        <v>2070700</v>
      </c>
      <c r="F2964" s="4">
        <v>19501645</v>
      </c>
      <c r="G2964" s="4">
        <f>IF(DatiOriginali!G2964 &gt;= SogliaPicchi!$B$31,"",DatiOriginali!G2964)</f>
        <v>583300</v>
      </c>
      <c r="H2964" s="4">
        <v>24589326</v>
      </c>
      <c r="I2964" s="4">
        <f>IF(DatiOriginali!I2964 &gt;= SogliaPicchi!$B$31,"",DatiOriginali!I2964)</f>
        <v>211400</v>
      </c>
      <c r="J2964" s="4">
        <v>24534483</v>
      </c>
      <c r="K2964" s="4">
        <f>IF(DatiOriginali!K2964 &gt;= SogliaPicchi!$B$31,"",DatiOriginali!K2964)</f>
        <v>224800</v>
      </c>
    </row>
    <row r="2965" spans="1:11" x14ac:dyDescent="0.3">
      <c r="A2965" s="4" t="s">
        <v>2974</v>
      </c>
      <c r="B2965" s="4">
        <v>1124250</v>
      </c>
      <c r="C2965" s="4">
        <f>IF(DatiOriginali!C2965 &gt;= SogliaPicchi!$B$31,"",DatiOriginali!C2965)</f>
        <v>10125200</v>
      </c>
      <c r="D2965" s="4">
        <v>578466</v>
      </c>
      <c r="E2965" s="4">
        <f>IF(DatiOriginali!E2965 &gt;= SogliaPicchi!$B$31,"",DatiOriginali!E2965)</f>
        <v>1992400</v>
      </c>
      <c r="F2965" s="4">
        <v>19515641</v>
      </c>
      <c r="G2965" s="4">
        <f>IF(DatiOriginali!G2965 &gt;= SogliaPicchi!$B$31,"",DatiOriginali!G2965)</f>
        <v>578500</v>
      </c>
      <c r="H2965" s="4">
        <v>24606468</v>
      </c>
      <c r="I2965" s="4">
        <f>IF(DatiOriginali!I2965 &gt;= SogliaPicchi!$B$31,"",DatiOriginali!I2965)</f>
        <v>207000</v>
      </c>
      <c r="J2965" s="4">
        <v>24551517</v>
      </c>
      <c r="K2965" s="4">
        <f>IF(DatiOriginali!K2965 &gt;= SogliaPicchi!$B$31,"",DatiOriginali!K2965)</f>
        <v>226000</v>
      </c>
    </row>
    <row r="2966" spans="1:11" x14ac:dyDescent="0.3">
      <c r="A2966" s="4" t="s">
        <v>2975</v>
      </c>
      <c r="B2966" s="4">
        <v>1124250</v>
      </c>
      <c r="C2966" s="4">
        <f>IF(DatiOriginali!C2966 &gt;= SogliaPicchi!$B$31,"",DatiOriginali!C2966)</f>
        <v>10017000</v>
      </c>
      <c r="D2966" s="4">
        <v>592721</v>
      </c>
      <c r="E2966" s="4">
        <f>IF(DatiOriginali!E2966 &gt;= SogliaPicchi!$B$31,"",DatiOriginali!E2966)</f>
        <v>2110200</v>
      </c>
      <c r="F2966" s="4">
        <v>19529562</v>
      </c>
      <c r="G2966" s="4">
        <f>IF(DatiOriginali!G2966 &gt;= SogliaPicchi!$B$31,"",DatiOriginali!G2966)</f>
        <v>695100</v>
      </c>
      <c r="H2966" s="4">
        <v>24624599</v>
      </c>
      <c r="I2966" s="4">
        <f>IF(DatiOriginali!I2966 &gt;= SogliaPicchi!$B$31,"",DatiOriginali!I2966)</f>
        <v>206200</v>
      </c>
      <c r="J2966" s="4">
        <v>24568584</v>
      </c>
      <c r="K2966" s="4">
        <f>IF(DatiOriginali!K2966 &gt;= SogliaPicchi!$B$31,"",DatiOriginali!K2966)</f>
        <v>213700</v>
      </c>
    </row>
    <row r="2967" spans="1:11" x14ac:dyDescent="0.3">
      <c r="A2967" s="4" t="s">
        <v>2976</v>
      </c>
      <c r="B2967" s="4">
        <v>1124250</v>
      </c>
      <c r="C2967" s="4">
        <f>IF(DatiOriginali!C2967 &gt;= SogliaPicchi!$B$31,"",DatiOriginali!C2967)</f>
        <v>10158800</v>
      </c>
      <c r="D2967" s="4">
        <v>566281</v>
      </c>
      <c r="E2967" s="4">
        <f>IF(DatiOriginali!E2967 &gt;= SogliaPicchi!$B$31,"",DatiOriginali!E2967)</f>
        <v>2000400</v>
      </c>
      <c r="F2967" s="4">
        <v>19543532</v>
      </c>
      <c r="G2967" s="4">
        <f>IF(DatiOriginali!G2967 &gt;= SogliaPicchi!$B$31,"",DatiOriginali!G2967)</f>
        <v>580800</v>
      </c>
      <c r="H2967" s="4">
        <v>24642950</v>
      </c>
      <c r="I2967" s="4">
        <f>IF(DatiOriginali!I2967 &gt;= SogliaPicchi!$B$31,"",DatiOriginali!I2967)</f>
        <v>198800</v>
      </c>
      <c r="J2967" s="4">
        <v>24585521</v>
      </c>
      <c r="K2967" s="4">
        <f>IF(DatiOriginali!K2967 &gt;= SogliaPicchi!$B$31,"",DatiOriginali!K2967)</f>
        <v>223200</v>
      </c>
    </row>
    <row r="2968" spans="1:11" x14ac:dyDescent="0.3">
      <c r="A2968" s="4" t="s">
        <v>2977</v>
      </c>
      <c r="B2968" s="4">
        <v>1124250</v>
      </c>
      <c r="C2968" s="4">
        <f>IF(DatiOriginali!C2968 &gt;= SogliaPicchi!$B$31,"",DatiOriginali!C2968)</f>
        <v>11328500</v>
      </c>
      <c r="D2968" s="4">
        <v>573629</v>
      </c>
      <c r="E2968" s="4">
        <f>IF(DatiOriginali!E2968 &gt;= SogliaPicchi!$B$31,"",DatiOriginali!E2968)</f>
        <v>1975500</v>
      </c>
      <c r="F2968" s="4">
        <v>19557446</v>
      </c>
      <c r="G2968" s="4">
        <f>IF(DatiOriginali!G2968 &gt;= SogliaPicchi!$B$31,"",DatiOriginali!G2968)</f>
        <v>586600</v>
      </c>
      <c r="H2968" s="4">
        <v>24660367</v>
      </c>
      <c r="I2968" s="4">
        <f>IF(DatiOriginali!I2968 &gt;= SogliaPicchi!$B$31,"",DatiOriginali!I2968)</f>
        <v>203200</v>
      </c>
      <c r="J2968" s="4">
        <v>24602867</v>
      </c>
      <c r="K2968" s="4">
        <f>IF(DatiOriginali!K2968 &gt;= SogliaPicchi!$B$31,"",DatiOriginali!K2968)</f>
        <v>225700</v>
      </c>
    </row>
    <row r="2969" spans="1:11" x14ac:dyDescent="0.3">
      <c r="A2969" s="4" t="s">
        <v>2978</v>
      </c>
      <c r="B2969" s="4">
        <v>1124250</v>
      </c>
      <c r="C2969" s="4">
        <f>IF(DatiOriginali!C2969 &gt;= SogliaPicchi!$B$31,"",DatiOriginali!C2969)</f>
        <v>11181700</v>
      </c>
      <c r="D2969" s="4">
        <v>559052</v>
      </c>
      <c r="E2969" s="4">
        <f>IF(DatiOriginali!E2969 &gt;= SogliaPicchi!$B$31,"",DatiOriginali!E2969)</f>
        <v>2344400</v>
      </c>
      <c r="F2969" s="4">
        <v>19571399</v>
      </c>
      <c r="G2969" s="4">
        <f>IF(DatiOriginali!G2969 &gt;= SogliaPicchi!$B$31,"",DatiOriginali!G2969)</f>
        <v>578900</v>
      </c>
      <c r="H2969" s="4">
        <v>24678064</v>
      </c>
      <c r="I2969" s="4">
        <f>IF(DatiOriginali!I2969 &gt;= SogliaPicchi!$B$31,"",DatiOriginali!I2969)</f>
        <v>201100</v>
      </c>
      <c r="J2969" s="4">
        <v>24619990</v>
      </c>
      <c r="K2969" s="4">
        <f>IF(DatiOriginali!K2969 &gt;= SogliaPicchi!$B$31,"",DatiOriginali!K2969)</f>
        <v>222200</v>
      </c>
    </row>
    <row r="2970" spans="1:11" x14ac:dyDescent="0.3">
      <c r="A2970" s="4" t="s">
        <v>2979</v>
      </c>
      <c r="B2970" s="4">
        <v>1124250</v>
      </c>
      <c r="C2970" s="4">
        <f>IF(DatiOriginali!C2970 &gt;= SogliaPicchi!$B$31,"",DatiOriginali!C2970)</f>
        <v>9857900</v>
      </c>
      <c r="D2970" s="4">
        <v>550131</v>
      </c>
      <c r="E2970" s="4">
        <f>IF(DatiOriginali!E2970 &gt;= SogliaPicchi!$B$31,"",DatiOriginali!E2970)</f>
        <v>1932000</v>
      </c>
      <c r="F2970" s="4">
        <v>19585339</v>
      </c>
      <c r="G2970" s="4">
        <f>IF(DatiOriginali!G2970 &gt;= SogliaPicchi!$B$31,"",DatiOriginali!G2970)</f>
        <v>594100</v>
      </c>
      <c r="H2970" s="4">
        <v>24695519</v>
      </c>
      <c r="I2970" s="4">
        <f>IF(DatiOriginali!I2970 &gt;= SogliaPicchi!$B$31,"",DatiOriginali!I2970)</f>
        <v>211600</v>
      </c>
      <c r="J2970" s="4">
        <v>24638164</v>
      </c>
      <c r="K2970" s="4">
        <f>IF(DatiOriginali!K2970 &gt;= SogliaPicchi!$B$31,"",DatiOriginali!K2970)</f>
        <v>229500</v>
      </c>
    </row>
    <row r="2971" spans="1:11" x14ac:dyDescent="0.3">
      <c r="A2971" s="4" t="s">
        <v>2980</v>
      </c>
      <c r="B2971" s="4">
        <v>1124250</v>
      </c>
      <c r="C2971" s="4">
        <f>IF(DatiOriginali!C2971 &gt;= SogliaPicchi!$B$31,"",DatiOriginali!C2971)</f>
        <v>10586700</v>
      </c>
      <c r="D2971" s="4">
        <v>562203</v>
      </c>
      <c r="E2971" s="4">
        <f>IF(DatiOriginali!E2971 &gt;= SogliaPicchi!$B$31,"",DatiOriginali!E2971)</f>
        <v>1933300</v>
      </c>
      <c r="F2971" s="4">
        <v>19599322</v>
      </c>
      <c r="G2971" s="4">
        <f>IF(DatiOriginali!G2971 &gt;= SogliaPicchi!$B$31,"",DatiOriginali!G2971)</f>
        <v>577500</v>
      </c>
      <c r="H2971" s="4">
        <v>24715133</v>
      </c>
      <c r="I2971" s="4">
        <f>IF(DatiOriginali!I2971 &gt;= SogliaPicchi!$B$31,"",DatiOriginali!I2971)</f>
        <v>204900</v>
      </c>
      <c r="J2971" s="4">
        <v>24656915</v>
      </c>
      <c r="K2971" s="4">
        <f>IF(DatiOriginali!K2971 &gt;= SogliaPicchi!$B$31,"",DatiOriginali!K2971)</f>
        <v>228700</v>
      </c>
    </row>
    <row r="2972" spans="1:11" x14ac:dyDescent="0.3">
      <c r="A2972" s="4" t="s">
        <v>2981</v>
      </c>
      <c r="B2972" s="4">
        <v>1124250</v>
      </c>
      <c r="C2972" s="4">
        <f>IF(DatiOriginali!C2972 &gt;= SogliaPicchi!$B$31,"",DatiOriginali!C2972)</f>
        <v>10842200</v>
      </c>
      <c r="D2972" s="4">
        <v>559092</v>
      </c>
      <c r="E2972" s="4">
        <f>IF(DatiOriginali!E2972 &gt;= SogliaPicchi!$B$31,"",DatiOriginali!E2972)</f>
        <v>1921400</v>
      </c>
      <c r="F2972" s="4">
        <v>19613277</v>
      </c>
      <c r="G2972" s="4">
        <f>IF(DatiOriginali!G2972 &gt;= SogliaPicchi!$B$31,"",DatiOriginali!G2972)</f>
        <v>586400</v>
      </c>
      <c r="H2972" s="4">
        <v>24731880</v>
      </c>
      <c r="I2972" s="4">
        <f>IF(DatiOriginali!I2972 &gt;= SogliaPicchi!$B$31,"",DatiOriginali!I2972)</f>
        <v>193700</v>
      </c>
      <c r="J2972" s="4">
        <v>24673050</v>
      </c>
      <c r="K2972" s="4">
        <f>IF(DatiOriginali!K2972 &gt;= SogliaPicchi!$B$31,"",DatiOriginali!K2972)</f>
        <v>221100</v>
      </c>
    </row>
    <row r="2973" spans="1:11" x14ac:dyDescent="0.3">
      <c r="A2973" s="4" t="s">
        <v>2982</v>
      </c>
      <c r="B2973" s="4">
        <v>1124250</v>
      </c>
      <c r="C2973" s="4">
        <f>IF(DatiOriginali!C2973 &gt;= SogliaPicchi!$B$31,"",DatiOriginali!C2973)</f>
        <v>11121100</v>
      </c>
      <c r="D2973" s="4">
        <v>574450</v>
      </c>
      <c r="E2973" s="4">
        <f>IF(DatiOriginali!E2973 &gt;= SogliaPicchi!$B$31,"",DatiOriginali!E2973)</f>
        <v>2072100</v>
      </c>
      <c r="F2973" s="4">
        <v>19627238</v>
      </c>
      <c r="G2973" s="4">
        <f>IF(DatiOriginali!G2973 &gt;= SogliaPicchi!$B$31,"",DatiOriginali!G2973)</f>
        <v>594000</v>
      </c>
      <c r="H2973" s="4">
        <v>24751280</v>
      </c>
      <c r="I2973" s="4">
        <f>IF(DatiOriginali!I2973 &gt;= SogliaPicchi!$B$31,"",DatiOriginali!I2973)</f>
        <v>208000</v>
      </c>
      <c r="J2973" s="4">
        <v>24690259</v>
      </c>
      <c r="K2973" s="4">
        <f>IF(DatiOriginali!K2973 &gt;= SogliaPicchi!$B$31,"",DatiOriginali!K2973)</f>
        <v>219900</v>
      </c>
    </row>
    <row r="2974" spans="1:11" x14ac:dyDescent="0.3">
      <c r="A2974" s="4" t="s">
        <v>2983</v>
      </c>
      <c r="B2974" s="4">
        <v>1124250</v>
      </c>
      <c r="C2974" s="4">
        <f>IF(DatiOriginali!C2974 &gt;= SogliaPicchi!$B$31,"",DatiOriginali!C2974)</f>
        <v>10450600</v>
      </c>
      <c r="D2974" s="4">
        <v>556760</v>
      </c>
      <c r="E2974" s="4">
        <f>IF(DatiOriginali!E2974 &gt;= SogliaPicchi!$B$31,"",DatiOriginali!E2974)</f>
        <v>1918400</v>
      </c>
      <c r="F2974" s="4">
        <v>19641192</v>
      </c>
      <c r="G2974" s="4">
        <f>IF(DatiOriginali!G2974 &gt;= SogliaPicchi!$B$31,"",DatiOriginali!G2974)</f>
        <v>586500</v>
      </c>
      <c r="H2974" s="4">
        <v>24767102</v>
      </c>
      <c r="I2974" s="4">
        <f>IF(DatiOriginali!I2974 &gt;= SogliaPicchi!$B$31,"",DatiOriginali!I2974)</f>
        <v>202000</v>
      </c>
      <c r="J2974" s="4">
        <v>24710708</v>
      </c>
      <c r="K2974" s="4">
        <f>IF(DatiOriginali!K2974 &gt;= SogliaPicchi!$B$31,"",DatiOriginali!K2974)</f>
        <v>232600</v>
      </c>
    </row>
    <row r="2975" spans="1:11" x14ac:dyDescent="0.3">
      <c r="A2975" s="4" t="s">
        <v>2984</v>
      </c>
      <c r="B2975" s="4">
        <v>1124250</v>
      </c>
      <c r="C2975" s="4">
        <f>IF(DatiOriginali!C2975 &gt;= SogliaPicchi!$B$31,"",DatiOriginali!C2975)</f>
        <v>10337800</v>
      </c>
      <c r="D2975" s="4">
        <v>548927</v>
      </c>
      <c r="E2975" s="4">
        <f>IF(DatiOriginali!E2975 &gt;= SogliaPicchi!$B$31,"",DatiOriginali!E2975)</f>
        <v>1892400</v>
      </c>
      <c r="F2975" s="4">
        <v>19655147</v>
      </c>
      <c r="G2975" s="4">
        <f>IF(DatiOriginali!G2975 &gt;= SogliaPicchi!$B$31,"",DatiOriginali!G2975)</f>
        <v>577300</v>
      </c>
      <c r="H2975" s="4">
        <v>24783480</v>
      </c>
      <c r="I2975" s="4">
        <f>IF(DatiOriginali!I2975 &gt;= SogliaPicchi!$B$31,"",DatiOriginali!I2975)</f>
        <v>195500</v>
      </c>
      <c r="J2975" s="4">
        <v>24728458</v>
      </c>
      <c r="K2975" s="4">
        <f>IF(DatiOriginali!K2975 &gt;= SogliaPicchi!$B$31,"",DatiOriginali!K2975)</f>
        <v>313900</v>
      </c>
    </row>
    <row r="2976" spans="1:11" x14ac:dyDescent="0.3">
      <c r="A2976" s="4" t="s">
        <v>2985</v>
      </c>
      <c r="B2976" s="4">
        <v>1124250</v>
      </c>
      <c r="C2976" s="4">
        <f>IF(DatiOriginali!C2976 &gt;= SogliaPicchi!$B$31,"",DatiOriginali!C2976)</f>
        <v>10457800</v>
      </c>
      <c r="D2976" s="4">
        <v>554934</v>
      </c>
      <c r="E2976" s="4">
        <f>IF(DatiOriginali!E2976 &gt;= SogliaPicchi!$B$31,"",DatiOriginali!E2976)</f>
        <v>1933700</v>
      </c>
      <c r="F2976" s="4">
        <v>19669144</v>
      </c>
      <c r="G2976" s="4">
        <f>IF(DatiOriginali!G2976 &gt;= SogliaPicchi!$B$31,"",DatiOriginali!G2976)</f>
        <v>589900</v>
      </c>
      <c r="H2976" s="4">
        <v>24800629</v>
      </c>
      <c r="I2976" s="4">
        <f>IF(DatiOriginali!I2976 &gt;= SogliaPicchi!$B$31,"",DatiOriginali!I2976)</f>
        <v>198500</v>
      </c>
      <c r="J2976" s="4">
        <v>24746427</v>
      </c>
      <c r="K2976" s="4">
        <f>IF(DatiOriginali!K2976 &gt;= SogliaPicchi!$B$31,"",DatiOriginali!K2976)</f>
        <v>223900</v>
      </c>
    </row>
    <row r="2977" spans="1:11" x14ac:dyDescent="0.3">
      <c r="A2977" s="4" t="s">
        <v>2986</v>
      </c>
      <c r="B2977" s="4">
        <v>1124250</v>
      </c>
      <c r="C2977" s="4">
        <f>IF(DatiOriginali!C2977 &gt;= SogliaPicchi!$B$31,"",DatiOriginali!C2977)</f>
        <v>10644000</v>
      </c>
      <c r="D2977" s="4">
        <v>554098</v>
      </c>
      <c r="E2977" s="4">
        <f>IF(DatiOriginali!E2977 &gt;= SogliaPicchi!$B$31,"",DatiOriginali!E2977)</f>
        <v>1909300</v>
      </c>
      <c r="F2977" s="4">
        <v>19683125</v>
      </c>
      <c r="G2977" s="4">
        <f>IF(DatiOriginali!G2977 &gt;= SogliaPicchi!$B$31,"",DatiOriginali!G2977)</f>
        <v>579000</v>
      </c>
      <c r="H2977" s="4">
        <v>24816504</v>
      </c>
      <c r="I2977" s="4">
        <f>IF(DatiOriginali!I2977 &gt;= SogliaPicchi!$B$31,"",DatiOriginali!I2977)</f>
        <v>203200</v>
      </c>
      <c r="J2977" s="4">
        <v>24765346</v>
      </c>
      <c r="K2977" s="4">
        <f>IF(DatiOriginali!K2977 &gt;= SogliaPicchi!$B$31,"",DatiOriginali!K2977)</f>
        <v>230300</v>
      </c>
    </row>
    <row r="2978" spans="1:11" x14ac:dyDescent="0.3">
      <c r="A2978" s="4" t="s">
        <v>2987</v>
      </c>
      <c r="B2978" s="4">
        <v>1124250</v>
      </c>
      <c r="C2978" s="4">
        <f>IF(DatiOriginali!C2978 &gt;= SogliaPicchi!$B$31,"",DatiOriginali!C2978)</f>
        <v>11040100</v>
      </c>
      <c r="D2978" s="4">
        <v>560645</v>
      </c>
      <c r="E2978" s="4">
        <f>IF(DatiOriginali!E2978 &gt;= SogliaPicchi!$B$31,"",DatiOriginali!E2978)</f>
        <v>1991400</v>
      </c>
      <c r="F2978" s="4">
        <v>19697079</v>
      </c>
      <c r="G2978" s="4">
        <f>IF(DatiOriginali!G2978 &gt;= SogliaPicchi!$B$31,"",DatiOriginali!G2978)</f>
        <v>584200</v>
      </c>
      <c r="H2978" s="4">
        <v>24833964</v>
      </c>
      <c r="I2978" s="4">
        <f>IF(DatiOriginali!I2978 &gt;= SogliaPicchi!$B$31,"",DatiOriginali!I2978)</f>
        <v>213600</v>
      </c>
      <c r="J2978" s="4">
        <v>24782485</v>
      </c>
      <c r="K2978" s="4">
        <f>IF(DatiOriginali!K2978 &gt;= SogliaPicchi!$B$31,"",DatiOriginali!K2978)</f>
        <v>227200</v>
      </c>
    </row>
    <row r="2979" spans="1:11" x14ac:dyDescent="0.3">
      <c r="A2979" s="4" t="s">
        <v>2988</v>
      </c>
      <c r="B2979" s="4">
        <v>1124250</v>
      </c>
      <c r="C2979" s="4">
        <f>IF(DatiOriginali!C2979 &gt;= SogliaPicchi!$B$31,"",DatiOriginali!C2979)</f>
        <v>10413500</v>
      </c>
      <c r="D2979" s="4">
        <v>566827</v>
      </c>
      <c r="E2979" s="4">
        <f>IF(DatiOriginali!E2979 &gt;= SogliaPicchi!$B$31,"",DatiOriginali!E2979)</f>
        <v>1966500</v>
      </c>
      <c r="F2979" s="4">
        <v>19711018</v>
      </c>
      <c r="G2979" s="4">
        <f>IF(DatiOriginali!G2979 &gt;= SogliaPicchi!$B$31,"",DatiOriginali!G2979)</f>
        <v>581700</v>
      </c>
      <c r="H2979" s="4">
        <v>24852106</v>
      </c>
      <c r="I2979" s="4">
        <f>IF(DatiOriginali!I2979 &gt;= SogliaPicchi!$B$31,"",DatiOriginali!I2979)</f>
        <v>206800</v>
      </c>
      <c r="J2979" s="4">
        <v>24800912</v>
      </c>
      <c r="K2979" s="4">
        <f>IF(DatiOriginali!K2979 &gt;= SogliaPicchi!$B$31,"",DatiOriginali!K2979)</f>
        <v>225300</v>
      </c>
    </row>
    <row r="2980" spans="1:11" x14ac:dyDescent="0.3">
      <c r="A2980" s="4" t="s">
        <v>2989</v>
      </c>
      <c r="B2980" s="4">
        <v>1124250</v>
      </c>
      <c r="C2980" s="4">
        <f>IF(DatiOriginali!C2980 &gt;= SogliaPicchi!$B$31,"",DatiOriginali!C2980)</f>
        <v>10690700</v>
      </c>
      <c r="D2980" s="4">
        <v>580556</v>
      </c>
      <c r="E2980" s="4">
        <f>IF(DatiOriginali!E2980 &gt;= SogliaPicchi!$B$31,"",DatiOriginali!E2980)</f>
        <v>2571200</v>
      </c>
      <c r="F2980" s="4">
        <v>19724968</v>
      </c>
      <c r="G2980" s="4">
        <f>IF(DatiOriginali!G2980 &gt;= SogliaPicchi!$B$31,"",DatiOriginali!G2980)</f>
        <v>746700</v>
      </c>
      <c r="H2980" s="4">
        <v>24868781</v>
      </c>
      <c r="I2980" s="4">
        <f>IF(DatiOriginali!I2980 &gt;= SogliaPicchi!$B$31,"",DatiOriginali!I2980)</f>
        <v>204100</v>
      </c>
      <c r="J2980" s="4">
        <v>24818109</v>
      </c>
      <c r="K2980" s="4">
        <f>IF(DatiOriginali!K2980 &gt;= SogliaPicchi!$B$31,"",DatiOriginali!K2980)</f>
        <v>227700</v>
      </c>
    </row>
    <row r="2981" spans="1:11" x14ac:dyDescent="0.3">
      <c r="A2981" s="4" t="s">
        <v>2990</v>
      </c>
      <c r="B2981" s="4">
        <v>1124250</v>
      </c>
      <c r="C2981" s="4">
        <f>IF(DatiOriginali!C2981 &gt;= SogliaPicchi!$B$31,"",DatiOriginali!C2981)</f>
        <v>10227600</v>
      </c>
      <c r="D2981" s="4">
        <v>579885</v>
      </c>
      <c r="E2981" s="4">
        <f>IF(DatiOriginali!E2981 &gt;= SogliaPicchi!$B$31,"",DatiOriginali!E2981)</f>
        <v>1996100</v>
      </c>
      <c r="F2981" s="4">
        <v>19738865</v>
      </c>
      <c r="G2981" s="4">
        <f>IF(DatiOriginali!G2981 &gt;= SogliaPicchi!$B$31,"",DatiOriginali!G2981)</f>
        <v>577000</v>
      </c>
      <c r="H2981" s="4">
        <v>24886454</v>
      </c>
      <c r="I2981" s="4">
        <f>IF(DatiOriginali!I2981 &gt;= SogliaPicchi!$B$31,"",DatiOriginali!I2981)</f>
        <v>237500</v>
      </c>
      <c r="J2981" s="4">
        <v>24834730</v>
      </c>
      <c r="K2981" s="4">
        <f>IF(DatiOriginali!K2981 &gt;= SogliaPicchi!$B$31,"",DatiOriginali!K2981)</f>
        <v>223900</v>
      </c>
    </row>
    <row r="2982" spans="1:11" x14ac:dyDescent="0.3">
      <c r="A2982" s="4" t="s">
        <v>2991</v>
      </c>
      <c r="B2982" s="4">
        <v>1124250</v>
      </c>
      <c r="C2982" s="4">
        <f>IF(DatiOriginali!C2982 &gt;= SogliaPicchi!$B$31,"",DatiOriginali!C2982)</f>
        <v>10580000</v>
      </c>
      <c r="D2982" s="4">
        <v>572180</v>
      </c>
      <c r="E2982" s="4">
        <f>IF(DatiOriginali!E2982 &gt;= SogliaPicchi!$B$31,"",DatiOriginali!E2982)</f>
        <v>1968400</v>
      </c>
      <c r="F2982" s="4">
        <v>19752817</v>
      </c>
      <c r="G2982" s="4">
        <f>IF(DatiOriginali!G2982 &gt;= SogliaPicchi!$B$31,"",DatiOriginali!G2982)</f>
        <v>579800</v>
      </c>
      <c r="H2982" s="4">
        <v>24904708</v>
      </c>
      <c r="I2982" s="4">
        <f>IF(DatiOriginali!I2982 &gt;= SogliaPicchi!$B$31,"",DatiOriginali!I2982)</f>
        <v>198600</v>
      </c>
      <c r="J2982" s="4">
        <v>24852530</v>
      </c>
      <c r="K2982" s="4">
        <f>IF(DatiOriginali!K2982 &gt;= SogliaPicchi!$B$31,"",DatiOriginali!K2982)</f>
        <v>229500</v>
      </c>
    </row>
    <row r="2983" spans="1:11" x14ac:dyDescent="0.3">
      <c r="A2983" s="4" t="s">
        <v>2992</v>
      </c>
      <c r="B2983" s="4">
        <v>1124250</v>
      </c>
      <c r="C2983" s="4">
        <f>IF(DatiOriginali!C2983 &gt;= SogliaPicchi!$B$31,"",DatiOriginali!C2983)</f>
        <v>10367100</v>
      </c>
      <c r="D2983" s="4">
        <v>572936</v>
      </c>
      <c r="E2983" s="4">
        <f>IF(DatiOriginali!E2983 &gt;= SogliaPicchi!$B$31,"",DatiOriginali!E2983)</f>
        <v>1974200</v>
      </c>
      <c r="F2983" s="4">
        <v>19766737</v>
      </c>
      <c r="G2983" s="4">
        <f>IF(DatiOriginali!G2983 &gt;= SogliaPicchi!$B$31,"",DatiOriginali!G2983)</f>
        <v>579900</v>
      </c>
      <c r="H2983" s="4">
        <v>24924911</v>
      </c>
      <c r="I2983" s="4">
        <f>IF(DatiOriginali!I2983 &gt;= SogliaPicchi!$B$31,"",DatiOriginali!I2983)</f>
        <v>210300</v>
      </c>
      <c r="J2983" s="4">
        <v>24869318</v>
      </c>
      <c r="K2983" s="4">
        <f>IF(DatiOriginali!K2983 &gt;= SogliaPicchi!$B$31,"",DatiOriginali!K2983)</f>
        <v>218900</v>
      </c>
    </row>
    <row r="2984" spans="1:11" x14ac:dyDescent="0.3">
      <c r="A2984" s="4" t="s">
        <v>2993</v>
      </c>
      <c r="B2984" s="4">
        <v>1124250</v>
      </c>
      <c r="C2984" s="4">
        <f>IF(DatiOriginali!C2984 &gt;= SogliaPicchi!$B$31,"",DatiOriginali!C2984)</f>
        <v>10394300</v>
      </c>
      <c r="D2984" s="4">
        <v>568742</v>
      </c>
      <c r="E2984" s="4">
        <f>IF(DatiOriginali!E2984 &gt;= SogliaPicchi!$B$31,"",DatiOriginali!E2984)</f>
        <v>1957300</v>
      </c>
      <c r="F2984" s="4">
        <v>19780676</v>
      </c>
      <c r="G2984" s="4">
        <f>IF(DatiOriginali!G2984 &gt;= SogliaPicchi!$B$31,"",DatiOriginali!G2984)</f>
        <v>605500</v>
      </c>
      <c r="H2984" s="4">
        <v>24943748</v>
      </c>
      <c r="I2984" s="4">
        <f>IF(DatiOriginali!I2984 &gt;= SogliaPicchi!$B$31,"",DatiOriginali!I2984)</f>
        <v>234400</v>
      </c>
      <c r="J2984" s="4">
        <v>24889026</v>
      </c>
      <c r="K2984" s="4">
        <f>IF(DatiOriginali!K2984 &gt;= SogliaPicchi!$B$31,"",DatiOriginali!K2984)</f>
        <v>227900</v>
      </c>
    </row>
    <row r="2985" spans="1:11" x14ac:dyDescent="0.3">
      <c r="A2985" s="4" t="s">
        <v>2994</v>
      </c>
      <c r="B2985" s="4">
        <v>1124250</v>
      </c>
      <c r="C2985" s="4">
        <f>IF(DatiOriginali!C2985 &gt;= SogliaPicchi!$B$31,"",DatiOriginali!C2985)</f>
        <v>10276200</v>
      </c>
      <c r="D2985" s="4">
        <v>562771</v>
      </c>
      <c r="E2985" s="4">
        <f>IF(DatiOriginali!E2985 &gt;= SogliaPicchi!$B$31,"",DatiOriginali!E2985)</f>
        <v>2061000</v>
      </c>
      <c r="F2985" s="4">
        <v>19794606</v>
      </c>
      <c r="G2985" s="4">
        <f>IF(DatiOriginali!G2985 &gt;= SogliaPicchi!$B$31,"",DatiOriginali!G2985)</f>
        <v>588100</v>
      </c>
      <c r="H2985" s="4">
        <v>24962361</v>
      </c>
      <c r="I2985" s="4">
        <f>IF(DatiOriginali!I2985 &gt;= SogliaPicchi!$B$31,"",DatiOriginali!I2985)</f>
        <v>203200</v>
      </c>
      <c r="J2985" s="4">
        <v>24906556</v>
      </c>
      <c r="K2985" s="4">
        <f>IF(DatiOriginali!K2985 &gt;= SogliaPicchi!$B$31,"",DatiOriginali!K2985)</f>
        <v>224000</v>
      </c>
    </row>
    <row r="2986" spans="1:11" x14ac:dyDescent="0.3">
      <c r="A2986" s="4" t="s">
        <v>2995</v>
      </c>
      <c r="B2986" s="4">
        <v>1124250</v>
      </c>
      <c r="C2986" s="4">
        <f>IF(DatiOriginali!C2986 &gt;= SogliaPicchi!$B$31,"",DatiOriginali!C2986)</f>
        <v>10901500</v>
      </c>
      <c r="D2986" s="4">
        <v>565816</v>
      </c>
      <c r="E2986" s="4">
        <f>IF(DatiOriginali!E2986 &gt;= SogliaPicchi!$B$31,"",DatiOriginali!E2986)</f>
        <v>1994900</v>
      </c>
      <c r="F2986" s="4">
        <v>19808601</v>
      </c>
      <c r="G2986" s="4">
        <f>IF(DatiOriginali!G2986 &gt;= SogliaPicchi!$B$31,"",DatiOriginali!G2986)</f>
        <v>579800</v>
      </c>
      <c r="H2986" s="4">
        <v>24979436</v>
      </c>
      <c r="I2986" s="4">
        <f>IF(DatiOriginali!I2986 &gt;= SogliaPicchi!$B$31,"",DatiOriginali!I2986)</f>
        <v>193000</v>
      </c>
      <c r="J2986" s="4">
        <v>24922913</v>
      </c>
      <c r="K2986" s="4">
        <f>IF(DatiOriginali!K2986 &gt;= SogliaPicchi!$B$31,"",DatiOriginali!K2986)</f>
        <v>218500</v>
      </c>
    </row>
    <row r="2987" spans="1:11" x14ac:dyDescent="0.3">
      <c r="A2987" s="4" t="s">
        <v>2996</v>
      </c>
      <c r="B2987" s="4">
        <v>1124250</v>
      </c>
      <c r="C2987" s="4">
        <f>IF(DatiOriginali!C2987 &gt;= SogliaPicchi!$B$31,"",DatiOriginali!C2987)</f>
        <v>10559900</v>
      </c>
      <c r="D2987" s="4">
        <v>558128</v>
      </c>
      <c r="E2987" s="4">
        <f>IF(DatiOriginali!E2987 &gt;= SogliaPicchi!$B$31,"",DatiOriginali!E2987)</f>
        <v>2354900</v>
      </c>
      <c r="F2987" s="4">
        <v>19822577</v>
      </c>
      <c r="G2987" s="4">
        <f>IF(DatiOriginali!G2987 &gt;= SogliaPicchi!$B$31,"",DatiOriginali!G2987)</f>
        <v>703200</v>
      </c>
      <c r="H2987" s="4">
        <v>24996930</v>
      </c>
      <c r="I2987" s="4">
        <f>IF(DatiOriginali!I2987 &gt;= SogliaPicchi!$B$31,"",DatiOriginali!I2987)</f>
        <v>201300</v>
      </c>
      <c r="J2987" s="4">
        <v>24940616</v>
      </c>
      <c r="K2987" s="4">
        <f>IF(DatiOriginali!K2987 &gt;= SogliaPicchi!$B$31,"",DatiOriginali!K2987)</f>
        <v>217500</v>
      </c>
    </row>
    <row r="2988" spans="1:11" x14ac:dyDescent="0.3">
      <c r="A2988" s="4" t="s">
        <v>2997</v>
      </c>
      <c r="B2988" s="4">
        <v>1124250</v>
      </c>
      <c r="C2988" s="4">
        <f>IF(DatiOriginali!C2988 &gt;= SogliaPicchi!$B$31,"",DatiOriginali!C2988)</f>
        <v>10602800</v>
      </c>
      <c r="D2988" s="4">
        <v>556841</v>
      </c>
      <c r="E2988" s="4">
        <f>IF(DatiOriginali!E2988 &gt;= SogliaPicchi!$B$31,"",DatiOriginali!E2988)</f>
        <v>1983100</v>
      </c>
      <c r="F2988" s="4">
        <v>19836563</v>
      </c>
      <c r="G2988" s="4">
        <f>IF(DatiOriginali!G2988 &gt;= SogliaPicchi!$B$31,"",DatiOriginali!G2988)</f>
        <v>589100</v>
      </c>
      <c r="H2988" s="4">
        <v>25015231</v>
      </c>
      <c r="I2988" s="4">
        <f>IF(DatiOriginali!I2988 &gt;= SogliaPicchi!$B$31,"",DatiOriginali!I2988)</f>
        <v>205500</v>
      </c>
      <c r="J2988" s="4">
        <v>24957796</v>
      </c>
      <c r="K2988" s="4">
        <f>IF(DatiOriginali!K2988 &gt;= SogliaPicchi!$B$31,"",DatiOriginali!K2988)</f>
        <v>225200</v>
      </c>
    </row>
    <row r="2989" spans="1:11" x14ac:dyDescent="0.3">
      <c r="A2989" s="4" t="s">
        <v>2998</v>
      </c>
      <c r="B2989" s="4">
        <v>1124250</v>
      </c>
      <c r="C2989" s="4">
        <f>IF(DatiOriginali!C2989 &gt;= SogliaPicchi!$B$31,"",DatiOriginali!C2989)</f>
        <v>10242400</v>
      </c>
      <c r="D2989" s="4">
        <v>565587</v>
      </c>
      <c r="E2989" s="4">
        <f>IF(DatiOriginali!E2989 &gt;= SogliaPicchi!$B$31,"",DatiOriginali!E2989)</f>
        <v>1941500</v>
      </c>
      <c r="F2989" s="4">
        <v>19850523</v>
      </c>
      <c r="G2989" s="4">
        <f>IF(DatiOriginali!G2989 &gt;= SogliaPicchi!$B$31,"",DatiOriginali!G2989)</f>
        <v>577800</v>
      </c>
      <c r="H2989" s="4">
        <v>25031782</v>
      </c>
      <c r="I2989" s="4">
        <f>IF(DatiOriginali!I2989 &gt;= SogliaPicchi!$B$31,"",DatiOriginali!I2989)</f>
        <v>202000</v>
      </c>
      <c r="J2989" s="4">
        <v>24975834</v>
      </c>
      <c r="K2989" s="4">
        <f>IF(DatiOriginali!K2989 &gt;= SogliaPicchi!$B$31,"",DatiOriginali!K2989)</f>
        <v>222300</v>
      </c>
    </row>
    <row r="2990" spans="1:11" x14ac:dyDescent="0.3">
      <c r="A2990" s="4" t="s">
        <v>2999</v>
      </c>
      <c r="B2990" s="4">
        <v>1124250</v>
      </c>
      <c r="C2990" s="4">
        <f>IF(DatiOriginali!C2990 &gt;= SogliaPicchi!$B$31,"",DatiOriginali!C2990)</f>
        <v>11164000</v>
      </c>
      <c r="D2990" s="4">
        <v>568458</v>
      </c>
      <c r="E2990" s="4">
        <f>IF(DatiOriginali!E2990 &gt;= SogliaPicchi!$B$31,"",DatiOriginali!E2990)</f>
        <v>2228300</v>
      </c>
      <c r="F2990" s="4">
        <v>19864522</v>
      </c>
      <c r="G2990" s="4">
        <f>IF(DatiOriginali!G2990 &gt;= SogliaPicchi!$B$31,"",DatiOriginali!G2990)</f>
        <v>578400</v>
      </c>
      <c r="H2990" s="4">
        <v>25050208</v>
      </c>
      <c r="I2990" s="4">
        <f>IF(DatiOriginali!I2990 &gt;= SogliaPicchi!$B$31,"",DatiOriginali!I2990)</f>
        <v>208200</v>
      </c>
      <c r="J2990" s="4">
        <v>24994040</v>
      </c>
      <c r="K2990" s="4">
        <f>IF(DatiOriginali!K2990 &gt;= SogliaPicchi!$B$31,"",DatiOriginali!K2990)</f>
        <v>222300</v>
      </c>
    </row>
    <row r="2991" spans="1:11" x14ac:dyDescent="0.3">
      <c r="A2991" s="4" t="s">
        <v>3000</v>
      </c>
      <c r="B2991" s="4">
        <v>1124250</v>
      </c>
      <c r="C2991" s="4">
        <f>IF(DatiOriginali!C2991 &gt;= SogliaPicchi!$B$31,"",DatiOriginali!C2991)</f>
        <v>10612600</v>
      </c>
      <c r="D2991" s="4">
        <v>547832</v>
      </c>
      <c r="E2991" s="4">
        <f>IF(DatiOriginali!E2991 &gt;= SogliaPicchi!$B$31,"",DatiOriginali!E2991)</f>
        <v>1887100</v>
      </c>
      <c r="F2991" s="4">
        <v>19878498</v>
      </c>
      <c r="G2991" s="4">
        <f>IF(DatiOriginali!G2991 &gt;= SogliaPicchi!$B$31,"",DatiOriginali!G2991)</f>
        <v>578700</v>
      </c>
      <c r="H2991" s="4">
        <v>25067545</v>
      </c>
      <c r="I2991" s="4">
        <f>IF(DatiOriginali!I2991 &gt;= SogliaPicchi!$B$31,"",DatiOriginali!I2991)</f>
        <v>227900</v>
      </c>
      <c r="J2991" s="4">
        <v>25012425</v>
      </c>
      <c r="K2991" s="4">
        <f>IF(DatiOriginali!K2991 &gt;= SogliaPicchi!$B$31,"",DatiOriginali!K2991)</f>
        <v>301600</v>
      </c>
    </row>
    <row r="2992" spans="1:11" x14ac:dyDescent="0.3">
      <c r="A2992" s="4" t="s">
        <v>3001</v>
      </c>
      <c r="B2992" s="4">
        <v>1124250</v>
      </c>
      <c r="C2992" s="4">
        <f>IF(DatiOriginali!C2992 &gt;= SogliaPicchi!$B$31,"",DatiOriginali!C2992)</f>
        <v>10554200</v>
      </c>
      <c r="D2992" s="4">
        <v>554714</v>
      </c>
      <c r="E2992" s="4">
        <f>IF(DatiOriginali!E2992 &gt;= SogliaPicchi!$B$31,"",DatiOriginali!E2992)</f>
        <v>1927500</v>
      </c>
      <c r="F2992" s="4">
        <v>19892423</v>
      </c>
      <c r="G2992" s="4">
        <f>IF(DatiOriginali!G2992 &gt;= SogliaPicchi!$B$31,"",DatiOriginali!G2992)</f>
        <v>574300</v>
      </c>
      <c r="H2992" s="4">
        <v>25084355</v>
      </c>
      <c r="I2992" s="4">
        <f>IF(DatiOriginali!I2992 &gt;= SogliaPicchi!$B$31,"",DatiOriginali!I2992)</f>
        <v>202900</v>
      </c>
      <c r="J2992" s="4">
        <v>25029375</v>
      </c>
      <c r="K2992" s="4">
        <f>IF(DatiOriginali!K2992 &gt;= SogliaPicchi!$B$31,"",DatiOriginali!K2992)</f>
        <v>226700</v>
      </c>
    </row>
    <row r="2993" spans="1:11" x14ac:dyDescent="0.3">
      <c r="A2993" s="4" t="s">
        <v>3002</v>
      </c>
      <c r="B2993" s="4">
        <v>1124250</v>
      </c>
      <c r="C2993" s="4">
        <f>IF(DatiOriginali!C2993 &gt;= SogliaPicchi!$B$31,"",DatiOriginali!C2993)</f>
        <v>10380900</v>
      </c>
      <c r="D2993" s="4">
        <v>557207</v>
      </c>
      <c r="E2993" s="4">
        <f>IF(DatiOriginali!E2993 &gt;= SogliaPicchi!$B$31,"",DatiOriginali!E2993)</f>
        <v>1925500</v>
      </c>
      <c r="F2993" s="4">
        <v>19906385</v>
      </c>
      <c r="G2993" s="4">
        <f>IF(DatiOriginali!G2993 &gt;= SogliaPicchi!$B$31,"",DatiOriginali!G2993)</f>
        <v>580500</v>
      </c>
      <c r="H2993" s="4">
        <v>25102071</v>
      </c>
      <c r="I2993" s="4">
        <f>IF(DatiOriginali!I2993 &gt;= SogliaPicchi!$B$31,"",DatiOriginali!I2993)</f>
        <v>202900</v>
      </c>
      <c r="J2993" s="4">
        <v>25045824</v>
      </c>
      <c r="K2993" s="4">
        <f>IF(DatiOriginali!K2993 &gt;= SogliaPicchi!$B$31,"",DatiOriginali!K2993)</f>
        <v>222300</v>
      </c>
    </row>
    <row r="2994" spans="1:11" x14ac:dyDescent="0.3">
      <c r="A2994" s="4" t="s">
        <v>3003</v>
      </c>
      <c r="B2994" s="4">
        <v>1124250</v>
      </c>
      <c r="C2994" s="4">
        <f>IF(DatiOriginali!C2994 &gt;= SogliaPicchi!$B$31,"",DatiOriginali!C2994)</f>
        <v>10874200</v>
      </c>
      <c r="D2994" s="4">
        <v>562030</v>
      </c>
      <c r="E2994" s="4">
        <f>IF(DatiOriginali!E2994 &gt;= SogliaPicchi!$B$31,"",DatiOriginali!E2994)</f>
        <v>1985100</v>
      </c>
      <c r="F2994" s="4">
        <v>19920360</v>
      </c>
      <c r="G2994" s="4">
        <f>IF(DatiOriginali!G2994 &gt;= SogliaPicchi!$B$31,"",DatiOriginali!G2994)</f>
        <v>584700</v>
      </c>
      <c r="H2994" s="4">
        <v>25120829</v>
      </c>
      <c r="I2994" s="4">
        <f>IF(DatiOriginali!I2994 &gt;= SogliaPicchi!$B$31,"",DatiOriginali!I2994)</f>
        <v>208000</v>
      </c>
      <c r="J2994" s="4">
        <v>25062666</v>
      </c>
      <c r="K2994" s="4">
        <f>IF(DatiOriginali!K2994 &gt;= SogliaPicchi!$B$31,"",DatiOriginali!K2994)</f>
        <v>231200</v>
      </c>
    </row>
    <row r="2995" spans="1:11" x14ac:dyDescent="0.3">
      <c r="A2995" s="4" t="s">
        <v>3004</v>
      </c>
      <c r="B2995" s="4">
        <v>1124250</v>
      </c>
      <c r="C2995" s="4">
        <f>IF(DatiOriginali!C2995 &gt;= SogliaPicchi!$B$31,"",DatiOriginali!C2995)</f>
        <v>10578800</v>
      </c>
      <c r="D2995" s="4">
        <v>564072</v>
      </c>
      <c r="E2995" s="4">
        <f>IF(DatiOriginali!E2995 &gt;= SogliaPicchi!$B$31,"",DatiOriginali!E2995)</f>
        <v>2555700</v>
      </c>
      <c r="F2995" s="4">
        <v>19934293</v>
      </c>
      <c r="G2995" s="4">
        <f>IF(DatiOriginali!G2995 &gt;= SogliaPicchi!$B$31,"",DatiOriginali!G2995)</f>
        <v>609500</v>
      </c>
      <c r="H2995" s="4">
        <v>25137942</v>
      </c>
      <c r="I2995" s="4">
        <f>IF(DatiOriginali!I2995 &gt;= SogliaPicchi!$B$31,"",DatiOriginali!I2995)</f>
        <v>197800</v>
      </c>
      <c r="J2995" s="4">
        <v>25079670</v>
      </c>
      <c r="K2995" s="4">
        <f>IF(DatiOriginali!K2995 &gt;= SogliaPicchi!$B$31,"",DatiOriginali!K2995)</f>
        <v>225200</v>
      </c>
    </row>
    <row r="2996" spans="1:11" x14ac:dyDescent="0.3">
      <c r="A2996" s="4" t="s">
        <v>3005</v>
      </c>
      <c r="B2996" s="4">
        <v>1124250</v>
      </c>
      <c r="C2996" s="4">
        <f>IF(DatiOriginali!C2996 &gt;= SogliaPicchi!$B$31,"",DatiOriginali!C2996)</f>
        <v>10775200</v>
      </c>
      <c r="D2996" s="4">
        <v>560455</v>
      </c>
      <c r="E2996" s="4">
        <f>IF(DatiOriginali!E2996 &gt;= SogliaPicchi!$B$31,"",DatiOriginali!E2996)</f>
        <v>2111300</v>
      </c>
      <c r="F2996" s="4">
        <v>19948242</v>
      </c>
      <c r="G2996" s="4">
        <f>IF(DatiOriginali!G2996 &gt;= SogliaPicchi!$B$31,"",DatiOriginali!G2996)</f>
        <v>576200</v>
      </c>
      <c r="H2996" s="4">
        <v>25155095</v>
      </c>
      <c r="I2996" s="4">
        <f>IF(DatiOriginali!I2996 &gt;= SogliaPicchi!$B$31,"",DatiOriginali!I2996)</f>
        <v>209300</v>
      </c>
      <c r="J2996" s="4">
        <v>25097189</v>
      </c>
      <c r="K2996" s="4">
        <f>IF(DatiOriginali!K2996 &gt;= SogliaPicchi!$B$31,"",DatiOriginali!K2996)</f>
        <v>225800</v>
      </c>
    </row>
    <row r="2997" spans="1:11" x14ac:dyDescent="0.3">
      <c r="A2997" s="4" t="s">
        <v>3006</v>
      </c>
      <c r="B2997" s="4">
        <v>1124250</v>
      </c>
      <c r="C2997" s="4">
        <f>IF(DatiOriginali!C2997 &gt;= SogliaPicchi!$B$31,"",DatiOriginali!C2997)</f>
        <v>10295400</v>
      </c>
      <c r="D2997" s="4">
        <v>566850</v>
      </c>
      <c r="E2997" s="4">
        <f>IF(DatiOriginali!E2997 &gt;= SogliaPicchi!$B$31,"",DatiOriginali!E2997)</f>
        <v>2015700</v>
      </c>
      <c r="F2997" s="4">
        <v>19962189</v>
      </c>
      <c r="G2997" s="4">
        <f>IF(DatiOriginali!G2997 &gt;= SogliaPicchi!$B$31,"",DatiOriginali!G2997)</f>
        <v>582300</v>
      </c>
      <c r="H2997" s="4">
        <v>25173447</v>
      </c>
      <c r="I2997" s="4">
        <f>IF(DatiOriginali!I2997 &gt;= SogliaPicchi!$B$31,"",DatiOriginali!I2997)</f>
        <v>201500</v>
      </c>
      <c r="J2997" s="4">
        <v>25114376</v>
      </c>
      <c r="K2997" s="4">
        <f>IF(DatiOriginali!K2997 &gt;= SogliaPicchi!$B$31,"",DatiOriginali!K2997)</f>
        <v>226600</v>
      </c>
    </row>
    <row r="2998" spans="1:11" x14ac:dyDescent="0.3">
      <c r="A2998" s="4" t="s">
        <v>3007</v>
      </c>
      <c r="B2998" s="4">
        <v>1124250</v>
      </c>
      <c r="C2998" s="4">
        <f>IF(DatiOriginali!C2998 &gt;= SogliaPicchi!$B$31,"",DatiOriginali!C2998)</f>
        <v>10961900</v>
      </c>
      <c r="D2998" s="4">
        <v>576363</v>
      </c>
      <c r="E2998" s="4">
        <f>IF(DatiOriginali!E2998 &gt;= SogliaPicchi!$B$31,"",DatiOriginali!E2998)</f>
        <v>2239800</v>
      </c>
      <c r="F2998" s="4">
        <v>19976106</v>
      </c>
      <c r="G2998" s="4">
        <f>IF(DatiOriginali!G2998 &gt;= SogliaPicchi!$B$31,"",DatiOriginali!G2998)</f>
        <v>583400</v>
      </c>
      <c r="H2998" s="4">
        <v>25190096</v>
      </c>
      <c r="I2998" s="4">
        <f>IF(DatiOriginali!I2998 &gt;= SogliaPicchi!$B$31,"",DatiOriginali!I2998)</f>
        <v>202300</v>
      </c>
      <c r="J2998" s="4">
        <v>25132113</v>
      </c>
      <c r="K2998" s="4">
        <f>IF(DatiOriginali!K2998 &gt;= SogliaPicchi!$B$31,"",DatiOriginali!K2998)</f>
        <v>223900</v>
      </c>
    </row>
    <row r="2999" spans="1:11" x14ac:dyDescent="0.3">
      <c r="A2999" s="4" t="s">
        <v>3008</v>
      </c>
      <c r="B2999" s="4">
        <v>1124250</v>
      </c>
      <c r="C2999" s="4">
        <f>IF(DatiOriginali!C2999 &gt;= SogliaPicchi!$B$31,"",DatiOriginali!C2999)</f>
        <v>10071700</v>
      </c>
      <c r="D2999" s="4">
        <v>583864</v>
      </c>
      <c r="E2999" s="4">
        <f>IF(DatiOriginali!E2999 &gt;= SogliaPicchi!$B$31,"",DatiOriginali!E2999)</f>
        <v>2007700</v>
      </c>
      <c r="F2999" s="4">
        <v>19990097</v>
      </c>
      <c r="G2999" s="4">
        <f>IF(DatiOriginali!G2999 &gt;= SogliaPicchi!$B$31,"",DatiOriginali!G2999)</f>
        <v>576000</v>
      </c>
      <c r="H2999" s="4">
        <v>25208109</v>
      </c>
      <c r="I2999" s="4">
        <f>IF(DatiOriginali!I2999 &gt;= SogliaPicchi!$B$31,"",DatiOriginali!I2999)</f>
        <v>201400</v>
      </c>
      <c r="J2999" s="4">
        <v>25149401</v>
      </c>
      <c r="K2999" s="4">
        <f>IF(DatiOriginali!K2999 &gt;= SogliaPicchi!$B$31,"",DatiOriginali!K2999)</f>
        <v>219800</v>
      </c>
    </row>
    <row r="3000" spans="1:11" x14ac:dyDescent="0.3">
      <c r="A3000" s="4" t="s">
        <v>3009</v>
      </c>
      <c r="B3000" s="4">
        <v>1124250</v>
      </c>
      <c r="C3000" s="4">
        <f>IF(DatiOriginali!C3000 &gt;= SogliaPicchi!$B$31,"",DatiOriginali!C3000)</f>
        <v>10610900</v>
      </c>
      <c r="D3000" s="4">
        <v>558322</v>
      </c>
      <c r="E3000" s="4">
        <f>IF(DatiOriginali!E3000 &gt;= SogliaPicchi!$B$31,"",DatiOriginali!E3000)</f>
        <v>1920700</v>
      </c>
      <c r="F3000" s="4">
        <v>20004074</v>
      </c>
      <c r="G3000" s="4">
        <f>IF(DatiOriginali!G3000 &gt;= SogliaPicchi!$B$31,"",DatiOriginali!G3000)</f>
        <v>579000</v>
      </c>
      <c r="H3000" s="4">
        <v>25224245</v>
      </c>
      <c r="I3000" s="4">
        <f>IF(DatiOriginali!I3000 &gt;= SogliaPicchi!$B$31,"",DatiOriginali!I3000)</f>
        <v>201900</v>
      </c>
      <c r="J3000" s="4">
        <v>25166651</v>
      </c>
      <c r="K3000" s="4">
        <f>IF(DatiOriginali!K3000 &gt;= SogliaPicchi!$B$31,"",DatiOriginali!K3000)</f>
        <v>222600</v>
      </c>
    </row>
    <row r="3001" spans="1:11" x14ac:dyDescent="0.3">
      <c r="A3001" s="4" t="s">
        <v>3010</v>
      </c>
      <c r="B3001" s="4">
        <v>1124250</v>
      </c>
      <c r="C3001" s="4">
        <f>IF(DatiOriginali!C3001 &gt;= SogliaPicchi!$B$31,"",DatiOriginali!C3001)</f>
        <v>10753100</v>
      </c>
      <c r="D3001" s="4">
        <v>567226</v>
      </c>
      <c r="E3001" s="4">
        <f>IF(DatiOriginali!E3001 &gt;= SogliaPicchi!$B$31,"",DatiOriginali!E3001)</f>
        <v>2314600</v>
      </c>
      <c r="F3001" s="4">
        <v>20017984</v>
      </c>
      <c r="G3001" s="4">
        <v>693800</v>
      </c>
      <c r="H3001" s="4">
        <v>25242795</v>
      </c>
      <c r="I3001" s="4">
        <v>225100</v>
      </c>
      <c r="J3001" s="4">
        <v>25184344</v>
      </c>
      <c r="K3001" s="4">
        <v>230400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2D5BA-1633-42CD-9FB8-DF1A30B7054B}">
  <dimension ref="A1:AC1048576"/>
  <sheetViews>
    <sheetView topLeftCell="A2" workbookViewId="0">
      <selection activeCell="J2" sqref="J2"/>
    </sheetView>
  </sheetViews>
  <sheetFormatPr defaultRowHeight="14.4" x14ac:dyDescent="0.3"/>
  <cols>
    <col min="1" max="1" width="6" style="4" bestFit="1" customWidth="1"/>
    <col min="2" max="2" width="16.88671875" style="4" bestFit="1" customWidth="1"/>
    <col min="3" max="3" width="11.88671875" style="4" bestFit="1" customWidth="1"/>
    <col min="4" max="4" width="16.33203125" style="4" bestFit="1" customWidth="1"/>
    <col min="5" max="5" width="8.88671875" style="4"/>
    <col min="6" max="6" width="17.33203125" style="4" bestFit="1" customWidth="1"/>
    <col min="7" max="7" width="12.21875" style="4" bestFit="1" customWidth="1"/>
    <col min="8" max="8" width="17.21875" style="4" bestFit="1" customWidth="1"/>
    <col min="9" max="9" width="12.109375" style="4" bestFit="1" customWidth="1"/>
    <col min="10" max="10" width="18.33203125" style="4" bestFit="1" customWidth="1"/>
    <col min="11" max="11" width="13.33203125" style="4" bestFit="1" customWidth="1"/>
    <col min="30" max="16384" width="8.88671875" style="4"/>
  </cols>
  <sheetData>
    <row r="1" spans="1:11" s="4" customFormat="1" x14ac:dyDescent="0.3">
      <c r="A1" s="3" t="s">
        <v>3011</v>
      </c>
      <c r="B1" s="3" t="s">
        <v>3013</v>
      </c>
      <c r="C1" s="3" t="s">
        <v>3014</v>
      </c>
      <c r="D1" s="3" t="s">
        <v>3015</v>
      </c>
      <c r="E1" s="3" t="s">
        <v>3016</v>
      </c>
      <c r="F1" s="3" t="s">
        <v>3017</v>
      </c>
      <c r="G1" s="3" t="s">
        <v>3018</v>
      </c>
      <c r="H1" s="3" t="s">
        <v>3019</v>
      </c>
      <c r="I1" s="3" t="s">
        <v>3020</v>
      </c>
      <c r="J1" s="3" t="s">
        <v>3021</v>
      </c>
      <c r="K1" s="3" t="s">
        <v>3022</v>
      </c>
    </row>
    <row r="2" spans="1:11" s="4" customFormat="1" x14ac:dyDescent="0.3">
      <c r="A2" s="4">
        <v>50</v>
      </c>
      <c r="B2" s="4">
        <f>MIN(DatiRipuliti!B2:B101)</f>
        <v>1225</v>
      </c>
      <c r="C2" s="4">
        <f>MIN(DatiRipuliti!C2:C101)</f>
        <v>43100</v>
      </c>
      <c r="D2" s="4">
        <f>MIN(DatiRipuliti!D2:D101)</f>
        <v>544</v>
      </c>
      <c r="E2" s="4">
        <f>MIN(DatiRipuliti!E2:E101)</f>
        <v>17100</v>
      </c>
      <c r="F2" s="4">
        <f>MIN(DatiRipuliti!F2:F101)</f>
        <v>226</v>
      </c>
      <c r="G2" s="4">
        <f>MIN(DatiRipuliti!G2:G101)</f>
        <v>29100</v>
      </c>
      <c r="H2" s="4">
        <f>MIN(DatiRipuliti!H2:H101)</f>
        <v>216</v>
      </c>
      <c r="I2" s="4">
        <f>MIN(DatiRipuliti!I2:I101)</f>
        <v>10800</v>
      </c>
      <c r="J2" s="4">
        <f>MIN(DatiRipuliti!J2:J101)</f>
        <v>258</v>
      </c>
      <c r="K2" s="4">
        <f>MIN(DatiRipuliti!K2:K101)</f>
        <v>12500</v>
      </c>
    </row>
    <row r="3" spans="1:11" s="4" customFormat="1" x14ac:dyDescent="0.3">
      <c r="A3" s="4">
        <v>100</v>
      </c>
      <c r="B3" s="4">
        <f>MIN(DatiRipuliti!B102:B201)</f>
        <v>4950</v>
      </c>
      <c r="C3" s="4">
        <f>MIN(DatiRipuliti!C102:C201)</f>
        <v>32300</v>
      </c>
      <c r="D3" s="4">
        <f>MIN(DatiRipuliti!D102:D201)</f>
        <v>2125</v>
      </c>
      <c r="E3" s="4">
        <f>MIN(DatiRipuliti!E102:E201)</f>
        <v>10800</v>
      </c>
      <c r="F3" s="4">
        <f>MIN(DatiRipuliti!F102:F201)</f>
        <v>22744</v>
      </c>
      <c r="G3" s="4">
        <f>MIN(DatiRipuliti!G102:G201)</f>
        <v>30600</v>
      </c>
      <c r="H3" s="4">
        <f>MIN(DatiRipuliti!H102:H201)</f>
        <v>26734</v>
      </c>
      <c r="I3" s="4">
        <f>MIN(DatiRipuliti!I102:I201)</f>
        <v>9000</v>
      </c>
      <c r="J3" s="4">
        <f>MIN(DatiRipuliti!J102:J201)</f>
        <v>26491</v>
      </c>
      <c r="K3" s="4">
        <f>MIN(DatiRipuliti!K102:K201)</f>
        <v>10900</v>
      </c>
    </row>
    <row r="4" spans="1:11" s="4" customFormat="1" x14ac:dyDescent="0.3">
      <c r="A4" s="4">
        <v>150</v>
      </c>
      <c r="B4" s="4">
        <f>MIN(DatiRipuliti!B202:B301)</f>
        <v>11175</v>
      </c>
      <c r="C4" s="4">
        <f>MIN(DatiRipuliti!C202:C301)</f>
        <v>63700</v>
      </c>
      <c r="D4" s="4">
        <f>MIN(DatiRipuliti!D202:D301)</f>
        <v>5076</v>
      </c>
      <c r="E4" s="4">
        <f>MIN(DatiRipuliti!E202:E301)</f>
        <v>20900</v>
      </c>
      <c r="F4" s="4">
        <f>MIN(DatiRipuliti!F202:F301)</f>
        <v>77203</v>
      </c>
      <c r="G4" s="4">
        <f>MIN(DatiRipuliti!G202:G301)</f>
        <v>43900</v>
      </c>
      <c r="H4" s="4">
        <f>MIN(DatiRipuliti!H202:H301)</f>
        <v>92464</v>
      </c>
      <c r="I4" s="4">
        <f>MIN(DatiRipuliti!I202:I301)</f>
        <v>13500</v>
      </c>
      <c r="J4" s="4">
        <f>MIN(DatiRipuliti!J202:J301)</f>
        <v>92400</v>
      </c>
      <c r="K4" s="4">
        <f>MIN(DatiRipuliti!K202:K301)</f>
        <v>16800</v>
      </c>
    </row>
    <row r="5" spans="1:11" s="4" customFormat="1" x14ac:dyDescent="0.3">
      <c r="A5" s="4">
        <v>200</v>
      </c>
      <c r="B5" s="4">
        <f>MIN(DatiRipuliti!B302:B401)</f>
        <v>19900</v>
      </c>
      <c r="C5" s="4">
        <f>MIN(DatiRipuliti!C302:C401)</f>
        <v>113700</v>
      </c>
      <c r="D5" s="4">
        <f>MIN(DatiRipuliti!D302:D401)</f>
        <v>9108</v>
      </c>
      <c r="E5" s="4">
        <f>MIN(DatiRipuliti!E302:E401)</f>
        <v>34800</v>
      </c>
      <c r="F5" s="4">
        <f>MIN(DatiRipuliti!F302:F401)</f>
        <v>167451</v>
      </c>
      <c r="G5" s="4">
        <f>MIN(DatiRipuliti!G302:G401)</f>
        <v>61100</v>
      </c>
      <c r="H5" s="4">
        <f>MIN(DatiRipuliti!H302:H401)</f>
        <v>201247</v>
      </c>
      <c r="I5" s="4">
        <f>MIN(DatiRipuliti!I302:I401)</f>
        <v>19000</v>
      </c>
      <c r="J5" s="4">
        <f>MIN(DatiRipuliti!J302:J401)</f>
        <v>201425</v>
      </c>
      <c r="K5" s="4">
        <f>MIN(DatiRipuliti!K302:K401)</f>
        <v>21900</v>
      </c>
    </row>
    <row r="6" spans="1:11" s="4" customFormat="1" x14ac:dyDescent="0.3">
      <c r="A6" s="4">
        <v>250</v>
      </c>
      <c r="B6" s="4">
        <f>MIN(DatiRipuliti!B402:B501)</f>
        <v>31125</v>
      </c>
      <c r="C6" s="4">
        <f>MIN(DatiRipuliti!C402:C501)</f>
        <v>181800</v>
      </c>
      <c r="D6" s="4">
        <f>MIN(DatiRipuliti!D402:D501)</f>
        <v>14401</v>
      </c>
      <c r="E6" s="4">
        <f>MIN(DatiRipuliti!E402:E501)</f>
        <v>53900</v>
      </c>
      <c r="F6" s="4">
        <f>MIN(DatiRipuliti!F402:F501)</f>
        <v>295965</v>
      </c>
      <c r="G6" s="4">
        <f>MIN(DatiRipuliti!G402:G501)</f>
        <v>78600</v>
      </c>
      <c r="H6" s="4">
        <f>MIN(DatiRipuliti!H402:H501)</f>
        <v>358596</v>
      </c>
      <c r="I6" s="4">
        <f>MIN(DatiRipuliti!I402:I501)</f>
        <v>24000</v>
      </c>
      <c r="J6" s="4">
        <f>MIN(DatiRipuliti!J402:J501)</f>
        <v>359095</v>
      </c>
      <c r="K6" s="4">
        <f>MIN(DatiRipuliti!K402:K501)</f>
        <v>27600</v>
      </c>
    </row>
    <row r="7" spans="1:11" s="4" customFormat="1" x14ac:dyDescent="0.3">
      <c r="A7" s="4">
        <v>300</v>
      </c>
      <c r="B7" s="4">
        <f>MIN(DatiRipuliti!B502:B601)</f>
        <v>44850</v>
      </c>
      <c r="C7" s="4">
        <f>MIN(DatiRipuliti!C502:C601)</f>
        <v>262800</v>
      </c>
      <c r="D7" s="4">
        <f>MIN(DatiRipuliti!D502:D601)</f>
        <v>20801</v>
      </c>
      <c r="E7" s="4">
        <f>MIN(DatiRipuliti!E502:E601)</f>
        <v>77700</v>
      </c>
      <c r="F7" s="4">
        <f>MIN(DatiRipuliti!F502:F601)</f>
        <v>464143</v>
      </c>
      <c r="G7" s="4">
        <f>MIN(DatiRipuliti!G502:G601)</f>
        <v>97600</v>
      </c>
      <c r="H7" s="4">
        <f>MIN(DatiRipuliti!H502:H601)</f>
        <v>567304</v>
      </c>
      <c r="I7" s="4">
        <f>MIN(DatiRipuliti!I502:I601)</f>
        <v>30600</v>
      </c>
      <c r="J7" s="4">
        <f>MIN(DatiRipuliti!J502:J601)</f>
        <v>564055</v>
      </c>
      <c r="K7" s="4">
        <f>MIN(DatiRipuliti!K502:K601)</f>
        <v>34600</v>
      </c>
    </row>
    <row r="8" spans="1:11" s="4" customFormat="1" x14ac:dyDescent="0.3">
      <c r="A8" s="4">
        <v>350</v>
      </c>
      <c r="B8" s="4">
        <f>MIN(DatiRipuliti!B602:B701)</f>
        <v>61075</v>
      </c>
      <c r="C8" s="4">
        <f>MIN(DatiRipuliti!C602:C701)</f>
        <v>370100</v>
      </c>
      <c r="D8" s="4">
        <f>MIN(DatiRipuliti!D602:D701)</f>
        <v>27982</v>
      </c>
      <c r="E8" s="4">
        <f>MIN(DatiRipuliti!E602:E701)</f>
        <v>102500</v>
      </c>
      <c r="F8" s="4">
        <f>MIN(DatiRipuliti!F602:F701)</f>
        <v>674352</v>
      </c>
      <c r="G8" s="4">
        <f>MIN(DatiRipuliti!G602:G701)</f>
        <v>113800</v>
      </c>
      <c r="H8" s="4">
        <f>MIN(DatiRipuliti!H602:H701)</f>
        <v>825560</v>
      </c>
      <c r="I8" s="4">
        <f>MIN(DatiRipuliti!I602:I701)</f>
        <v>36000</v>
      </c>
      <c r="J8" s="4">
        <f>MIN(DatiRipuliti!J602:J701)</f>
        <v>822255</v>
      </c>
      <c r="K8" s="4">
        <f>MIN(DatiRipuliti!K602:K701)</f>
        <v>39600</v>
      </c>
    </row>
    <row r="9" spans="1:11" s="4" customFormat="1" x14ac:dyDescent="0.3">
      <c r="A9" s="4">
        <v>400</v>
      </c>
      <c r="B9" s="4">
        <f>MIN(DatiRipuliti!B702:B801)</f>
        <v>79800</v>
      </c>
      <c r="C9" s="4">
        <f>MIN(DatiRipuliti!C702:C801)</f>
        <v>479900</v>
      </c>
      <c r="D9" s="4">
        <f>MIN(DatiRipuliti!D702:D801)</f>
        <v>37671</v>
      </c>
      <c r="E9" s="4">
        <f>MIN(DatiRipuliti!E702:E801)</f>
        <v>134000</v>
      </c>
      <c r="F9" s="4">
        <f>MIN(DatiRipuliti!F702:F801)</f>
        <v>927307</v>
      </c>
      <c r="G9" s="4">
        <f>MIN(DatiRipuliti!G702:G801)</f>
        <v>131700</v>
      </c>
      <c r="H9" s="4">
        <f>MIN(DatiRipuliti!H702:H801)</f>
        <v>1138986</v>
      </c>
      <c r="I9" s="4">
        <f>MIN(DatiRipuliti!I702:I801)</f>
        <v>42400</v>
      </c>
      <c r="J9" s="4">
        <f>MIN(DatiRipuliti!J702:J801)</f>
        <v>1135740</v>
      </c>
      <c r="K9" s="4">
        <f>MIN(DatiRipuliti!K702:K801)</f>
        <v>47200</v>
      </c>
    </row>
    <row r="10" spans="1:11" s="4" customFormat="1" x14ac:dyDescent="0.3">
      <c r="A10" s="4">
        <v>450</v>
      </c>
      <c r="B10" s="4">
        <f>MIN(DatiRipuliti!B802:B901)</f>
        <v>101025</v>
      </c>
      <c r="C10" s="4">
        <f>MIN(DatiRipuliti!C802:C901)</f>
        <v>608900</v>
      </c>
      <c r="D10" s="4">
        <f>MIN(DatiRipuliti!D802:D901)</f>
        <v>47713</v>
      </c>
      <c r="E10" s="4">
        <f>MIN(DatiRipuliti!E802:E901)</f>
        <v>170500</v>
      </c>
      <c r="F10" s="4">
        <f>MIN(DatiRipuliti!F802:F901)</f>
        <v>1223897</v>
      </c>
      <c r="G10" s="4">
        <f>MIN(DatiRipuliti!G802:G901)</f>
        <v>148400</v>
      </c>
      <c r="H10" s="4">
        <f>MIN(DatiRipuliti!H802:H901)</f>
        <v>1511744</v>
      </c>
      <c r="I10" s="4">
        <f>MIN(DatiRipuliti!I802:I901)</f>
        <v>47200</v>
      </c>
      <c r="J10" s="4">
        <f>MIN(DatiRipuliti!J802:J901)</f>
        <v>1502989</v>
      </c>
      <c r="K10" s="4">
        <f>MIN(DatiRipuliti!K802:K901)</f>
        <v>53100</v>
      </c>
    </row>
    <row r="11" spans="1:11" s="4" customFormat="1" x14ac:dyDescent="0.3">
      <c r="A11" s="4">
        <v>500</v>
      </c>
      <c r="B11" s="4">
        <f>MIN(DatiRipuliti!B902:B1001)</f>
        <v>124750</v>
      </c>
      <c r="C11" s="4">
        <f>MIN(DatiRipuliti!C902:C1001)</f>
        <v>774500</v>
      </c>
      <c r="D11" s="4">
        <f>MIN(DatiRipuliti!D902:D1001)</f>
        <v>59041</v>
      </c>
      <c r="E11" s="4">
        <f>MIN(DatiRipuliti!E902:E1001)</f>
        <v>211600</v>
      </c>
      <c r="F11" s="4">
        <f>MIN(DatiRipuliti!F902:F1001)</f>
        <v>1564994</v>
      </c>
      <c r="G11" s="4">
        <f>MIN(DatiRipuliti!G902:G1001)</f>
        <v>168600</v>
      </c>
      <c r="H11" s="4">
        <f>MIN(DatiRipuliti!H902:H1001)</f>
        <v>1935733</v>
      </c>
      <c r="I11" s="4">
        <f>MIN(DatiRipuliti!I902:I1001)</f>
        <v>54300</v>
      </c>
      <c r="J11" s="4">
        <f>MIN(DatiRipuliti!J902:J1001)</f>
        <v>1924631</v>
      </c>
      <c r="K11" s="4">
        <f>MIN(DatiRipuliti!K902:K1001)</f>
        <v>62100</v>
      </c>
    </row>
    <row r="12" spans="1:11" s="4" customFormat="1" x14ac:dyDescent="0.3">
      <c r="A12" s="4">
        <v>550</v>
      </c>
      <c r="B12" s="4">
        <f>MIN(DatiRipuliti!B1002:B1101)</f>
        <v>150975</v>
      </c>
      <c r="C12" s="4">
        <f>MIN(DatiRipuliti!C1002:C1101)</f>
        <v>963000</v>
      </c>
      <c r="D12" s="4">
        <f>MIN(DatiRipuliti!D1002:D1101)</f>
        <v>70914</v>
      </c>
      <c r="E12" s="4">
        <f>MIN(DatiRipuliti!E1002:E1101)</f>
        <v>255400</v>
      </c>
      <c r="F12" s="4">
        <f>MIN(DatiRipuliti!F1002:F1101)</f>
        <v>1950689</v>
      </c>
      <c r="G12" s="4">
        <f>MIN(DatiRipuliti!G1002:G1101)</f>
        <v>187700</v>
      </c>
      <c r="H12" s="4">
        <f>MIN(DatiRipuliti!H1002:H1101)</f>
        <v>2413055</v>
      </c>
      <c r="I12" s="4">
        <f>MIN(DatiRipuliti!I1002:I1101)</f>
        <v>59800</v>
      </c>
      <c r="J12" s="4">
        <f>MIN(DatiRipuliti!J1002:J1101)</f>
        <v>2404407</v>
      </c>
      <c r="K12" s="4">
        <f>MIN(DatiRipuliti!K1002:K1101)</f>
        <v>68300</v>
      </c>
    </row>
    <row r="13" spans="1:11" s="4" customFormat="1" x14ac:dyDescent="0.3">
      <c r="A13" s="4">
        <v>600</v>
      </c>
      <c r="B13" s="4">
        <f>MIN(DatiRipuliti!B1102:B1201)</f>
        <v>179700</v>
      </c>
      <c r="C13" s="4">
        <f>MIN(DatiRipuliti!C1102:C1201)</f>
        <v>1194700</v>
      </c>
      <c r="D13" s="4">
        <f>MIN(DatiRipuliti!D1102:D1201)</f>
        <v>84650</v>
      </c>
      <c r="E13" s="4">
        <f>MIN(DatiRipuliti!E1102:E1201)</f>
        <v>296000</v>
      </c>
      <c r="F13" s="4">
        <f>MIN(DatiRipuliti!F1102:F1201)</f>
        <v>2383056</v>
      </c>
      <c r="G13" s="4">
        <f>MIN(DatiRipuliti!G1102:G1201)</f>
        <v>206500</v>
      </c>
      <c r="H13" s="4">
        <f>MIN(DatiRipuliti!H1102:H1201)</f>
        <v>2954344</v>
      </c>
      <c r="I13" s="4">
        <f>MIN(DatiRipuliti!I1102:I1201)</f>
        <v>67100</v>
      </c>
      <c r="J13" s="4">
        <f>MIN(DatiRipuliti!J1102:J1201)</f>
        <v>2944498</v>
      </c>
      <c r="K13" s="4">
        <f>MIN(DatiRipuliti!K1102:K1201)</f>
        <v>75100</v>
      </c>
    </row>
    <row r="14" spans="1:11" s="4" customFormat="1" x14ac:dyDescent="0.3">
      <c r="A14" s="4">
        <v>650</v>
      </c>
      <c r="B14" s="4">
        <f>MIN(DatiRipuliti!B1202:B1301)</f>
        <v>210925</v>
      </c>
      <c r="C14" s="4">
        <f>MIN(DatiRipuliti!C1202:C1301)</f>
        <v>1458500</v>
      </c>
      <c r="D14" s="4">
        <f>MIN(DatiRipuliti!D1202:D1301)</f>
        <v>97200</v>
      </c>
      <c r="E14" s="4">
        <f>MIN(DatiRipuliti!E1202:E1301)</f>
        <v>339400</v>
      </c>
      <c r="F14" s="4">
        <f>MIN(DatiRipuliti!F1202:F1301)</f>
        <v>2862911</v>
      </c>
      <c r="G14" s="4">
        <f>MIN(DatiRipuliti!G1202:G1301)</f>
        <v>224200</v>
      </c>
      <c r="H14" s="4">
        <f>MIN(DatiRipuliti!H1202:H1301)</f>
        <v>3557288</v>
      </c>
      <c r="I14" s="4">
        <f>MIN(DatiRipuliti!I1202:I1301)</f>
        <v>73700</v>
      </c>
      <c r="J14" s="4">
        <f>MIN(DatiRipuliti!J1202:J1301)</f>
        <v>3544061</v>
      </c>
      <c r="K14" s="4">
        <f>MIN(DatiRipuliti!K1202:K1301)</f>
        <v>83100</v>
      </c>
    </row>
    <row r="15" spans="1:11" s="4" customFormat="1" x14ac:dyDescent="0.3">
      <c r="A15" s="4">
        <v>700</v>
      </c>
      <c r="B15" s="4">
        <f>MIN(DatiRipuliti!B1302:B1401)</f>
        <v>244650</v>
      </c>
      <c r="C15" s="4">
        <f>MIN(DatiRipuliti!C1302:C1401)</f>
        <v>1740000</v>
      </c>
      <c r="D15" s="4">
        <f>MIN(DatiRipuliti!D1302:D1401)</f>
        <v>115188</v>
      </c>
      <c r="E15" s="4">
        <f>MIN(DatiRipuliti!E1302:E1401)</f>
        <v>401200</v>
      </c>
      <c r="F15" s="4">
        <f>MIN(DatiRipuliti!F1302:F1401)</f>
        <v>3390210</v>
      </c>
      <c r="G15" s="4">
        <f>MIN(DatiRipuliti!G1302:G1401)</f>
        <v>244400</v>
      </c>
      <c r="H15" s="4">
        <f>MIN(DatiRipuliti!H1302:H1401)</f>
        <v>4219278</v>
      </c>
      <c r="I15" s="4">
        <f>MIN(DatiRipuliti!I1302:I1401)</f>
        <v>79800</v>
      </c>
      <c r="J15" s="4">
        <f>MIN(DatiRipuliti!J1302:J1401)</f>
        <v>4204439</v>
      </c>
      <c r="K15" s="4">
        <f>MIN(DatiRipuliti!K1302:K1401)</f>
        <v>89700</v>
      </c>
    </row>
    <row r="16" spans="1:11" s="4" customFormat="1" x14ac:dyDescent="0.3">
      <c r="A16" s="4">
        <v>750</v>
      </c>
      <c r="B16" s="4">
        <f>MIN(DatiRipuliti!B1402:B1501)</f>
        <v>280875</v>
      </c>
      <c r="C16" s="4">
        <f>MIN(DatiRipuliti!C1402:C1501)</f>
        <v>1968200</v>
      </c>
      <c r="D16" s="4">
        <f>MIN(DatiRipuliti!D1402:D1501)</f>
        <v>129878</v>
      </c>
      <c r="E16" s="4">
        <f>MIN(DatiRipuliti!E1402:E1501)</f>
        <v>455100</v>
      </c>
      <c r="F16" s="4">
        <f>MIN(DatiRipuliti!F1402:F1501)</f>
        <v>3965709</v>
      </c>
      <c r="G16" s="4">
        <f>MIN(DatiRipuliti!G1402:G1501)</f>
        <v>266300</v>
      </c>
      <c r="H16" s="4">
        <f>MIN(DatiRipuliti!H1402:H1501)</f>
        <v>4935740</v>
      </c>
      <c r="I16" s="4">
        <f>MIN(DatiRipuliti!I1402:I1501)</f>
        <v>87300</v>
      </c>
      <c r="J16" s="4">
        <f>MIN(DatiRipuliti!J1402:J1501)</f>
        <v>4930842</v>
      </c>
      <c r="K16" s="4">
        <f>MIN(DatiRipuliti!K1402:K1501)</f>
        <v>96700</v>
      </c>
    </row>
    <row r="17" spans="1:11" s="4" customFormat="1" x14ac:dyDescent="0.3">
      <c r="A17" s="4">
        <v>800</v>
      </c>
      <c r="B17" s="4">
        <f>MIN(DatiRipuliti!B1502:B1601)</f>
        <v>319600</v>
      </c>
      <c r="C17" s="4">
        <f>MIN(DatiRipuliti!C1502:C1601)</f>
        <v>2324000</v>
      </c>
      <c r="D17" s="4">
        <f>MIN(DatiRipuliti!D1502:D1601)</f>
        <v>150497</v>
      </c>
      <c r="E17" s="4">
        <f>MIN(DatiRipuliti!E1502:E1601)</f>
        <v>524500</v>
      </c>
      <c r="F17" s="4">
        <f>MIN(DatiRipuliti!F1502:F1601)</f>
        <v>4589564</v>
      </c>
      <c r="G17" s="4">
        <f>MIN(DatiRipuliti!G1502:G1601)</f>
        <v>286800</v>
      </c>
      <c r="H17" s="4">
        <f>MIN(DatiRipuliti!H1502:H1601)</f>
        <v>5722286</v>
      </c>
      <c r="I17" s="4">
        <f>MIN(DatiRipuliti!I1502:I1601)</f>
        <v>94700</v>
      </c>
      <c r="J17" s="4">
        <f>MIN(DatiRipuliti!J1502:J1601)</f>
        <v>5715515</v>
      </c>
      <c r="K17" s="4">
        <f>MIN(DatiRipuliti!K1502:K1601)</f>
        <v>104400</v>
      </c>
    </row>
    <row r="18" spans="1:11" s="4" customFormat="1" x14ac:dyDescent="0.3">
      <c r="A18" s="4">
        <v>850</v>
      </c>
      <c r="B18" s="4">
        <f>MIN(DatiRipuliti!B1602:B1701)</f>
        <v>360825</v>
      </c>
      <c r="C18" s="4">
        <f>MIN(DatiRipuliti!C1602:C1701)</f>
        <v>2638100</v>
      </c>
      <c r="D18" s="4">
        <f>MIN(DatiRipuliti!D1602:D1701)</f>
        <v>172049</v>
      </c>
      <c r="E18" s="4">
        <f>MIN(DatiRipuliti!E1602:E1701)</f>
        <v>606300</v>
      </c>
      <c r="F18" s="4">
        <f>MIN(DatiRipuliti!F1602:F1701)</f>
        <v>5262512</v>
      </c>
      <c r="G18" s="4">
        <f>MIN(DatiRipuliti!G1602:G1701)</f>
        <v>306500</v>
      </c>
      <c r="H18" s="4">
        <f>MIN(DatiRipuliti!H1602:H1701)</f>
        <v>6560817</v>
      </c>
      <c r="I18" s="4">
        <f>MIN(DatiRipuliti!I1602:I1701)</f>
        <v>101600</v>
      </c>
      <c r="J18" s="4">
        <f>MIN(DatiRipuliti!J1602:J1701)</f>
        <v>6554187</v>
      </c>
      <c r="K18" s="4">
        <f>MIN(DatiRipuliti!K1602:K1701)</f>
        <v>111500</v>
      </c>
    </row>
    <row r="19" spans="1:11" s="4" customFormat="1" x14ac:dyDescent="0.3">
      <c r="A19" s="4">
        <v>900</v>
      </c>
      <c r="B19" s="4">
        <f>MIN(DatiRipuliti!B1702:B1801)</f>
        <v>404550</v>
      </c>
      <c r="C19" s="4">
        <f>MIN(DatiRipuliti!C1702:C1801)</f>
        <v>3095100</v>
      </c>
      <c r="D19" s="4">
        <f>MIN(DatiRipuliti!D1702:D1801)</f>
        <v>193118</v>
      </c>
      <c r="E19" s="4">
        <f>MIN(DatiRipuliti!E1702:E1801)</f>
        <v>668500</v>
      </c>
      <c r="F19" s="4">
        <f>MIN(DatiRipuliti!F1702:F1801)</f>
        <v>5984400</v>
      </c>
      <c r="G19" s="4">
        <f>MIN(DatiRipuliti!G1702:G1801)</f>
        <v>322400</v>
      </c>
      <c r="H19" s="4">
        <f>MIN(DatiRipuliti!H1702:H1801)</f>
        <v>7467881</v>
      </c>
      <c r="I19" s="4">
        <f>MIN(DatiRipuliti!I1702:I1801)</f>
        <v>107400</v>
      </c>
      <c r="J19" s="4">
        <f>MIN(DatiRipuliti!J1702:J1801)</f>
        <v>7457163</v>
      </c>
      <c r="K19" s="4">
        <f>MIN(DatiRipuliti!K1702:K1801)</f>
        <v>120900</v>
      </c>
    </row>
    <row r="20" spans="1:11" s="4" customFormat="1" x14ac:dyDescent="0.3">
      <c r="A20" s="4">
        <v>950</v>
      </c>
      <c r="B20" s="4">
        <f>MIN(DatiRipuliti!B1802:B1901)</f>
        <v>450775</v>
      </c>
      <c r="C20" s="4">
        <f>MIN(DatiRipuliti!C1802:C1901)</f>
        <v>3423000</v>
      </c>
      <c r="D20" s="4">
        <f>MIN(DatiRipuliti!D1802:D1901)</f>
        <v>215136</v>
      </c>
      <c r="E20" s="4">
        <f>MIN(DatiRipuliti!E1802:E1901)</f>
        <v>743300</v>
      </c>
      <c r="F20" s="4">
        <f>MIN(DatiRipuliti!F1802:F1901)</f>
        <v>6755660</v>
      </c>
      <c r="G20" s="4">
        <f>MIN(DatiRipuliti!G1802:G1901)</f>
        <v>345100</v>
      </c>
      <c r="H20" s="4">
        <f>MIN(DatiRipuliti!H1802:H1901)</f>
        <v>8432250</v>
      </c>
      <c r="I20" s="4">
        <f>MIN(DatiRipuliti!I1802:I1901)</f>
        <v>114700</v>
      </c>
      <c r="J20" s="4">
        <f>MIN(DatiRipuliti!J1802:J1901)</f>
        <v>8428667</v>
      </c>
      <c r="K20" s="4">
        <f>MIN(DatiRipuliti!K1802:K1901)</f>
        <v>126000</v>
      </c>
    </row>
    <row r="21" spans="1:11" s="4" customFormat="1" x14ac:dyDescent="0.3">
      <c r="A21" s="4">
        <v>1000</v>
      </c>
      <c r="B21" s="4">
        <f>MIN(DatiRipuliti!B1902:B2001)</f>
        <v>499500</v>
      </c>
      <c r="C21" s="4">
        <f>MIN(DatiRipuliti!C1902:C2001)</f>
        <v>3939000</v>
      </c>
      <c r="D21" s="4">
        <f>MIN(DatiRipuliti!D1902:D2001)</f>
        <v>239293</v>
      </c>
      <c r="E21" s="4">
        <f>MIN(DatiRipuliti!E1902:E2001)</f>
        <v>830500</v>
      </c>
      <c r="F21" s="4">
        <f>MIN(DatiRipuliti!F1902:F2001)</f>
        <v>7576926</v>
      </c>
      <c r="G21" s="4">
        <f>MIN(DatiRipuliti!G1902:G2001)</f>
        <v>365600</v>
      </c>
      <c r="H21" s="4">
        <f>MIN(DatiRipuliti!H1902:H2001)</f>
        <v>9456648</v>
      </c>
      <c r="I21" s="4">
        <f>MIN(DatiRipuliti!I1902:I2001)</f>
        <v>122400</v>
      </c>
      <c r="J21" s="4">
        <f>MIN(DatiRipuliti!J1902:J2001)</f>
        <v>9455526</v>
      </c>
      <c r="K21" s="4">
        <f>MIN(DatiRipuliti!K1902:K2001)</f>
        <v>135200</v>
      </c>
    </row>
    <row r="22" spans="1:11" s="4" customFormat="1" x14ac:dyDescent="0.3">
      <c r="A22" s="4">
        <v>1050</v>
      </c>
      <c r="B22" s="4">
        <f>MIN(DatiRipuliti!B2002:B2101)</f>
        <v>550725</v>
      </c>
      <c r="C22" s="4">
        <f>MIN(DatiRipuliti!C2002:C2101)</f>
        <v>4445300</v>
      </c>
      <c r="D22" s="4">
        <f>MIN(DatiRipuliti!D2002:D2101)</f>
        <v>263572</v>
      </c>
      <c r="E22" s="4">
        <f>MIN(DatiRipuliti!E2002:E2101)</f>
        <v>921500</v>
      </c>
      <c r="F22" s="4">
        <f>MIN(DatiRipuliti!F2002:F2101)</f>
        <v>8448068</v>
      </c>
      <c r="G22" s="4">
        <f>MIN(DatiRipuliti!G2002:G2101)</f>
        <v>384900</v>
      </c>
      <c r="H22" s="4">
        <f>MIN(DatiRipuliti!H2002:H2101)</f>
        <v>10566990</v>
      </c>
      <c r="I22" s="4">
        <f>MIN(DatiRipuliti!I2002:I2101)</f>
        <v>128600</v>
      </c>
      <c r="J22" s="4">
        <f>MIN(DatiRipuliti!J2002:J2101)</f>
        <v>10551390</v>
      </c>
      <c r="K22" s="4">
        <f>MIN(DatiRipuliti!K2002:K2101)</f>
        <v>143400</v>
      </c>
    </row>
    <row r="23" spans="1:11" s="4" customFormat="1" x14ac:dyDescent="0.3">
      <c r="A23" s="4">
        <v>1100</v>
      </c>
      <c r="B23" s="4">
        <f>MIN(DatiRipuliti!B2102:B2201)</f>
        <v>604450</v>
      </c>
      <c r="C23" s="4">
        <f>MIN(DatiRipuliti!C2102:C2201)</f>
        <v>4883400</v>
      </c>
      <c r="D23" s="4">
        <f>MIN(DatiRipuliti!D2102:D2201)</f>
        <v>287156</v>
      </c>
      <c r="E23" s="4">
        <f>MIN(DatiRipuliti!E2102:E2201)</f>
        <v>997700</v>
      </c>
      <c r="F23" s="4">
        <f>MIN(DatiRipuliti!F2102:F2201)</f>
        <v>9370368</v>
      </c>
      <c r="G23" s="4">
        <f>MIN(DatiRipuliti!G2102:G2201)</f>
        <v>408800</v>
      </c>
      <c r="H23" s="4">
        <f>MIN(DatiRipuliti!H2102:H2201)</f>
        <v>11738585</v>
      </c>
      <c r="I23" s="4">
        <f>MIN(DatiRipuliti!I2102:I2201)</f>
        <v>135800</v>
      </c>
      <c r="J23" s="4">
        <f>MIN(DatiRipuliti!J2102:J2201)</f>
        <v>11714130</v>
      </c>
      <c r="K23" s="4">
        <f>MIN(DatiRipuliti!K2102:K2201)</f>
        <v>150900</v>
      </c>
    </row>
    <row r="24" spans="1:11" s="4" customFormat="1" x14ac:dyDescent="0.3">
      <c r="A24" s="4">
        <v>1150</v>
      </c>
      <c r="B24" s="4">
        <f>MIN(DatiRipuliti!B2202:B2301)</f>
        <v>660675</v>
      </c>
      <c r="C24" s="4">
        <f>MIN(DatiRipuliti!C2202:C2301)</f>
        <v>5424300</v>
      </c>
      <c r="D24" s="4">
        <f>MIN(DatiRipuliti!D2202:D2301)</f>
        <v>317411</v>
      </c>
      <c r="E24" s="4">
        <f>MIN(DatiRipuliti!E2202:E2301)</f>
        <v>1101800</v>
      </c>
      <c r="F24" s="4">
        <f>MIN(DatiRipuliti!F2202:F2301)</f>
        <v>10344905</v>
      </c>
      <c r="G24" s="4">
        <f>MIN(DatiRipuliti!G2202:G2301)</f>
        <v>429800</v>
      </c>
      <c r="H24" s="4">
        <f>MIN(DatiRipuliti!H2202:H2301)</f>
        <v>12963002</v>
      </c>
      <c r="I24" s="4">
        <f>MIN(DatiRipuliti!I2202:I2301)</f>
        <v>139800</v>
      </c>
      <c r="J24" s="4">
        <f>MIN(DatiRipuliti!J2202:J2301)</f>
        <v>12953802</v>
      </c>
      <c r="K24" s="4">
        <f>MIN(DatiRipuliti!K2202:K2301)</f>
        <v>159700</v>
      </c>
    </row>
    <row r="25" spans="1:11" s="4" customFormat="1" x14ac:dyDescent="0.3">
      <c r="A25" s="4">
        <v>1200</v>
      </c>
      <c r="B25" s="4">
        <f>MIN(DatiRipuliti!B2302:B2401)</f>
        <v>719400</v>
      </c>
      <c r="C25" s="4">
        <f>MIN(DatiRipuliti!C2302:C2401)</f>
        <v>5975800</v>
      </c>
      <c r="D25" s="4">
        <f>MIN(DatiRipuliti!D2302:D2401)</f>
        <v>343809</v>
      </c>
      <c r="E25" s="4">
        <f>MIN(DatiRipuliti!E2302:E2401)</f>
        <v>1197900</v>
      </c>
      <c r="F25" s="4">
        <f>MIN(DatiRipuliti!F2302:F2401)</f>
        <v>11371145</v>
      </c>
      <c r="G25" s="4">
        <f>MIN(DatiRipuliti!G2302:G2401)</f>
        <v>450300</v>
      </c>
      <c r="H25" s="4">
        <f>MIN(DatiRipuliti!H2302:H2401)</f>
        <v>14247432</v>
      </c>
      <c r="I25" s="4">
        <f>MIN(DatiRipuliti!I2302:I2401)</f>
        <v>149800</v>
      </c>
      <c r="J25" s="4">
        <f>MIN(DatiRipuliti!J2302:J2401)</f>
        <v>14260124</v>
      </c>
      <c r="K25" s="4">
        <f>MIN(DatiRipuliti!K2302:K2401)</f>
        <v>167000</v>
      </c>
    </row>
    <row r="26" spans="1:11" s="4" customFormat="1" x14ac:dyDescent="0.3">
      <c r="A26" s="4">
        <v>1250</v>
      </c>
      <c r="B26" s="4">
        <f>MIN(DatiRipuliti!B2402:B2501)</f>
        <v>780625</v>
      </c>
      <c r="C26" s="4">
        <f>MIN(DatiRipuliti!C2402:C2501)</f>
        <v>6563100</v>
      </c>
      <c r="D26" s="4">
        <f>MIN(DatiRipuliti!D2402:D2501)</f>
        <v>371171</v>
      </c>
      <c r="E26" s="4">
        <f>MIN(DatiRipuliti!E2402:E2501)</f>
        <v>1280600</v>
      </c>
      <c r="F26" s="4">
        <f>MIN(DatiRipuliti!F2402:F2501)</f>
        <v>12450264</v>
      </c>
      <c r="G26" s="4">
        <f>MIN(DatiRipuliti!G2402:G2501)</f>
        <v>467100</v>
      </c>
      <c r="H26" s="4">
        <f>MIN(DatiRipuliti!H2402:H2501)</f>
        <v>15616980</v>
      </c>
      <c r="I26" s="4">
        <f>MIN(DatiRipuliti!I2402:I2501)</f>
        <v>157500</v>
      </c>
      <c r="J26" s="4">
        <f>MIN(DatiRipuliti!J2402:J2501)</f>
        <v>15619682</v>
      </c>
      <c r="K26" s="4">
        <f>MIN(DatiRipuliti!K2402:K2501)</f>
        <v>175000</v>
      </c>
    </row>
    <row r="27" spans="1:11" s="4" customFormat="1" x14ac:dyDescent="0.3">
      <c r="A27" s="4">
        <v>1300</v>
      </c>
      <c r="B27" s="4">
        <f>MIN(DatiRipuliti!B2502:B2601)</f>
        <v>844350</v>
      </c>
      <c r="C27" s="4">
        <f>MIN(DatiRipuliti!C2502:C2601)</f>
        <v>7234800</v>
      </c>
      <c r="D27" s="4">
        <f>MIN(DatiRipuliti!D2502:D2601)</f>
        <v>401048</v>
      </c>
      <c r="E27" s="4">
        <f>MIN(DatiRipuliti!E2502:E2601)</f>
        <v>1405000</v>
      </c>
      <c r="F27" s="4">
        <f>MIN(DatiRipuliti!F2502:F2601)</f>
        <v>13581334</v>
      </c>
      <c r="G27" s="4">
        <f>MIN(DatiRipuliti!G2502:G2601)</f>
        <v>486400</v>
      </c>
      <c r="H27" s="4">
        <f>MIN(DatiRipuliti!H2502:H2601)</f>
        <v>17062751</v>
      </c>
      <c r="I27" s="4">
        <f>MIN(DatiRipuliti!I2502:I2601)</f>
        <v>167300</v>
      </c>
      <c r="J27" s="4">
        <f>MIN(DatiRipuliti!J2502:J2601)</f>
        <v>17041333</v>
      </c>
      <c r="K27" s="4">
        <f>MIN(DatiRipuliti!K2502:K2601)</f>
        <v>183700</v>
      </c>
    </row>
    <row r="28" spans="1:11" s="4" customFormat="1" x14ac:dyDescent="0.3">
      <c r="A28" s="4">
        <v>1350</v>
      </c>
      <c r="B28" s="4">
        <f>MIN(DatiRipuliti!B2602:B2701)</f>
        <v>910575</v>
      </c>
      <c r="C28" s="4">
        <f>MIN(DatiRipuliti!C2602:C2701)</f>
        <v>7921800</v>
      </c>
      <c r="D28" s="4">
        <f>MIN(DatiRipuliti!D2602:D2701)</f>
        <v>439978</v>
      </c>
      <c r="E28" s="4">
        <f>MIN(DatiRipuliti!E2602:E2701)</f>
        <v>1528000</v>
      </c>
      <c r="F28" s="4">
        <f>MIN(DatiRipuliti!F2602:F2701)</f>
        <v>14765009</v>
      </c>
      <c r="G28" s="4">
        <f>MIN(DatiRipuliti!G2602:G2701)</f>
        <v>513300</v>
      </c>
      <c r="H28" s="4">
        <f>MIN(DatiRipuliti!H2602:H2701)</f>
        <v>18570027</v>
      </c>
      <c r="I28" s="4">
        <f>MIN(DatiRipuliti!I2602:I2701)</f>
        <v>174000</v>
      </c>
      <c r="J28" s="4">
        <f>MIN(DatiRipuliti!J2602:J2701)</f>
        <v>18541962</v>
      </c>
      <c r="K28" s="4">
        <f>MIN(DatiRipuliti!K2602:K2701)</f>
        <v>189600</v>
      </c>
    </row>
    <row r="29" spans="1:11" s="4" customFormat="1" x14ac:dyDescent="0.3">
      <c r="A29" s="4">
        <v>1400</v>
      </c>
      <c r="B29" s="4">
        <f>MIN(DatiRipuliti!B2702:B2801)</f>
        <v>979300</v>
      </c>
      <c r="C29" s="4">
        <f>MIN(DatiRipuliti!C2702:C2801)</f>
        <v>8507500</v>
      </c>
      <c r="D29" s="4">
        <f>MIN(DatiRipuliti!D2702:D2801)</f>
        <v>472727</v>
      </c>
      <c r="E29" s="4">
        <f>MIN(DatiRipuliti!E2702:E2801)</f>
        <v>1644000</v>
      </c>
      <c r="F29" s="4">
        <f>MIN(DatiRipuliti!F2702:F2801)</f>
        <v>16002072</v>
      </c>
      <c r="G29" s="4">
        <f>MIN(DatiRipuliti!G2702:G2801)</f>
        <v>534400</v>
      </c>
      <c r="H29" s="4">
        <f>MIN(DatiRipuliti!H2702:H2801)</f>
        <v>20135198</v>
      </c>
      <c r="I29" s="4">
        <f>MIN(DatiRipuliti!I2702:I2801)</f>
        <v>179600</v>
      </c>
      <c r="J29" s="4">
        <f>MIN(DatiRipuliti!J2702:J2801)</f>
        <v>20100613</v>
      </c>
      <c r="K29" s="4">
        <f>MIN(DatiRipuliti!K2702:K2801)</f>
        <v>197800</v>
      </c>
    </row>
    <row r="30" spans="1:11" s="4" customFormat="1" x14ac:dyDescent="0.3">
      <c r="A30" s="4">
        <v>1450</v>
      </c>
      <c r="B30" s="4">
        <f>MIN(DatiRipuliti!B2802:B2901)</f>
        <v>1050525</v>
      </c>
      <c r="C30" s="4">
        <f>MIN(DatiRipuliti!C2802:C2901)</f>
        <v>9228600</v>
      </c>
      <c r="D30" s="4">
        <f>MIN(DatiRipuliti!D2802:D2901)</f>
        <v>505538</v>
      </c>
      <c r="E30" s="4">
        <f>MIN(DatiRipuliti!E2802:E2901)</f>
        <v>1744700</v>
      </c>
      <c r="F30" s="4">
        <f>MIN(DatiRipuliti!F2802:F2901)</f>
        <v>17292420</v>
      </c>
      <c r="G30" s="4">
        <f>MIN(DatiRipuliti!G2802:G2901)</f>
        <v>556800</v>
      </c>
      <c r="H30" s="4">
        <f>MIN(DatiRipuliti!H2802:H2901)</f>
        <v>21759591</v>
      </c>
      <c r="I30" s="4">
        <f>MIN(DatiRipuliti!I2802:I2901)</f>
        <v>189300</v>
      </c>
      <c r="J30" s="4">
        <f>MIN(DatiRipuliti!J2802:J2901)</f>
        <v>21731791</v>
      </c>
      <c r="K30" s="4">
        <f>MIN(DatiRipuliti!K2802:K2901)</f>
        <v>207100</v>
      </c>
    </row>
    <row r="31" spans="1:11" s="4" customFormat="1" x14ac:dyDescent="0.3">
      <c r="A31" s="4">
        <v>1500</v>
      </c>
      <c r="B31" s="4">
        <f>MIN(DatiRipuliti!B2902:B3001)</f>
        <v>1124250</v>
      </c>
      <c r="C31" s="4">
        <f>MIN(DatiRipuliti!C2902:C3001)</f>
        <v>9857900</v>
      </c>
      <c r="D31" s="4">
        <f>MIN(DatiRipuliti!D2902:D3001)</f>
        <v>540543</v>
      </c>
      <c r="E31" s="4">
        <f>MIN(DatiRipuliti!E2902:E3001)</f>
        <v>1866700</v>
      </c>
      <c r="F31" s="4">
        <f>MIN(DatiRipuliti!F2902:F3001)</f>
        <v>18636078</v>
      </c>
      <c r="G31" s="4">
        <f>MIN(DatiRipuliti!G2902:G3001)</f>
        <v>574300</v>
      </c>
      <c r="H31" s="4">
        <f>MIN(DatiRipuliti!H2902:H3001)</f>
        <v>23486253</v>
      </c>
      <c r="I31" s="4">
        <f>MIN(DatiRipuliti!I2902:I3001)</f>
        <v>193000</v>
      </c>
      <c r="J31" s="4">
        <f>MIN(DatiRipuliti!J2902:J3001)</f>
        <v>23436244</v>
      </c>
      <c r="K31" s="4">
        <f>MIN(DatiRipuliti!K2902:K3001)</f>
        <v>213700</v>
      </c>
    </row>
    <row r="1048576" spans="1:1" s="4" customFormat="1" x14ac:dyDescent="0.3">
      <c r="A1048576" s="4">
        <f>SUM(A2:A1048575)</f>
        <v>23250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9D0B-870B-44EC-A8E3-F5111B555FEC}">
  <dimension ref="A1:AC1048576"/>
  <sheetViews>
    <sheetView topLeftCell="A2" workbookViewId="0">
      <selection activeCell="C2" sqref="C2"/>
    </sheetView>
  </sheetViews>
  <sheetFormatPr defaultRowHeight="14.4" x14ac:dyDescent="0.3"/>
  <cols>
    <col min="1" max="1" width="6" style="4" bestFit="1" customWidth="1"/>
    <col min="2" max="2" width="18.21875" style="4" bestFit="1" customWidth="1"/>
    <col min="3" max="3" width="13.21875" style="4" bestFit="1" customWidth="1"/>
    <col min="4" max="4" width="17.6640625" style="4" bestFit="1" customWidth="1"/>
    <col min="5" max="5" width="12.5546875" style="4" bestFit="1" customWidth="1"/>
    <col min="6" max="6" width="18.5546875" style="4" bestFit="1" customWidth="1"/>
    <col min="7" max="7" width="13.5546875" style="4" bestFit="1" customWidth="1"/>
    <col min="8" max="8" width="18.44140625" style="4" bestFit="1" customWidth="1"/>
    <col min="9" max="9" width="13.44140625" style="4" bestFit="1" customWidth="1"/>
    <col min="10" max="10" width="19.5546875" style="4" bestFit="1" customWidth="1"/>
    <col min="11" max="11" width="14.5546875" style="4" bestFit="1" customWidth="1"/>
    <col min="30" max="16384" width="8.88671875" style="4"/>
  </cols>
  <sheetData>
    <row r="1" spans="1:11" s="4" customFormat="1" x14ac:dyDescent="0.3">
      <c r="A1" s="3" t="s">
        <v>3011</v>
      </c>
      <c r="B1" s="3" t="s">
        <v>3023</v>
      </c>
      <c r="C1" s="3" t="s">
        <v>3024</v>
      </c>
      <c r="D1" s="3" t="s">
        <v>3025</v>
      </c>
      <c r="E1" s="3" t="s">
        <v>3026</v>
      </c>
      <c r="F1" s="3" t="s">
        <v>3027</v>
      </c>
      <c r="G1" s="3" t="s">
        <v>3028</v>
      </c>
      <c r="H1" s="3" t="s">
        <v>3029</v>
      </c>
      <c r="I1" s="3" t="s">
        <v>3030</v>
      </c>
      <c r="J1" s="3" t="s">
        <v>3031</v>
      </c>
      <c r="K1" s="3" t="s">
        <v>3032</v>
      </c>
    </row>
    <row r="2" spans="1:11" s="4" customFormat="1" x14ac:dyDescent="0.3">
      <c r="A2" s="4">
        <v>50</v>
      </c>
      <c r="B2" s="4">
        <f>MAX(DatiRipuliti!B2:B101)</f>
        <v>1225</v>
      </c>
      <c r="C2" s="4">
        <f>MAX(DatiRipuliti!C2:C101)</f>
        <v>728600</v>
      </c>
      <c r="D2" s="4">
        <f>MAX(DatiRipuliti!D2:D101)</f>
        <v>822</v>
      </c>
      <c r="E2" s="4">
        <f>MAX(DatiRipuliti!E2:E101)</f>
        <v>275300</v>
      </c>
      <c r="F2" s="4">
        <f>MAX(DatiRipuliti!F2:F101)</f>
        <v>22200</v>
      </c>
      <c r="G2" s="4">
        <f>MAX(DatiRipuliti!G2:G101)</f>
        <v>462800</v>
      </c>
      <c r="H2" s="4">
        <f>MAX(DatiRipuliti!H2:H101)</f>
        <v>26083</v>
      </c>
      <c r="I2" s="4">
        <f>MAX(DatiRipuliti!I2:I101)</f>
        <v>201200</v>
      </c>
      <c r="J2" s="4">
        <f>MAX(DatiRipuliti!J2:J101)</f>
        <v>25814</v>
      </c>
      <c r="K2" s="4">
        <f>MAX(DatiRipuliti!K2:K101)</f>
        <v>225800</v>
      </c>
    </row>
    <row r="3" spans="1:11" s="4" customFormat="1" x14ac:dyDescent="0.3">
      <c r="A3" s="4">
        <v>100</v>
      </c>
      <c r="B3" s="4">
        <f>MAX(DatiRipuliti!B102:B201)</f>
        <v>4950</v>
      </c>
      <c r="C3" s="4">
        <f>MAX(DatiRipuliti!C102:C201)</f>
        <v>52800</v>
      </c>
      <c r="D3" s="4">
        <f>MAX(DatiRipuliti!D102:D201)</f>
        <v>3000</v>
      </c>
      <c r="E3" s="4">
        <f>MAX(DatiRipuliti!E102:E201)</f>
        <v>132400</v>
      </c>
      <c r="F3" s="4">
        <f>MAX(DatiRipuliti!F102:F201)</f>
        <v>76305</v>
      </c>
      <c r="G3" s="4">
        <f>MAX(DatiRipuliti!G102:G201)</f>
        <v>73300</v>
      </c>
      <c r="H3" s="4">
        <f>MAX(DatiRipuliti!H102:H201)</f>
        <v>91469</v>
      </c>
      <c r="I3" s="4">
        <f>MAX(DatiRipuliti!I102:I201)</f>
        <v>74700</v>
      </c>
      <c r="J3" s="4">
        <f>MAX(DatiRipuliti!J102:J201)</f>
        <v>91442</v>
      </c>
      <c r="K3" s="4">
        <f>MAX(DatiRipuliti!K102:K201)</f>
        <v>69800</v>
      </c>
    </row>
    <row r="4" spans="1:11" s="4" customFormat="1" x14ac:dyDescent="0.3">
      <c r="A4" s="4">
        <v>150</v>
      </c>
      <c r="B4" s="4">
        <f>MAX(DatiRipuliti!B202:B301)</f>
        <v>11175</v>
      </c>
      <c r="C4" s="4">
        <f>MAX(DatiRipuliti!C202:C301)</f>
        <v>110300</v>
      </c>
      <c r="D4" s="4">
        <f>MAX(DatiRipuliti!D202:D301)</f>
        <v>6310</v>
      </c>
      <c r="E4" s="4">
        <f>MAX(DatiRipuliti!E202:E301)</f>
        <v>47600</v>
      </c>
      <c r="F4" s="4">
        <f>MAX(DatiRipuliti!F202:F301)</f>
        <v>166170</v>
      </c>
      <c r="G4" s="4">
        <f>MAX(DatiRipuliti!G202:G301)</f>
        <v>107800</v>
      </c>
      <c r="H4" s="4">
        <f>MAX(DatiRipuliti!H202:H301)</f>
        <v>199706</v>
      </c>
      <c r="I4" s="4">
        <f>MAX(DatiRipuliti!I202:I301)</f>
        <v>46700</v>
      </c>
      <c r="J4" s="4">
        <f>MAX(DatiRipuliti!J202:J301)</f>
        <v>199621</v>
      </c>
      <c r="K4" s="4">
        <f>MAX(DatiRipuliti!K202:K301)</f>
        <v>39300</v>
      </c>
    </row>
    <row r="5" spans="1:11" s="4" customFormat="1" x14ac:dyDescent="0.3">
      <c r="A5" s="4">
        <v>200</v>
      </c>
      <c r="B5" s="4">
        <f>MAX(DatiRipuliti!B302:B401)</f>
        <v>19900</v>
      </c>
      <c r="C5" s="4">
        <f>MAX(DatiRipuliti!C302:C401)</f>
        <v>216300</v>
      </c>
      <c r="D5" s="4">
        <f>MAX(DatiRipuliti!D302:D401)</f>
        <v>11203</v>
      </c>
      <c r="E5" s="4">
        <f>MAX(DatiRipuliti!E302:E401)</f>
        <v>79700</v>
      </c>
      <c r="F5" s="4">
        <f>MAX(DatiRipuliti!F302:F401)</f>
        <v>294277</v>
      </c>
      <c r="G5" s="4">
        <f>MAX(DatiRipuliti!G302:G401)</f>
        <v>149900</v>
      </c>
      <c r="H5" s="4">
        <f>MAX(DatiRipuliti!H302:H401)</f>
        <v>356749</v>
      </c>
      <c r="I5" s="4">
        <f>MAX(DatiRipuliti!I302:I401)</f>
        <v>33800</v>
      </c>
      <c r="J5" s="4">
        <f>MAX(DatiRipuliti!J302:J401)</f>
        <v>357105</v>
      </c>
      <c r="K5" s="4">
        <f>MAX(DatiRipuliti!K302:K401)</f>
        <v>83300</v>
      </c>
    </row>
    <row r="6" spans="1:11" s="4" customFormat="1" x14ac:dyDescent="0.3">
      <c r="A6" s="4">
        <v>250</v>
      </c>
      <c r="B6" s="4">
        <f>MAX(DatiRipuliti!B402:B501)</f>
        <v>31125</v>
      </c>
      <c r="C6" s="4">
        <f>MAX(DatiRipuliti!C402:C501)</f>
        <v>393100</v>
      </c>
      <c r="D6" s="4">
        <f>MAX(DatiRipuliti!D402:D501)</f>
        <v>17461</v>
      </c>
      <c r="E6" s="4">
        <f>MAX(DatiRipuliti!E402:E501)</f>
        <v>128100</v>
      </c>
      <c r="F6" s="4">
        <f>MAX(DatiRipuliti!F402:F501)</f>
        <v>462029</v>
      </c>
      <c r="G6" s="4">
        <f>MAX(DatiRipuliti!G402:G501)</f>
        <v>160300</v>
      </c>
      <c r="H6" s="4">
        <f>MAX(DatiRipuliti!H402:H501)</f>
        <v>564793</v>
      </c>
      <c r="I6" s="4">
        <f>MAX(DatiRipuliti!I402:I501)</f>
        <v>56600</v>
      </c>
      <c r="J6" s="4">
        <f>MAX(DatiRipuliti!J402:J501)</f>
        <v>561366</v>
      </c>
      <c r="K6" s="4">
        <f>MAX(DatiRipuliti!K402:K501)</f>
        <v>50200</v>
      </c>
    </row>
    <row r="7" spans="1:11" s="4" customFormat="1" x14ac:dyDescent="0.3">
      <c r="A7" s="4">
        <v>300</v>
      </c>
      <c r="B7" s="4">
        <f>MAX(DatiRipuliti!B502:B601)</f>
        <v>44850</v>
      </c>
      <c r="C7" s="4">
        <f>MAX(DatiRipuliti!C502:C601)</f>
        <v>428500</v>
      </c>
      <c r="D7" s="4">
        <f>MAX(DatiRipuliti!D502:D601)</f>
        <v>24642</v>
      </c>
      <c r="E7" s="4">
        <f>MAX(DatiRipuliti!E502:E601)</f>
        <v>205000</v>
      </c>
      <c r="F7" s="4">
        <f>MAX(DatiRipuliti!F502:F601)</f>
        <v>671818</v>
      </c>
      <c r="G7" s="4">
        <f>MAX(DatiRipuliti!G502:G601)</f>
        <v>220300</v>
      </c>
      <c r="H7" s="4">
        <f>MAX(DatiRipuliti!H502:H601)</f>
        <v>822349</v>
      </c>
      <c r="I7" s="4">
        <f>MAX(DatiRipuliti!I502:I601)</f>
        <v>51800</v>
      </c>
      <c r="J7" s="4">
        <f>MAX(DatiRipuliti!J502:J601)</f>
        <v>819426</v>
      </c>
      <c r="K7" s="4">
        <f>MAX(DatiRipuliti!K502:K601)</f>
        <v>67100</v>
      </c>
    </row>
    <row r="8" spans="1:11" s="4" customFormat="1" x14ac:dyDescent="0.3">
      <c r="A8" s="4">
        <v>350</v>
      </c>
      <c r="B8" s="4">
        <f>MAX(DatiRipuliti!B602:B701)</f>
        <v>61075</v>
      </c>
      <c r="C8" s="4">
        <f>MAX(DatiRipuliti!C602:C701)</f>
        <v>564800</v>
      </c>
      <c r="D8" s="4">
        <f>MAX(DatiRipuliti!D602:D701)</f>
        <v>33354</v>
      </c>
      <c r="E8" s="4">
        <f>MAX(DatiRipuliti!E602:E701)</f>
        <v>230800</v>
      </c>
      <c r="F8" s="4">
        <f>MAX(DatiRipuliti!F602:F701)</f>
        <v>924351</v>
      </c>
      <c r="G8" s="4">
        <f>MAX(DatiRipuliti!G602:G701)</f>
        <v>350700</v>
      </c>
      <c r="H8" s="4">
        <f>MAX(DatiRipuliti!H602:H701)</f>
        <v>1135369</v>
      </c>
      <c r="I8" s="4">
        <f>MAX(DatiRipuliti!I602:I701)</f>
        <v>63600</v>
      </c>
      <c r="J8" s="4">
        <f>MAX(DatiRipuliti!J602:J701)</f>
        <v>1131854</v>
      </c>
      <c r="K8" s="4">
        <f>MAX(DatiRipuliti!K602:K701)</f>
        <v>82000</v>
      </c>
    </row>
    <row r="9" spans="1:11" s="4" customFormat="1" x14ac:dyDescent="0.3">
      <c r="A9" s="4">
        <v>400</v>
      </c>
      <c r="B9" s="4">
        <f>MAX(DatiRipuliti!B702:B801)</f>
        <v>79800</v>
      </c>
      <c r="C9" s="4">
        <f>MAX(DatiRipuliti!C702:C801)</f>
        <v>736200</v>
      </c>
      <c r="D9" s="4">
        <f>MAX(DatiRipuliti!D702:D801)</f>
        <v>42854</v>
      </c>
      <c r="E9" s="4">
        <f>MAX(DatiRipuliti!E702:E801)</f>
        <v>266000</v>
      </c>
      <c r="F9" s="4">
        <f>MAX(DatiRipuliti!F702:F801)</f>
        <v>1220477</v>
      </c>
      <c r="G9" s="4">
        <f>MAX(DatiRipuliti!G702:G801)</f>
        <v>271400</v>
      </c>
      <c r="H9" s="4">
        <f>MAX(DatiRipuliti!H702:H801)</f>
        <v>1507050</v>
      </c>
      <c r="I9" s="4">
        <f>MAX(DatiRipuliti!I702:I801)</f>
        <v>71800</v>
      </c>
      <c r="J9" s="4">
        <f>MAX(DatiRipuliti!J702:J801)</f>
        <v>1498127</v>
      </c>
      <c r="K9" s="4">
        <f>MAX(DatiRipuliti!K702:K801)</f>
        <v>78000</v>
      </c>
    </row>
    <row r="10" spans="1:11" s="4" customFormat="1" x14ac:dyDescent="0.3">
      <c r="A10" s="4">
        <v>450</v>
      </c>
      <c r="B10" s="4">
        <f>MAX(DatiRipuliti!B802:B901)</f>
        <v>101025</v>
      </c>
      <c r="C10" s="4">
        <f>MAX(DatiRipuliti!C802:C901)</f>
        <v>1023500</v>
      </c>
      <c r="D10" s="4">
        <f>MAX(DatiRipuliti!D802:D901)</f>
        <v>54507</v>
      </c>
      <c r="E10" s="4">
        <f>MAX(DatiRipuliti!E802:E901)</f>
        <v>354600</v>
      </c>
      <c r="F10" s="4">
        <f>MAX(DatiRipuliti!F802:F901)</f>
        <v>1561118</v>
      </c>
      <c r="G10" s="4">
        <f>MAX(DatiRipuliti!G802:G901)</f>
        <v>271300</v>
      </c>
      <c r="H10" s="4">
        <f>MAX(DatiRipuliti!H802:H901)</f>
        <v>1930954</v>
      </c>
      <c r="I10" s="4">
        <f>MAX(DatiRipuliti!I802:I901)</f>
        <v>69900</v>
      </c>
      <c r="J10" s="4">
        <f>MAX(DatiRipuliti!J802:J901)</f>
        <v>1919835</v>
      </c>
      <c r="K10" s="4">
        <f>MAX(DatiRipuliti!K802:K901)</f>
        <v>81800</v>
      </c>
    </row>
    <row r="11" spans="1:11" s="4" customFormat="1" x14ac:dyDescent="0.3">
      <c r="A11" s="4">
        <v>500</v>
      </c>
      <c r="B11" s="4">
        <f>MAX(DatiRipuliti!B902:B1001)</f>
        <v>124750</v>
      </c>
      <c r="C11" s="4">
        <f>MAX(DatiRipuliti!C902:C1001)</f>
        <v>1381600</v>
      </c>
      <c r="D11" s="4">
        <f>MAX(DatiRipuliti!D902:D1001)</f>
        <v>66990</v>
      </c>
      <c r="E11" s="4">
        <f>MAX(DatiRipuliti!E902:E1001)</f>
        <v>383600</v>
      </c>
      <c r="F11" s="4">
        <f>MAX(DatiRipuliti!F902:F1001)</f>
        <v>1946372</v>
      </c>
      <c r="G11" s="4">
        <f>MAX(DatiRipuliti!G902:G1001)</f>
        <v>303900</v>
      </c>
      <c r="H11" s="4">
        <f>MAX(DatiRipuliti!H902:H1001)</f>
        <v>2407597</v>
      </c>
      <c r="I11" s="4">
        <f>MAX(DatiRipuliti!I902:I1001)</f>
        <v>104200</v>
      </c>
      <c r="J11" s="4">
        <f>MAX(DatiRipuliti!J902:J1001)</f>
        <v>2399168</v>
      </c>
      <c r="K11" s="4">
        <f>MAX(DatiRipuliti!K902:K1001)</f>
        <v>98600</v>
      </c>
    </row>
    <row r="12" spans="1:11" s="4" customFormat="1" x14ac:dyDescent="0.3">
      <c r="A12" s="4">
        <v>550</v>
      </c>
      <c r="B12" s="4">
        <f>MAX(DatiRipuliti!B1002:B1101)</f>
        <v>150975</v>
      </c>
      <c r="C12" s="4">
        <f>MAX(DatiRipuliti!C1002:C1101)</f>
        <v>1513900</v>
      </c>
      <c r="D12" s="4">
        <f>MAX(DatiRipuliti!D1002:D1101)</f>
        <v>81666</v>
      </c>
      <c r="E12" s="4">
        <f>MAX(DatiRipuliti!E1002:E1101)</f>
        <v>456900</v>
      </c>
      <c r="F12" s="4">
        <f>MAX(DatiRipuliti!F1002:F1101)</f>
        <v>2378256</v>
      </c>
      <c r="G12" s="4">
        <f>MAX(DatiRipuliti!G1002:G1101)</f>
        <v>1689100</v>
      </c>
      <c r="H12" s="4">
        <f>MAX(DatiRipuliti!H1002:H1101)</f>
        <v>2948144</v>
      </c>
      <c r="I12" s="4">
        <f>MAX(DatiRipuliti!I1002:I1101)</f>
        <v>174500</v>
      </c>
      <c r="J12" s="4">
        <f>MAX(DatiRipuliti!J1002:J1101)</f>
        <v>2938145</v>
      </c>
      <c r="K12" s="4">
        <f>MAX(DatiRipuliti!K1002:K1101)</f>
        <v>98200</v>
      </c>
    </row>
    <row r="13" spans="1:11" s="4" customFormat="1" x14ac:dyDescent="0.3">
      <c r="A13" s="4">
        <v>600</v>
      </c>
      <c r="B13" s="4">
        <f>MAX(DatiRipuliti!B1102:B1201)</f>
        <v>179700</v>
      </c>
      <c r="C13" s="4">
        <f>MAX(DatiRipuliti!C1102:C1201)</f>
        <v>1810000</v>
      </c>
      <c r="D13" s="4">
        <f>MAX(DatiRipuliti!D1102:D1201)</f>
        <v>95497</v>
      </c>
      <c r="E13" s="4">
        <f>MAX(DatiRipuliti!E1102:E1201)</f>
        <v>587800</v>
      </c>
      <c r="F13" s="4">
        <f>MAX(DatiRipuliti!F1102:F1201)</f>
        <v>2857621</v>
      </c>
      <c r="G13" s="4">
        <f>MAX(DatiRipuliti!G1102:G1201)</f>
        <v>327100</v>
      </c>
      <c r="H13" s="4">
        <f>MAX(DatiRipuliti!H1102:H1201)</f>
        <v>3550603</v>
      </c>
      <c r="I13" s="4">
        <f>MAX(DatiRipuliti!I1102:I1201)</f>
        <v>107000</v>
      </c>
      <c r="J13" s="4">
        <f>MAX(DatiRipuliti!J1102:J1201)</f>
        <v>3537316</v>
      </c>
      <c r="K13" s="4">
        <f>MAX(DatiRipuliti!K1102:K1201)</f>
        <v>128400</v>
      </c>
    </row>
    <row r="14" spans="1:11" s="4" customFormat="1" x14ac:dyDescent="0.3">
      <c r="A14" s="4">
        <v>650</v>
      </c>
      <c r="B14" s="4">
        <f>MAX(DatiRipuliti!B1202:B1301)</f>
        <v>210925</v>
      </c>
      <c r="C14" s="4">
        <f>MAX(DatiRipuliti!C1202:C1301)</f>
        <v>2035500</v>
      </c>
      <c r="D14" s="4">
        <f>MAX(DatiRipuliti!D1202:D1301)</f>
        <v>113534</v>
      </c>
      <c r="E14" s="4">
        <f>MAX(DatiRipuliti!E1202:E1301)</f>
        <v>625100</v>
      </c>
      <c r="F14" s="4">
        <f>MAX(DatiRipuliti!F1202:F1301)</f>
        <v>3384454</v>
      </c>
      <c r="G14" s="4">
        <f>MAX(DatiRipuliti!G1202:G1301)</f>
        <v>337700</v>
      </c>
      <c r="H14" s="4">
        <f>MAX(DatiRipuliti!H1202:H1301)</f>
        <v>4211662</v>
      </c>
      <c r="I14" s="4">
        <f>MAX(DatiRipuliti!I1202:I1301)</f>
        <v>106400</v>
      </c>
      <c r="J14" s="4">
        <f>MAX(DatiRipuliti!J1202:J1301)</f>
        <v>4197113</v>
      </c>
      <c r="K14" s="4">
        <f>MAX(DatiRipuliti!K1202:K1301)</f>
        <v>102400</v>
      </c>
    </row>
    <row r="15" spans="1:11" s="4" customFormat="1" x14ac:dyDescent="0.3">
      <c r="A15" s="4">
        <v>700</v>
      </c>
      <c r="B15" s="4">
        <f>MAX(DatiRipuliti!B1302:B1401)</f>
        <v>244650</v>
      </c>
      <c r="C15" s="4">
        <f>MAX(DatiRipuliti!C1302:C1401)</f>
        <v>2369900</v>
      </c>
      <c r="D15" s="4">
        <f>MAX(DatiRipuliti!D1302:D1401)</f>
        <v>131557</v>
      </c>
      <c r="E15" s="4">
        <f>MAX(DatiRipuliti!E1302:E1401)</f>
        <v>705800</v>
      </c>
      <c r="F15" s="4">
        <f>MAX(DatiRipuliti!F1302:F1401)</f>
        <v>3959457</v>
      </c>
      <c r="G15" s="4">
        <f>MAX(DatiRipuliti!G1302:G1401)</f>
        <v>352300</v>
      </c>
      <c r="H15" s="4">
        <f>MAX(DatiRipuliti!H1302:H1401)</f>
        <v>4928632</v>
      </c>
      <c r="I15" s="4">
        <f>MAX(DatiRipuliti!I1302:I1401)</f>
        <v>119000</v>
      </c>
      <c r="J15" s="4">
        <f>MAX(DatiRipuliti!J1302:J1401)</f>
        <v>4921753</v>
      </c>
      <c r="K15" s="4">
        <f>MAX(DatiRipuliti!K1302:K1401)</f>
        <v>150900</v>
      </c>
    </row>
    <row r="16" spans="1:11" s="4" customFormat="1" x14ac:dyDescent="0.3">
      <c r="A16" s="4">
        <v>750</v>
      </c>
      <c r="B16" s="4">
        <f>MAX(DatiRipuliti!B1402:B1501)</f>
        <v>280875</v>
      </c>
      <c r="C16" s="4">
        <f>MAX(DatiRipuliti!C1402:C1501)</f>
        <v>2770700</v>
      </c>
      <c r="D16" s="4">
        <f>MAX(DatiRipuliti!D1402:D1501)</f>
        <v>149803</v>
      </c>
      <c r="E16" s="4">
        <f>MAX(DatiRipuliti!E1402:E1501)</f>
        <v>788700</v>
      </c>
      <c r="F16" s="4">
        <f>MAX(DatiRipuliti!F1402:F1501)</f>
        <v>4582833</v>
      </c>
      <c r="G16" s="4">
        <f>MAX(DatiRipuliti!G1402:G1501)</f>
        <v>414800</v>
      </c>
      <c r="H16" s="4">
        <f>MAX(DatiRipuliti!H1402:H1501)</f>
        <v>5714166</v>
      </c>
      <c r="I16" s="4">
        <f>MAX(DatiRipuliti!I1402:I1501)</f>
        <v>129300</v>
      </c>
      <c r="J16" s="4">
        <f>MAX(DatiRipuliti!J1402:J1501)</f>
        <v>5707616</v>
      </c>
      <c r="K16" s="4">
        <f>MAX(DatiRipuliti!K1402:K1501)</f>
        <v>154700</v>
      </c>
    </row>
    <row r="17" spans="1:11" s="4" customFormat="1" x14ac:dyDescent="0.3">
      <c r="A17" s="4">
        <v>800</v>
      </c>
      <c r="B17" s="4">
        <f>MAX(DatiRipuliti!B1502:B1601)</f>
        <v>319600</v>
      </c>
      <c r="C17" s="4">
        <f>MAX(DatiRipuliti!C1502:C1601)</f>
        <v>3034800</v>
      </c>
      <c r="D17" s="4">
        <f>MAX(DatiRipuliti!D1502:D1601)</f>
        <v>168546</v>
      </c>
      <c r="E17" s="4">
        <f>MAX(DatiRipuliti!E1502:E1601)</f>
        <v>732700</v>
      </c>
      <c r="F17" s="4">
        <f>MAX(DatiRipuliti!F1502:F1601)</f>
        <v>5255341</v>
      </c>
      <c r="G17" s="4">
        <f>MAX(DatiRipuliti!G1502:G1601)</f>
        <v>1582400</v>
      </c>
      <c r="H17" s="4">
        <f>MAX(DatiRipuliti!H1502:H1601)</f>
        <v>6552435</v>
      </c>
      <c r="I17" s="4">
        <f>MAX(DatiRipuliti!I1502:I1601)</f>
        <v>133100</v>
      </c>
      <c r="J17" s="4">
        <f>MAX(DatiRipuliti!J1502:J1601)</f>
        <v>6545951</v>
      </c>
      <c r="K17" s="4">
        <f>MAX(DatiRipuliti!K1502:K1601)</f>
        <v>159300</v>
      </c>
    </row>
    <row r="18" spans="1:11" s="4" customFormat="1" x14ac:dyDescent="0.3">
      <c r="A18" s="4">
        <v>850</v>
      </c>
      <c r="B18" s="4">
        <f>MAX(DatiRipuliti!B1602:B1701)</f>
        <v>360825</v>
      </c>
      <c r="C18" s="4">
        <f>MAX(DatiRipuliti!C1602:C1701)</f>
        <v>3792100</v>
      </c>
      <c r="D18" s="4">
        <f>MAX(DatiRipuliti!D1602:D1701)</f>
        <v>188371</v>
      </c>
      <c r="E18" s="4">
        <f>MAX(DatiRipuliti!E1602:E1701)</f>
        <v>1148600</v>
      </c>
      <c r="F18" s="4">
        <f>MAX(DatiRipuliti!F1602:F1701)</f>
        <v>5976689</v>
      </c>
      <c r="G18" s="4">
        <f>MAX(DatiRipuliti!G1602:G1701)</f>
        <v>835300</v>
      </c>
      <c r="H18" s="4">
        <f>MAX(DatiRipuliti!H1602:H1701)</f>
        <v>7458544</v>
      </c>
      <c r="I18" s="4">
        <f>MAX(DatiRipuliti!I1602:I1701)</f>
        <v>151800</v>
      </c>
      <c r="J18" s="4">
        <f>MAX(DatiRipuliti!J1602:J1701)</f>
        <v>7447044</v>
      </c>
      <c r="K18" s="4">
        <f>MAX(DatiRipuliti!K1602:K1701)</f>
        <v>163800</v>
      </c>
    </row>
    <row r="19" spans="1:11" s="4" customFormat="1" x14ac:dyDescent="0.3">
      <c r="A19" s="4">
        <v>900</v>
      </c>
      <c r="B19" s="4">
        <f>MAX(DatiRipuliti!B1702:B1801)</f>
        <v>404550</v>
      </c>
      <c r="C19" s="4">
        <f>MAX(DatiRipuliti!C1702:C1801)</f>
        <v>3966700</v>
      </c>
      <c r="D19" s="4">
        <f>MAX(DatiRipuliti!D1702:D1801)</f>
        <v>211797</v>
      </c>
      <c r="E19" s="4">
        <f>MAX(DatiRipuliti!E1702:E1801)</f>
        <v>1075100</v>
      </c>
      <c r="F19" s="4">
        <f>MAX(DatiRipuliti!F1702:F1801)</f>
        <v>6747479</v>
      </c>
      <c r="G19" s="4">
        <f>MAX(DatiRipuliti!G1702:G1801)</f>
        <v>520500</v>
      </c>
      <c r="H19" s="4">
        <f>MAX(DatiRipuliti!H1702:H1801)</f>
        <v>8422494</v>
      </c>
      <c r="I19" s="4">
        <f>MAX(DatiRipuliti!I1702:I1801)</f>
        <v>176400</v>
      </c>
      <c r="J19" s="4">
        <f>MAX(DatiRipuliti!J1702:J1801)</f>
        <v>8418253</v>
      </c>
      <c r="K19" s="4">
        <f>MAX(DatiRipuliti!K1702:K1801)</f>
        <v>198000</v>
      </c>
    </row>
    <row r="20" spans="1:11" s="4" customFormat="1" x14ac:dyDescent="0.3">
      <c r="A20" s="4">
        <v>950</v>
      </c>
      <c r="B20" s="4">
        <f>MAX(DatiRipuliti!B1802:B1901)</f>
        <v>450775</v>
      </c>
      <c r="C20" s="4">
        <f>MAX(DatiRipuliti!C1802:C1901)</f>
        <v>4313700</v>
      </c>
      <c r="D20" s="4">
        <f>MAX(DatiRipuliti!D1802:D1901)</f>
        <v>239952</v>
      </c>
      <c r="E20" s="4">
        <f>MAX(DatiRipuliti!E1802:E1901)</f>
        <v>1070900</v>
      </c>
      <c r="F20" s="4">
        <f>MAX(DatiRipuliti!F1802:F1901)</f>
        <v>7568190</v>
      </c>
      <c r="G20" s="4">
        <f>MAX(DatiRipuliti!G1802:G1901)</f>
        <v>470600</v>
      </c>
      <c r="H20" s="4">
        <f>MAX(DatiRipuliti!H1802:H1901)</f>
        <v>9445917</v>
      </c>
      <c r="I20" s="4">
        <f>MAX(DatiRipuliti!I1802:I1901)</f>
        <v>207900</v>
      </c>
      <c r="J20" s="4">
        <f>MAX(DatiRipuliti!J1802:J1901)</f>
        <v>9444324</v>
      </c>
      <c r="K20" s="4">
        <f>MAX(DatiRipuliti!K1802:K1901)</f>
        <v>186400</v>
      </c>
    </row>
    <row r="21" spans="1:11" s="4" customFormat="1" x14ac:dyDescent="0.3">
      <c r="A21" s="4">
        <v>1000</v>
      </c>
      <c r="B21" s="4">
        <f>MAX(DatiRipuliti!B1902:B2001)</f>
        <v>499500</v>
      </c>
      <c r="C21" s="4">
        <f>MAX(DatiRipuliti!C1902:C2001)</f>
        <v>4970100</v>
      </c>
      <c r="D21" s="4">
        <f>MAX(DatiRipuliti!D1902:D2001)</f>
        <v>265896</v>
      </c>
      <c r="E21" s="4">
        <f>MAX(DatiRipuliti!E1902:E2001)</f>
        <v>1181600</v>
      </c>
      <c r="F21" s="4">
        <f>MAX(DatiRipuliti!F1902:F2001)</f>
        <v>8438867</v>
      </c>
      <c r="G21" s="4">
        <f>MAX(DatiRipuliti!G1902:G2001)</f>
        <v>612100</v>
      </c>
      <c r="H21" s="4">
        <f>MAX(DatiRipuliti!H1902:H2001)</f>
        <v>10556080</v>
      </c>
      <c r="I21" s="4">
        <f>MAX(DatiRipuliti!I1902:I2001)</f>
        <v>203800</v>
      </c>
      <c r="J21" s="4">
        <f>MAX(DatiRipuliti!J1902:J2001)</f>
        <v>10539559</v>
      </c>
      <c r="K21" s="4">
        <f>MAX(DatiRipuliti!K1902:K2001)</f>
        <v>208800</v>
      </c>
    </row>
    <row r="22" spans="1:11" s="4" customFormat="1" x14ac:dyDescent="0.3">
      <c r="A22" s="4">
        <v>1050</v>
      </c>
      <c r="B22" s="4">
        <f>MAX(DatiRipuliti!B2002:B2101)</f>
        <v>550725</v>
      </c>
      <c r="C22" s="4">
        <f>MAX(DatiRipuliti!C2002:C2101)</f>
        <v>5542600</v>
      </c>
      <c r="D22" s="4">
        <f>MAX(DatiRipuliti!D2002:D2101)</f>
        <v>287656</v>
      </c>
      <c r="E22" s="4">
        <f>MAX(DatiRipuliti!E2002:E2101)</f>
        <v>1330800</v>
      </c>
      <c r="F22" s="4">
        <f>MAX(DatiRipuliti!F2002:F2101)</f>
        <v>9360643</v>
      </c>
      <c r="G22" s="4">
        <f>MAX(DatiRipuliti!G2002:G2101)</f>
        <v>822400</v>
      </c>
      <c r="H22" s="4">
        <f>MAX(DatiRipuliti!H2002:H2101)</f>
        <v>11726264</v>
      </c>
      <c r="I22" s="4">
        <f>MAX(DatiRipuliti!I2002:I2101)</f>
        <v>691300</v>
      </c>
      <c r="J22" s="4">
        <f>MAX(DatiRipuliti!J2002:J2101)</f>
        <v>11703162</v>
      </c>
      <c r="K22" s="4">
        <f>MAX(DatiRipuliti!K2002:K2101)</f>
        <v>203900</v>
      </c>
    </row>
    <row r="23" spans="1:11" s="4" customFormat="1" x14ac:dyDescent="0.3">
      <c r="A23" s="4">
        <v>1100</v>
      </c>
      <c r="B23" s="4">
        <f>MAX(DatiRipuliti!B2102:B2201)</f>
        <v>604450</v>
      </c>
      <c r="C23" s="4">
        <f>MAX(DatiRipuliti!C2102:C2201)</f>
        <v>6130900</v>
      </c>
      <c r="D23" s="4">
        <f>MAX(DatiRipuliti!D2102:D2201)</f>
        <v>319722</v>
      </c>
      <c r="E23" s="4">
        <f>MAX(DatiRipuliti!E2102:E2201)</f>
        <v>2312800</v>
      </c>
      <c r="F23" s="4">
        <f>MAX(DatiRipuliti!F2102:F2201)</f>
        <v>10334641</v>
      </c>
      <c r="G23" s="4">
        <f>MAX(DatiRipuliti!G2102:G2201)</f>
        <v>611000</v>
      </c>
      <c r="H23" s="4">
        <f>MAX(DatiRipuliti!H2102:H2201)</f>
        <v>12950743</v>
      </c>
      <c r="I23" s="4">
        <f>MAX(DatiRipuliti!I2102:I2201)</f>
        <v>231000</v>
      </c>
      <c r="J23" s="4">
        <f>MAX(DatiRipuliti!J2102:J2201)</f>
        <v>12940086</v>
      </c>
      <c r="K23" s="4">
        <f>MAX(DatiRipuliti!K2102:K2201)</f>
        <v>258000</v>
      </c>
    </row>
    <row r="24" spans="1:11" s="4" customFormat="1" x14ac:dyDescent="0.3">
      <c r="A24" s="4">
        <v>1150</v>
      </c>
      <c r="B24" s="4">
        <f>MAX(DatiRipuliti!B2202:B2301)</f>
        <v>660675</v>
      </c>
      <c r="C24" s="4">
        <f>MAX(DatiRipuliti!C2202:C2301)</f>
        <v>6897400</v>
      </c>
      <c r="D24" s="4">
        <f>MAX(DatiRipuliti!D2202:D2301)</f>
        <v>353638</v>
      </c>
      <c r="E24" s="4">
        <f>MAX(DatiRipuliti!E2202:E2301)</f>
        <v>2006300</v>
      </c>
      <c r="F24" s="4">
        <f>MAX(DatiRipuliti!F2202:F2301)</f>
        <v>11360344</v>
      </c>
      <c r="G24" s="4">
        <f>MAX(DatiRipuliti!G2202:G2301)</f>
        <v>674300</v>
      </c>
      <c r="H24" s="4">
        <f>MAX(DatiRipuliti!H2202:H2301)</f>
        <v>14232452</v>
      </c>
      <c r="I24" s="4">
        <f>MAX(DatiRipuliti!I2202:I2301)</f>
        <v>235900</v>
      </c>
      <c r="J24" s="4">
        <f>MAX(DatiRipuliti!J2202:J2301)</f>
        <v>14244273</v>
      </c>
      <c r="K24" s="4">
        <f>MAX(DatiRipuliti!K2202:K2301)</f>
        <v>224800</v>
      </c>
    </row>
    <row r="25" spans="1:11" s="4" customFormat="1" x14ac:dyDescent="0.3">
      <c r="A25" s="4">
        <v>1200</v>
      </c>
      <c r="B25" s="4">
        <f>MAX(DatiRipuliti!B2302:B2401)</f>
        <v>719400</v>
      </c>
      <c r="C25" s="4">
        <f>MAX(DatiRipuliti!C2302:C2401)</f>
        <v>7330600</v>
      </c>
      <c r="D25" s="4">
        <f>MAX(DatiRipuliti!D2302:D2401)</f>
        <v>379285</v>
      </c>
      <c r="E25" s="4">
        <f>MAX(DatiRipuliti!E2302:E2401)</f>
        <v>1913800</v>
      </c>
      <c r="F25" s="4">
        <f>MAX(DatiRipuliti!F2302:F2401)</f>
        <v>12438960</v>
      </c>
      <c r="G25" s="4">
        <f>MAX(DatiRipuliti!G2302:G2401)</f>
        <v>730300</v>
      </c>
      <c r="H25" s="4">
        <f>MAX(DatiRipuliti!H2302:H2401)</f>
        <v>15601505</v>
      </c>
      <c r="I25" s="4">
        <f>MAX(DatiRipuliti!I2302:I2401)</f>
        <v>232200</v>
      </c>
      <c r="J25" s="4">
        <f>MAX(DatiRipuliti!J2302:J2401)</f>
        <v>15606607</v>
      </c>
      <c r="K25" s="4">
        <f>MAX(DatiRipuliti!K2302:K2401)</f>
        <v>281600</v>
      </c>
    </row>
    <row r="26" spans="1:11" s="4" customFormat="1" x14ac:dyDescent="0.3">
      <c r="A26" s="4">
        <v>1250</v>
      </c>
      <c r="B26" s="4">
        <f>MAX(DatiRipuliti!B2402:B2501)</f>
        <v>780625</v>
      </c>
      <c r="C26" s="4">
        <f>MAX(DatiRipuliti!C2402:C2501)</f>
        <v>7939100</v>
      </c>
      <c r="D26" s="4">
        <f>MAX(DatiRipuliti!D2402:D2501)</f>
        <v>411658</v>
      </c>
      <c r="E26" s="4">
        <f>MAX(DatiRipuliti!E2402:E2501)</f>
        <v>2291300</v>
      </c>
      <c r="F26" s="4">
        <f>MAX(DatiRipuliti!F2402:F2501)</f>
        <v>13569480</v>
      </c>
      <c r="G26" s="4">
        <f>MAX(DatiRipuliti!G2402:G2501)</f>
        <v>2094700</v>
      </c>
      <c r="H26" s="4">
        <f>MAX(DatiRipuliti!H2402:H2501)</f>
        <v>17046747</v>
      </c>
      <c r="I26" s="4">
        <f>MAX(DatiRipuliti!I2402:I2501)</f>
        <v>240700</v>
      </c>
      <c r="J26" s="4">
        <f>MAX(DatiRipuliti!J2402:J2501)</f>
        <v>17026911</v>
      </c>
      <c r="K26" s="4">
        <f>MAX(DatiRipuliti!K2402:K2501)</f>
        <v>262300</v>
      </c>
    </row>
    <row r="27" spans="1:11" s="4" customFormat="1" x14ac:dyDescent="0.3">
      <c r="A27" s="4">
        <v>1300</v>
      </c>
      <c r="B27" s="4">
        <f>MAX(DatiRipuliti!B2502:B2601)</f>
        <v>844350</v>
      </c>
      <c r="C27" s="4">
        <f>MAX(DatiRipuliti!C2502:C2601)</f>
        <v>8620200</v>
      </c>
      <c r="D27" s="4">
        <f>MAX(DatiRipuliti!D2502:D2601)</f>
        <v>440258</v>
      </c>
      <c r="E27" s="4">
        <f>MAX(DatiRipuliti!E2502:E2601)</f>
        <v>1956800</v>
      </c>
      <c r="F27" s="4">
        <f>MAX(DatiRipuliti!F2502:F2601)</f>
        <v>14752673</v>
      </c>
      <c r="G27" s="4">
        <f>MAX(DatiRipuliti!G2502:G2601)</f>
        <v>1609100</v>
      </c>
      <c r="H27" s="4">
        <f>MAX(DatiRipuliti!H2502:H2601)</f>
        <v>18555424</v>
      </c>
      <c r="I27" s="4">
        <f>MAX(DatiRipuliti!I2502:I2601)</f>
        <v>347600</v>
      </c>
      <c r="J27" s="4">
        <f>MAX(DatiRipuliti!J2502:J2601)</f>
        <v>18526918</v>
      </c>
      <c r="K27" s="4">
        <f>MAX(DatiRipuliti!K2502:K2601)</f>
        <v>408300</v>
      </c>
    </row>
    <row r="28" spans="1:11" s="4" customFormat="1" x14ac:dyDescent="0.3">
      <c r="A28" s="4">
        <v>1350</v>
      </c>
      <c r="B28" s="4">
        <f>MAX(DatiRipuliti!B2602:B2701)</f>
        <v>910575</v>
      </c>
      <c r="C28" s="4">
        <f>MAX(DatiRipuliti!C2602:C2701)</f>
        <v>9160100</v>
      </c>
      <c r="D28" s="4">
        <f>MAX(DatiRipuliti!D2602:D2701)</f>
        <v>476931</v>
      </c>
      <c r="E28" s="4">
        <f>MAX(DatiRipuliti!E2602:E2701)</f>
        <v>2216000</v>
      </c>
      <c r="F28" s="4">
        <f>MAX(DatiRipuliti!F2602:F2701)</f>
        <v>15989189</v>
      </c>
      <c r="G28" s="4">
        <f>MAX(DatiRipuliti!G2602:G2701)</f>
        <v>1711600</v>
      </c>
      <c r="H28" s="4">
        <f>MAX(DatiRipuliti!H2602:H2701)</f>
        <v>20117060</v>
      </c>
      <c r="I28" s="4">
        <f>MAX(DatiRipuliti!I2602:I2701)</f>
        <v>228100</v>
      </c>
      <c r="J28" s="4">
        <f>MAX(DatiRipuliti!J2602:J2701)</f>
        <v>20084842</v>
      </c>
      <c r="K28" s="4">
        <f>MAX(DatiRipuliti!K2602:K2701)</f>
        <v>297100</v>
      </c>
    </row>
    <row r="29" spans="1:11" s="4" customFormat="1" x14ac:dyDescent="0.3">
      <c r="A29" s="4">
        <v>1400</v>
      </c>
      <c r="B29" s="4">
        <f>MAX(DatiRipuliti!B2702:B2801)</f>
        <v>979300</v>
      </c>
      <c r="C29" s="4">
        <f>MAX(DatiRipuliti!C2702:C2801)</f>
        <v>10059500</v>
      </c>
      <c r="D29" s="4">
        <f>MAX(DatiRipuliti!D2702:D2801)</f>
        <v>513802</v>
      </c>
      <c r="E29" s="4">
        <f>MAX(DatiRipuliti!E2702:E2801)</f>
        <v>3864200</v>
      </c>
      <c r="F29" s="4">
        <f>MAX(DatiRipuliti!F2702:F2801)</f>
        <v>17278977</v>
      </c>
      <c r="G29" s="4">
        <f>MAX(DatiRipuliti!G2702:G2801)</f>
        <v>2656600</v>
      </c>
      <c r="H29" s="4">
        <f>MAX(DatiRipuliti!H2702:H2801)</f>
        <v>21743122</v>
      </c>
      <c r="I29" s="4">
        <f>MAX(DatiRipuliti!I2702:I2801)</f>
        <v>404600</v>
      </c>
      <c r="J29" s="4">
        <f>MAX(DatiRipuliti!J2702:J2801)</f>
        <v>21714149</v>
      </c>
      <c r="K29" s="4">
        <f>MAX(DatiRipuliti!K2702:K2801)</f>
        <v>281200</v>
      </c>
    </row>
    <row r="30" spans="1:11" s="4" customFormat="1" x14ac:dyDescent="0.3">
      <c r="A30" s="4">
        <v>1450</v>
      </c>
      <c r="B30" s="4">
        <f>MAX(DatiRipuliti!B2802:B2901)</f>
        <v>1050525</v>
      </c>
      <c r="C30" s="4">
        <f>MAX(DatiRipuliti!C2802:C2901)</f>
        <v>10804000</v>
      </c>
      <c r="D30" s="4">
        <f>MAX(DatiRipuliti!D2802:D2901)</f>
        <v>548653</v>
      </c>
      <c r="E30" s="4">
        <f>MAX(DatiRipuliti!E2802:E2901)</f>
        <v>2445100</v>
      </c>
      <c r="F30" s="4">
        <f>MAX(DatiRipuliti!F2802:F2901)</f>
        <v>18622140</v>
      </c>
      <c r="G30" s="4">
        <f>MAX(DatiRipuliti!G2802:G2901)</f>
        <v>730900</v>
      </c>
      <c r="H30" s="4">
        <f>MAX(DatiRipuliti!H2802:H2901)</f>
        <v>23468891</v>
      </c>
      <c r="I30" s="4">
        <f>MAX(DatiRipuliti!I2802:I2901)</f>
        <v>272400</v>
      </c>
      <c r="J30" s="4">
        <f>MAX(DatiRipuliti!J2802:J2901)</f>
        <v>23418311</v>
      </c>
      <c r="K30" s="4">
        <f>MAX(DatiRipuliti!K2802:K2901)</f>
        <v>286200</v>
      </c>
    </row>
    <row r="31" spans="1:11" s="4" customFormat="1" x14ac:dyDescent="0.3">
      <c r="A31" s="4">
        <v>1500</v>
      </c>
      <c r="B31" s="4">
        <f>MAX(DatiRipuliti!B2902:B3001)</f>
        <v>1124250</v>
      </c>
      <c r="C31" s="4">
        <f>MAX(DatiRipuliti!C2902:C3001)</f>
        <v>11588300</v>
      </c>
      <c r="D31" s="4">
        <f>MAX(DatiRipuliti!D2902:D3001)</f>
        <v>596481</v>
      </c>
      <c r="E31" s="4">
        <f>MAX(DatiRipuliti!E2902:E3001)</f>
        <v>2863300</v>
      </c>
      <c r="F31" s="4">
        <f>MAX(DatiRipuliti!F2902:F3001)</f>
        <v>20017984</v>
      </c>
      <c r="G31" s="4">
        <f>MAX(DatiRipuliti!G2902:G3001)</f>
        <v>1773300</v>
      </c>
      <c r="H31" s="4">
        <f>MAX(DatiRipuliti!H2902:H3001)</f>
        <v>25242795</v>
      </c>
      <c r="I31" s="4">
        <f>MAX(DatiRipuliti!I2902:I3001)</f>
        <v>359800</v>
      </c>
      <c r="J31" s="4">
        <f>MAX(DatiRipuliti!J2902:J3001)</f>
        <v>25184344</v>
      </c>
      <c r="K31" s="4">
        <f>MAX(DatiRipuliti!K2902:K3001)</f>
        <v>340900</v>
      </c>
    </row>
    <row r="1048576" spans="1:1" s="4" customFormat="1" x14ac:dyDescent="0.3">
      <c r="A1048576" s="4">
        <f>SUM(A2:A1048575)</f>
        <v>23250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3D09-74F4-4579-B50F-C5E567A59E15}">
  <dimension ref="A1:AC1048576"/>
  <sheetViews>
    <sheetView workbookViewId="0">
      <selection activeCell="B2" sqref="B2"/>
    </sheetView>
  </sheetViews>
  <sheetFormatPr defaultRowHeight="14.4" x14ac:dyDescent="0.3"/>
  <cols>
    <col min="1" max="1" width="6" style="4" bestFit="1" customWidth="1"/>
    <col min="2" max="2" width="16.88671875" style="4" bestFit="1" customWidth="1"/>
    <col min="3" max="3" width="11.88671875" style="4" bestFit="1" customWidth="1"/>
    <col min="4" max="4" width="16.33203125" style="4" bestFit="1" customWidth="1"/>
    <col min="5" max="5" width="12" style="4" bestFit="1" customWidth="1"/>
    <col min="6" max="6" width="17.33203125" style="4" bestFit="1" customWidth="1"/>
    <col min="7" max="7" width="12.21875" style="4" bestFit="1" customWidth="1"/>
    <col min="8" max="8" width="17.21875" style="4" bestFit="1" customWidth="1"/>
    <col min="9" max="9" width="12.109375" style="4" bestFit="1" customWidth="1"/>
    <col min="10" max="10" width="18.33203125" style="4" bestFit="1" customWidth="1"/>
    <col min="11" max="11" width="13.33203125" style="4" bestFit="1" customWidth="1"/>
    <col min="30" max="16384" width="8.88671875" style="4"/>
  </cols>
  <sheetData>
    <row r="1" spans="1:11" s="4" customFormat="1" x14ac:dyDescent="0.3">
      <c r="A1" s="3" t="s">
        <v>3011</v>
      </c>
      <c r="B1" s="3" t="s">
        <v>3033</v>
      </c>
      <c r="C1" s="3" t="s">
        <v>3034</v>
      </c>
      <c r="D1" s="3" t="s">
        <v>3035</v>
      </c>
      <c r="E1" s="3" t="s">
        <v>3036</v>
      </c>
      <c r="F1" s="3" t="s">
        <v>3037</v>
      </c>
      <c r="G1" s="3" t="s">
        <v>3038</v>
      </c>
      <c r="H1" s="3" t="s">
        <v>3039</v>
      </c>
      <c r="I1" s="3" t="s">
        <v>3040</v>
      </c>
      <c r="J1" s="3" t="s">
        <v>3041</v>
      </c>
      <c r="K1" s="3" t="s">
        <v>3042</v>
      </c>
    </row>
    <row r="2" spans="1:11" s="4" customFormat="1" x14ac:dyDescent="0.3">
      <c r="A2" s="4">
        <v>50</v>
      </c>
      <c r="B2" s="4">
        <f>AVERAGE(DatiRipuliti!B2:B101)</f>
        <v>1225</v>
      </c>
      <c r="C2" s="4">
        <f>AVERAGE(DatiRipuliti!C2:C101)</f>
        <v>211879.79797979799</v>
      </c>
      <c r="D2" s="4">
        <f>AVERAGE(DatiRipuliti!D2:D101)</f>
        <v>659.92</v>
      </c>
      <c r="E2" s="4">
        <f>AVERAGE(DatiRipuliti!E2:E101)</f>
        <v>147266</v>
      </c>
      <c r="F2" s="4">
        <f>AVERAGE(DatiRipuliti!F2:F101)</f>
        <v>11206.87</v>
      </c>
      <c r="G2" s="4">
        <f>AVERAGE(DatiRipuliti!G2:G101)</f>
        <v>88194.897959183669</v>
      </c>
      <c r="H2" s="4">
        <f>AVERAGE(DatiRipuliti!H2:H101)</f>
        <v>13135.11</v>
      </c>
      <c r="I2" s="4">
        <f>AVERAGE(DatiRipuliti!I2:I101)</f>
        <v>43264.646464646466</v>
      </c>
      <c r="J2" s="4">
        <f>AVERAGE(DatiRipuliti!J2:J101)</f>
        <v>13039.16</v>
      </c>
      <c r="K2" s="4">
        <f>AVERAGE(DatiRipuliti!K2:K101)</f>
        <v>40119.191919191922</v>
      </c>
    </row>
    <row r="3" spans="1:11" s="4" customFormat="1" x14ac:dyDescent="0.3">
      <c r="A3" s="4">
        <v>100</v>
      </c>
      <c r="B3" s="4">
        <f>AVERAGE(DatiRipuliti!B102:B201)</f>
        <v>4950</v>
      </c>
      <c r="C3" s="4">
        <f>AVERAGE(DatiRipuliti!C102:C201)</f>
        <v>43873.076923076922</v>
      </c>
      <c r="D3" s="4">
        <f>AVERAGE(DatiRipuliti!D102:D201)</f>
        <v>2568.64</v>
      </c>
      <c r="E3" s="4">
        <f>AVERAGE(DatiRipuliti!E102:E201)</f>
        <v>24691.525423728814</v>
      </c>
      <c r="F3" s="4">
        <f>AVERAGE(DatiRipuliti!F102:F201)</f>
        <v>49516.27</v>
      </c>
      <c r="G3" s="4">
        <f>AVERAGE(DatiRipuliti!G102:G201)</f>
        <v>50101.123595505618</v>
      </c>
      <c r="H3" s="4">
        <f>AVERAGE(DatiRipuliti!H102:H201)</f>
        <v>59101.599999999999</v>
      </c>
      <c r="I3" s="4">
        <f>AVERAGE(DatiRipuliti!I102:I201)</f>
        <v>14030.927835051547</v>
      </c>
      <c r="J3" s="4">
        <f>AVERAGE(DatiRipuliti!J102:J201)</f>
        <v>59150.52</v>
      </c>
      <c r="K3" s="4">
        <f>AVERAGE(DatiRipuliti!K102:K201)</f>
        <v>16797.802197802197</v>
      </c>
    </row>
    <row r="4" spans="1:11" s="4" customFormat="1" x14ac:dyDescent="0.3">
      <c r="A4" s="4">
        <v>150</v>
      </c>
      <c r="B4" s="4">
        <f>AVERAGE(DatiRipuliti!B202:B301)</f>
        <v>11175</v>
      </c>
      <c r="C4" s="4">
        <f>AVERAGE(DatiRipuliti!C202:C301)</f>
        <v>84124.242424242431</v>
      </c>
      <c r="D4" s="4">
        <f>AVERAGE(DatiRipuliti!D202:D301)</f>
        <v>5665.26</v>
      </c>
      <c r="E4" s="4">
        <f>AVERAGE(DatiRipuliti!E202:E301)</f>
        <v>27757</v>
      </c>
      <c r="F4" s="4">
        <f>AVERAGE(DatiRipuliti!F202:F301)</f>
        <v>121662.38</v>
      </c>
      <c r="G4" s="4">
        <f>AVERAGE(DatiRipuliti!G202:G301)</f>
        <v>65543.434343434346</v>
      </c>
      <c r="H4" s="4">
        <f>AVERAGE(DatiRipuliti!H202:H301)</f>
        <v>146018.41</v>
      </c>
      <c r="I4" s="4">
        <f>AVERAGE(DatiRipuliti!I202:I301)</f>
        <v>17897</v>
      </c>
      <c r="J4" s="4">
        <f>AVERAGE(DatiRipuliti!J202:J301)</f>
        <v>145875.01999999999</v>
      </c>
      <c r="K4" s="4">
        <f>AVERAGE(DatiRipuliti!K202:K301)</f>
        <v>21233</v>
      </c>
    </row>
    <row r="5" spans="1:11" s="4" customFormat="1" x14ac:dyDescent="0.3">
      <c r="A5" s="4">
        <v>200</v>
      </c>
      <c r="B5" s="4">
        <f>AVERAGE(DatiRipuliti!B302:B401)</f>
        <v>19900</v>
      </c>
      <c r="C5" s="4">
        <f>AVERAGE(DatiRipuliti!C302:C401)</f>
        <v>149193.93939393939</v>
      </c>
      <c r="D5" s="4">
        <f>AVERAGE(DatiRipuliti!D302:D401)</f>
        <v>10172.129999999999</v>
      </c>
      <c r="E5" s="4">
        <f>AVERAGE(DatiRipuliti!E302:E401)</f>
        <v>48183</v>
      </c>
      <c r="F5" s="4">
        <f>AVERAGE(DatiRipuliti!F302:F401)</f>
        <v>230873.03</v>
      </c>
      <c r="G5" s="4">
        <f>AVERAGE(DatiRipuliti!G302:G401)</f>
        <v>83616</v>
      </c>
      <c r="H5" s="4">
        <f>AVERAGE(DatiRipuliti!H302:H401)</f>
        <v>278592.7</v>
      </c>
      <c r="I5" s="4">
        <f>AVERAGE(DatiRipuliti!I302:I401)</f>
        <v>23260</v>
      </c>
      <c r="J5" s="4">
        <f>AVERAGE(DatiRipuliti!J302:J401)</f>
        <v>278662.78000000003</v>
      </c>
      <c r="K5" s="4">
        <f>AVERAGE(DatiRipuliti!K302:K401)</f>
        <v>29862</v>
      </c>
    </row>
    <row r="6" spans="1:11" s="4" customFormat="1" x14ac:dyDescent="0.3">
      <c r="A6" s="4">
        <v>250</v>
      </c>
      <c r="B6" s="4">
        <f>AVERAGE(DatiRipuliti!B402:B501)</f>
        <v>31125</v>
      </c>
      <c r="C6" s="4">
        <f>AVERAGE(DatiRipuliti!C402:C501)</f>
        <v>243484</v>
      </c>
      <c r="D6" s="4">
        <f>AVERAGE(DatiRipuliti!D402:D501)</f>
        <v>15841.53</v>
      </c>
      <c r="E6" s="4">
        <f>AVERAGE(DatiRipuliti!E402:E501)</f>
        <v>73569</v>
      </c>
      <c r="F6" s="4">
        <f>AVERAGE(DatiRipuliti!F402:F501)</f>
        <v>378986.08</v>
      </c>
      <c r="G6" s="4">
        <f>AVERAGE(DatiRipuliti!G402:G501)</f>
        <v>108513</v>
      </c>
      <c r="H6" s="4">
        <f>AVERAGE(DatiRipuliti!H402:H501)</f>
        <v>461698.29</v>
      </c>
      <c r="I6" s="4">
        <f>AVERAGE(DatiRipuliti!I402:I501)</f>
        <v>30478</v>
      </c>
      <c r="J6" s="4">
        <f>AVERAGE(DatiRipuliti!J402:J501)</f>
        <v>459937.78</v>
      </c>
      <c r="K6" s="4">
        <f>AVERAGE(DatiRipuliti!K402:K501)</f>
        <v>34475</v>
      </c>
    </row>
    <row r="7" spans="1:11" s="4" customFormat="1" x14ac:dyDescent="0.3">
      <c r="A7" s="4">
        <v>300</v>
      </c>
      <c r="B7" s="4">
        <f>AVERAGE(DatiRipuliti!B502:B601)</f>
        <v>44850</v>
      </c>
      <c r="C7" s="4">
        <f>AVERAGE(DatiRipuliti!C502:C601)</f>
        <v>312043.87755102041</v>
      </c>
      <c r="D7" s="4">
        <f>AVERAGE(DatiRipuliti!D502:D601)</f>
        <v>22716.98</v>
      </c>
      <c r="E7" s="4">
        <f>AVERAGE(DatiRipuliti!E502:E601)</f>
        <v>91962</v>
      </c>
      <c r="F7" s="4">
        <f>AVERAGE(DatiRipuliti!F502:F601)</f>
        <v>567982.92000000004</v>
      </c>
      <c r="G7" s="4">
        <f>AVERAGE(DatiRipuliti!G502:G601)</f>
        <v>119244</v>
      </c>
      <c r="H7" s="4">
        <f>AVERAGE(DatiRipuliti!H502:H601)</f>
        <v>695123.35</v>
      </c>
      <c r="I7" s="4">
        <f>AVERAGE(DatiRipuliti!I502:I601)</f>
        <v>34011</v>
      </c>
      <c r="J7" s="4">
        <f>AVERAGE(DatiRipuliti!J502:J601)</f>
        <v>692209.86</v>
      </c>
      <c r="K7" s="4">
        <f>AVERAGE(DatiRipuliti!K502:K601)</f>
        <v>39301</v>
      </c>
    </row>
    <row r="8" spans="1:11" s="4" customFormat="1" x14ac:dyDescent="0.3">
      <c r="A8" s="4">
        <v>350</v>
      </c>
      <c r="B8" s="4">
        <f>AVERAGE(DatiRipuliti!B602:B701)</f>
        <v>61075</v>
      </c>
      <c r="C8" s="4">
        <f>AVERAGE(DatiRipuliti!C602:C701)</f>
        <v>433754</v>
      </c>
      <c r="D8" s="4">
        <f>AVERAGE(DatiRipuliti!D602:D701)</f>
        <v>30953.58</v>
      </c>
      <c r="E8" s="4">
        <f>AVERAGE(DatiRipuliti!E602:E701)</f>
        <v>124207</v>
      </c>
      <c r="F8" s="4">
        <f>AVERAGE(DatiRipuliti!F602:F701)</f>
        <v>799354.16</v>
      </c>
      <c r="G8" s="4">
        <f>AVERAGE(DatiRipuliti!G602:G701)</f>
        <v>140256</v>
      </c>
      <c r="H8" s="4">
        <f>AVERAGE(DatiRipuliti!H602:H701)</f>
        <v>980861.77</v>
      </c>
      <c r="I8" s="4">
        <f>AVERAGE(DatiRipuliti!I602:I701)</f>
        <v>40453</v>
      </c>
      <c r="J8" s="4">
        <f>AVERAGE(DatiRipuliti!J602:J701)</f>
        <v>975800.54</v>
      </c>
      <c r="K8" s="4">
        <f>AVERAGE(DatiRipuliti!K602:K701)</f>
        <v>46944</v>
      </c>
    </row>
    <row r="9" spans="1:11" s="4" customFormat="1" x14ac:dyDescent="0.3">
      <c r="A9" s="4">
        <v>400</v>
      </c>
      <c r="B9" s="4">
        <f>AVERAGE(DatiRipuliti!B702:B801)</f>
        <v>79800</v>
      </c>
      <c r="C9" s="4">
        <f>AVERAGE(DatiRipuliti!C702:C801)</f>
        <v>572483</v>
      </c>
      <c r="D9" s="4">
        <f>AVERAGE(DatiRipuliti!D702:D801)</f>
        <v>40189.269999999997</v>
      </c>
      <c r="E9" s="4">
        <f>AVERAGE(DatiRipuliti!E702:E801)</f>
        <v>153363</v>
      </c>
      <c r="F9" s="4">
        <f>AVERAGE(DatiRipuliti!F702:F801)</f>
        <v>1073922.3</v>
      </c>
      <c r="G9" s="4">
        <f>AVERAGE(DatiRipuliti!G702:G801)</f>
        <v>155261</v>
      </c>
      <c r="H9" s="4">
        <f>AVERAGE(DatiRipuliti!H702:H801)</f>
        <v>1323109.49</v>
      </c>
      <c r="I9" s="4">
        <f>AVERAGE(DatiRipuliti!I702:I801)</f>
        <v>48893</v>
      </c>
      <c r="J9" s="4">
        <f>AVERAGE(DatiRipuliti!J702:J801)</f>
        <v>1317150.19</v>
      </c>
      <c r="K9" s="4">
        <f>AVERAGE(DatiRipuliti!K702:K801)</f>
        <v>54477</v>
      </c>
    </row>
    <row r="10" spans="1:11" s="4" customFormat="1" x14ac:dyDescent="0.3">
      <c r="A10" s="4">
        <v>450</v>
      </c>
      <c r="B10" s="4">
        <f>AVERAGE(DatiRipuliti!B802:B901)</f>
        <v>101025</v>
      </c>
      <c r="C10" s="4">
        <f>AVERAGE(DatiRipuliti!C802:C901)</f>
        <v>729812</v>
      </c>
      <c r="D10" s="4">
        <f>AVERAGE(DatiRipuliti!D802:D901)</f>
        <v>51095.58</v>
      </c>
      <c r="E10" s="4">
        <f>AVERAGE(DatiRipuliti!E802:E901)</f>
        <v>202694</v>
      </c>
      <c r="F10" s="4">
        <f>AVERAGE(DatiRipuliti!F802:F901)</f>
        <v>1392501.22</v>
      </c>
      <c r="G10" s="4">
        <f>AVERAGE(DatiRipuliti!G802:G901)</f>
        <v>169668</v>
      </c>
      <c r="H10" s="4">
        <f>AVERAGE(DatiRipuliti!H802:H901)</f>
        <v>1722925.35</v>
      </c>
      <c r="I10" s="4">
        <f>AVERAGE(DatiRipuliti!I802:I901)</f>
        <v>53454</v>
      </c>
      <c r="J10" s="4">
        <f>AVERAGE(DatiRipuliti!J802:J901)</f>
        <v>1710953.78</v>
      </c>
      <c r="K10" s="4">
        <f>AVERAGE(DatiRipuliti!K802:K901)</f>
        <v>60089</v>
      </c>
    </row>
    <row r="11" spans="1:11" s="4" customFormat="1" x14ac:dyDescent="0.3">
      <c r="A11" s="4">
        <v>500</v>
      </c>
      <c r="B11" s="4">
        <f>AVERAGE(DatiRipuliti!B902:B1001)</f>
        <v>124750</v>
      </c>
      <c r="C11" s="4">
        <f>AVERAGE(DatiRipuliti!C902:C1001)</f>
        <v>945032</v>
      </c>
      <c r="D11" s="4">
        <f>AVERAGE(DatiRipuliti!D902:D1001)</f>
        <v>62922.73</v>
      </c>
      <c r="E11" s="4">
        <f>AVERAGE(DatiRipuliti!E902:E1001)</f>
        <v>253716</v>
      </c>
      <c r="F11" s="4">
        <f>AVERAGE(DatiRipuliti!F902:F1001)</f>
        <v>1755656.9</v>
      </c>
      <c r="G11" s="4">
        <f>AVERAGE(DatiRipuliti!G902:G1001)</f>
        <v>187120</v>
      </c>
      <c r="H11" s="4">
        <f>AVERAGE(DatiRipuliti!H902:H1001)</f>
        <v>2172092.94</v>
      </c>
      <c r="I11" s="4">
        <f>AVERAGE(DatiRipuliti!I902:I1001)</f>
        <v>61132</v>
      </c>
      <c r="J11" s="4">
        <f>AVERAGE(DatiRipuliti!J902:J1001)</f>
        <v>2161494.12</v>
      </c>
      <c r="K11" s="4">
        <f>AVERAGE(DatiRipuliti!K902:K1001)</f>
        <v>69183</v>
      </c>
    </row>
    <row r="12" spans="1:11" s="4" customFormat="1" x14ac:dyDescent="0.3">
      <c r="A12" s="4">
        <v>550</v>
      </c>
      <c r="B12" s="4">
        <f>AVERAGE(DatiRipuliti!B1002:B1101)</f>
        <v>150975</v>
      </c>
      <c r="C12" s="4">
        <f>AVERAGE(DatiRipuliti!C1002:C1101)</f>
        <v>1151677</v>
      </c>
      <c r="D12" s="4">
        <f>AVERAGE(DatiRipuliti!D1002:D1101)</f>
        <v>75598.2</v>
      </c>
      <c r="E12" s="4">
        <f>AVERAGE(DatiRipuliti!E1002:E1101)</f>
        <v>291778</v>
      </c>
      <c r="F12" s="4">
        <f>AVERAGE(DatiRipuliti!F1002:F1101)</f>
        <v>2164436.06</v>
      </c>
      <c r="G12" s="4">
        <f>AVERAGE(DatiRipuliti!G1002:G1101)</f>
        <v>220339</v>
      </c>
      <c r="H12" s="4">
        <f>AVERAGE(DatiRipuliti!H1002:H1101)</f>
        <v>2681796.56</v>
      </c>
      <c r="I12" s="4">
        <f>AVERAGE(DatiRipuliti!I1002:I1101)</f>
        <v>67322</v>
      </c>
      <c r="J12" s="4">
        <f>AVERAGE(DatiRipuliti!J1002:J1101)</f>
        <v>2672009.9900000002</v>
      </c>
      <c r="K12" s="4">
        <f>AVERAGE(DatiRipuliti!K1002:K1101)</f>
        <v>74594</v>
      </c>
    </row>
    <row r="13" spans="1:11" s="4" customFormat="1" x14ac:dyDescent="0.3">
      <c r="A13" s="4">
        <v>600</v>
      </c>
      <c r="B13" s="4">
        <f>AVERAGE(DatiRipuliti!B1102:B1201)</f>
        <v>179700</v>
      </c>
      <c r="C13" s="4">
        <f>AVERAGE(DatiRipuliti!C1102:C1201)</f>
        <v>1404312</v>
      </c>
      <c r="D13" s="4">
        <f>AVERAGE(DatiRipuliti!D1102:D1201)</f>
        <v>90169.67</v>
      </c>
      <c r="E13" s="4">
        <f>AVERAGE(DatiRipuliti!E1102:E1201)</f>
        <v>343394</v>
      </c>
      <c r="F13" s="4">
        <f>AVERAGE(DatiRipuliti!F1102:F1201)</f>
        <v>2620313.69</v>
      </c>
      <c r="G13" s="4">
        <f>AVERAGE(DatiRipuliti!G1102:G1201)</f>
        <v>223402</v>
      </c>
      <c r="H13" s="4">
        <f>AVERAGE(DatiRipuliti!H1102:H1201)</f>
        <v>3251542.89</v>
      </c>
      <c r="I13" s="4">
        <f>AVERAGE(DatiRipuliti!I1102:I1201)</f>
        <v>72378</v>
      </c>
      <c r="J13" s="4">
        <f>AVERAGE(DatiRipuliti!J1102:J1201)</f>
        <v>3239995.07</v>
      </c>
      <c r="K13" s="4">
        <f>AVERAGE(DatiRipuliti!K1102:K1201)</f>
        <v>80775</v>
      </c>
    </row>
    <row r="14" spans="1:11" s="4" customFormat="1" x14ac:dyDescent="0.3">
      <c r="A14" s="4">
        <v>650</v>
      </c>
      <c r="B14" s="4">
        <f>AVERAGE(DatiRipuliti!B1202:B1301)</f>
        <v>210925</v>
      </c>
      <c r="C14" s="4">
        <f>AVERAGE(DatiRipuliti!C1202:C1301)</f>
        <v>1672217</v>
      </c>
      <c r="D14" s="4">
        <f>AVERAGE(DatiRipuliti!D1202:D1301)</f>
        <v>106494.31</v>
      </c>
      <c r="E14" s="4">
        <f>AVERAGE(DatiRipuliti!E1202:E1301)</f>
        <v>395248</v>
      </c>
      <c r="F14" s="4">
        <f>AVERAGE(DatiRipuliti!F1202:F1301)</f>
        <v>3123649.18</v>
      </c>
      <c r="G14" s="4">
        <f>AVERAGE(DatiRipuliti!G1202:G1301)</f>
        <v>235160</v>
      </c>
      <c r="H14" s="4">
        <f>AVERAGE(DatiRipuliti!H1202:H1301)</f>
        <v>3885015.22</v>
      </c>
      <c r="I14" s="4">
        <f>AVERAGE(DatiRipuliti!I1202:I1301)</f>
        <v>78740</v>
      </c>
      <c r="J14" s="4">
        <f>AVERAGE(DatiRipuliti!J1202:J1301)</f>
        <v>3869178.11</v>
      </c>
      <c r="K14" s="4">
        <f>AVERAGE(DatiRipuliti!K1202:K1301)</f>
        <v>87170</v>
      </c>
    </row>
    <row r="15" spans="1:11" s="4" customFormat="1" x14ac:dyDescent="0.3">
      <c r="A15" s="4">
        <v>700</v>
      </c>
      <c r="B15" s="4">
        <f>AVERAGE(DatiRipuliti!B1302:B1401)</f>
        <v>244650</v>
      </c>
      <c r="C15" s="4">
        <f>AVERAGE(DatiRipuliti!C1302:C1401)</f>
        <v>1950794</v>
      </c>
      <c r="D15" s="4">
        <f>AVERAGE(DatiRipuliti!D1302:D1401)</f>
        <v>122642.32</v>
      </c>
      <c r="E15" s="4">
        <f>AVERAGE(DatiRipuliti!E1302:E1401)</f>
        <v>454308</v>
      </c>
      <c r="F15" s="4">
        <f>AVERAGE(DatiRipuliti!F1302:F1401)</f>
        <v>3674861.16</v>
      </c>
      <c r="G15" s="4">
        <f>AVERAGE(DatiRipuliti!G1302:G1401)</f>
        <v>256620</v>
      </c>
      <c r="H15" s="4">
        <f>AVERAGE(DatiRipuliti!H1302:H1401)</f>
        <v>4573796.83</v>
      </c>
      <c r="I15" s="4">
        <f>AVERAGE(DatiRipuliti!I1302:I1401)</f>
        <v>85323</v>
      </c>
      <c r="J15" s="4">
        <f>AVERAGE(DatiRipuliti!J1302:J1401)</f>
        <v>4564976.62</v>
      </c>
      <c r="K15" s="4">
        <f>AVERAGE(DatiRipuliti!K1302:K1401)</f>
        <v>96433</v>
      </c>
    </row>
    <row r="16" spans="1:11" s="4" customFormat="1" x14ac:dyDescent="0.3">
      <c r="A16" s="4">
        <v>750</v>
      </c>
      <c r="B16" s="4">
        <f>AVERAGE(DatiRipuliti!B1402:B1501)</f>
        <v>280875</v>
      </c>
      <c r="C16" s="4">
        <f>AVERAGE(DatiRipuliti!C1402:C1501)</f>
        <v>2296931</v>
      </c>
      <c r="D16" s="4">
        <f>AVERAGE(DatiRipuliti!D1402:D1501)</f>
        <v>140637.54999999999</v>
      </c>
      <c r="E16" s="4">
        <f>AVERAGE(DatiRipuliti!E1402:E1501)</f>
        <v>505188</v>
      </c>
      <c r="F16" s="4">
        <f>AVERAGE(DatiRipuliti!F1402:F1501)</f>
        <v>4274339.1100000003</v>
      </c>
      <c r="G16" s="4">
        <f>AVERAGE(DatiRipuliti!G1402:G1501)</f>
        <v>276260</v>
      </c>
      <c r="H16" s="4">
        <f>AVERAGE(DatiRipuliti!H1402:H1501)</f>
        <v>5321200.33</v>
      </c>
      <c r="I16" s="4">
        <f>AVERAGE(DatiRipuliti!I1402:I1501)</f>
        <v>93654</v>
      </c>
      <c r="J16" s="4">
        <f>AVERAGE(DatiRipuliti!J1402:J1501)</f>
        <v>5318937.62</v>
      </c>
      <c r="K16" s="4">
        <f>AVERAGE(DatiRipuliti!K1402:K1501)</f>
        <v>104792</v>
      </c>
    </row>
    <row r="17" spans="1:11" s="4" customFormat="1" x14ac:dyDescent="0.3">
      <c r="A17" s="4">
        <v>800</v>
      </c>
      <c r="B17" s="4">
        <f>AVERAGE(DatiRipuliti!B1502:B1601)</f>
        <v>319600</v>
      </c>
      <c r="C17" s="4">
        <f>AVERAGE(DatiRipuliti!C1502:C1601)</f>
        <v>2593226.5306122447</v>
      </c>
      <c r="D17" s="4">
        <f>AVERAGE(DatiRipuliti!D1502:D1601)</f>
        <v>159958.14000000001</v>
      </c>
      <c r="E17" s="4">
        <f>AVERAGE(DatiRipuliti!E1502:E1601)</f>
        <v>574585</v>
      </c>
      <c r="F17" s="4">
        <f>AVERAGE(DatiRipuliti!F1502:F1601)</f>
        <v>4922525.38</v>
      </c>
      <c r="G17" s="4">
        <f>AVERAGE(DatiRipuliti!G1502:G1601)</f>
        <v>311422</v>
      </c>
      <c r="H17" s="4">
        <f>AVERAGE(DatiRipuliti!H1502:H1601)</f>
        <v>6138058.9699999997</v>
      </c>
      <c r="I17" s="4">
        <f>AVERAGE(DatiRipuliti!I1502:I1601)</f>
        <v>100486</v>
      </c>
      <c r="J17" s="4">
        <f>AVERAGE(DatiRipuliti!J1502:J1601)</f>
        <v>6129860.8700000001</v>
      </c>
      <c r="K17" s="4">
        <f>AVERAGE(DatiRipuliti!K1502:K1601)</f>
        <v>111928</v>
      </c>
    </row>
    <row r="18" spans="1:11" s="4" customFormat="1" x14ac:dyDescent="0.3">
      <c r="A18" s="4">
        <v>850</v>
      </c>
      <c r="B18" s="4">
        <f>AVERAGE(DatiRipuliti!B1602:B1701)</f>
        <v>360825</v>
      </c>
      <c r="C18" s="4">
        <f>AVERAGE(DatiRipuliti!C1602:C1701)</f>
        <v>2997264</v>
      </c>
      <c r="D18" s="4">
        <f>AVERAGE(DatiRipuliti!D1602:D1701)</f>
        <v>180729.91</v>
      </c>
      <c r="E18" s="4">
        <f>AVERAGE(DatiRipuliti!E1602:E1701)</f>
        <v>660950</v>
      </c>
      <c r="F18" s="4">
        <f>AVERAGE(DatiRipuliti!F1602:F1701)</f>
        <v>5619629.29</v>
      </c>
      <c r="G18" s="4">
        <f>AVERAGE(DatiRipuliti!G1602:G1701)</f>
        <v>321508</v>
      </c>
      <c r="H18" s="4">
        <f>AVERAGE(DatiRipuliti!H1602:H1701)</f>
        <v>7009252.4100000001</v>
      </c>
      <c r="I18" s="4">
        <f>AVERAGE(DatiRipuliti!I1602:I1701)</f>
        <v>107114</v>
      </c>
      <c r="J18" s="4">
        <f>AVERAGE(DatiRipuliti!J1602:J1701)</f>
        <v>7001391.5099999998</v>
      </c>
      <c r="K18" s="4">
        <f>AVERAGE(DatiRipuliti!K1602:K1701)</f>
        <v>119764</v>
      </c>
    </row>
    <row r="19" spans="1:11" s="4" customFormat="1" x14ac:dyDescent="0.3">
      <c r="A19" s="4">
        <v>900</v>
      </c>
      <c r="B19" s="4">
        <f>AVERAGE(DatiRipuliti!B1702:B1801)</f>
        <v>404550</v>
      </c>
      <c r="C19" s="4">
        <f>AVERAGE(DatiRipuliti!C1702:C1801)</f>
        <v>3372372.7272727271</v>
      </c>
      <c r="D19" s="4">
        <f>AVERAGE(DatiRipuliti!D1702:D1801)</f>
        <v>202761.58</v>
      </c>
      <c r="E19" s="4">
        <f>AVERAGE(DatiRipuliti!E1702:E1801)</f>
        <v>725875</v>
      </c>
      <c r="F19" s="4">
        <f>AVERAGE(DatiRipuliti!F1702:F1801)</f>
        <v>6365981.71</v>
      </c>
      <c r="G19" s="4">
        <f>AVERAGE(DatiRipuliti!G1702:G1801)</f>
        <v>337536</v>
      </c>
      <c r="H19" s="4">
        <f>AVERAGE(DatiRipuliti!H1702:H1801)</f>
        <v>7946618.3099999996</v>
      </c>
      <c r="I19" s="4">
        <f>AVERAGE(DatiRipuliti!I1702:I1801)</f>
        <v>115183</v>
      </c>
      <c r="J19" s="4">
        <f>AVERAGE(DatiRipuliti!J1702:J1801)</f>
        <v>7939938.2800000003</v>
      </c>
      <c r="K19" s="4">
        <f>AVERAGE(DatiRipuliti!K1702:K1801)</f>
        <v>128130</v>
      </c>
    </row>
    <row r="20" spans="1:11" s="4" customFormat="1" x14ac:dyDescent="0.3">
      <c r="A20" s="4">
        <v>950</v>
      </c>
      <c r="B20" s="4">
        <f>AVERAGE(DatiRipuliti!B1802:B1901)</f>
        <v>450775</v>
      </c>
      <c r="C20" s="4">
        <f>AVERAGE(DatiRipuliti!C1802:C1901)</f>
        <v>3820549</v>
      </c>
      <c r="D20" s="4">
        <f>AVERAGE(DatiRipuliti!D1802:D1901)</f>
        <v>226795.1</v>
      </c>
      <c r="E20" s="4">
        <f>AVERAGE(DatiRipuliti!E1802:E1901)</f>
        <v>805692</v>
      </c>
      <c r="F20" s="4">
        <f>AVERAGE(DatiRipuliti!F1802:F1901)</f>
        <v>7161911.46</v>
      </c>
      <c r="G20" s="4">
        <f>AVERAGE(DatiRipuliti!G1802:G1901)</f>
        <v>357146</v>
      </c>
      <c r="H20" s="4">
        <f>AVERAGE(DatiRipuliti!H1802:H1901)</f>
        <v>8940805.1899999995</v>
      </c>
      <c r="I20" s="4">
        <f>AVERAGE(DatiRipuliti!I1802:I1901)</f>
        <v>122667</v>
      </c>
      <c r="J20" s="4">
        <f>AVERAGE(DatiRipuliti!J1802:J1901)</f>
        <v>8934742.5199999996</v>
      </c>
      <c r="K20" s="4">
        <f>AVERAGE(DatiRipuliti!K1802:K1901)</f>
        <v>135441</v>
      </c>
    </row>
    <row r="21" spans="1:11" s="4" customFormat="1" x14ac:dyDescent="0.3">
      <c r="A21" s="4">
        <v>1000</v>
      </c>
      <c r="B21" s="4">
        <f>AVERAGE(DatiRipuliti!B1902:B2001)</f>
        <v>499500</v>
      </c>
      <c r="C21" s="4">
        <f>AVERAGE(DatiRipuliti!C1902:C2001)</f>
        <v>4247274.7474747477</v>
      </c>
      <c r="D21" s="4">
        <f>AVERAGE(DatiRipuliti!D1902:D2001)</f>
        <v>250426.33</v>
      </c>
      <c r="E21" s="4">
        <f>AVERAGE(DatiRipuliti!E1902:E2001)</f>
        <v>907777</v>
      </c>
      <c r="F21" s="4">
        <f>AVERAGE(DatiRipuliti!F1902:F2001)</f>
        <v>8007900.29</v>
      </c>
      <c r="G21" s="4">
        <f>AVERAGE(DatiRipuliti!G1902:G2001)</f>
        <v>385280</v>
      </c>
      <c r="H21" s="4">
        <f>AVERAGE(DatiRipuliti!H1902:H2001)</f>
        <v>10008176.439999999</v>
      </c>
      <c r="I21" s="4">
        <f>AVERAGE(DatiRipuliti!I1902:I2001)</f>
        <v>132290</v>
      </c>
      <c r="J21" s="4">
        <f>AVERAGE(DatiRipuliti!J1902:J2001)</f>
        <v>9993556.6999999993</v>
      </c>
      <c r="K21" s="4">
        <f>AVERAGE(DatiRipuliti!K1902:K2001)</f>
        <v>145354</v>
      </c>
    </row>
    <row r="22" spans="1:11" s="4" customFormat="1" x14ac:dyDescent="0.3">
      <c r="A22" s="4">
        <v>1050</v>
      </c>
      <c r="B22" s="4">
        <f>AVERAGE(DatiRipuliti!B2002:B2101)</f>
        <v>550725</v>
      </c>
      <c r="C22" s="4">
        <f>AVERAGE(DatiRipuliti!C2002:C2101)</f>
        <v>4788101</v>
      </c>
      <c r="D22" s="4">
        <f>AVERAGE(DatiRipuliti!D2002:D2101)</f>
        <v>276162.5</v>
      </c>
      <c r="E22" s="4">
        <f>AVERAGE(DatiRipuliti!E2002:E2101)</f>
        <v>1007971</v>
      </c>
      <c r="F22" s="4">
        <f>AVERAGE(DatiRipuliti!F2002:F2101)</f>
        <v>8904448.6899999995</v>
      </c>
      <c r="G22" s="4">
        <f>AVERAGE(DatiRipuliti!G2002:G2101)</f>
        <v>408288</v>
      </c>
      <c r="H22" s="4">
        <f>AVERAGE(DatiRipuliti!H2002:H2101)</f>
        <v>11148629.140000001</v>
      </c>
      <c r="I22" s="4">
        <f>AVERAGE(DatiRipuliti!I2002:I2101)</f>
        <v>143326</v>
      </c>
      <c r="J22" s="4">
        <f>AVERAGE(DatiRipuliti!J2002:J2101)</f>
        <v>11129074.57</v>
      </c>
      <c r="K22" s="4">
        <f>AVERAGE(DatiRipuliti!K2002:K2101)</f>
        <v>151992</v>
      </c>
    </row>
    <row r="23" spans="1:11" s="4" customFormat="1" x14ac:dyDescent="0.3">
      <c r="A23" s="4">
        <v>1100</v>
      </c>
      <c r="B23" s="4">
        <f>AVERAGE(DatiRipuliti!B2102:B2201)</f>
        <v>604450</v>
      </c>
      <c r="C23" s="4">
        <f>AVERAGE(DatiRipuliti!C2102:C2201)</f>
        <v>5313613</v>
      </c>
      <c r="D23" s="4">
        <f>AVERAGE(DatiRipuliti!D2102:D2201)</f>
        <v>301902.84999999998</v>
      </c>
      <c r="E23" s="4">
        <f>AVERAGE(DatiRipuliti!E2102:E2201)</f>
        <v>1099647</v>
      </c>
      <c r="F23" s="4">
        <f>AVERAGE(DatiRipuliti!F2102:F2201)</f>
        <v>9852530.6799999997</v>
      </c>
      <c r="G23" s="4">
        <f>AVERAGE(DatiRipuliti!G2102:G2201)</f>
        <v>430790</v>
      </c>
      <c r="H23" s="4">
        <f>AVERAGE(DatiRipuliti!H2102:H2201)</f>
        <v>12346527.17</v>
      </c>
      <c r="I23" s="4">
        <f>AVERAGE(DatiRipuliti!I2102:I2201)</f>
        <v>146161</v>
      </c>
      <c r="J23" s="4">
        <f>AVERAGE(DatiRipuliti!J2102:J2201)</f>
        <v>12323453.699999999</v>
      </c>
      <c r="K23" s="4">
        <f>AVERAGE(DatiRipuliti!K2102:K2201)</f>
        <v>162047</v>
      </c>
    </row>
    <row r="24" spans="1:11" s="4" customFormat="1" x14ac:dyDescent="0.3">
      <c r="A24" s="4">
        <v>1150</v>
      </c>
      <c r="B24" s="4">
        <f>AVERAGE(DatiRipuliti!B2202:B2301)</f>
        <v>660675</v>
      </c>
      <c r="C24" s="4">
        <f>AVERAGE(DatiRipuliti!C2202:C2301)</f>
        <v>5862552</v>
      </c>
      <c r="D24" s="4">
        <f>AVERAGE(DatiRipuliti!D2202:D2301)</f>
        <v>331812.3</v>
      </c>
      <c r="E24" s="4">
        <f>AVERAGE(DatiRipuliti!E2202:E2301)</f>
        <v>1204537</v>
      </c>
      <c r="F24" s="4">
        <f>AVERAGE(DatiRipuliti!F2202:F2301)</f>
        <v>10852718.109999999</v>
      </c>
      <c r="G24" s="4">
        <f>AVERAGE(DatiRipuliti!G2202:G2301)</f>
        <v>444997</v>
      </c>
      <c r="H24" s="4">
        <f>AVERAGE(DatiRipuliti!H2202:H2301)</f>
        <v>13597024.48</v>
      </c>
      <c r="I24" s="4">
        <f>AVERAGE(DatiRipuliti!I2202:I2301)</f>
        <v>153975</v>
      </c>
      <c r="J24" s="4">
        <f>AVERAGE(DatiRipuliti!J2202:J2301)</f>
        <v>13600302.33</v>
      </c>
      <c r="K24" s="4">
        <f>AVERAGE(DatiRipuliti!K2202:K2301)</f>
        <v>168810</v>
      </c>
    </row>
    <row r="25" spans="1:11" s="4" customFormat="1" x14ac:dyDescent="0.3">
      <c r="A25" s="4">
        <v>1200</v>
      </c>
      <c r="B25" s="4">
        <f>AVERAGE(DatiRipuliti!B2302:B2401)</f>
        <v>719400</v>
      </c>
      <c r="C25" s="4">
        <f>AVERAGE(DatiRipuliti!C2302:C2401)</f>
        <v>6388845</v>
      </c>
      <c r="D25" s="4">
        <f>AVERAGE(DatiRipuliti!D2302:D2401)</f>
        <v>360423.51</v>
      </c>
      <c r="E25" s="4">
        <f>AVERAGE(DatiRipuliti!E2302:E2401)</f>
        <v>1296986</v>
      </c>
      <c r="F25" s="4">
        <f>AVERAGE(DatiRipuliti!F2302:F2401)</f>
        <v>11905138.33</v>
      </c>
      <c r="G25" s="4">
        <f>AVERAGE(DatiRipuliti!G2302:G2401)</f>
        <v>469499</v>
      </c>
      <c r="H25" s="4">
        <f>AVERAGE(DatiRipuliti!H2302:H2401)</f>
        <v>14926541.779999999</v>
      </c>
      <c r="I25" s="4">
        <f>AVERAGE(DatiRipuliti!I2302:I2401)</f>
        <v>161754</v>
      </c>
      <c r="J25" s="4">
        <f>AVERAGE(DatiRipuliti!J2302:J2401)</f>
        <v>14933617.630000001</v>
      </c>
      <c r="K25" s="4">
        <f>AVERAGE(DatiRipuliti!K2302:K2401)</f>
        <v>178022</v>
      </c>
    </row>
    <row r="26" spans="1:11" s="4" customFormat="1" x14ac:dyDescent="0.3">
      <c r="A26" s="4">
        <v>1250</v>
      </c>
      <c r="B26" s="4">
        <f>AVERAGE(DatiRipuliti!B2402:B2501)</f>
        <v>780625</v>
      </c>
      <c r="C26" s="4">
        <f>AVERAGE(DatiRipuliti!C2402:C2501)</f>
        <v>7028060</v>
      </c>
      <c r="D26" s="4">
        <f>AVERAGE(DatiRipuliti!D2402:D2501)</f>
        <v>390971.31</v>
      </c>
      <c r="E26" s="4">
        <f>AVERAGE(DatiRipuliti!E2402:E2501)</f>
        <v>1420444</v>
      </c>
      <c r="F26" s="4">
        <f>AVERAGE(DatiRipuliti!F2402:F2501)</f>
        <v>13009914.52</v>
      </c>
      <c r="G26" s="4">
        <f>AVERAGE(DatiRipuliti!G2402:G2501)</f>
        <v>506950</v>
      </c>
      <c r="H26" s="4">
        <f>AVERAGE(DatiRipuliti!H2402:H2501)</f>
        <v>16331564.529999999</v>
      </c>
      <c r="I26" s="4">
        <f>AVERAGE(DatiRipuliti!I2402:I2501)</f>
        <v>170590</v>
      </c>
      <c r="J26" s="4">
        <f>AVERAGE(DatiRipuliti!J2402:J2501)</f>
        <v>16326884.970000001</v>
      </c>
      <c r="K26" s="4">
        <f>AVERAGE(DatiRipuliti!K2402:K2501)</f>
        <v>187716</v>
      </c>
    </row>
    <row r="27" spans="1:11" s="4" customFormat="1" x14ac:dyDescent="0.3">
      <c r="A27" s="4">
        <v>1300</v>
      </c>
      <c r="B27" s="4">
        <f>AVERAGE(DatiRipuliti!B2502:B2601)</f>
        <v>844350</v>
      </c>
      <c r="C27" s="4">
        <f>AVERAGE(DatiRipuliti!C2502:C2601)</f>
        <v>7699497</v>
      </c>
      <c r="D27" s="4">
        <f>AVERAGE(DatiRipuliti!D2502:D2601)</f>
        <v>422841.37</v>
      </c>
      <c r="E27" s="4">
        <f>AVERAGE(DatiRipuliti!E2502:E2601)</f>
        <v>1529565</v>
      </c>
      <c r="F27" s="4">
        <f>AVERAGE(DatiRipuliti!F2502:F2601)</f>
        <v>14167064.74</v>
      </c>
      <c r="G27" s="4">
        <f>AVERAGE(DatiRipuliti!G2502:G2601)</f>
        <v>525633</v>
      </c>
      <c r="H27" s="4">
        <f>AVERAGE(DatiRipuliti!H2502:H2601)</f>
        <v>17807968.600000001</v>
      </c>
      <c r="I27" s="4">
        <f>AVERAGE(DatiRipuliti!I2502:I2601)</f>
        <v>180633</v>
      </c>
      <c r="J27" s="4">
        <f>AVERAGE(DatiRipuliti!J2502:J2601)</f>
        <v>17782937.489999998</v>
      </c>
      <c r="K27" s="4">
        <f>AVERAGE(DatiRipuliti!K2502:K2601)</f>
        <v>195038</v>
      </c>
    </row>
    <row r="28" spans="1:11" s="4" customFormat="1" x14ac:dyDescent="0.3">
      <c r="A28" s="4">
        <v>1350</v>
      </c>
      <c r="B28" s="4">
        <f>AVERAGE(DatiRipuliti!B2602:B2701)</f>
        <v>910575</v>
      </c>
      <c r="C28" s="4">
        <f>AVERAGE(DatiRipuliti!C2602:C2701)</f>
        <v>8342898</v>
      </c>
      <c r="D28" s="4">
        <f>AVERAGE(DatiRipuliti!D2602:D2701)</f>
        <v>456524.34</v>
      </c>
      <c r="E28" s="4">
        <f>AVERAGE(DatiRipuliti!E2602:E2701)</f>
        <v>1644411</v>
      </c>
      <c r="F28" s="4">
        <f>AVERAGE(DatiRipuliti!F2602:F2701)</f>
        <v>15377089.369999999</v>
      </c>
      <c r="G28" s="4">
        <f>AVERAGE(DatiRipuliti!G2602:G2701)</f>
        <v>546437</v>
      </c>
      <c r="H28" s="4">
        <f>AVERAGE(DatiRipuliti!H2602:H2701)</f>
        <v>19342466.530000001</v>
      </c>
      <c r="I28" s="4">
        <f>AVERAGE(DatiRipuliti!I2602:I2701)</f>
        <v>183289</v>
      </c>
      <c r="J28" s="4">
        <f>AVERAGE(DatiRipuliti!J2602:J2701)</f>
        <v>19313408.719999999</v>
      </c>
      <c r="K28" s="4">
        <f>AVERAGE(DatiRipuliti!K2602:K2701)</f>
        <v>202094</v>
      </c>
    </row>
    <row r="29" spans="1:11" s="4" customFormat="1" x14ac:dyDescent="0.3">
      <c r="A29" s="4">
        <v>1400</v>
      </c>
      <c r="B29" s="4">
        <f>AVERAGE(DatiRipuliti!B2702:B2801)</f>
        <v>979300</v>
      </c>
      <c r="C29" s="4">
        <f>AVERAGE(DatiRipuliti!C2702:C2801)</f>
        <v>9026435.7142857146</v>
      </c>
      <c r="D29" s="4">
        <f>AVERAGE(DatiRipuliti!D2702:D2801)</f>
        <v>491516.14</v>
      </c>
      <c r="E29" s="4">
        <f>AVERAGE(DatiRipuliti!E2702:E2801)</f>
        <v>1798037</v>
      </c>
      <c r="F29" s="4">
        <f>AVERAGE(DatiRipuliti!F2702:F2801)</f>
        <v>16640603.41</v>
      </c>
      <c r="G29" s="4">
        <f>AVERAGE(DatiRipuliti!G2702:G2801)</f>
        <v>598522</v>
      </c>
      <c r="H29" s="4">
        <f>AVERAGE(DatiRipuliti!H2702:H2801)</f>
        <v>20937555.890000001</v>
      </c>
      <c r="I29" s="4">
        <f>AVERAGE(DatiRipuliti!I2702:I2801)</f>
        <v>192565</v>
      </c>
      <c r="J29" s="4">
        <f>AVERAGE(DatiRipuliti!J2702:J2801)</f>
        <v>20910095.989999998</v>
      </c>
      <c r="K29" s="4">
        <f>AVERAGE(DatiRipuliti!K2702:K2801)</f>
        <v>210774</v>
      </c>
    </row>
    <row r="30" spans="1:11" s="4" customFormat="1" x14ac:dyDescent="0.3">
      <c r="A30" s="4">
        <v>1450</v>
      </c>
      <c r="B30" s="4">
        <f>AVERAGE(DatiRipuliti!B2802:B2901)</f>
        <v>1050525</v>
      </c>
      <c r="C30" s="4">
        <f>AVERAGE(DatiRipuliti!C2802:C2901)</f>
        <v>9834323</v>
      </c>
      <c r="D30" s="4">
        <f>AVERAGE(DatiRipuliti!D2802:D2901)</f>
        <v>524945.27</v>
      </c>
      <c r="E30" s="4">
        <f>AVERAGE(DatiRipuliti!E2802:E2901)</f>
        <v>1875506</v>
      </c>
      <c r="F30" s="4">
        <f>AVERAGE(DatiRipuliti!F2802:F2901)</f>
        <v>17957173.850000001</v>
      </c>
      <c r="G30" s="4">
        <f>AVERAGE(DatiRipuliti!G2802:G2901)</f>
        <v>586686</v>
      </c>
      <c r="H30" s="4">
        <f>AVERAGE(DatiRipuliti!H2802:H2901)</f>
        <v>22614937.68</v>
      </c>
      <c r="I30" s="4">
        <f>AVERAGE(DatiRipuliti!I2802:I2901)</f>
        <v>203407</v>
      </c>
      <c r="J30" s="4">
        <f>AVERAGE(DatiRipuliti!J2802:J2901)</f>
        <v>22578159.449999999</v>
      </c>
      <c r="K30" s="4">
        <f>AVERAGE(DatiRipuliti!K2802:K2901)</f>
        <v>221905</v>
      </c>
    </row>
    <row r="31" spans="1:11" s="4" customFormat="1" x14ac:dyDescent="0.3">
      <c r="A31" s="4">
        <v>1500</v>
      </c>
      <c r="B31" s="4">
        <f>AVERAGE(DatiRipuliti!B2902:B3001)</f>
        <v>1124250</v>
      </c>
      <c r="C31" s="4">
        <f>AVERAGE(DatiRipuliti!C2902:C3001)</f>
        <v>10567417</v>
      </c>
      <c r="D31" s="4">
        <f>AVERAGE(DatiRipuliti!D2902:D3001)</f>
        <v>566039.31999999995</v>
      </c>
      <c r="E31" s="4">
        <f>AVERAGE(DatiRipuliti!E2902:E3001)</f>
        <v>2039986</v>
      </c>
      <c r="F31" s="4">
        <f>AVERAGE(DatiRipuliti!F2902:F3001)</f>
        <v>19327114.48</v>
      </c>
      <c r="G31" s="4">
        <f>AVERAGE(DatiRipuliti!G2902:G3001)</f>
        <v>609364</v>
      </c>
      <c r="H31" s="4">
        <f>AVERAGE(DatiRipuliti!H2902:H3001)</f>
        <v>24365577.829999998</v>
      </c>
      <c r="I31" s="4">
        <f>AVERAGE(DatiRipuliti!I2902:I3001)</f>
        <v>207847</v>
      </c>
      <c r="J31" s="4">
        <f>AVERAGE(DatiRipuliti!J2902:J3001)</f>
        <v>24312511.809999999</v>
      </c>
      <c r="K31" s="4">
        <f>AVERAGE(DatiRipuliti!K2902:K3001)</f>
        <v>229732</v>
      </c>
    </row>
    <row r="1048576" spans="1:1" s="4" customFormat="1" x14ac:dyDescent="0.3">
      <c r="A1048576" s="4">
        <f>SUM(A2:A1048575)</f>
        <v>23250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5D83-CBA8-4A3C-B398-174FE1FA397C}">
  <dimension ref="A1:AC1048576"/>
  <sheetViews>
    <sheetView workbookViewId="0">
      <selection activeCell="B2" sqref="B2"/>
    </sheetView>
  </sheetViews>
  <sheetFormatPr defaultRowHeight="14.4" x14ac:dyDescent="0.3"/>
  <cols>
    <col min="1" max="1" width="6" style="4" bestFit="1" customWidth="1"/>
    <col min="2" max="2" width="16.77734375" style="4" bestFit="1" customWidth="1"/>
    <col min="3" max="3" width="13.21875" style="4" bestFit="1" customWidth="1"/>
    <col min="4" max="4" width="18.33203125" style="4" bestFit="1" customWidth="1"/>
    <col min="5" max="5" width="14.6640625" style="4" bestFit="1" customWidth="1"/>
    <col min="6" max="6" width="17.33203125" style="4" bestFit="1" customWidth="1"/>
    <col min="7" max="7" width="12.21875" style="4" bestFit="1" customWidth="1"/>
    <col min="8" max="8" width="15.77734375" style="4" bestFit="1" customWidth="1"/>
    <col min="9" max="9" width="12.109375" style="4" bestFit="1" customWidth="1"/>
    <col min="10" max="10" width="22.88671875" style="4" bestFit="1" customWidth="1"/>
    <col min="11" max="11" width="19.21875" style="4" bestFit="1" customWidth="1"/>
    <col min="30" max="16384" width="8.88671875" style="4"/>
  </cols>
  <sheetData>
    <row r="1" spans="1:11" s="4" customFormat="1" x14ac:dyDescent="0.3">
      <c r="A1" s="3" t="s">
        <v>3011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s="4" customFormat="1" x14ac:dyDescent="0.3">
      <c r="A2" s="4">
        <v>50</v>
      </c>
      <c r="B2" s="4">
        <f>_xlfn.STDEV.S(DatiRipuliti!B2:B101)</f>
        <v>0</v>
      </c>
      <c r="C2" s="4">
        <f>_xlfn.STDEV.S(DatiRipuliti!C2:C101)</f>
        <v>170529.28109319776</v>
      </c>
      <c r="D2" s="4">
        <f>_xlfn.STDEV.S(DatiRipuliti!D2:D101)</f>
        <v>58.697250981006555</v>
      </c>
      <c r="E2" s="4">
        <f>_xlfn.STDEV.S(DatiRipuliti!E2:E101)</f>
        <v>46154.112109826841</v>
      </c>
      <c r="F2" s="4">
        <f>_xlfn.STDEV.S(DatiRipuliti!F2:F101)</f>
        <v>6440.1404207901351</v>
      </c>
      <c r="G2" s="4">
        <f>_xlfn.STDEV.S(DatiRipuliti!G2:G101)</f>
        <v>76537.820813882165</v>
      </c>
      <c r="H2" s="4">
        <f>_xlfn.STDEV.S(DatiRipuliti!H2:H101)</f>
        <v>7584.1270592207284</v>
      </c>
      <c r="I2" s="4">
        <f>_xlfn.STDEV.S(DatiRipuliti!I2:I101)</f>
        <v>41153.345173951413</v>
      </c>
      <c r="J2" s="4">
        <f>_xlfn.STDEV.S(DatiRipuliti!J2:J101)</f>
        <v>7461.4874403584081</v>
      </c>
      <c r="K2" s="4">
        <f>_xlfn.STDEV.S(DatiRipuliti!K2:K101)</f>
        <v>47416.658737947306</v>
      </c>
    </row>
    <row r="3" spans="1:11" s="4" customFormat="1" x14ac:dyDescent="0.3">
      <c r="A3" s="4">
        <v>100</v>
      </c>
      <c r="B3" s="4">
        <f>_xlfn.STDEV.S(DatiRipuliti!B102:B201)</f>
        <v>0</v>
      </c>
      <c r="C3" s="4">
        <f>_xlfn.STDEV.S(DatiRipuliti!C102:C201)</f>
        <v>3930.3241027232798</v>
      </c>
      <c r="D3" s="4">
        <f>_xlfn.STDEV.S(DatiRipuliti!D102:D201)</f>
        <v>188.26139790035012</v>
      </c>
      <c r="E3" s="4">
        <f>_xlfn.STDEV.S(DatiRipuliti!E102:E201)</f>
        <v>22358.19134113393</v>
      </c>
      <c r="F3" s="4">
        <f>_xlfn.STDEV.S(DatiRipuliti!F102:F201)</f>
        <v>15702.659647883624</v>
      </c>
      <c r="G3" s="4">
        <f>_xlfn.STDEV.S(DatiRipuliti!G102:G201)</f>
        <v>10347.435940433199</v>
      </c>
      <c r="H3" s="4">
        <f>_xlfn.STDEV.S(DatiRipuliti!H102:H201)</f>
        <v>18966.142731752603</v>
      </c>
      <c r="I3" s="4">
        <f>_xlfn.STDEV.S(DatiRipuliti!I102:I201)</f>
        <v>7103.9068010840328</v>
      </c>
      <c r="J3" s="4">
        <f>_xlfn.STDEV.S(DatiRipuliti!J102:J201)</f>
        <v>18918.098538508766</v>
      </c>
      <c r="K3" s="4">
        <f>_xlfn.STDEV.S(DatiRipuliti!K102:K201)</f>
        <v>8395.7526037075313</v>
      </c>
    </row>
    <row r="4" spans="1:11" s="4" customFormat="1" x14ac:dyDescent="0.3">
      <c r="A4" s="4">
        <v>150</v>
      </c>
      <c r="B4" s="4">
        <f>_xlfn.STDEV.S(DatiRipuliti!B202:B301)</f>
        <v>0</v>
      </c>
      <c r="C4" s="4">
        <f>_xlfn.STDEV.S(DatiRipuliti!C202:C301)</f>
        <v>10377.065478285767</v>
      </c>
      <c r="D4" s="4">
        <f>_xlfn.STDEV.S(DatiRipuliti!D202:D301)</f>
        <v>277.12570972376233</v>
      </c>
      <c r="E4" s="4">
        <f>_xlfn.STDEV.S(DatiRipuliti!E202:E301)</f>
        <v>5776.6554756925298</v>
      </c>
      <c r="F4" s="4">
        <f>_xlfn.STDEV.S(DatiRipuliti!F202:F301)</f>
        <v>26066.117249801602</v>
      </c>
      <c r="G4" s="4">
        <f>_xlfn.STDEV.S(DatiRipuliti!G202:G301)</f>
        <v>14336.717251669532</v>
      </c>
      <c r="H4" s="4">
        <f>_xlfn.STDEV.S(DatiRipuliti!H202:H301)</f>
        <v>31180.695201265829</v>
      </c>
      <c r="I4" s="4">
        <f>_xlfn.STDEV.S(DatiRipuliti!I202:I301)</f>
        <v>4103.274253076389</v>
      </c>
      <c r="J4" s="4">
        <f>_xlfn.STDEV.S(DatiRipuliti!J202:J301)</f>
        <v>31398.570161416807</v>
      </c>
      <c r="K4" s="4">
        <f>_xlfn.STDEV.S(DatiRipuliti!K202:K301)</f>
        <v>3264.9363073280761</v>
      </c>
    </row>
    <row r="5" spans="1:11" s="4" customFormat="1" x14ac:dyDescent="0.3">
      <c r="A5" s="4">
        <v>200</v>
      </c>
      <c r="B5" s="4">
        <f>_xlfn.STDEV.S(DatiRipuliti!B302:B401)</f>
        <v>0</v>
      </c>
      <c r="C5" s="4">
        <f>_xlfn.STDEV.S(DatiRipuliti!C302:C401)</f>
        <v>21670.94273013093</v>
      </c>
      <c r="D5" s="4">
        <f>_xlfn.STDEV.S(DatiRipuliti!D302:D401)</f>
        <v>442.95163917347077</v>
      </c>
      <c r="E5" s="4">
        <f>_xlfn.STDEV.S(DatiRipuliti!E302:E401)</f>
        <v>11664.519759172308</v>
      </c>
      <c r="F5" s="4">
        <f>_xlfn.STDEV.S(DatiRipuliti!F302:F401)</f>
        <v>37164.491832946034</v>
      </c>
      <c r="G5" s="4">
        <f>_xlfn.STDEV.S(DatiRipuliti!G302:G401)</f>
        <v>17905.361309852524</v>
      </c>
      <c r="H5" s="4">
        <f>_xlfn.STDEV.S(DatiRipuliti!H302:H401)</f>
        <v>45151.950025900478</v>
      </c>
      <c r="I5" s="4">
        <f>_xlfn.STDEV.S(DatiRipuliti!I302:I401)</f>
        <v>3468.3271081737557</v>
      </c>
      <c r="J5" s="4">
        <f>_xlfn.STDEV.S(DatiRipuliti!J302:J401)</f>
        <v>45517.031296561101</v>
      </c>
      <c r="K5" s="4">
        <f>_xlfn.STDEV.S(DatiRipuliti!K302:K401)</f>
        <v>7664.0809868983879</v>
      </c>
    </row>
    <row r="6" spans="1:11" s="4" customFormat="1" x14ac:dyDescent="0.3">
      <c r="A6" s="4">
        <v>250</v>
      </c>
      <c r="B6" s="4">
        <f>_xlfn.STDEV.S(DatiRipuliti!B402:B501)</f>
        <v>0</v>
      </c>
      <c r="C6" s="4">
        <f>_xlfn.STDEV.S(DatiRipuliti!C402:C501)</f>
        <v>35730.514135736143</v>
      </c>
      <c r="D6" s="4">
        <f>_xlfn.STDEV.S(DatiRipuliti!D402:D501)</f>
        <v>628.89822617724781</v>
      </c>
      <c r="E6" s="4">
        <f>_xlfn.STDEV.S(DatiRipuliti!E402:E501)</f>
        <v>14684.855766703631</v>
      </c>
      <c r="F6" s="4">
        <f>_xlfn.STDEV.S(DatiRipuliti!F402:F501)</f>
        <v>48672.275180289776</v>
      </c>
      <c r="G6" s="4">
        <f>_xlfn.STDEV.S(DatiRipuliti!G402:G501)</f>
        <v>20146.416855639916</v>
      </c>
      <c r="H6" s="4">
        <f>_xlfn.STDEV.S(DatiRipuliti!H402:H501)</f>
        <v>60328.863881212594</v>
      </c>
      <c r="I6" s="4">
        <f>_xlfn.STDEV.S(DatiRipuliti!I402:I501)</f>
        <v>4871.4086486582319</v>
      </c>
      <c r="J6" s="4">
        <f>_xlfn.STDEV.S(DatiRipuliti!J402:J501)</f>
        <v>59372.498711474509</v>
      </c>
      <c r="K6" s="4">
        <f>_xlfn.STDEV.S(DatiRipuliti!K402:K501)</f>
        <v>4561.5294041637508</v>
      </c>
    </row>
    <row r="7" spans="1:11" s="4" customFormat="1" x14ac:dyDescent="0.3">
      <c r="A7" s="4">
        <v>300</v>
      </c>
      <c r="B7" s="4">
        <f>_xlfn.STDEV.S(DatiRipuliti!B502:B601)</f>
        <v>0</v>
      </c>
      <c r="C7" s="4">
        <f>_xlfn.STDEV.S(DatiRipuliti!C502:C601)</f>
        <v>40155.604727051083</v>
      </c>
      <c r="D7" s="4">
        <f>_xlfn.STDEV.S(DatiRipuliti!D502:D601)</f>
        <v>899.57822866882987</v>
      </c>
      <c r="E7" s="4">
        <f>_xlfn.STDEV.S(DatiRipuliti!E502:E601)</f>
        <v>20928.028569312966</v>
      </c>
      <c r="F7" s="4">
        <f>_xlfn.STDEV.S(DatiRipuliti!F502:F601)</f>
        <v>60851.746384753307</v>
      </c>
      <c r="G7" s="4">
        <f>_xlfn.STDEV.S(DatiRipuliti!G502:G601)</f>
        <v>20640.875010815824</v>
      </c>
      <c r="H7" s="4">
        <f>_xlfn.STDEV.S(DatiRipuliti!H502:H601)</f>
        <v>74999.176532095502</v>
      </c>
      <c r="I7" s="4">
        <f>_xlfn.STDEV.S(DatiRipuliti!I502:I601)</f>
        <v>4029.0835361672684</v>
      </c>
      <c r="J7" s="4">
        <f>_xlfn.STDEV.S(DatiRipuliti!J502:J601)</f>
        <v>74978.479869464863</v>
      </c>
      <c r="K7" s="4">
        <f>_xlfn.STDEV.S(DatiRipuliti!K502:K601)</f>
        <v>5206.5905205311519</v>
      </c>
    </row>
    <row r="8" spans="1:11" s="4" customFormat="1" x14ac:dyDescent="0.3">
      <c r="A8" s="4">
        <v>350</v>
      </c>
      <c r="B8" s="4">
        <f>_xlfn.STDEV.S(DatiRipuliti!B602:B701)</f>
        <v>0</v>
      </c>
      <c r="C8" s="4">
        <f>_xlfn.STDEV.S(DatiRipuliti!C602:C701)</f>
        <v>45464.801392468064</v>
      </c>
      <c r="D8" s="4">
        <f>_xlfn.STDEV.S(DatiRipuliti!D602:D701)</f>
        <v>1123.0664747318688</v>
      </c>
      <c r="E8" s="4">
        <f>_xlfn.STDEV.S(DatiRipuliti!E602:E701)</f>
        <v>23172.206684436911</v>
      </c>
      <c r="F8" s="4">
        <f>_xlfn.STDEV.S(DatiRipuliti!F602:F701)</f>
        <v>73282.365303800048</v>
      </c>
      <c r="G8" s="4">
        <f>_xlfn.STDEV.S(DatiRipuliti!G602:G701)</f>
        <v>30030.167727426593</v>
      </c>
      <c r="H8" s="4">
        <f>_xlfn.STDEV.S(DatiRipuliti!H602:H701)</f>
        <v>90543.510450077709</v>
      </c>
      <c r="I8" s="4">
        <f>_xlfn.STDEV.S(DatiRipuliti!I602:I701)</f>
        <v>5300.8185950641409</v>
      </c>
      <c r="J8" s="4">
        <f>_xlfn.STDEV.S(DatiRipuliti!J602:J701)</f>
        <v>90498.733146266706</v>
      </c>
      <c r="K8" s="4">
        <f>_xlfn.STDEV.S(DatiRipuliti!K602:K701)</f>
        <v>6944.9541307907766</v>
      </c>
    </row>
    <row r="9" spans="1:11" s="4" customFormat="1" x14ac:dyDescent="0.3">
      <c r="A9" s="4">
        <v>400</v>
      </c>
      <c r="B9" s="4">
        <f>_xlfn.STDEV.S(DatiRipuliti!B702:B801)</f>
        <v>0</v>
      </c>
      <c r="C9" s="4">
        <f>_xlfn.STDEV.S(DatiRipuliti!C702:C801)</f>
        <v>60253.883826369369</v>
      </c>
      <c r="D9" s="4">
        <f>_xlfn.STDEV.S(DatiRipuliti!D702:D801)</f>
        <v>1153.5043826128581</v>
      </c>
      <c r="E9" s="4">
        <f>_xlfn.STDEV.S(DatiRipuliti!E702:E801)</f>
        <v>19866.400521910597</v>
      </c>
      <c r="F9" s="4">
        <f>_xlfn.STDEV.S(DatiRipuliti!F702:F801)</f>
        <v>85888.923183059262</v>
      </c>
      <c r="G9" s="4">
        <f>_xlfn.STDEV.S(DatiRipuliti!G702:G801)</f>
        <v>27406.933042350411</v>
      </c>
      <c r="H9" s="4">
        <f>_xlfn.STDEV.S(DatiRipuliti!H702:H801)</f>
        <v>107751.64883788429</v>
      </c>
      <c r="I9" s="4">
        <f>_xlfn.STDEV.S(DatiRipuliti!I702:I801)</f>
        <v>5686.4406328306177</v>
      </c>
      <c r="J9" s="4">
        <f>_xlfn.STDEV.S(DatiRipuliti!J702:J801)</f>
        <v>106368.61977653726</v>
      </c>
      <c r="K9" s="4">
        <f>_xlfn.STDEV.S(DatiRipuliti!K702:K801)</f>
        <v>6308.8178629821632</v>
      </c>
    </row>
    <row r="10" spans="1:11" s="4" customFormat="1" x14ac:dyDescent="0.3">
      <c r="A10" s="4">
        <v>450</v>
      </c>
      <c r="B10" s="4">
        <f>_xlfn.STDEV.S(DatiRipuliti!B802:B901)</f>
        <v>0</v>
      </c>
      <c r="C10" s="4">
        <f>_xlfn.STDEV.S(DatiRipuliti!C802:C901)</f>
        <v>77273.447659149475</v>
      </c>
      <c r="D10" s="4">
        <f>_xlfn.STDEV.S(DatiRipuliti!D802:D901)</f>
        <v>1434.8764292693384</v>
      </c>
      <c r="E10" s="4">
        <f>_xlfn.STDEV.S(DatiRipuliti!E802:E901)</f>
        <v>36376.723660088246</v>
      </c>
      <c r="F10" s="4">
        <f>_xlfn.STDEV.S(DatiRipuliti!F802:F901)</f>
        <v>98823.842829182016</v>
      </c>
      <c r="G10" s="4">
        <f>_xlfn.STDEV.S(DatiRipuliti!G802:G901)</f>
        <v>21413.692777842833</v>
      </c>
      <c r="H10" s="4">
        <f>_xlfn.STDEV.S(DatiRipuliti!H802:H901)</f>
        <v>122781.68819176458</v>
      </c>
      <c r="I10" s="4">
        <f>_xlfn.STDEV.S(DatiRipuliti!I802:I901)</f>
        <v>5894.0720091024377</v>
      </c>
      <c r="J10" s="4">
        <f>_xlfn.STDEV.S(DatiRipuliti!J802:J901)</f>
        <v>122026.46757445119</v>
      </c>
      <c r="K10" s="4">
        <f>_xlfn.STDEV.S(DatiRipuliti!K802:K901)</f>
        <v>6568.8412796760249</v>
      </c>
    </row>
    <row r="11" spans="1:11" s="4" customFormat="1" x14ac:dyDescent="0.3">
      <c r="A11" s="4">
        <v>500</v>
      </c>
      <c r="B11" s="4">
        <f>_xlfn.STDEV.S(DatiRipuliti!B902:B1001)</f>
        <v>0</v>
      </c>
      <c r="C11" s="4">
        <f>_xlfn.STDEV.S(DatiRipuliti!C902:C1001)</f>
        <v>114815.23222776302</v>
      </c>
      <c r="D11" s="4">
        <f>_xlfn.STDEV.S(DatiRipuliti!D902:D1001)</f>
        <v>1822.7726180938555</v>
      </c>
      <c r="E11" s="4">
        <f>_xlfn.STDEV.S(DatiRipuliti!E902:E1001)</f>
        <v>40811.722716777236</v>
      </c>
      <c r="F11" s="4">
        <f>_xlfn.STDEV.S(DatiRipuliti!F902:F1001)</f>
        <v>111772.42884110731</v>
      </c>
      <c r="G11" s="4">
        <f>_xlfn.STDEV.S(DatiRipuliti!G902:G1001)</f>
        <v>27338.114881105557</v>
      </c>
      <c r="H11" s="4">
        <f>_xlfn.STDEV.S(DatiRipuliti!H902:H1001)</f>
        <v>137942.02448253322</v>
      </c>
      <c r="I11" s="4">
        <f>_xlfn.STDEV.S(DatiRipuliti!I902:I1001)</f>
        <v>7882.506907800027</v>
      </c>
      <c r="J11" s="4">
        <f>_xlfn.STDEV.S(DatiRipuliti!J902:J1001)</f>
        <v>139176.58906795896</v>
      </c>
      <c r="K11" s="4">
        <f>_xlfn.STDEV.S(DatiRipuliti!K902:K1001)</f>
        <v>8199.6434389095557</v>
      </c>
    </row>
    <row r="12" spans="1:11" s="4" customFormat="1" x14ac:dyDescent="0.3">
      <c r="A12" s="4">
        <v>550</v>
      </c>
      <c r="B12" s="4">
        <f>_xlfn.STDEV.S(DatiRipuliti!B1002:B1101)</f>
        <v>0</v>
      </c>
      <c r="C12" s="4">
        <f>_xlfn.STDEV.S(DatiRipuliti!C1002:C1101)</f>
        <v>113562.74450894554</v>
      </c>
      <c r="D12" s="4">
        <f>_xlfn.STDEV.S(DatiRipuliti!D1002:D1101)</f>
        <v>2012.6200271629452</v>
      </c>
      <c r="E12" s="4">
        <f>_xlfn.STDEV.S(DatiRipuliti!E1002:E1101)</f>
        <v>41145.898527758094</v>
      </c>
      <c r="F12" s="4">
        <f>_xlfn.STDEV.S(DatiRipuliti!F1002:F1101)</f>
        <v>125305.14798011931</v>
      </c>
      <c r="G12" s="4">
        <f>_xlfn.STDEV.S(DatiRipuliti!G1002:G1101)</f>
        <v>150454.47507368124</v>
      </c>
      <c r="H12" s="4">
        <f>_xlfn.STDEV.S(DatiRipuliti!H1002:H1101)</f>
        <v>157906.6482653289</v>
      </c>
      <c r="I12" s="4">
        <f>_xlfn.STDEV.S(DatiRipuliti!I1002:I1101)</f>
        <v>13022.611105304497</v>
      </c>
      <c r="J12" s="4">
        <f>_xlfn.STDEV.S(DatiRipuliti!J1002:J1101)</f>
        <v>156267.84332628513</v>
      </c>
      <c r="K12" s="4">
        <f>_xlfn.STDEV.S(DatiRipuliti!K1002:K1101)</f>
        <v>6218.8345395502392</v>
      </c>
    </row>
    <row r="13" spans="1:11" s="4" customFormat="1" x14ac:dyDescent="0.3">
      <c r="A13" s="4">
        <v>600</v>
      </c>
      <c r="B13" s="4">
        <f>_xlfn.STDEV.S(DatiRipuliti!B1102:B1201)</f>
        <v>0</v>
      </c>
      <c r="C13" s="4">
        <f>_xlfn.STDEV.S(DatiRipuliti!C1102:C1201)</f>
        <v>142819.2601390536</v>
      </c>
      <c r="D13" s="4">
        <f>_xlfn.STDEV.S(DatiRipuliti!D1102:D1201)</f>
        <v>2434.090791426871</v>
      </c>
      <c r="E13" s="4">
        <f>_xlfn.STDEV.S(DatiRipuliti!E1102:E1201)</f>
        <v>56145.729970670021</v>
      </c>
      <c r="F13" s="4">
        <f>_xlfn.STDEV.S(DatiRipuliti!F1102:F1201)</f>
        <v>139052.6094211911</v>
      </c>
      <c r="G13" s="4">
        <f>_xlfn.STDEV.S(DatiRipuliti!G1102:G1201)</f>
        <v>25079.171526277427</v>
      </c>
      <c r="H13" s="4">
        <f>_xlfn.STDEV.S(DatiRipuliti!H1102:H1201)</f>
        <v>174745.24720305979</v>
      </c>
      <c r="I13" s="4">
        <f>_xlfn.STDEV.S(DatiRipuliti!I1102:I1201)</f>
        <v>6559.4958539956297</v>
      </c>
      <c r="J13" s="4">
        <f>_xlfn.STDEV.S(DatiRipuliti!J1102:J1201)</f>
        <v>173136.39593405963</v>
      </c>
      <c r="K13" s="4">
        <f>_xlfn.STDEV.S(DatiRipuliti!K1102:K1201)</f>
        <v>7029.4671982241371</v>
      </c>
    </row>
    <row r="14" spans="1:11" s="4" customFormat="1" x14ac:dyDescent="0.3">
      <c r="A14" s="4">
        <v>650</v>
      </c>
      <c r="B14" s="4">
        <f>_xlfn.STDEV.S(DatiRipuliti!B1202:B1301)</f>
        <v>0</v>
      </c>
      <c r="C14" s="4">
        <f>_xlfn.STDEV.S(DatiRipuliti!C1202:C1301)</f>
        <v>140203.81704554771</v>
      </c>
      <c r="D14" s="4">
        <f>_xlfn.STDEV.S(DatiRipuliti!D1202:D1301)</f>
        <v>2906.7319275930636</v>
      </c>
      <c r="E14" s="4">
        <f>_xlfn.STDEV.S(DatiRipuliti!E1202:E1301)</f>
        <v>53115.601923321621</v>
      </c>
      <c r="F14" s="4">
        <f>_xlfn.STDEV.S(DatiRipuliti!F1202:F1301)</f>
        <v>152845.5206190905</v>
      </c>
      <c r="G14" s="4">
        <f>_xlfn.STDEV.S(DatiRipuliti!G1202:G1301)</f>
        <v>19469.753802534666</v>
      </c>
      <c r="H14" s="4">
        <f>_xlfn.STDEV.S(DatiRipuliti!H1202:H1301)</f>
        <v>190582.70940627845</v>
      </c>
      <c r="I14" s="4">
        <f>_xlfn.STDEV.S(DatiRipuliti!I1202:I1301)</f>
        <v>4654.9853800940009</v>
      </c>
      <c r="J14" s="4">
        <f>_xlfn.STDEV.S(DatiRipuliti!J1202:J1301)</f>
        <v>191417.13507399819</v>
      </c>
      <c r="K14" s="4">
        <f>_xlfn.STDEV.S(DatiRipuliti!K1202:K1301)</f>
        <v>2968.8789844388107</v>
      </c>
    </row>
    <row r="15" spans="1:11" s="4" customFormat="1" x14ac:dyDescent="0.3">
      <c r="A15" s="4">
        <v>700</v>
      </c>
      <c r="B15" s="4">
        <f>_xlfn.STDEV.S(DatiRipuliti!B1302:B1401)</f>
        <v>0</v>
      </c>
      <c r="C15" s="4">
        <f>_xlfn.STDEV.S(DatiRipuliti!C1302:C1401)</f>
        <v>174023.32992324838</v>
      </c>
      <c r="D15" s="4">
        <f>_xlfn.STDEV.S(DatiRipuliti!D1302:D1401)</f>
        <v>3142.9394074318197</v>
      </c>
      <c r="E15" s="4">
        <f>_xlfn.STDEV.S(DatiRipuliti!E1302:E1401)</f>
        <v>59569.210540718472</v>
      </c>
      <c r="F15" s="4">
        <f>_xlfn.STDEV.S(DatiRipuliti!F1302:F1401)</f>
        <v>166813.02116276443</v>
      </c>
      <c r="G15" s="4">
        <f>_xlfn.STDEV.S(DatiRipuliti!G1302:G1401)</f>
        <v>20982.15692179689</v>
      </c>
      <c r="H15" s="4">
        <f>_xlfn.STDEV.S(DatiRipuliti!H1302:H1401)</f>
        <v>209115.65284060061</v>
      </c>
      <c r="I15" s="4">
        <f>_xlfn.STDEV.S(DatiRipuliti!I1302:I1401)</f>
        <v>4924.6002760414858</v>
      </c>
      <c r="J15" s="4">
        <f>_xlfn.STDEV.S(DatiRipuliti!J1302:J1401)</f>
        <v>210245.4505906759</v>
      </c>
      <c r="K15" s="4">
        <f>_xlfn.STDEV.S(DatiRipuliti!K1302:K1401)</f>
        <v>8592.562616776926</v>
      </c>
    </row>
    <row r="16" spans="1:11" s="4" customFormat="1" x14ac:dyDescent="0.3">
      <c r="A16" s="4">
        <v>750</v>
      </c>
      <c r="B16" s="4">
        <f>_xlfn.STDEV.S(DatiRipuliti!B1402:B1501)</f>
        <v>0</v>
      </c>
      <c r="C16" s="4">
        <f>_xlfn.STDEV.S(DatiRipuliti!C1402:C1501)</f>
        <v>184266.79422385184</v>
      </c>
      <c r="D16" s="4">
        <f>_xlfn.STDEV.S(DatiRipuliti!D1402:D1501)</f>
        <v>3877.6229373082929</v>
      </c>
      <c r="E16" s="4">
        <f>_xlfn.STDEV.S(DatiRipuliti!E1402:E1501)</f>
        <v>43609.085977557246</v>
      </c>
      <c r="F16" s="4">
        <f>_xlfn.STDEV.S(DatiRipuliti!F1402:F1501)</f>
        <v>180814.61625876921</v>
      </c>
      <c r="G16" s="4">
        <f>_xlfn.STDEV.S(DatiRipuliti!G1402:G1501)</f>
        <v>17597.7730455196</v>
      </c>
      <c r="H16" s="4">
        <f>_xlfn.STDEV.S(DatiRipuliti!H1402:H1501)</f>
        <v>229103.79687920009</v>
      </c>
      <c r="I16" s="4">
        <f>_xlfn.STDEV.S(DatiRipuliti!I1402:I1501)</f>
        <v>6369.0923508563901</v>
      </c>
      <c r="J16" s="4">
        <f>_xlfn.STDEV.S(DatiRipuliti!J1402:J1501)</f>
        <v>228487.3210312466</v>
      </c>
      <c r="K16" s="4">
        <f>_xlfn.STDEV.S(DatiRipuliti!K1402:K1501)</f>
        <v>10058.884007420877</v>
      </c>
    </row>
    <row r="17" spans="1:11" s="4" customFormat="1" x14ac:dyDescent="0.3">
      <c r="A17" s="4">
        <v>800</v>
      </c>
      <c r="B17" s="4">
        <f>_xlfn.STDEV.S(DatiRipuliti!B1502:B1601)</f>
        <v>0</v>
      </c>
      <c r="C17" s="4">
        <f>_xlfn.STDEV.S(DatiRipuliti!C1502:C1601)</f>
        <v>172394.77205878397</v>
      </c>
      <c r="D17" s="4">
        <f>_xlfn.STDEV.S(DatiRipuliti!D1502:D1601)</f>
        <v>3936.147516688281</v>
      </c>
      <c r="E17" s="4">
        <f>_xlfn.STDEV.S(DatiRipuliti!E1502:E1601)</f>
        <v>39711.582349829281</v>
      </c>
      <c r="F17" s="4">
        <f>_xlfn.STDEV.S(DatiRipuliti!F1502:F1601)</f>
        <v>195102.5810952688</v>
      </c>
      <c r="G17" s="4">
        <f>_xlfn.STDEV.S(DatiRipuliti!G1502:G1601)</f>
        <v>131570.58832859003</v>
      </c>
      <c r="H17" s="4">
        <f>_xlfn.STDEV.S(DatiRipuliti!H1502:H1601)</f>
        <v>244184.60541613062</v>
      </c>
      <c r="I17" s="4">
        <f>_xlfn.STDEV.S(DatiRipuliti!I1502:I1601)</f>
        <v>6672.5128911698839</v>
      </c>
      <c r="J17" s="4">
        <f>_xlfn.STDEV.S(DatiRipuliti!J1502:J1601)</f>
        <v>243572.03646450833</v>
      </c>
      <c r="K17" s="4">
        <f>_xlfn.STDEV.S(DatiRipuliti!K1502:K1601)</f>
        <v>8980.0236214847591</v>
      </c>
    </row>
    <row r="18" spans="1:11" s="4" customFormat="1" x14ac:dyDescent="0.3">
      <c r="A18" s="4">
        <v>850</v>
      </c>
      <c r="B18" s="4">
        <f>_xlfn.STDEV.S(DatiRipuliti!B1602:B1701)</f>
        <v>0</v>
      </c>
      <c r="C18" s="4">
        <f>_xlfn.STDEV.S(DatiRipuliti!C1602:C1701)</f>
        <v>195252.1495995174</v>
      </c>
      <c r="D18" s="4">
        <f>_xlfn.STDEV.S(DatiRipuliti!D1602:D1701)</f>
        <v>3525.0027927347633</v>
      </c>
      <c r="E18" s="4">
        <f>_xlfn.STDEV.S(DatiRipuliti!E1602:E1701)</f>
        <v>88499.412199155078</v>
      </c>
      <c r="F18" s="4">
        <f>_xlfn.STDEV.S(DatiRipuliti!F1602:F1701)</f>
        <v>209314.75828523404</v>
      </c>
      <c r="G18" s="4">
        <f>_xlfn.STDEV.S(DatiRipuliti!G1602:G1701)</f>
        <v>53942.664436090345</v>
      </c>
      <c r="H18" s="4">
        <f>_xlfn.STDEV.S(DatiRipuliti!H1602:H1701)</f>
        <v>262590.379282023</v>
      </c>
      <c r="I18" s="4">
        <f>_xlfn.STDEV.S(DatiRipuliti!I1602:I1701)</f>
        <v>7253.3659201585288</v>
      </c>
      <c r="J18" s="4">
        <f>_xlfn.STDEV.S(DatiRipuliti!J1602:J1701)</f>
        <v>261626.28374425264</v>
      </c>
      <c r="K18" s="4">
        <f>_xlfn.STDEV.S(DatiRipuliti!K1602:K1701)</f>
        <v>9103.0189242554879</v>
      </c>
    </row>
    <row r="19" spans="1:11" s="4" customFormat="1" x14ac:dyDescent="0.3">
      <c r="A19" s="4">
        <v>900</v>
      </c>
      <c r="B19" s="4">
        <f>_xlfn.STDEV.S(DatiRipuliti!B1702:B1801)</f>
        <v>0</v>
      </c>
      <c r="C19" s="4">
        <f>_xlfn.STDEV.S(DatiRipuliti!C1702:C1801)</f>
        <v>182981.7102593176</v>
      </c>
      <c r="D19" s="4">
        <f>_xlfn.STDEV.S(DatiRipuliti!D1702:D1801)</f>
        <v>4190.1902735900767</v>
      </c>
      <c r="E19" s="4">
        <f>_xlfn.STDEV.S(DatiRipuliti!E1702:E1801)</f>
        <v>61325.425008924743</v>
      </c>
      <c r="F19" s="4">
        <f>_xlfn.STDEV.S(DatiRipuliti!F1702:F1801)</f>
        <v>223584.5937335031</v>
      </c>
      <c r="G19" s="4">
        <f>_xlfn.STDEV.S(DatiRipuliti!G1702:G1801)</f>
        <v>30217.115091359141</v>
      </c>
      <c r="H19" s="4">
        <f>_xlfn.STDEV.S(DatiRipuliti!H1702:H1801)</f>
        <v>279540.61142451171</v>
      </c>
      <c r="I19" s="4">
        <f>_xlfn.STDEV.S(DatiRipuliti!I1702:I1801)</f>
        <v>8735.6353084606417</v>
      </c>
      <c r="J19" s="4">
        <f>_xlfn.STDEV.S(DatiRipuliti!J1702:J1801)</f>
        <v>281738.72979088878</v>
      </c>
      <c r="K19" s="4">
        <f>_xlfn.STDEV.S(DatiRipuliti!K1702:K1801)</f>
        <v>11181.744682356781</v>
      </c>
    </row>
    <row r="20" spans="1:11" s="4" customFormat="1" x14ac:dyDescent="0.3">
      <c r="A20" s="4">
        <v>950</v>
      </c>
      <c r="B20" s="4">
        <f>_xlfn.STDEV.S(DatiRipuliti!B1802:B1901)</f>
        <v>0</v>
      </c>
      <c r="C20" s="4">
        <f>_xlfn.STDEV.S(DatiRipuliti!C1802:C1901)</f>
        <v>206467.93010200415</v>
      </c>
      <c r="D20" s="4">
        <f>_xlfn.STDEV.S(DatiRipuliti!D1802:D1901)</f>
        <v>4858.9644457279664</v>
      </c>
      <c r="E20" s="4">
        <f>_xlfn.STDEV.S(DatiRipuliti!E1802:E1901)</f>
        <v>48776.962354841824</v>
      </c>
      <c r="F20" s="4">
        <f>_xlfn.STDEV.S(DatiRipuliti!F1802:F1901)</f>
        <v>238092.62268936302</v>
      </c>
      <c r="G20" s="4">
        <f>_xlfn.STDEV.S(DatiRipuliti!G1802:G1901)</f>
        <v>20222.277045102732</v>
      </c>
      <c r="H20" s="4">
        <f>_xlfn.STDEV.S(DatiRipuliti!H1802:H1901)</f>
        <v>297165.27334300708</v>
      </c>
      <c r="I20" s="4">
        <f>_xlfn.STDEV.S(DatiRipuliti!I1802:I1901)</f>
        <v>10867.364311124711</v>
      </c>
      <c r="J20" s="4">
        <f>_xlfn.STDEV.S(DatiRipuliti!J1802:J1901)</f>
        <v>299370.77429135883</v>
      </c>
      <c r="K20" s="4">
        <f>_xlfn.STDEV.S(DatiRipuliti!K1802:K1901)</f>
        <v>9011.4303957683533</v>
      </c>
    </row>
    <row r="21" spans="1:11" s="4" customFormat="1" x14ac:dyDescent="0.3">
      <c r="A21" s="4">
        <v>1000</v>
      </c>
      <c r="B21" s="4">
        <f>_xlfn.STDEV.S(DatiRipuliti!B1902:B2001)</f>
        <v>0</v>
      </c>
      <c r="C21" s="4">
        <f>_xlfn.STDEV.S(DatiRipuliti!C1902:C2001)</f>
        <v>194839.69357535345</v>
      </c>
      <c r="D21" s="4">
        <f>_xlfn.STDEV.S(DatiRipuliti!D1902:D2001)</f>
        <v>5209.3423750900738</v>
      </c>
      <c r="E21" s="4">
        <f>_xlfn.STDEV.S(DatiRipuliti!E1902:E2001)</f>
        <v>75635.407847132155</v>
      </c>
      <c r="F21" s="4">
        <f>_xlfn.STDEV.S(DatiRipuliti!F1902:F2001)</f>
        <v>252611.75570973221</v>
      </c>
      <c r="G21" s="4">
        <f>_xlfn.STDEV.S(DatiRipuliti!G1902:G2001)</f>
        <v>36435.139548784413</v>
      </c>
      <c r="H21" s="4">
        <f>_xlfn.STDEV.S(DatiRipuliti!H1902:H2001)</f>
        <v>323190.02490195719</v>
      </c>
      <c r="I21" s="4">
        <f>_xlfn.STDEV.S(DatiRipuliti!I1902:I2001)</f>
        <v>12466.38713023176</v>
      </c>
      <c r="J21" s="4">
        <f>_xlfn.STDEV.S(DatiRipuliti!J1902:J2001)</f>
        <v>316748.44304977183</v>
      </c>
      <c r="K21" s="4">
        <f>_xlfn.STDEV.S(DatiRipuliti!K1902:K2001)</f>
        <v>12753.477798608345</v>
      </c>
    </row>
    <row r="22" spans="1:11" s="4" customFormat="1" x14ac:dyDescent="0.3">
      <c r="A22" s="4">
        <v>1050</v>
      </c>
      <c r="B22" s="4">
        <f>_xlfn.STDEV.S(DatiRipuliti!B2002:B2101)</f>
        <v>0</v>
      </c>
      <c r="C22" s="4">
        <f>_xlfn.STDEV.S(DatiRipuliti!C2002:C2101)</f>
        <v>231663.09371345467</v>
      </c>
      <c r="D22" s="4">
        <f>_xlfn.STDEV.S(DatiRipuliti!D2002:D2101)</f>
        <v>5200.0207973554579</v>
      </c>
      <c r="E22" s="4">
        <f>_xlfn.STDEV.S(DatiRipuliti!E2002:E2101)</f>
        <v>90574.781085503419</v>
      </c>
      <c r="F22" s="4">
        <f>_xlfn.STDEV.S(DatiRipuliti!F2002:F2101)</f>
        <v>267423.66774977365</v>
      </c>
      <c r="G22" s="4">
        <f>_xlfn.STDEV.S(DatiRipuliti!G2002:G2101)</f>
        <v>49083.672695230591</v>
      </c>
      <c r="H22" s="4">
        <f>_xlfn.STDEV.S(DatiRipuliti!H2002:H2101)</f>
        <v>339551.0669803815</v>
      </c>
      <c r="I22" s="4">
        <f>_xlfn.STDEV.S(DatiRipuliti!I2002:I2101)</f>
        <v>56353.404385703143</v>
      </c>
      <c r="J22" s="4">
        <f>_xlfn.STDEV.S(DatiRipuliti!J2002:J2101)</f>
        <v>336994.83020589512</v>
      </c>
      <c r="K22" s="4">
        <f>_xlfn.STDEV.S(DatiRipuliti!K2002:K2101)</f>
        <v>10617.706575776754</v>
      </c>
    </row>
    <row r="23" spans="1:11" s="4" customFormat="1" x14ac:dyDescent="0.3">
      <c r="A23" s="4">
        <v>1100</v>
      </c>
      <c r="B23" s="4">
        <f>_xlfn.STDEV.S(DatiRipuliti!B2102:B2201)</f>
        <v>0</v>
      </c>
      <c r="C23" s="4">
        <f>_xlfn.STDEV.S(DatiRipuliti!C2102:C2201)</f>
        <v>235723.54277240048</v>
      </c>
      <c r="D23" s="4">
        <f>_xlfn.STDEV.S(DatiRipuliti!D2102:D2201)</f>
        <v>6342.7163880543276</v>
      </c>
      <c r="E23" s="4">
        <f>_xlfn.STDEV.S(DatiRipuliti!E2102:E2201)</f>
        <v>146202.92211632957</v>
      </c>
      <c r="F23" s="4">
        <f>_xlfn.STDEV.S(DatiRipuliti!F2102:F2201)</f>
        <v>282609.68868366198</v>
      </c>
      <c r="G23" s="4">
        <f>_xlfn.STDEV.S(DatiRipuliti!G2102:G2201)</f>
        <v>38819.511130930594</v>
      </c>
      <c r="H23" s="4">
        <f>_xlfn.STDEV.S(DatiRipuliti!H2102:H2201)</f>
        <v>354581.6416760147</v>
      </c>
      <c r="I23" s="4">
        <f>_xlfn.STDEV.S(DatiRipuliti!I2102:I2201)</f>
        <v>14997.588324645918</v>
      </c>
      <c r="J23" s="4">
        <f>_xlfn.STDEV.S(DatiRipuliti!J2102:J2201)</f>
        <v>360005.4297849639</v>
      </c>
      <c r="K23" s="4">
        <f>_xlfn.STDEV.S(DatiRipuliti!K2102:K2201)</f>
        <v>16762.924788793498</v>
      </c>
    </row>
    <row r="24" spans="1:11" s="4" customFormat="1" x14ac:dyDescent="0.3">
      <c r="A24" s="4">
        <v>1150</v>
      </c>
      <c r="B24" s="4">
        <f>_xlfn.STDEV.S(DatiRipuliti!B2202:B2301)</f>
        <v>0</v>
      </c>
      <c r="C24" s="4">
        <f>_xlfn.STDEV.S(DatiRipuliti!C2202:C2301)</f>
        <v>272165.84014422924</v>
      </c>
      <c r="D24" s="4">
        <f>_xlfn.STDEV.S(DatiRipuliti!D2202:D2301)</f>
        <v>7338.4806941893576</v>
      </c>
      <c r="E24" s="4">
        <f>_xlfn.STDEV.S(DatiRipuliti!E2202:E2301)</f>
        <v>141940.46814055389</v>
      </c>
      <c r="F24" s="4">
        <f>_xlfn.STDEV.S(DatiRipuliti!F2202:F2301)</f>
        <v>297595.58400207019</v>
      </c>
      <c r="G24" s="4">
        <f>_xlfn.STDEV.S(DatiRipuliti!G2202:G2301)</f>
        <v>30066.463262766923</v>
      </c>
      <c r="H24" s="4">
        <f>_xlfn.STDEV.S(DatiRipuliti!H2202:H2301)</f>
        <v>373523.37733186613</v>
      </c>
      <c r="I24" s="4">
        <f>_xlfn.STDEV.S(DatiRipuliti!I2202:I2301)</f>
        <v>15020.412878156945</v>
      </c>
      <c r="J24" s="4">
        <f>_xlfn.STDEV.S(DatiRipuliti!J2202:J2301)</f>
        <v>378105.13650934253</v>
      </c>
      <c r="K24" s="4">
        <f>_xlfn.STDEV.S(DatiRipuliti!K2202:K2301)</f>
        <v>9633.5325553479852</v>
      </c>
    </row>
    <row r="25" spans="1:11" s="4" customFormat="1" x14ac:dyDescent="0.3">
      <c r="A25" s="4">
        <v>1200</v>
      </c>
      <c r="B25" s="4">
        <f>_xlfn.STDEV.S(DatiRipuliti!B2302:B2401)</f>
        <v>0</v>
      </c>
      <c r="C25" s="4">
        <f>_xlfn.STDEV.S(DatiRipuliti!C2302:C2401)</f>
        <v>233932.58433820526</v>
      </c>
      <c r="D25" s="4">
        <f>_xlfn.STDEV.S(DatiRipuliti!D2302:D2401)</f>
        <v>6944.9775988395977</v>
      </c>
      <c r="E25" s="4">
        <f>_xlfn.STDEV.S(DatiRipuliti!E2302:E2401)</f>
        <v>110646.78355519925</v>
      </c>
      <c r="F25" s="4">
        <f>_xlfn.STDEV.S(DatiRipuliti!F2302:F2401)</f>
        <v>312964.56617530051</v>
      </c>
      <c r="G25" s="4">
        <f>_xlfn.STDEV.S(DatiRipuliti!G2302:G2401)</f>
        <v>41176.394372690687</v>
      </c>
      <c r="H25" s="4">
        <f>_xlfn.STDEV.S(DatiRipuliti!H2302:H2401)</f>
        <v>397405.10110321955</v>
      </c>
      <c r="I25" s="4">
        <f>_xlfn.STDEV.S(DatiRipuliti!I2302:I2401)</f>
        <v>13944.901823558561</v>
      </c>
      <c r="J25" s="4">
        <f>_xlfn.STDEV.S(DatiRipuliti!J2302:J2401)</f>
        <v>394634.54133698903</v>
      </c>
      <c r="K25" s="4">
        <f>_xlfn.STDEV.S(DatiRipuliti!K2302:K2401)</f>
        <v>17665.892378687058</v>
      </c>
    </row>
    <row r="26" spans="1:11" s="4" customFormat="1" x14ac:dyDescent="0.3">
      <c r="A26" s="4">
        <v>1250</v>
      </c>
      <c r="B26" s="4">
        <f>_xlfn.STDEV.S(DatiRipuliti!B2402:B2501)</f>
        <v>0</v>
      </c>
      <c r="C26" s="4">
        <f>_xlfn.STDEV.S(DatiRipuliti!C2402:C2501)</f>
        <v>265580.9534365799</v>
      </c>
      <c r="D26" s="4">
        <f>_xlfn.STDEV.S(DatiRipuliti!D2402:D2501)</f>
        <v>8507.990730875692</v>
      </c>
      <c r="E26" s="4">
        <f>_xlfn.STDEV.S(DatiRipuliti!E2402:E2501)</f>
        <v>134732.05982034991</v>
      </c>
      <c r="F26" s="4">
        <f>_xlfn.STDEV.S(DatiRipuliti!F2402:F2501)</f>
        <v>327965.96484657843</v>
      </c>
      <c r="G26" s="4">
        <f>_xlfn.STDEV.S(DatiRipuliti!G2402:G2501)</f>
        <v>163894.69796244788</v>
      </c>
      <c r="H26" s="4">
        <f>_xlfn.STDEV.S(DatiRipuliti!H2402:H2501)</f>
        <v>418992.99997919379</v>
      </c>
      <c r="I26" s="4">
        <f>_xlfn.STDEV.S(DatiRipuliti!I2402:I2501)</f>
        <v>12398.415506455132</v>
      </c>
      <c r="J26" s="4">
        <f>_xlfn.STDEV.S(DatiRipuliti!J2402:J2501)</f>
        <v>413468.96366996184</v>
      </c>
      <c r="K26" s="4">
        <f>_xlfn.STDEV.S(DatiRipuliti!K2402:K2501)</f>
        <v>16773.77534706899</v>
      </c>
    </row>
    <row r="27" spans="1:11" s="4" customFormat="1" x14ac:dyDescent="0.3">
      <c r="A27" s="4">
        <v>1300</v>
      </c>
      <c r="B27" s="4">
        <f>_xlfn.STDEV.S(DatiRipuliti!B2502:B2601)</f>
        <v>0</v>
      </c>
      <c r="C27" s="4">
        <f>_xlfn.STDEV.S(DatiRipuliti!C2502:C2601)</f>
        <v>306090.30800986785</v>
      </c>
      <c r="D27" s="4">
        <f>_xlfn.STDEV.S(DatiRipuliti!D2502:D2601)</f>
        <v>7919.1307420828716</v>
      </c>
      <c r="E27" s="4">
        <f>_xlfn.STDEV.S(DatiRipuliti!E2502:E2601)</f>
        <v>117209.64759736713</v>
      </c>
      <c r="F27" s="4">
        <f>_xlfn.STDEV.S(DatiRipuliti!F2502:F2601)</f>
        <v>343223.53651253897</v>
      </c>
      <c r="G27" s="4">
        <f>_xlfn.STDEV.S(DatiRipuliti!G2502:G2601)</f>
        <v>118257.68649500766</v>
      </c>
      <c r="H27" s="4">
        <f>_xlfn.STDEV.S(DatiRipuliti!H2502:H2601)</f>
        <v>437772.8406206012</v>
      </c>
      <c r="I27" s="4">
        <f>_xlfn.STDEV.S(DatiRipuliti!I2502:I2601)</f>
        <v>22062.185093755132</v>
      </c>
      <c r="J27" s="4">
        <f>_xlfn.STDEV.S(DatiRipuliti!J2502:J2601)</f>
        <v>436899.67696198262</v>
      </c>
      <c r="K27" s="4">
        <f>_xlfn.STDEV.S(DatiRipuliti!K2502:K2601)</f>
        <v>24266.894687573393</v>
      </c>
    </row>
    <row r="28" spans="1:11" s="4" customFormat="1" x14ac:dyDescent="0.3">
      <c r="A28" s="4">
        <v>1350</v>
      </c>
      <c r="B28" s="4">
        <f>_xlfn.STDEV.S(DatiRipuliti!B2602:B2701)</f>
        <v>0</v>
      </c>
      <c r="C28" s="4">
        <f>_xlfn.STDEV.S(DatiRipuliti!C2602:C2701)</f>
        <v>289278.23975536012</v>
      </c>
      <c r="D28" s="4">
        <f>_xlfn.STDEV.S(DatiRipuliti!D2602:D2701)</f>
        <v>8080.8446343463665</v>
      </c>
      <c r="E28" s="4">
        <f>_xlfn.STDEV.S(DatiRipuliti!E2602:E2701)</f>
        <v>131235.80126757879</v>
      </c>
      <c r="F28" s="4">
        <f>_xlfn.STDEV.S(DatiRipuliti!F2602:F2701)</f>
        <v>358707.65567719261</v>
      </c>
      <c r="G28" s="4">
        <f>_xlfn.STDEV.S(DatiRipuliti!G2602:G2701)</f>
        <v>123434.01185993424</v>
      </c>
      <c r="H28" s="4">
        <f>_xlfn.STDEV.S(DatiRipuliti!H2602:H2701)</f>
        <v>453284.82579099503</v>
      </c>
      <c r="I28" s="4">
        <f>_xlfn.STDEV.S(DatiRipuliti!I2602:I2701)</f>
        <v>10563.391089661091</v>
      </c>
      <c r="J28" s="4">
        <f>_xlfn.STDEV.S(DatiRipuliti!J2602:J2701)</f>
        <v>452546.37160638301</v>
      </c>
      <c r="K28" s="4">
        <f>_xlfn.STDEV.S(DatiRipuliti!K2602:K2701)</f>
        <v>14405.868753582845</v>
      </c>
    </row>
    <row r="29" spans="1:11" s="4" customFormat="1" x14ac:dyDescent="0.3">
      <c r="A29" s="4">
        <v>1400</v>
      </c>
      <c r="B29" s="4">
        <f>_xlfn.STDEV.S(DatiRipuliti!B2702:B2801)</f>
        <v>0</v>
      </c>
      <c r="C29" s="4">
        <f>_xlfn.STDEV.S(DatiRipuliti!C2702:C2801)</f>
        <v>288278.13575902878</v>
      </c>
      <c r="D29" s="4">
        <f>_xlfn.STDEV.S(DatiRipuliti!D2702:D2801)</f>
        <v>8303.1952520908126</v>
      </c>
      <c r="E29" s="4">
        <f>_xlfn.STDEV.S(DatiRipuliti!E2702:E2801)</f>
        <v>258108.99258165175</v>
      </c>
      <c r="F29" s="4">
        <f>_xlfn.STDEV.S(DatiRipuliti!F2702:F2801)</f>
        <v>374167.78351923742</v>
      </c>
      <c r="G29" s="4">
        <f>_xlfn.STDEV.S(DatiRipuliti!G2702:G2801)</f>
        <v>249515.70003031104</v>
      </c>
      <c r="H29" s="4">
        <f>_xlfn.STDEV.S(DatiRipuliti!H2702:H2801)</f>
        <v>472176.89648283244</v>
      </c>
      <c r="I29" s="4">
        <f>_xlfn.STDEV.S(DatiRipuliti!I2702:I2801)</f>
        <v>23858.498581123131</v>
      </c>
      <c r="J29" s="4">
        <f>_xlfn.STDEV.S(DatiRipuliti!J2702:J2801)</f>
        <v>472580.78615961783</v>
      </c>
      <c r="K29" s="4">
        <f>_xlfn.STDEV.S(DatiRipuliti!K2702:K2801)</f>
        <v>11675.162447769975</v>
      </c>
    </row>
    <row r="30" spans="1:11" s="4" customFormat="1" x14ac:dyDescent="0.3">
      <c r="A30" s="4">
        <v>1450</v>
      </c>
      <c r="B30" s="4">
        <f>_xlfn.STDEV.S(DatiRipuliti!B2802:B2901)</f>
        <v>0</v>
      </c>
      <c r="C30" s="4">
        <f>_xlfn.STDEV.S(DatiRipuliti!C2802:C2901)</f>
        <v>351460.01650689985</v>
      </c>
      <c r="D30" s="4">
        <f>_xlfn.STDEV.S(DatiRipuliti!D2802:D2901)</f>
        <v>9288.7485036870003</v>
      </c>
      <c r="E30" s="4">
        <f>_xlfn.STDEV.S(DatiRipuliti!E2802:E2901)</f>
        <v>103321.75479608066</v>
      </c>
      <c r="F30" s="4">
        <f>_xlfn.STDEV.S(DatiRipuliti!F2802:F2901)</f>
        <v>389650.52247979247</v>
      </c>
      <c r="G30" s="4">
        <f>_xlfn.STDEV.S(DatiRipuliti!G2802:G2901)</f>
        <v>47168.871390810578</v>
      </c>
      <c r="H30" s="4">
        <f>_xlfn.STDEV.S(DatiRipuliti!H2802:H2901)</f>
        <v>500135.23212465394</v>
      </c>
      <c r="I30" s="4">
        <f>_xlfn.STDEV.S(DatiRipuliti!I2802:I2901)</f>
        <v>19668.665820322312</v>
      </c>
      <c r="J30" s="4">
        <f>_xlfn.STDEV.S(DatiRipuliti!J2802:J2901)</f>
        <v>493952.93727008539</v>
      </c>
      <c r="K30" s="4">
        <f>_xlfn.STDEV.S(DatiRipuliti!K2802:K2901)</f>
        <v>17348.375611671439</v>
      </c>
    </row>
    <row r="31" spans="1:11" s="4" customFormat="1" x14ac:dyDescent="0.3">
      <c r="A31" s="4">
        <v>1500</v>
      </c>
      <c r="B31" s="4">
        <f>_xlfn.STDEV.S(DatiRipuliti!B2902:B3001)</f>
        <v>0</v>
      </c>
      <c r="C31" s="4">
        <f>_xlfn.STDEV.S(DatiRipuliti!C2902:C3001)</f>
        <v>354709.23077212059</v>
      </c>
      <c r="D31" s="4">
        <f>_xlfn.STDEV.S(DatiRipuliti!D2902:D3001)</f>
        <v>10796.482041962754</v>
      </c>
      <c r="E31" s="4">
        <f>_xlfn.STDEV.S(DatiRipuliti!E2902:E3001)</f>
        <v>164824.55810204789</v>
      </c>
      <c r="F31" s="4">
        <f>_xlfn.STDEV.S(DatiRipuliti!F2902:F3001)</f>
        <v>404962.79121795873</v>
      </c>
      <c r="G31" s="4">
        <f>_xlfn.STDEV.S(DatiRipuliti!G2902:G3001)</f>
        <v>125125.47522185461</v>
      </c>
      <c r="H31" s="4">
        <f>_xlfn.STDEV.S(DatiRipuliti!H2902:H3001)</f>
        <v>515423.40131367609</v>
      </c>
      <c r="I31" s="4">
        <f>_xlfn.STDEV.S(DatiRipuliti!I2902:I3001)</f>
        <v>19408.945427978888</v>
      </c>
      <c r="J31" s="4">
        <f>_xlfn.STDEV.S(DatiRipuliti!J2902:J3001)</f>
        <v>513261.45942474791</v>
      </c>
      <c r="K31" s="4">
        <f>_xlfn.STDEV.S(DatiRipuliti!K2902:K3001)</f>
        <v>20396.612315269267</v>
      </c>
    </row>
    <row r="1048576" spans="1:1" s="4" customFormat="1" x14ac:dyDescent="0.3">
      <c r="A1048576" s="4">
        <f>SUM(A2:A1048575)</f>
        <v>23250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CF6B-7CEB-441E-A7E6-D31FF9BD7E14}">
  <dimension ref="A1:AC1048576"/>
  <sheetViews>
    <sheetView topLeftCell="A2" workbookViewId="0">
      <selection sqref="A1:XFD1048576"/>
    </sheetView>
  </sheetViews>
  <sheetFormatPr defaultRowHeight="14.4" x14ac:dyDescent="0.3"/>
  <cols>
    <col min="1" max="1" width="6" style="4" bestFit="1" customWidth="1"/>
    <col min="2" max="2" width="16.77734375" style="4" bestFit="1" customWidth="1"/>
    <col min="3" max="3" width="13.21875" style="4" bestFit="1" customWidth="1"/>
    <col min="4" max="4" width="18.33203125" style="4" bestFit="1" customWidth="1"/>
    <col min="5" max="5" width="14.6640625" style="4" bestFit="1" customWidth="1"/>
    <col min="6" max="6" width="15.88671875" style="4" bestFit="1" customWidth="1"/>
    <col min="7" max="7" width="12.21875" style="4" bestFit="1" customWidth="1"/>
    <col min="8" max="8" width="15.77734375" style="4" bestFit="1" customWidth="1"/>
    <col min="9" max="9" width="12.109375" style="4" bestFit="1" customWidth="1"/>
    <col min="10" max="10" width="22.88671875" style="4" bestFit="1" customWidth="1"/>
    <col min="11" max="11" width="19.21875" style="4" bestFit="1" customWidth="1"/>
    <col min="30" max="16384" width="8.88671875" style="4"/>
  </cols>
  <sheetData>
    <row r="1" spans="1:11" s="4" customFormat="1" x14ac:dyDescent="0.3">
      <c r="A1" s="3" t="s">
        <v>3011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s="4" customFormat="1" x14ac:dyDescent="0.3">
      <c r="A2" s="4">
        <v>50</v>
      </c>
      <c r="B2" s="4">
        <f xml:space="preserve"> Media!B2 + DevStd!B2</f>
        <v>1225</v>
      </c>
      <c r="C2" s="4">
        <f xml:space="preserve"> Media!C2 + DevStd!C2</f>
        <v>382409.07907299575</v>
      </c>
      <c r="D2" s="4">
        <f xml:space="preserve"> Media!D2 + DevStd!D2</f>
        <v>718.61725098100646</v>
      </c>
      <c r="E2" s="4">
        <f xml:space="preserve"> Media!E2 + DevStd!E2</f>
        <v>193420.11210982685</v>
      </c>
      <c r="F2" s="4">
        <f xml:space="preserve"> Media!F2 + DevStd!F2</f>
        <v>17647.010420790135</v>
      </c>
      <c r="G2" s="4">
        <f xml:space="preserve"> Media!G2 + DevStd!G2</f>
        <v>164732.71877306583</v>
      </c>
      <c r="H2" s="4">
        <f xml:space="preserve"> Media!H2 + DevStd!H2</f>
        <v>20719.23705922073</v>
      </c>
      <c r="I2" s="4">
        <f xml:space="preserve"> Media!I2 + DevStd!I2</f>
        <v>84417.991638597887</v>
      </c>
      <c r="J2" s="4">
        <f xml:space="preserve"> Media!J2 + DevStd!J2</f>
        <v>20500.647440358407</v>
      </c>
      <c r="K2" s="4">
        <f xml:space="preserve"> Media!K2 + DevStd!K2</f>
        <v>87535.850657139235</v>
      </c>
    </row>
    <row r="3" spans="1:11" s="4" customFormat="1" x14ac:dyDescent="0.3">
      <c r="A3" s="4">
        <v>100</v>
      </c>
      <c r="B3" s="4">
        <f xml:space="preserve"> Media!B3 + DevStd!B3</f>
        <v>4950</v>
      </c>
      <c r="C3" s="4">
        <f xml:space="preserve"> Media!C3 + DevStd!C3</f>
        <v>47803.401025800202</v>
      </c>
      <c r="D3" s="4">
        <f xml:space="preserve"> Media!D3 + DevStd!D3</f>
        <v>2756.9013979003498</v>
      </c>
      <c r="E3" s="4">
        <f xml:space="preserve"> Media!E3 + DevStd!E3</f>
        <v>47049.716764862744</v>
      </c>
      <c r="F3" s="4">
        <f xml:space="preserve"> Media!F3 + DevStd!F3</f>
        <v>65218.929647883619</v>
      </c>
      <c r="G3" s="4">
        <f xml:space="preserve"> Media!G3 + DevStd!G3</f>
        <v>60448.559535938817</v>
      </c>
      <c r="H3" s="4">
        <f xml:space="preserve"> Media!H3 + DevStd!H3</f>
        <v>78067.742731752602</v>
      </c>
      <c r="I3" s="4">
        <f xml:space="preserve"> Media!I3 + DevStd!I3</f>
        <v>21134.83463613558</v>
      </c>
      <c r="J3" s="4">
        <f xml:space="preserve"> Media!J3 + DevStd!J3</f>
        <v>78068.618538508759</v>
      </c>
      <c r="K3" s="4">
        <f xml:space="preserve"> Media!K3 + DevStd!K3</f>
        <v>25193.55480150973</v>
      </c>
    </row>
    <row r="4" spans="1:11" s="4" customFormat="1" x14ac:dyDescent="0.3">
      <c r="A4" s="4">
        <v>150</v>
      </c>
      <c r="B4" s="4">
        <f xml:space="preserve"> Media!B4 + DevStd!B4</f>
        <v>11175</v>
      </c>
      <c r="C4" s="4">
        <f xml:space="preserve"> Media!C4 + DevStd!C4</f>
        <v>94501.307902528206</v>
      </c>
      <c r="D4" s="4">
        <f xml:space="preserve"> Media!D4 + DevStd!D4</f>
        <v>5942.3857097237624</v>
      </c>
      <c r="E4" s="4">
        <f xml:space="preserve"> Media!E4 + DevStd!E4</f>
        <v>33533.655475692532</v>
      </c>
      <c r="F4" s="4">
        <f xml:space="preserve"> Media!F4 + DevStd!F4</f>
        <v>147728.49724980161</v>
      </c>
      <c r="G4" s="4">
        <f xml:space="preserve"> Media!G4 + DevStd!G4</f>
        <v>79880.151595103875</v>
      </c>
      <c r="H4" s="4">
        <f xml:space="preserve"> Media!H4 + DevStd!H4</f>
        <v>177199.10520126583</v>
      </c>
      <c r="I4" s="4">
        <f xml:space="preserve"> Media!I4 + DevStd!I4</f>
        <v>22000.27425307639</v>
      </c>
      <c r="J4" s="4">
        <f xml:space="preserve"> Media!J4 + DevStd!J4</f>
        <v>177273.5901614168</v>
      </c>
      <c r="K4" s="4">
        <f xml:space="preserve"> Media!K4 + DevStd!K4</f>
        <v>24497.936307328077</v>
      </c>
    </row>
    <row r="5" spans="1:11" s="4" customFormat="1" x14ac:dyDescent="0.3">
      <c r="A5" s="4">
        <v>200</v>
      </c>
      <c r="B5" s="4">
        <f xml:space="preserve"> Media!B5 + DevStd!B5</f>
        <v>19900</v>
      </c>
      <c r="C5" s="4">
        <f xml:space="preserve"> Media!C5 + DevStd!C5</f>
        <v>170864.88212407031</v>
      </c>
      <c r="D5" s="4">
        <f xml:space="preserve"> Media!D5 + DevStd!D5</f>
        <v>10615.08163917347</v>
      </c>
      <c r="E5" s="4">
        <f xml:space="preserve"> Media!E5 + DevStd!E5</f>
        <v>59847.519759172312</v>
      </c>
      <c r="F5" s="4">
        <f xml:space="preserve"> Media!F5 + DevStd!F5</f>
        <v>268037.52183294605</v>
      </c>
      <c r="G5" s="4">
        <f xml:space="preserve"> Media!G5 + DevStd!G5</f>
        <v>101521.36130985252</v>
      </c>
      <c r="H5" s="4">
        <f xml:space="preserve"> Media!H5 + DevStd!H5</f>
        <v>323744.65002590051</v>
      </c>
      <c r="I5" s="4">
        <f xml:space="preserve"> Media!I5 + DevStd!I5</f>
        <v>26728.327108173755</v>
      </c>
      <c r="J5" s="4">
        <f xml:space="preserve"> Media!J5 + DevStd!J5</f>
        <v>324179.81129656115</v>
      </c>
      <c r="K5" s="4">
        <f xml:space="preserve"> Media!K5 + DevStd!K5</f>
        <v>37526.080986898385</v>
      </c>
    </row>
    <row r="6" spans="1:11" s="4" customFormat="1" x14ac:dyDescent="0.3">
      <c r="A6" s="4">
        <v>250</v>
      </c>
      <c r="B6" s="4">
        <f xml:space="preserve"> Media!B6 + DevStd!B6</f>
        <v>31125</v>
      </c>
      <c r="C6" s="4">
        <f xml:space="preserve"> Media!C6 + DevStd!C6</f>
        <v>279214.51413573616</v>
      </c>
      <c r="D6" s="4">
        <f xml:space="preserve"> Media!D6 + DevStd!D6</f>
        <v>16470.42822617725</v>
      </c>
      <c r="E6" s="4">
        <f xml:space="preserve"> Media!E6 + DevStd!E6</f>
        <v>88253.855766703637</v>
      </c>
      <c r="F6" s="4">
        <f xml:space="preserve"> Media!F6 + DevStd!F6</f>
        <v>427658.35518028977</v>
      </c>
      <c r="G6" s="4">
        <f xml:space="preserve"> Media!G6 + DevStd!G6</f>
        <v>128659.41685563992</v>
      </c>
      <c r="H6" s="4">
        <f xml:space="preserve"> Media!H6 + DevStd!H6</f>
        <v>522027.15388121258</v>
      </c>
      <c r="I6" s="4">
        <f xml:space="preserve"> Media!I6 + DevStd!I6</f>
        <v>35349.408648658231</v>
      </c>
      <c r="J6" s="4">
        <f xml:space="preserve"> Media!J6 + DevStd!J6</f>
        <v>519310.27871147456</v>
      </c>
      <c r="K6" s="4">
        <f xml:space="preserve"> Media!K6 + DevStd!K6</f>
        <v>39036.529404163753</v>
      </c>
    </row>
    <row r="7" spans="1:11" s="4" customFormat="1" x14ac:dyDescent="0.3">
      <c r="A7" s="4">
        <v>300</v>
      </c>
      <c r="B7" s="4">
        <f xml:space="preserve"> Media!B7 + DevStd!B7</f>
        <v>44850</v>
      </c>
      <c r="C7" s="4">
        <f xml:space="preserve"> Media!C7 + DevStd!C7</f>
        <v>352199.48227807152</v>
      </c>
      <c r="D7" s="4">
        <f xml:space="preserve"> Media!D7 + DevStd!D7</f>
        <v>23616.55822866883</v>
      </c>
      <c r="E7" s="4">
        <f xml:space="preserve"> Media!E7 + DevStd!E7</f>
        <v>112890.02856931297</v>
      </c>
      <c r="F7" s="4">
        <f xml:space="preserve"> Media!F7 + DevStd!F7</f>
        <v>628834.66638475331</v>
      </c>
      <c r="G7" s="4">
        <f xml:space="preserve"> Media!G7 + DevStd!G7</f>
        <v>139884.87501081583</v>
      </c>
      <c r="H7" s="4">
        <f xml:space="preserve"> Media!H7 + DevStd!H7</f>
        <v>770122.52653209551</v>
      </c>
      <c r="I7" s="4">
        <f xml:space="preserve"> Media!I7 + DevStd!I7</f>
        <v>38040.083536167265</v>
      </c>
      <c r="J7" s="4">
        <f xml:space="preserve"> Media!J7 + DevStd!J7</f>
        <v>767188.33986946486</v>
      </c>
      <c r="K7" s="4">
        <f xml:space="preserve"> Media!K7 + DevStd!K7</f>
        <v>44507.59052053115</v>
      </c>
    </row>
    <row r="8" spans="1:11" s="4" customFormat="1" x14ac:dyDescent="0.3">
      <c r="A8" s="4">
        <v>350</v>
      </c>
      <c r="B8" s="4">
        <f xml:space="preserve"> Media!B8 + DevStd!B8</f>
        <v>61075</v>
      </c>
      <c r="C8" s="4">
        <f xml:space="preserve"> Media!C8 + DevStd!C8</f>
        <v>479218.80139246804</v>
      </c>
      <c r="D8" s="4">
        <f xml:space="preserve"> Media!D8 + DevStd!D8</f>
        <v>32076.646474731871</v>
      </c>
      <c r="E8" s="4">
        <f xml:space="preserve"> Media!E8 + DevStd!E8</f>
        <v>147379.20668443691</v>
      </c>
      <c r="F8" s="4">
        <f xml:space="preserve"> Media!F8 + DevStd!F8</f>
        <v>872636.52530380012</v>
      </c>
      <c r="G8" s="4">
        <f xml:space="preserve"> Media!G8 + DevStd!G8</f>
        <v>170286.1677274266</v>
      </c>
      <c r="H8" s="4">
        <f xml:space="preserve"> Media!H8 + DevStd!H8</f>
        <v>1071405.2804500777</v>
      </c>
      <c r="I8" s="4">
        <f xml:space="preserve"> Media!I8 + DevStd!I8</f>
        <v>45753.818595064142</v>
      </c>
      <c r="J8" s="4">
        <f xml:space="preserve"> Media!J8 + DevStd!J8</f>
        <v>1066299.2731462668</v>
      </c>
      <c r="K8" s="4">
        <f xml:space="preserve"> Media!K8 + DevStd!K8</f>
        <v>53888.954130790778</v>
      </c>
    </row>
    <row r="9" spans="1:11" s="4" customFormat="1" x14ac:dyDescent="0.3">
      <c r="A9" s="4">
        <v>400</v>
      </c>
      <c r="B9" s="4">
        <f xml:space="preserve"> Media!B9 + DevStd!B9</f>
        <v>79800</v>
      </c>
      <c r="C9" s="4">
        <f xml:space="preserve"> Media!C9 + DevStd!C9</f>
        <v>632736.88382636942</v>
      </c>
      <c r="D9" s="4">
        <f xml:space="preserve"> Media!D9 + DevStd!D9</f>
        <v>41342.774382612857</v>
      </c>
      <c r="E9" s="4">
        <f xml:space="preserve"> Media!E9 + DevStd!E9</f>
        <v>173229.4005219106</v>
      </c>
      <c r="F9" s="4">
        <f xml:space="preserve"> Media!F9 + DevStd!F9</f>
        <v>1159811.2231830594</v>
      </c>
      <c r="G9" s="4">
        <f xml:space="preserve"> Media!G9 + DevStd!G9</f>
        <v>182667.9330423504</v>
      </c>
      <c r="H9" s="4">
        <f xml:space="preserve"> Media!H9 + DevStd!H9</f>
        <v>1430861.1388378842</v>
      </c>
      <c r="I9" s="4">
        <f xml:space="preserve"> Media!I9 + DevStd!I9</f>
        <v>54579.440632830621</v>
      </c>
      <c r="J9" s="4">
        <f xml:space="preserve"> Media!J9 + DevStd!J9</f>
        <v>1423518.8097765371</v>
      </c>
      <c r="K9" s="4">
        <f xml:space="preserve"> Media!K9 + DevStd!K9</f>
        <v>60785.817862982163</v>
      </c>
    </row>
    <row r="10" spans="1:11" s="4" customFormat="1" x14ac:dyDescent="0.3">
      <c r="A10" s="4">
        <v>450</v>
      </c>
      <c r="B10" s="4">
        <f xml:space="preserve"> Media!B10 + DevStd!B10</f>
        <v>101025</v>
      </c>
      <c r="C10" s="4">
        <f xml:space="preserve"> Media!C10 + DevStd!C10</f>
        <v>807085.44765914953</v>
      </c>
      <c r="D10" s="4">
        <f xml:space="preserve"> Media!D10 + DevStd!D10</f>
        <v>52530.456429269339</v>
      </c>
      <c r="E10" s="4">
        <f xml:space="preserve"> Media!E10 + DevStd!E10</f>
        <v>239070.72366008826</v>
      </c>
      <c r="F10" s="4">
        <f xml:space="preserve"> Media!F10 + DevStd!F10</f>
        <v>1491325.062829182</v>
      </c>
      <c r="G10" s="4">
        <f xml:space="preserve"> Media!G10 + DevStd!G10</f>
        <v>191081.69277784284</v>
      </c>
      <c r="H10" s="4">
        <f xml:space="preserve"> Media!H10 + DevStd!H10</f>
        <v>1845707.0381917646</v>
      </c>
      <c r="I10" s="4">
        <f xml:space="preserve"> Media!I10 + DevStd!I10</f>
        <v>59348.072009102441</v>
      </c>
      <c r="J10" s="4">
        <f xml:space="preserve"> Media!J10 + DevStd!J10</f>
        <v>1832980.2475744511</v>
      </c>
      <c r="K10" s="4">
        <f xml:space="preserve"> Media!K10 + DevStd!K10</f>
        <v>66657.841279676024</v>
      </c>
    </row>
    <row r="11" spans="1:11" s="4" customFormat="1" x14ac:dyDescent="0.3">
      <c r="A11" s="4">
        <v>500</v>
      </c>
      <c r="B11" s="4">
        <f xml:space="preserve"> Media!B11 + DevStd!B11</f>
        <v>124750</v>
      </c>
      <c r="C11" s="4">
        <f xml:space="preserve"> Media!C11 + DevStd!C11</f>
        <v>1059847.2322277629</v>
      </c>
      <c r="D11" s="4">
        <f xml:space="preserve"> Media!D11 + DevStd!D11</f>
        <v>64745.502618093858</v>
      </c>
      <c r="E11" s="4">
        <f xml:space="preserve"> Media!E11 + DevStd!E11</f>
        <v>294527.72271677724</v>
      </c>
      <c r="F11" s="4">
        <f xml:space="preserve"> Media!F11 + DevStd!F11</f>
        <v>1867429.3288411072</v>
      </c>
      <c r="G11" s="4">
        <f xml:space="preserve"> Media!G11 + DevStd!G11</f>
        <v>214458.11488110555</v>
      </c>
      <c r="H11" s="4">
        <f xml:space="preserve"> Media!H11 + DevStd!H11</f>
        <v>2310034.9644825333</v>
      </c>
      <c r="I11" s="4">
        <f xml:space="preserve"> Media!I11 + DevStd!I11</f>
        <v>69014.506907800023</v>
      </c>
      <c r="J11" s="4">
        <f xml:space="preserve"> Media!J11 + DevStd!J11</f>
        <v>2300670.7090679589</v>
      </c>
      <c r="K11" s="4">
        <f xml:space="preserve"> Media!K11 + DevStd!K11</f>
        <v>77382.643438909552</v>
      </c>
    </row>
    <row r="12" spans="1:11" s="4" customFormat="1" x14ac:dyDescent="0.3">
      <c r="A12" s="4">
        <v>550</v>
      </c>
      <c r="B12" s="4">
        <f xml:space="preserve"> Media!B12 + DevStd!B12</f>
        <v>150975</v>
      </c>
      <c r="C12" s="4">
        <f xml:space="preserve"> Media!C12 + DevStd!C12</f>
        <v>1265239.7445089456</v>
      </c>
      <c r="D12" s="4">
        <f xml:space="preserve"> Media!D12 + DevStd!D12</f>
        <v>77610.820027162947</v>
      </c>
      <c r="E12" s="4">
        <f xml:space="preserve"> Media!E12 + DevStd!E12</f>
        <v>332923.89852775808</v>
      </c>
      <c r="F12" s="4">
        <f xml:space="preserve"> Media!F12 + DevStd!F12</f>
        <v>2289741.2079801192</v>
      </c>
      <c r="G12" s="4">
        <f xml:space="preserve"> Media!G12 + DevStd!G12</f>
        <v>370793.47507368121</v>
      </c>
      <c r="H12" s="4">
        <f xml:space="preserve"> Media!H12 + DevStd!H12</f>
        <v>2839703.2082653288</v>
      </c>
      <c r="I12" s="4">
        <f xml:space="preserve"> Media!I12 + DevStd!I12</f>
        <v>80344.611105304502</v>
      </c>
      <c r="J12" s="4">
        <f xml:space="preserve"> Media!J12 + DevStd!J12</f>
        <v>2828277.8333262852</v>
      </c>
      <c r="K12" s="4">
        <f xml:space="preserve"> Media!K12 + DevStd!K12</f>
        <v>80812.83453955024</v>
      </c>
    </row>
    <row r="13" spans="1:11" s="4" customFormat="1" x14ac:dyDescent="0.3">
      <c r="A13" s="4">
        <v>600</v>
      </c>
      <c r="B13" s="4">
        <f xml:space="preserve"> Media!B13 + DevStd!B13</f>
        <v>179700</v>
      </c>
      <c r="C13" s="4">
        <f xml:space="preserve"> Media!C13 + DevStd!C13</f>
        <v>1547131.2601390537</v>
      </c>
      <c r="D13" s="4">
        <f xml:space="preserve"> Media!D13 + DevStd!D13</f>
        <v>92603.760791426874</v>
      </c>
      <c r="E13" s="4">
        <f xml:space="preserve"> Media!E13 + DevStd!E13</f>
        <v>399539.72997067001</v>
      </c>
      <c r="F13" s="4">
        <f xml:space="preserve"> Media!F13 + DevStd!F13</f>
        <v>2759366.2994211912</v>
      </c>
      <c r="G13" s="4">
        <f xml:space="preserve"> Media!G13 + DevStd!G13</f>
        <v>248481.17152627744</v>
      </c>
      <c r="H13" s="4">
        <f xml:space="preserve"> Media!H13 + DevStd!H13</f>
        <v>3426288.1372030601</v>
      </c>
      <c r="I13" s="4">
        <f xml:space="preserve"> Media!I13 + DevStd!I13</f>
        <v>78937.495853995628</v>
      </c>
      <c r="J13" s="4">
        <f xml:space="preserve"> Media!J13 + DevStd!J13</f>
        <v>3413131.4659340596</v>
      </c>
      <c r="K13" s="4">
        <f xml:space="preserve"> Media!K13 + DevStd!K13</f>
        <v>87804.467198224142</v>
      </c>
    </row>
    <row r="14" spans="1:11" s="4" customFormat="1" x14ac:dyDescent="0.3">
      <c r="A14" s="4">
        <v>650</v>
      </c>
      <c r="B14" s="4">
        <f xml:space="preserve"> Media!B14 + DevStd!B14</f>
        <v>210925</v>
      </c>
      <c r="C14" s="4">
        <f xml:space="preserve"> Media!C14 + DevStd!C14</f>
        <v>1812420.8170455478</v>
      </c>
      <c r="D14" s="4">
        <f xml:space="preserve"> Media!D14 + DevStd!D14</f>
        <v>109401.04192759306</v>
      </c>
      <c r="E14" s="4">
        <f xml:space="preserve"> Media!E14 + DevStd!E14</f>
        <v>448363.60192332161</v>
      </c>
      <c r="F14" s="4">
        <f xml:space="preserve"> Media!F14 + DevStd!F14</f>
        <v>3276494.7006190908</v>
      </c>
      <c r="G14" s="4">
        <f xml:space="preserve"> Media!G14 + DevStd!G14</f>
        <v>254629.75380253466</v>
      </c>
      <c r="H14" s="4">
        <f xml:space="preserve"> Media!H14 + DevStd!H14</f>
        <v>4075597.9294062788</v>
      </c>
      <c r="I14" s="4">
        <f xml:space="preserve"> Media!I14 + DevStd!I14</f>
        <v>83394.985380094004</v>
      </c>
      <c r="J14" s="4">
        <f xml:space="preserve"> Media!J14 + DevStd!J14</f>
        <v>4060595.2450739979</v>
      </c>
      <c r="K14" s="4">
        <f xml:space="preserve"> Media!K14 + DevStd!K14</f>
        <v>90138.878984438808</v>
      </c>
    </row>
    <row r="15" spans="1:11" s="4" customFormat="1" x14ac:dyDescent="0.3">
      <c r="A15" s="4">
        <v>700</v>
      </c>
      <c r="B15" s="4">
        <f xml:space="preserve"> Media!B15 + DevStd!B15</f>
        <v>244650</v>
      </c>
      <c r="C15" s="4">
        <f xml:space="preserve"> Media!C15 + DevStd!C15</f>
        <v>2124817.3299232484</v>
      </c>
      <c r="D15" s="4">
        <f xml:space="preserve"> Media!D15 + DevStd!D15</f>
        <v>125785.25940743183</v>
      </c>
      <c r="E15" s="4">
        <f xml:space="preserve"> Media!E15 + DevStd!E15</f>
        <v>513877.21054071846</v>
      </c>
      <c r="F15" s="4">
        <f xml:space="preserve"> Media!F15 + DevStd!F15</f>
        <v>3841674.1811627648</v>
      </c>
      <c r="G15" s="4">
        <f xml:space="preserve"> Media!G15 + DevStd!G15</f>
        <v>277602.15692179691</v>
      </c>
      <c r="H15" s="4">
        <f xml:space="preserve"> Media!H15 + DevStd!H15</f>
        <v>4782912.4828406004</v>
      </c>
      <c r="I15" s="4">
        <f xml:space="preserve"> Media!I15 + DevStd!I15</f>
        <v>90247.600276041485</v>
      </c>
      <c r="J15" s="4">
        <f xml:space="preserve"> Media!J15 + DevStd!J15</f>
        <v>4775222.0705906758</v>
      </c>
      <c r="K15" s="4">
        <f xml:space="preserve"> Media!K15 + DevStd!K15</f>
        <v>105025.56261677692</v>
      </c>
    </row>
    <row r="16" spans="1:11" s="4" customFormat="1" x14ac:dyDescent="0.3">
      <c r="A16" s="4">
        <v>750</v>
      </c>
      <c r="B16" s="4">
        <f xml:space="preserve"> Media!B16 + DevStd!B16</f>
        <v>280875</v>
      </c>
      <c r="C16" s="4">
        <f xml:space="preserve"> Media!C16 + DevStd!C16</f>
        <v>2481197.794223852</v>
      </c>
      <c r="D16" s="4">
        <f xml:space="preserve"> Media!D16 + DevStd!D16</f>
        <v>144515.17293730829</v>
      </c>
      <c r="E16" s="4">
        <f xml:space="preserve"> Media!E16 + DevStd!E16</f>
        <v>548797.08597755723</v>
      </c>
      <c r="F16" s="4">
        <f xml:space="preserve"> Media!F16 + DevStd!F16</f>
        <v>4455153.7262587696</v>
      </c>
      <c r="G16" s="4">
        <f xml:space="preserve"> Media!G16 + DevStd!G16</f>
        <v>293857.7730455196</v>
      </c>
      <c r="H16" s="4">
        <f xml:space="preserve"> Media!H16 + DevStd!H16</f>
        <v>5550304.1268792003</v>
      </c>
      <c r="I16" s="4">
        <f xml:space="preserve"> Media!I16 + DevStd!I16</f>
        <v>100023.09235085639</v>
      </c>
      <c r="J16" s="4">
        <f xml:space="preserve"> Media!J16 + DevStd!J16</f>
        <v>5547424.9410312464</v>
      </c>
      <c r="K16" s="4">
        <f xml:space="preserve"> Media!K16 + DevStd!K16</f>
        <v>114850.88400742087</v>
      </c>
    </row>
    <row r="17" spans="1:11" s="4" customFormat="1" x14ac:dyDescent="0.3">
      <c r="A17" s="4">
        <v>800</v>
      </c>
      <c r="B17" s="4">
        <f xml:space="preserve"> Media!B17 + DevStd!B17</f>
        <v>319600</v>
      </c>
      <c r="C17" s="4">
        <f xml:space="preserve"> Media!C17 + DevStd!C17</f>
        <v>2765621.3026710288</v>
      </c>
      <c r="D17" s="4">
        <f xml:space="preserve"> Media!D17 + DevStd!D17</f>
        <v>163894.28751668829</v>
      </c>
      <c r="E17" s="4">
        <f xml:space="preserve"> Media!E17 + DevStd!E17</f>
        <v>614296.58234982926</v>
      </c>
      <c r="F17" s="4">
        <f xml:space="preserve"> Media!F17 + DevStd!F17</f>
        <v>5117627.9610952688</v>
      </c>
      <c r="G17" s="4">
        <f xml:space="preserve"> Media!G17 + DevStd!G17</f>
        <v>442992.58832859003</v>
      </c>
      <c r="H17" s="4">
        <f xml:space="preserve"> Media!H17 + DevStd!H17</f>
        <v>6382243.57541613</v>
      </c>
      <c r="I17" s="4">
        <f xml:space="preserve"> Media!I17 + DevStd!I17</f>
        <v>107158.51289116988</v>
      </c>
      <c r="J17" s="4">
        <f xml:space="preserve"> Media!J17 + DevStd!J17</f>
        <v>6373432.9064645087</v>
      </c>
      <c r="K17" s="4">
        <f xml:space="preserve"> Media!K17 + DevStd!K17</f>
        <v>120908.02362148475</v>
      </c>
    </row>
    <row r="18" spans="1:11" s="4" customFormat="1" x14ac:dyDescent="0.3">
      <c r="A18" s="4">
        <v>850</v>
      </c>
      <c r="B18" s="4">
        <f xml:space="preserve"> Media!B18 + DevStd!B18</f>
        <v>360825</v>
      </c>
      <c r="C18" s="4">
        <f xml:space="preserve"> Media!C18 + DevStd!C18</f>
        <v>3192516.1495995172</v>
      </c>
      <c r="D18" s="4">
        <f xml:space="preserve"> Media!D18 + DevStd!D18</f>
        <v>184254.91279273477</v>
      </c>
      <c r="E18" s="4">
        <f xml:space="preserve"> Media!E18 + DevStd!E18</f>
        <v>749449.41219915508</v>
      </c>
      <c r="F18" s="4">
        <f xml:space="preserve"> Media!F18 + DevStd!F18</f>
        <v>5828944.0482852338</v>
      </c>
      <c r="G18" s="4">
        <f xml:space="preserve"> Media!G18 + DevStd!G18</f>
        <v>375450.66443609033</v>
      </c>
      <c r="H18" s="4">
        <f xml:space="preserve"> Media!H18 + DevStd!H18</f>
        <v>7271842.789282023</v>
      </c>
      <c r="I18" s="4">
        <f xml:space="preserve"> Media!I18 + DevStd!I18</f>
        <v>114367.36592015853</v>
      </c>
      <c r="J18" s="4">
        <f xml:space="preserve"> Media!J18 + DevStd!J18</f>
        <v>7263017.7937442521</v>
      </c>
      <c r="K18" s="4">
        <f xml:space="preserve"> Media!K18 + DevStd!K18</f>
        <v>128867.01892425549</v>
      </c>
    </row>
    <row r="19" spans="1:11" s="4" customFormat="1" x14ac:dyDescent="0.3">
      <c r="A19" s="4">
        <v>900</v>
      </c>
      <c r="B19" s="4">
        <f xml:space="preserve"> Media!B19 + DevStd!B19</f>
        <v>404550</v>
      </c>
      <c r="C19" s="4">
        <f xml:space="preserve"> Media!C19 + DevStd!C19</f>
        <v>3555354.4375320445</v>
      </c>
      <c r="D19" s="4">
        <f xml:space="preserve"> Media!D19 + DevStd!D19</f>
        <v>206951.77027359005</v>
      </c>
      <c r="E19" s="4">
        <f xml:space="preserve"> Media!E19 + DevStd!E19</f>
        <v>787200.42500892479</v>
      </c>
      <c r="F19" s="4">
        <f xml:space="preserve"> Media!F19 + DevStd!F19</f>
        <v>6589566.3037335034</v>
      </c>
      <c r="G19" s="4">
        <f xml:space="preserve"> Media!G19 + DevStd!G19</f>
        <v>367753.11509135913</v>
      </c>
      <c r="H19" s="4">
        <f xml:space="preserve"> Media!H19 + DevStd!H19</f>
        <v>8226158.9214245109</v>
      </c>
      <c r="I19" s="4">
        <f xml:space="preserve"> Media!I19 + DevStd!I19</f>
        <v>123918.63530846064</v>
      </c>
      <c r="J19" s="4">
        <f xml:space="preserve"> Media!J19 + DevStd!J19</f>
        <v>8221677.009790889</v>
      </c>
      <c r="K19" s="4">
        <f xml:space="preserve"> Media!K19 + DevStd!K19</f>
        <v>139311.74468235677</v>
      </c>
    </row>
    <row r="20" spans="1:11" s="4" customFormat="1" x14ac:dyDescent="0.3">
      <c r="A20" s="4">
        <v>950</v>
      </c>
      <c r="B20" s="4">
        <f xml:space="preserve"> Media!B20 + DevStd!B20</f>
        <v>450775</v>
      </c>
      <c r="C20" s="4">
        <f xml:space="preserve"> Media!C20 + DevStd!C20</f>
        <v>4027016.9301020042</v>
      </c>
      <c r="D20" s="4">
        <f xml:space="preserve"> Media!D20 + DevStd!D20</f>
        <v>231654.06444572797</v>
      </c>
      <c r="E20" s="4">
        <f xml:space="preserve"> Media!E20 + DevStd!E20</f>
        <v>854468.96235484187</v>
      </c>
      <c r="F20" s="4">
        <f xml:space="preserve"> Media!F20 + DevStd!F20</f>
        <v>7400004.0826893626</v>
      </c>
      <c r="G20" s="4">
        <f xml:space="preserve"> Media!G20 + DevStd!G20</f>
        <v>377368.27704510273</v>
      </c>
      <c r="H20" s="4">
        <f xml:space="preserve"> Media!H20 + DevStd!H20</f>
        <v>9237970.4633430056</v>
      </c>
      <c r="I20" s="4">
        <f xml:space="preserve"> Media!I20 + DevStd!I20</f>
        <v>133534.36431112472</v>
      </c>
      <c r="J20" s="4">
        <f xml:space="preserve"> Media!J20 + DevStd!J20</f>
        <v>9234113.2942913584</v>
      </c>
      <c r="K20" s="4">
        <f xml:space="preserve"> Media!K20 + DevStd!K20</f>
        <v>144452.43039576834</v>
      </c>
    </row>
    <row r="21" spans="1:11" s="4" customFormat="1" x14ac:dyDescent="0.3">
      <c r="A21" s="4">
        <v>1000</v>
      </c>
      <c r="B21" s="4">
        <f xml:space="preserve"> Media!B21 + DevStd!B21</f>
        <v>499500</v>
      </c>
      <c r="C21" s="4">
        <f xml:space="preserve"> Media!C21 + DevStd!C21</f>
        <v>4442114.4410501011</v>
      </c>
      <c r="D21" s="4">
        <f xml:space="preserve"> Media!D21 + DevStd!D21</f>
        <v>255635.67237509007</v>
      </c>
      <c r="E21" s="4">
        <f xml:space="preserve"> Media!E21 + DevStd!E21</f>
        <v>983412.40784713218</v>
      </c>
      <c r="F21" s="4">
        <f xml:space="preserve"> Media!F21 + DevStd!F21</f>
        <v>8260512.045709732</v>
      </c>
      <c r="G21" s="4">
        <f xml:space="preserve"> Media!G21 + DevStd!G21</f>
        <v>421715.13954878441</v>
      </c>
      <c r="H21" s="4">
        <f xml:space="preserve"> Media!H21 + DevStd!H21</f>
        <v>10331366.464901956</v>
      </c>
      <c r="I21" s="4">
        <f xml:space="preserve"> Media!I21 + DevStd!I21</f>
        <v>144756.38713023177</v>
      </c>
      <c r="J21" s="4">
        <f xml:space="preserve"> Media!J21 + DevStd!J21</f>
        <v>10310305.143049771</v>
      </c>
      <c r="K21" s="4">
        <f xml:space="preserve"> Media!K21 + DevStd!K21</f>
        <v>158107.47779860834</v>
      </c>
    </row>
    <row r="22" spans="1:11" s="4" customFormat="1" x14ac:dyDescent="0.3">
      <c r="A22" s="4">
        <v>1050</v>
      </c>
      <c r="B22" s="4">
        <f xml:space="preserve"> Media!B22 + DevStd!B22</f>
        <v>550725</v>
      </c>
      <c r="C22" s="4">
        <f xml:space="preserve"> Media!C22 + DevStd!C22</f>
        <v>5019764.0937134549</v>
      </c>
      <c r="D22" s="4">
        <f xml:space="preserve"> Media!D22 + DevStd!D22</f>
        <v>281362.52079735545</v>
      </c>
      <c r="E22" s="4">
        <f xml:space="preserve"> Media!E22 + DevStd!E22</f>
        <v>1098545.7810855035</v>
      </c>
      <c r="F22" s="4">
        <f xml:space="preserve"> Media!F22 + DevStd!F22</f>
        <v>9171872.3577497732</v>
      </c>
      <c r="G22" s="4">
        <f xml:space="preserve"> Media!G22 + DevStd!G22</f>
        <v>457371.67269523058</v>
      </c>
      <c r="H22" s="4">
        <f xml:space="preserve"> Media!H22 + DevStd!H22</f>
        <v>11488180.206980381</v>
      </c>
      <c r="I22" s="4">
        <f xml:space="preserve"> Media!I22 + DevStd!I22</f>
        <v>199679.40438570315</v>
      </c>
      <c r="J22" s="4">
        <f xml:space="preserve"> Media!J22 + DevStd!J22</f>
        <v>11466069.400205895</v>
      </c>
      <c r="K22" s="4">
        <f xml:space="preserve"> Media!K22 + DevStd!K22</f>
        <v>162609.70657577674</v>
      </c>
    </row>
    <row r="23" spans="1:11" s="4" customFormat="1" x14ac:dyDescent="0.3">
      <c r="A23" s="4">
        <v>1100</v>
      </c>
      <c r="B23" s="4">
        <f xml:space="preserve"> Media!B23 + DevStd!B23</f>
        <v>604450</v>
      </c>
      <c r="C23" s="4">
        <f xml:space="preserve"> Media!C23 + DevStd!C23</f>
        <v>5549336.5427724002</v>
      </c>
      <c r="D23" s="4">
        <f xml:space="preserve"> Media!D23 + DevStd!D23</f>
        <v>308245.56638805429</v>
      </c>
      <c r="E23" s="4">
        <f xml:space="preserve"> Media!E23 + DevStd!E23</f>
        <v>1245849.9221163297</v>
      </c>
      <c r="F23" s="4">
        <f xml:space="preserve"> Media!F23 + DevStd!F23</f>
        <v>10135140.368683662</v>
      </c>
      <c r="G23" s="4">
        <f xml:space="preserve"> Media!G23 + DevStd!G23</f>
        <v>469609.51113093062</v>
      </c>
      <c r="H23" s="4">
        <f xml:space="preserve"> Media!H23 + DevStd!H23</f>
        <v>12701108.811676014</v>
      </c>
      <c r="I23" s="4">
        <f xml:space="preserve"> Media!I23 + DevStd!I23</f>
        <v>161158.58832464591</v>
      </c>
      <c r="J23" s="4">
        <f xml:space="preserve"> Media!J23 + DevStd!J23</f>
        <v>12683459.129784964</v>
      </c>
      <c r="K23" s="4">
        <f xml:space="preserve"> Media!K23 + DevStd!K23</f>
        <v>178809.92478879349</v>
      </c>
    </row>
    <row r="24" spans="1:11" s="4" customFormat="1" x14ac:dyDescent="0.3">
      <c r="A24" s="4">
        <v>1150</v>
      </c>
      <c r="B24" s="4">
        <f xml:space="preserve"> Media!B24 + DevStd!B24</f>
        <v>660675</v>
      </c>
      <c r="C24" s="4">
        <f xml:space="preserve"> Media!C24 + DevStd!C24</f>
        <v>6134717.8401442291</v>
      </c>
      <c r="D24" s="4">
        <f xml:space="preserve"> Media!D24 + DevStd!D24</f>
        <v>339150.78069418937</v>
      </c>
      <c r="E24" s="4">
        <f xml:space="preserve"> Media!E24 + DevStd!E24</f>
        <v>1346477.4681405539</v>
      </c>
      <c r="F24" s="4">
        <f xml:space="preserve"> Media!F24 + DevStd!F24</f>
        <v>11150313.69400207</v>
      </c>
      <c r="G24" s="4">
        <f xml:space="preserve"> Media!G24 + DevStd!G24</f>
        <v>475063.46326276695</v>
      </c>
      <c r="H24" s="4">
        <f xml:space="preserve"> Media!H24 + DevStd!H24</f>
        <v>13970547.857331866</v>
      </c>
      <c r="I24" s="4">
        <f xml:space="preserve"> Media!I24 + DevStd!I24</f>
        <v>168995.41287815693</v>
      </c>
      <c r="J24" s="4">
        <f xml:space="preserve"> Media!J24 + DevStd!J24</f>
        <v>13978407.466509342</v>
      </c>
      <c r="K24" s="4">
        <f xml:space="preserve"> Media!K24 + DevStd!K24</f>
        <v>178443.53255534798</v>
      </c>
    </row>
    <row r="25" spans="1:11" s="4" customFormat="1" x14ac:dyDescent="0.3">
      <c r="A25" s="4">
        <v>1200</v>
      </c>
      <c r="B25" s="4">
        <f xml:space="preserve"> Media!B25 + DevStd!B25</f>
        <v>719400</v>
      </c>
      <c r="C25" s="4">
        <f xml:space="preserve"> Media!C25 + DevStd!C25</f>
        <v>6622777.5843382049</v>
      </c>
      <c r="D25" s="4">
        <f xml:space="preserve"> Media!D25 + DevStd!D25</f>
        <v>367368.48759883962</v>
      </c>
      <c r="E25" s="4">
        <f xml:space="preserve"> Media!E25 + DevStd!E25</f>
        <v>1407632.7835551992</v>
      </c>
      <c r="F25" s="4">
        <f xml:space="preserve"> Media!F25 + DevStd!F25</f>
        <v>12218102.896175301</v>
      </c>
      <c r="G25" s="4">
        <f xml:space="preserve"> Media!G25 + DevStd!G25</f>
        <v>510675.3943726907</v>
      </c>
      <c r="H25" s="4">
        <f xml:space="preserve"> Media!H25 + DevStd!H25</f>
        <v>15323946.881103219</v>
      </c>
      <c r="I25" s="4">
        <f xml:space="preserve"> Media!I25 + DevStd!I25</f>
        <v>175698.90182355855</v>
      </c>
      <c r="J25" s="4">
        <f xml:space="preserve"> Media!J25 + DevStd!J25</f>
        <v>15328252.17133699</v>
      </c>
      <c r="K25" s="4">
        <f xml:space="preserve"> Media!K25 + DevStd!K25</f>
        <v>195687.89237868704</v>
      </c>
    </row>
    <row r="26" spans="1:11" s="4" customFormat="1" x14ac:dyDescent="0.3">
      <c r="A26" s="4">
        <v>1250</v>
      </c>
      <c r="B26" s="4">
        <f xml:space="preserve"> Media!B26 + DevStd!B26</f>
        <v>780625</v>
      </c>
      <c r="C26" s="4">
        <f xml:space="preserve"> Media!C26 + DevStd!C26</f>
        <v>7293640.9534365796</v>
      </c>
      <c r="D26" s="4">
        <f xml:space="preserve"> Media!D26 + DevStd!D26</f>
        <v>399479.30073087569</v>
      </c>
      <c r="E26" s="4">
        <f xml:space="preserve"> Media!E26 + DevStd!E26</f>
        <v>1555176.0598203498</v>
      </c>
      <c r="F26" s="4">
        <f xml:space="preserve"> Media!F26 + DevStd!F26</f>
        <v>13337880.484846577</v>
      </c>
      <c r="G26" s="4">
        <f xml:space="preserve"> Media!G26 + DevStd!G26</f>
        <v>670844.69796244788</v>
      </c>
      <c r="H26" s="4">
        <f xml:space="preserve"> Media!H26 + DevStd!H26</f>
        <v>16750557.529979194</v>
      </c>
      <c r="I26" s="4">
        <f xml:space="preserve"> Media!I26 + DevStd!I26</f>
        <v>182988.41550645515</v>
      </c>
      <c r="J26" s="4">
        <f xml:space="preserve"> Media!J26 + DevStd!J26</f>
        <v>16740353.933669962</v>
      </c>
      <c r="K26" s="4">
        <f xml:space="preserve"> Media!K26 + DevStd!K26</f>
        <v>204489.77534706899</v>
      </c>
    </row>
    <row r="27" spans="1:11" s="4" customFormat="1" x14ac:dyDescent="0.3">
      <c r="A27" s="4">
        <v>1300</v>
      </c>
      <c r="B27" s="4">
        <f xml:space="preserve"> Media!B27 + DevStd!B27</f>
        <v>844350</v>
      </c>
      <c r="C27" s="4">
        <f xml:space="preserve"> Media!C27 + DevStd!C27</f>
        <v>8005587.3080098676</v>
      </c>
      <c r="D27" s="4">
        <f xml:space="preserve"> Media!D27 + DevStd!D27</f>
        <v>430760.50074208289</v>
      </c>
      <c r="E27" s="4">
        <f xml:space="preserve"> Media!E27 + DevStd!E27</f>
        <v>1646774.6475973672</v>
      </c>
      <c r="F27" s="4">
        <f xml:space="preserve"> Media!F27 + DevStd!F27</f>
        <v>14510288.276512539</v>
      </c>
      <c r="G27" s="4">
        <f xml:space="preserve"> Media!G27 + DevStd!G27</f>
        <v>643890.68649500771</v>
      </c>
      <c r="H27" s="4">
        <f xml:space="preserve"> Media!H27 + DevStd!H27</f>
        <v>18245741.440620601</v>
      </c>
      <c r="I27" s="4">
        <f xml:space="preserve"> Media!I27 + DevStd!I27</f>
        <v>202695.18509375514</v>
      </c>
      <c r="J27" s="4">
        <f xml:space="preserve"> Media!J27 + DevStd!J27</f>
        <v>18219837.166961983</v>
      </c>
      <c r="K27" s="4">
        <f xml:space="preserve"> Media!K27 + DevStd!K27</f>
        <v>219304.8946875734</v>
      </c>
    </row>
    <row r="28" spans="1:11" s="4" customFormat="1" x14ac:dyDescent="0.3">
      <c r="A28" s="4">
        <v>1350</v>
      </c>
      <c r="B28" s="4">
        <f xml:space="preserve"> Media!B28 + DevStd!B28</f>
        <v>910575</v>
      </c>
      <c r="C28" s="4">
        <f xml:space="preserve"> Media!C28 + DevStd!C28</f>
        <v>8632176.2397553604</v>
      </c>
      <c r="D28" s="4">
        <f xml:space="preserve"> Media!D28 + DevStd!D28</f>
        <v>464605.1846343464</v>
      </c>
      <c r="E28" s="4">
        <f xml:space="preserve"> Media!E28 + DevStd!E28</f>
        <v>1775646.8012675787</v>
      </c>
      <c r="F28" s="4">
        <f xml:space="preserve"> Media!F28 + DevStd!F28</f>
        <v>15735797.025677191</v>
      </c>
      <c r="G28" s="4">
        <f xml:space="preserve"> Media!G28 + DevStd!G28</f>
        <v>669871.01185993419</v>
      </c>
      <c r="H28" s="4">
        <f xml:space="preserve"> Media!H28 + DevStd!H28</f>
        <v>19795751.355790995</v>
      </c>
      <c r="I28" s="4">
        <f xml:space="preserve"> Media!I28 + DevStd!I28</f>
        <v>193852.39108966111</v>
      </c>
      <c r="J28" s="4">
        <f xml:space="preserve"> Media!J28 + DevStd!J28</f>
        <v>19765955.091606382</v>
      </c>
      <c r="K28" s="4">
        <f xml:space="preserve"> Media!K28 + DevStd!K28</f>
        <v>216499.86875358285</v>
      </c>
    </row>
    <row r="29" spans="1:11" s="4" customFormat="1" x14ac:dyDescent="0.3">
      <c r="A29" s="4">
        <v>1400</v>
      </c>
      <c r="B29" s="4">
        <f xml:space="preserve"> Media!B29 + DevStd!B29</f>
        <v>979300</v>
      </c>
      <c r="C29" s="4">
        <f xml:space="preserve"> Media!C29 + DevStd!C29</f>
        <v>9314713.8500447441</v>
      </c>
      <c r="D29" s="4">
        <f xml:space="preserve"> Media!D29 + DevStd!D29</f>
        <v>499819.33525209082</v>
      </c>
      <c r="E29" s="4">
        <f xml:space="preserve"> Media!E29 + DevStd!E29</f>
        <v>2056145.9925816518</v>
      </c>
      <c r="F29" s="4">
        <f xml:space="preserve"> Media!F29 + DevStd!F29</f>
        <v>17014771.193519238</v>
      </c>
      <c r="G29" s="4">
        <f xml:space="preserve"> Media!G29 + DevStd!G29</f>
        <v>848037.70003031101</v>
      </c>
      <c r="H29" s="4">
        <f xml:space="preserve"> Media!H29 + DevStd!H29</f>
        <v>21409732.786482833</v>
      </c>
      <c r="I29" s="4">
        <f xml:space="preserve"> Media!I29 + DevStd!I29</f>
        <v>216423.49858112313</v>
      </c>
      <c r="J29" s="4">
        <f xml:space="preserve"> Media!J29 + DevStd!J29</f>
        <v>21382676.776159614</v>
      </c>
      <c r="K29" s="4">
        <f xml:space="preserve"> Media!K29 + DevStd!K29</f>
        <v>222449.16244776998</v>
      </c>
    </row>
    <row r="30" spans="1:11" s="4" customFormat="1" x14ac:dyDescent="0.3">
      <c r="A30" s="4">
        <v>1450</v>
      </c>
      <c r="B30" s="4">
        <f xml:space="preserve"> Media!B30 + DevStd!B30</f>
        <v>1050525</v>
      </c>
      <c r="C30" s="4">
        <f xml:space="preserve"> Media!C30 + DevStd!C30</f>
        <v>10185783.016506899</v>
      </c>
      <c r="D30" s="4">
        <f xml:space="preserve"> Media!D30 + DevStd!D30</f>
        <v>534234.018503687</v>
      </c>
      <c r="E30" s="4">
        <f xml:space="preserve"> Media!E30 + DevStd!E30</f>
        <v>1978827.7547960808</v>
      </c>
      <c r="F30" s="4">
        <f xml:space="preserve"> Media!F30 + DevStd!F30</f>
        <v>18346824.372479793</v>
      </c>
      <c r="G30" s="4">
        <f xml:space="preserve"> Media!G30 + DevStd!G30</f>
        <v>633854.87139081059</v>
      </c>
      <c r="H30" s="4">
        <f xml:space="preserve"> Media!H30 + DevStd!H30</f>
        <v>23115072.912124652</v>
      </c>
      <c r="I30" s="4">
        <f xml:space="preserve"> Media!I30 + DevStd!I30</f>
        <v>223075.66582032232</v>
      </c>
      <c r="J30" s="4">
        <f xml:space="preserve"> Media!J30 + DevStd!J30</f>
        <v>23072112.387270086</v>
      </c>
      <c r="K30" s="4">
        <f xml:space="preserve"> Media!K30 + DevStd!K30</f>
        <v>239253.37561167145</v>
      </c>
    </row>
    <row r="31" spans="1:11" s="4" customFormat="1" x14ac:dyDescent="0.3">
      <c r="A31" s="4">
        <v>1500</v>
      </c>
      <c r="B31" s="4">
        <f xml:space="preserve"> Media!B31 + DevStd!B31</f>
        <v>1124250</v>
      </c>
      <c r="C31" s="4">
        <f xml:space="preserve"> Media!C31 + DevStd!C31</f>
        <v>10922126.230772121</v>
      </c>
      <c r="D31" s="4">
        <f xml:space="preserve"> Media!D31 + DevStd!D31</f>
        <v>576835.80204196274</v>
      </c>
      <c r="E31" s="4">
        <f xml:space="preserve"> Media!E31 + DevStd!E31</f>
        <v>2204810.558102048</v>
      </c>
      <c r="F31" s="4">
        <f xml:space="preserve"> Media!F31 + DevStd!F31</f>
        <v>19732077.271217961</v>
      </c>
      <c r="G31" s="4">
        <f xml:space="preserve"> Media!G31 + DevStd!G31</f>
        <v>734489.47522185463</v>
      </c>
      <c r="H31" s="4">
        <f xml:space="preserve"> Media!H31 + DevStd!H31</f>
        <v>24881001.231313676</v>
      </c>
      <c r="I31" s="4">
        <f xml:space="preserve"> Media!I31 + DevStd!I31</f>
        <v>227255.94542797888</v>
      </c>
      <c r="J31" s="4">
        <f xml:space="preserve"> Media!J31 + DevStd!J31</f>
        <v>24825773.269424748</v>
      </c>
      <c r="K31" s="4">
        <f xml:space="preserve"> Media!K31 + DevStd!K31</f>
        <v>250128.61231526927</v>
      </c>
    </row>
    <row r="1048576" spans="1:1" s="4" customFormat="1" x14ac:dyDescent="0.3">
      <c r="A1048576" s="4">
        <f>SUM(A2:A1048575)</f>
        <v>23250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C8144-91D5-4D25-8DB9-0DB69776FEEB}">
  <dimension ref="A1:AC1048576"/>
  <sheetViews>
    <sheetView topLeftCell="A2" workbookViewId="0">
      <selection sqref="A1:A1048576"/>
    </sheetView>
  </sheetViews>
  <sheetFormatPr defaultRowHeight="14.4" x14ac:dyDescent="0.3"/>
  <cols>
    <col min="1" max="1" width="6" style="4" bestFit="1" customWidth="1"/>
    <col min="2" max="2" width="16.77734375" style="4" bestFit="1" customWidth="1"/>
    <col min="3" max="3" width="13.21875" style="4" bestFit="1" customWidth="1"/>
    <col min="4" max="4" width="18.33203125" style="4" bestFit="1" customWidth="1"/>
    <col min="5" max="5" width="14.6640625" style="4" bestFit="1" customWidth="1"/>
    <col min="6" max="6" width="15.88671875" style="4" bestFit="1" customWidth="1"/>
    <col min="7" max="7" width="12.21875" style="4" bestFit="1" customWidth="1"/>
    <col min="8" max="8" width="15.77734375" style="4" bestFit="1" customWidth="1"/>
    <col min="9" max="9" width="12.109375" style="4" bestFit="1" customWidth="1"/>
    <col min="10" max="10" width="22.88671875" style="4" bestFit="1" customWidth="1"/>
    <col min="11" max="11" width="19.21875" style="4" bestFit="1" customWidth="1"/>
    <col min="30" max="16384" width="8.88671875" style="4"/>
  </cols>
  <sheetData>
    <row r="1" spans="1:11" s="4" customFormat="1" x14ac:dyDescent="0.3">
      <c r="A1" s="3" t="s">
        <v>3011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s="4" customFormat="1" x14ac:dyDescent="0.3">
      <c r="A2" s="4">
        <v>50</v>
      </c>
      <c r="B2" s="4">
        <f xml:space="preserve"> Media!B2 - DevStd!B2</f>
        <v>1225</v>
      </c>
      <c r="C2" s="4">
        <f xml:space="preserve"> Media!C2 - DevStd!C2</f>
        <v>41350.516886600235</v>
      </c>
      <c r="D2" s="4">
        <f xml:space="preserve"> Media!D2 - DevStd!D2</f>
        <v>601.22274901899345</v>
      </c>
      <c r="E2" s="4">
        <f xml:space="preserve"> Media!E2 - DevStd!E2</f>
        <v>101111.88789017315</v>
      </c>
      <c r="F2" s="4">
        <f xml:space="preserve"> Media!F2 - DevStd!F2</f>
        <v>4766.7295792098657</v>
      </c>
      <c r="G2" s="4">
        <f xml:space="preserve"> Media!G2 - DevStd!G2</f>
        <v>11657.077145301504</v>
      </c>
      <c r="H2" s="4">
        <f xml:space="preserve"> Media!H2 - DevStd!H2</f>
        <v>5550.9829407792722</v>
      </c>
      <c r="I2" s="4">
        <f xml:space="preserve"> Media!I2 - DevStd!I2</f>
        <v>2111.3012906950535</v>
      </c>
      <c r="J2" s="4">
        <f xml:space="preserve"> Media!J2 - DevStd!J2</f>
        <v>5577.6725596415918</v>
      </c>
      <c r="K2" s="4">
        <f xml:space="preserve"> Media!K2 - DevStd!K2</f>
        <v>-7297.4668187553834</v>
      </c>
    </row>
    <row r="3" spans="1:11" s="4" customFormat="1" x14ac:dyDescent="0.3">
      <c r="A3" s="4">
        <v>100</v>
      </c>
      <c r="B3" s="4">
        <f xml:space="preserve"> Media!B3 - DevStd!B3</f>
        <v>4950</v>
      </c>
      <c r="C3" s="4">
        <f xml:space="preserve"> Media!C3 - DevStd!C3</f>
        <v>39942.752820353642</v>
      </c>
      <c r="D3" s="4">
        <f xml:space="preserve"> Media!D3 - DevStd!D3</f>
        <v>2380.3786020996499</v>
      </c>
      <c r="E3" s="4">
        <f xml:space="preserve"> Media!E3 - DevStd!E3</f>
        <v>2333.3340825948835</v>
      </c>
      <c r="F3" s="4">
        <f xml:space="preserve"> Media!F3 - DevStd!F3</f>
        <v>33813.610352116375</v>
      </c>
      <c r="G3" s="4">
        <f xml:space="preserve"> Media!G3 - DevStd!G3</f>
        <v>39753.687655072419</v>
      </c>
      <c r="H3" s="4">
        <f xml:space="preserve"> Media!H3 - DevStd!H3</f>
        <v>40135.457268247395</v>
      </c>
      <c r="I3" s="4">
        <f xml:space="preserve"> Media!I3 - DevStd!I3</f>
        <v>6927.0210339675141</v>
      </c>
      <c r="J3" s="4">
        <f xml:space="preserve"> Media!J3 - DevStd!J3</f>
        <v>40232.421461491234</v>
      </c>
      <c r="K3" s="4">
        <f xml:space="preserve"> Media!K3 - DevStd!K3</f>
        <v>8402.0495940946657</v>
      </c>
    </row>
    <row r="4" spans="1:11" s="4" customFormat="1" x14ac:dyDescent="0.3">
      <c r="A4" s="4">
        <v>150</v>
      </c>
      <c r="B4" s="4">
        <f xml:space="preserve"> Media!B4 - DevStd!B4</f>
        <v>11175</v>
      </c>
      <c r="C4" s="4">
        <f xml:space="preserve"> Media!C4 - DevStd!C4</f>
        <v>73747.176945956657</v>
      </c>
      <c r="D4" s="4">
        <f xml:space="preserve"> Media!D4 - DevStd!D4</f>
        <v>5388.1342902762381</v>
      </c>
      <c r="E4" s="4">
        <f xml:space="preserve"> Media!E4 - DevStd!E4</f>
        <v>21980.344524307471</v>
      </c>
      <c r="F4" s="4">
        <f xml:space="preserve"> Media!F4 - DevStd!F4</f>
        <v>95596.262750198395</v>
      </c>
      <c r="G4" s="4">
        <f xml:space="preserve"> Media!G4 - DevStd!G4</f>
        <v>51206.717091764818</v>
      </c>
      <c r="H4" s="4">
        <f xml:space="preserve"> Media!H4 - DevStd!H4</f>
        <v>114837.71479873417</v>
      </c>
      <c r="I4" s="4">
        <f xml:space="preserve"> Media!I4 - DevStd!I4</f>
        <v>13793.72574692361</v>
      </c>
      <c r="J4" s="4">
        <f xml:space="preserve"> Media!J4 - DevStd!J4</f>
        <v>114476.44983858318</v>
      </c>
      <c r="K4" s="4">
        <f xml:space="preserve"> Media!K4 - DevStd!K4</f>
        <v>17968.063692671923</v>
      </c>
    </row>
    <row r="5" spans="1:11" s="4" customFormat="1" x14ac:dyDescent="0.3">
      <c r="A5" s="4">
        <v>200</v>
      </c>
      <c r="B5" s="4">
        <f xml:space="preserve"> Media!B5 - DevStd!B5</f>
        <v>19900</v>
      </c>
      <c r="C5" s="4">
        <f xml:space="preserve"> Media!C5 - DevStd!C5</f>
        <v>127522.99666380846</v>
      </c>
      <c r="D5" s="4">
        <f xml:space="preserve"> Media!D5 - DevStd!D5</f>
        <v>9729.1783608265287</v>
      </c>
      <c r="E5" s="4">
        <f xml:space="preserve"> Media!E5 - DevStd!E5</f>
        <v>36518.480240827688</v>
      </c>
      <c r="F5" s="4">
        <f xml:space="preserve"> Media!F5 - DevStd!F5</f>
        <v>193708.53816705395</v>
      </c>
      <c r="G5" s="4">
        <f xml:space="preserve"> Media!G5 - DevStd!G5</f>
        <v>65710.638690147476</v>
      </c>
      <c r="H5" s="4">
        <f xml:space="preserve"> Media!H5 - DevStd!H5</f>
        <v>233440.74997409954</v>
      </c>
      <c r="I5" s="4">
        <f xml:space="preserve"> Media!I5 - DevStd!I5</f>
        <v>19791.672891826245</v>
      </c>
      <c r="J5" s="4">
        <f xml:space="preserve"> Media!J5 - DevStd!J5</f>
        <v>233145.74870343893</v>
      </c>
      <c r="K5" s="4">
        <f xml:space="preserve"> Media!K5 - DevStd!K5</f>
        <v>22197.919013101611</v>
      </c>
    </row>
    <row r="6" spans="1:11" s="4" customFormat="1" x14ac:dyDescent="0.3">
      <c r="A6" s="4">
        <v>250</v>
      </c>
      <c r="B6" s="4">
        <f xml:space="preserve"> Media!B6 - DevStd!B6</f>
        <v>31125</v>
      </c>
      <c r="C6" s="4">
        <f xml:space="preserve"> Media!C6 - DevStd!C6</f>
        <v>207753.48586426384</v>
      </c>
      <c r="D6" s="4">
        <f xml:space="preserve"> Media!D6 - DevStd!D6</f>
        <v>15212.631773822754</v>
      </c>
      <c r="E6" s="4">
        <f xml:space="preserve"> Media!E6 - DevStd!E6</f>
        <v>58884.144233296371</v>
      </c>
      <c r="F6" s="4">
        <f xml:space="preserve"> Media!F6 - DevStd!F6</f>
        <v>330313.80481971026</v>
      </c>
      <c r="G6" s="4">
        <f xml:space="preserve"> Media!G6 - DevStd!G6</f>
        <v>88366.583144360076</v>
      </c>
      <c r="H6" s="4">
        <f xml:space="preserve"> Media!H6 - DevStd!H6</f>
        <v>401369.42611878738</v>
      </c>
      <c r="I6" s="4">
        <f xml:space="preserve"> Media!I6 - DevStd!I6</f>
        <v>25606.591351341769</v>
      </c>
      <c r="J6" s="4">
        <f xml:space="preserve"> Media!J6 - DevStd!J6</f>
        <v>400565.2812885255</v>
      </c>
      <c r="K6" s="4">
        <f xml:space="preserve"> Media!K6 - DevStd!K6</f>
        <v>29913.47059583625</v>
      </c>
    </row>
    <row r="7" spans="1:11" s="4" customFormat="1" x14ac:dyDescent="0.3">
      <c r="A7" s="4">
        <v>300</v>
      </c>
      <c r="B7" s="4">
        <f xml:space="preserve"> Media!B7 - DevStd!B7</f>
        <v>44850</v>
      </c>
      <c r="C7" s="4">
        <f xml:space="preserve"> Media!C7 - DevStd!C7</f>
        <v>271888.27282396931</v>
      </c>
      <c r="D7" s="4">
        <f xml:space="preserve"> Media!D7 - DevStd!D7</f>
        <v>21817.40177133117</v>
      </c>
      <c r="E7" s="4">
        <f xml:space="preserve"> Media!E7 - DevStd!E7</f>
        <v>71033.97143068703</v>
      </c>
      <c r="F7" s="4">
        <f xml:space="preserve"> Media!F7 - DevStd!F7</f>
        <v>507131.17361524672</v>
      </c>
      <c r="G7" s="4">
        <f xml:space="preserve"> Media!G7 - DevStd!G7</f>
        <v>98603.124989184173</v>
      </c>
      <c r="H7" s="4">
        <f xml:space="preserve"> Media!H7 - DevStd!H7</f>
        <v>620124.17346790445</v>
      </c>
      <c r="I7" s="4">
        <f xml:space="preserve"> Media!I7 - DevStd!I7</f>
        <v>29981.916463832731</v>
      </c>
      <c r="J7" s="4">
        <f xml:space="preserve"> Media!J7 - DevStd!J7</f>
        <v>617231.38013053511</v>
      </c>
      <c r="K7" s="4">
        <f xml:space="preserve"> Media!K7 - DevStd!K7</f>
        <v>34094.40947946885</v>
      </c>
    </row>
    <row r="8" spans="1:11" s="4" customFormat="1" x14ac:dyDescent="0.3">
      <c r="A8" s="4">
        <v>350</v>
      </c>
      <c r="B8" s="4">
        <f xml:space="preserve"> Media!B8 - DevStd!B8</f>
        <v>61075</v>
      </c>
      <c r="C8" s="4">
        <f xml:space="preserve"> Media!C8 - DevStd!C8</f>
        <v>388289.19860753196</v>
      </c>
      <c r="D8" s="4">
        <f xml:space="preserve"> Media!D8 - DevStd!D8</f>
        <v>29830.513525268132</v>
      </c>
      <c r="E8" s="4">
        <f xml:space="preserve"> Media!E8 - DevStd!E8</f>
        <v>101034.79331556309</v>
      </c>
      <c r="F8" s="4">
        <f xml:space="preserve"> Media!F8 - DevStd!F8</f>
        <v>726071.79469619994</v>
      </c>
      <c r="G8" s="4">
        <f xml:space="preserve"> Media!G8 - DevStd!G8</f>
        <v>110225.8322725734</v>
      </c>
      <c r="H8" s="4">
        <f xml:space="preserve"> Media!H8 - DevStd!H8</f>
        <v>890318.25954992231</v>
      </c>
      <c r="I8" s="4">
        <f xml:space="preserve"> Media!I8 - DevStd!I8</f>
        <v>35152.181404935858</v>
      </c>
      <c r="J8" s="4">
        <f xml:space="preserve"> Media!J8 - DevStd!J8</f>
        <v>885301.80685373337</v>
      </c>
      <c r="K8" s="4">
        <f xml:space="preserve"> Media!K8 - DevStd!K8</f>
        <v>39999.045869209222</v>
      </c>
    </row>
    <row r="9" spans="1:11" s="4" customFormat="1" x14ac:dyDescent="0.3">
      <c r="A9" s="4">
        <v>400</v>
      </c>
      <c r="B9" s="4">
        <f xml:space="preserve"> Media!B9 - DevStd!B9</f>
        <v>79800</v>
      </c>
      <c r="C9" s="4">
        <f xml:space="preserve"> Media!C9 - DevStd!C9</f>
        <v>512229.11617363064</v>
      </c>
      <c r="D9" s="4">
        <f xml:space="preserve"> Media!D9 - DevStd!D9</f>
        <v>39035.765617387136</v>
      </c>
      <c r="E9" s="4">
        <f xml:space="preserve"> Media!E9 - DevStd!E9</f>
        <v>133496.5994780894</v>
      </c>
      <c r="F9" s="4">
        <f xml:space="preserve"> Media!F9 - DevStd!F9</f>
        <v>988033.37681694073</v>
      </c>
      <c r="G9" s="4">
        <f xml:space="preserve"> Media!G9 - DevStd!G9</f>
        <v>127854.06695764959</v>
      </c>
      <c r="H9" s="4">
        <f xml:space="preserve"> Media!H9 - DevStd!H9</f>
        <v>1215357.8411621158</v>
      </c>
      <c r="I9" s="4">
        <f xml:space="preserve"> Media!I9 - DevStd!I9</f>
        <v>43206.559367169379</v>
      </c>
      <c r="J9" s="4">
        <f xml:space="preserve"> Media!J9 - DevStd!J9</f>
        <v>1210781.5702234628</v>
      </c>
      <c r="K9" s="4">
        <f xml:space="preserve"> Media!K9 - DevStd!K9</f>
        <v>48168.182137017837</v>
      </c>
    </row>
    <row r="10" spans="1:11" s="4" customFormat="1" x14ac:dyDescent="0.3">
      <c r="A10" s="4">
        <v>450</v>
      </c>
      <c r="B10" s="4">
        <f xml:space="preserve"> Media!B10 - DevStd!B10</f>
        <v>101025</v>
      </c>
      <c r="C10" s="4">
        <f xml:space="preserve"> Media!C10 - DevStd!C10</f>
        <v>652538.55234085047</v>
      </c>
      <c r="D10" s="4">
        <f xml:space="preserve"> Media!D10 - DevStd!D10</f>
        <v>49660.703570730664</v>
      </c>
      <c r="E10" s="4">
        <f xml:space="preserve"> Media!E10 - DevStd!E10</f>
        <v>166317.27633991174</v>
      </c>
      <c r="F10" s="4">
        <f xml:space="preserve"> Media!F10 - DevStd!F10</f>
        <v>1293677.3771708179</v>
      </c>
      <c r="G10" s="4">
        <f xml:space="preserve"> Media!G10 - DevStd!G10</f>
        <v>148254.30722215716</v>
      </c>
      <c r="H10" s="4">
        <f xml:space="preserve"> Media!H10 - DevStd!H10</f>
        <v>1600143.6618082356</v>
      </c>
      <c r="I10" s="4">
        <f xml:space="preserve"> Media!I10 - DevStd!I10</f>
        <v>47559.927990897559</v>
      </c>
      <c r="J10" s="4">
        <f xml:space="preserve"> Media!J10 - DevStd!J10</f>
        <v>1588927.3124255489</v>
      </c>
      <c r="K10" s="4">
        <f xml:space="preserve"> Media!K10 - DevStd!K10</f>
        <v>53520.158720323976</v>
      </c>
    </row>
    <row r="11" spans="1:11" s="4" customFormat="1" x14ac:dyDescent="0.3">
      <c r="A11" s="4">
        <v>500</v>
      </c>
      <c r="B11" s="4">
        <f xml:space="preserve"> Media!B11 - DevStd!B11</f>
        <v>124750</v>
      </c>
      <c r="C11" s="4">
        <f xml:space="preserve"> Media!C11 - DevStd!C11</f>
        <v>830216.76777223696</v>
      </c>
      <c r="D11" s="4">
        <f xml:space="preserve"> Media!D11 - DevStd!D11</f>
        <v>61099.957381906148</v>
      </c>
      <c r="E11" s="4">
        <f xml:space="preserve"> Media!E11 - DevStd!E11</f>
        <v>212904.27728322276</v>
      </c>
      <c r="F11" s="4">
        <f xml:space="preserve"> Media!F11 - DevStd!F11</f>
        <v>1643884.4711588926</v>
      </c>
      <c r="G11" s="4">
        <f xml:space="preserve"> Media!G11 - DevStd!G11</f>
        <v>159781.88511889445</v>
      </c>
      <c r="H11" s="4">
        <f xml:space="preserve"> Media!H11 - DevStd!H11</f>
        <v>2034150.9155174666</v>
      </c>
      <c r="I11" s="4">
        <f xml:space="preserve"> Media!I11 - DevStd!I11</f>
        <v>53249.493092199977</v>
      </c>
      <c r="J11" s="4">
        <f xml:space="preserve"> Media!J11 - DevStd!J11</f>
        <v>2022317.5309320411</v>
      </c>
      <c r="K11" s="4">
        <f xml:space="preserve"> Media!K11 - DevStd!K11</f>
        <v>60983.356561090448</v>
      </c>
    </row>
    <row r="12" spans="1:11" s="4" customFormat="1" x14ac:dyDescent="0.3">
      <c r="A12" s="4">
        <v>550</v>
      </c>
      <c r="B12" s="4">
        <f xml:space="preserve"> Media!B12 - DevStd!B12</f>
        <v>150975</v>
      </c>
      <c r="C12" s="4">
        <f xml:space="preserve"> Media!C12 - DevStd!C12</f>
        <v>1038114.2554910545</v>
      </c>
      <c r="D12" s="4">
        <f xml:space="preserve"> Media!D12 - DevStd!D12</f>
        <v>73585.579972837048</v>
      </c>
      <c r="E12" s="4">
        <f xml:space="preserve"> Media!E12 - DevStd!E12</f>
        <v>250632.10147224192</v>
      </c>
      <c r="F12" s="4">
        <f xml:space="preserve"> Media!F12 - DevStd!F12</f>
        <v>2039130.9120198807</v>
      </c>
      <c r="G12" s="4">
        <f xml:space="preserve"> Media!G12 - DevStd!G12</f>
        <v>69884.524926318758</v>
      </c>
      <c r="H12" s="4">
        <f xml:space="preserve"> Media!H12 - DevStd!H12</f>
        <v>2523889.9117346713</v>
      </c>
      <c r="I12" s="4">
        <f xml:space="preserve"> Media!I12 - DevStd!I12</f>
        <v>54299.388894695505</v>
      </c>
      <c r="J12" s="4">
        <f xml:space="preserve"> Media!J12 - DevStd!J12</f>
        <v>2515742.1466737152</v>
      </c>
      <c r="K12" s="4">
        <f xml:space="preserve"> Media!K12 - DevStd!K12</f>
        <v>68375.16546044976</v>
      </c>
    </row>
    <row r="13" spans="1:11" s="4" customFormat="1" x14ac:dyDescent="0.3">
      <c r="A13" s="4">
        <v>600</v>
      </c>
      <c r="B13" s="4">
        <f xml:space="preserve"> Media!B13 - DevStd!B13</f>
        <v>179700</v>
      </c>
      <c r="C13" s="4">
        <f xml:space="preserve"> Media!C13 - DevStd!C13</f>
        <v>1261492.7398609463</v>
      </c>
      <c r="D13" s="4">
        <f xml:space="preserve"> Media!D13 - DevStd!D13</f>
        <v>87735.579208573123</v>
      </c>
      <c r="E13" s="4">
        <f xml:space="preserve"> Media!E13 - DevStd!E13</f>
        <v>287248.27002932999</v>
      </c>
      <c r="F13" s="4">
        <f xml:space="preserve"> Media!F13 - DevStd!F13</f>
        <v>2481261.0805788087</v>
      </c>
      <c r="G13" s="4">
        <f xml:space="preserve"> Media!G13 - DevStd!G13</f>
        <v>198322.82847372256</v>
      </c>
      <c r="H13" s="4">
        <f xml:space="preserve"> Media!H13 - DevStd!H13</f>
        <v>3076797.6427969402</v>
      </c>
      <c r="I13" s="4">
        <f xml:space="preserve"> Media!I13 - DevStd!I13</f>
        <v>65818.504146004372</v>
      </c>
      <c r="J13" s="4">
        <f xml:space="preserve"> Media!J13 - DevStd!J13</f>
        <v>3066858.6740659401</v>
      </c>
      <c r="K13" s="4">
        <f xml:space="preserve"> Media!K13 - DevStd!K13</f>
        <v>73745.532801775858</v>
      </c>
    </row>
    <row r="14" spans="1:11" s="4" customFormat="1" x14ac:dyDescent="0.3">
      <c r="A14" s="4">
        <v>650</v>
      </c>
      <c r="B14" s="4">
        <f xml:space="preserve"> Media!B14 - DevStd!B14</f>
        <v>210925</v>
      </c>
      <c r="C14" s="4">
        <f xml:space="preserve"> Media!C14 - DevStd!C14</f>
        <v>1532013.1829544522</v>
      </c>
      <c r="D14" s="4">
        <f xml:space="preserve"> Media!D14 - DevStd!D14</f>
        <v>103587.57807240693</v>
      </c>
      <c r="E14" s="4">
        <f xml:space="preserve"> Media!E14 - DevStd!E14</f>
        <v>342132.39807667839</v>
      </c>
      <c r="F14" s="4">
        <f xml:space="preserve"> Media!F14 - DevStd!F14</f>
        <v>2970803.6593809095</v>
      </c>
      <c r="G14" s="4">
        <f xml:space="preserve"> Media!G14 - DevStd!G14</f>
        <v>215690.24619746534</v>
      </c>
      <c r="H14" s="4">
        <f xml:space="preserve"> Media!H14 - DevStd!H14</f>
        <v>3694432.5105937216</v>
      </c>
      <c r="I14" s="4">
        <f xml:space="preserve"> Media!I14 - DevStd!I14</f>
        <v>74085.014619905996</v>
      </c>
      <c r="J14" s="4">
        <f xml:space="preserve"> Media!J14 - DevStd!J14</f>
        <v>3677760.9749260019</v>
      </c>
      <c r="K14" s="4">
        <f xml:space="preserve"> Media!K14 - DevStd!K14</f>
        <v>84201.121015561192</v>
      </c>
    </row>
    <row r="15" spans="1:11" s="4" customFormat="1" x14ac:dyDescent="0.3">
      <c r="A15" s="4">
        <v>700</v>
      </c>
      <c r="B15" s="4">
        <f xml:space="preserve"> Media!B15 - DevStd!B15</f>
        <v>244650</v>
      </c>
      <c r="C15" s="4">
        <f xml:space="preserve"> Media!C15 - DevStd!C15</f>
        <v>1776770.6700767516</v>
      </c>
      <c r="D15" s="4">
        <f xml:space="preserve"> Media!D15 - DevStd!D15</f>
        <v>119499.38059256818</v>
      </c>
      <c r="E15" s="4">
        <f xml:space="preserve"> Media!E15 - DevStd!E15</f>
        <v>394738.78945928154</v>
      </c>
      <c r="F15" s="4">
        <f xml:space="preserve"> Media!F15 - DevStd!F15</f>
        <v>3508048.1388372355</v>
      </c>
      <c r="G15" s="4">
        <f xml:space="preserve"> Media!G15 - DevStd!G15</f>
        <v>235637.84307820312</v>
      </c>
      <c r="H15" s="4">
        <f xml:space="preserve"> Media!H15 - DevStd!H15</f>
        <v>4364681.1771593997</v>
      </c>
      <c r="I15" s="4">
        <f xml:space="preserve"> Media!I15 - DevStd!I15</f>
        <v>80398.399723958515</v>
      </c>
      <c r="J15" s="4">
        <f xml:space="preserve"> Media!J15 - DevStd!J15</f>
        <v>4354731.1694093244</v>
      </c>
      <c r="K15" s="4">
        <f xml:space="preserve"> Media!K15 - DevStd!K15</f>
        <v>87840.437383223078</v>
      </c>
    </row>
    <row r="16" spans="1:11" s="4" customFormat="1" x14ac:dyDescent="0.3">
      <c r="A16" s="4">
        <v>750</v>
      </c>
      <c r="B16" s="4">
        <f xml:space="preserve"> Media!B16 - DevStd!B16</f>
        <v>280875</v>
      </c>
      <c r="C16" s="4">
        <f xml:space="preserve"> Media!C16 - DevStd!C16</f>
        <v>2112664.205776148</v>
      </c>
      <c r="D16" s="4">
        <f xml:space="preserve"> Media!D16 - DevStd!D16</f>
        <v>136759.92706269168</v>
      </c>
      <c r="E16" s="4">
        <f xml:space="preserve"> Media!E16 - DevStd!E16</f>
        <v>461578.91402244277</v>
      </c>
      <c r="F16" s="4">
        <f xml:space="preserve"> Media!F16 - DevStd!F16</f>
        <v>4093524.493741231</v>
      </c>
      <c r="G16" s="4">
        <f xml:space="preserve"> Media!G16 - DevStd!G16</f>
        <v>258662.2269544804</v>
      </c>
      <c r="H16" s="4">
        <f xml:space="preserve"> Media!H16 - DevStd!H16</f>
        <v>5092096.5331207998</v>
      </c>
      <c r="I16" s="4">
        <f xml:space="preserve"> Media!I16 - DevStd!I16</f>
        <v>87284.907649143614</v>
      </c>
      <c r="J16" s="4">
        <f xml:space="preserve"> Media!J16 - DevStd!J16</f>
        <v>5090450.2989687538</v>
      </c>
      <c r="K16" s="4">
        <f xml:space="preserve"> Media!K16 - DevStd!K16</f>
        <v>94733.115992579129</v>
      </c>
    </row>
    <row r="17" spans="1:11" s="4" customFormat="1" x14ac:dyDescent="0.3">
      <c r="A17" s="4">
        <v>800</v>
      </c>
      <c r="B17" s="4">
        <f xml:space="preserve"> Media!B17 - DevStd!B17</f>
        <v>319600</v>
      </c>
      <c r="C17" s="4">
        <f xml:space="preserve"> Media!C17 - DevStd!C17</f>
        <v>2420831.7585534607</v>
      </c>
      <c r="D17" s="4">
        <f xml:space="preserve"> Media!D17 - DevStd!D17</f>
        <v>156021.99248331174</v>
      </c>
      <c r="E17" s="4">
        <f xml:space="preserve"> Media!E17 - DevStd!E17</f>
        <v>534873.41765017074</v>
      </c>
      <c r="F17" s="4">
        <f xml:space="preserve"> Media!F17 - DevStd!F17</f>
        <v>4727422.7989047309</v>
      </c>
      <c r="G17" s="4">
        <f xml:space="preserve"> Media!G17 - DevStd!G17</f>
        <v>179851.41167140997</v>
      </c>
      <c r="H17" s="4">
        <f xml:space="preserve"> Media!H17 - DevStd!H17</f>
        <v>5893874.3645838695</v>
      </c>
      <c r="I17" s="4">
        <f xml:space="preserve"> Media!I17 - DevStd!I17</f>
        <v>93813.487108830115</v>
      </c>
      <c r="J17" s="4">
        <f xml:space="preserve"> Media!J17 - DevStd!J17</f>
        <v>5886288.8335354915</v>
      </c>
      <c r="K17" s="4">
        <f xml:space="preserve"> Media!K17 - DevStd!K17</f>
        <v>102947.97637851525</v>
      </c>
    </row>
    <row r="18" spans="1:11" s="4" customFormat="1" x14ac:dyDescent="0.3">
      <c r="A18" s="4">
        <v>850</v>
      </c>
      <c r="B18" s="4">
        <f xml:space="preserve"> Media!B18 - DevStd!B18</f>
        <v>360825</v>
      </c>
      <c r="C18" s="4">
        <f xml:space="preserve"> Media!C18 - DevStd!C18</f>
        <v>2802011.8504004828</v>
      </c>
      <c r="D18" s="4">
        <f xml:space="preserve"> Media!D18 - DevStd!D18</f>
        <v>177204.90720726523</v>
      </c>
      <c r="E18" s="4">
        <f xml:space="preserve"> Media!E18 - DevStd!E18</f>
        <v>572450.58780084492</v>
      </c>
      <c r="F18" s="4">
        <f xml:space="preserve"> Media!F18 - DevStd!F18</f>
        <v>5410314.5317147663</v>
      </c>
      <c r="G18" s="4">
        <f xml:space="preserve"> Media!G18 - DevStd!G18</f>
        <v>267565.33556390967</v>
      </c>
      <c r="H18" s="4">
        <f xml:space="preserve"> Media!H18 - DevStd!H18</f>
        <v>6746662.0307179773</v>
      </c>
      <c r="I18" s="4">
        <f xml:space="preserve"> Media!I18 - DevStd!I18</f>
        <v>99860.634079841475</v>
      </c>
      <c r="J18" s="4">
        <f xml:space="preserve"> Media!J18 - DevStd!J18</f>
        <v>6739765.2262557475</v>
      </c>
      <c r="K18" s="4">
        <f xml:space="preserve"> Media!K18 - DevStd!K18</f>
        <v>110660.98107574451</v>
      </c>
    </row>
    <row r="19" spans="1:11" s="4" customFormat="1" x14ac:dyDescent="0.3">
      <c r="A19" s="4">
        <v>900</v>
      </c>
      <c r="B19" s="4">
        <f xml:space="preserve"> Media!B19 - DevStd!B19</f>
        <v>404550</v>
      </c>
      <c r="C19" s="4">
        <f xml:space="preserve"> Media!C19 - DevStd!C19</f>
        <v>3189391.0170134096</v>
      </c>
      <c r="D19" s="4">
        <f xml:space="preserve"> Media!D19 - DevStd!D19</f>
        <v>198571.38972640992</v>
      </c>
      <c r="E19" s="4">
        <f xml:space="preserve"> Media!E19 - DevStd!E19</f>
        <v>664549.57499107521</v>
      </c>
      <c r="F19" s="4">
        <f xml:space="preserve"> Media!F19 - DevStd!F19</f>
        <v>6142397.1162664965</v>
      </c>
      <c r="G19" s="4">
        <f xml:space="preserve"> Media!G19 - DevStd!G19</f>
        <v>307318.88490864087</v>
      </c>
      <c r="H19" s="4">
        <f xml:space="preserve"> Media!H19 - DevStd!H19</f>
        <v>7667077.6985754883</v>
      </c>
      <c r="I19" s="4">
        <f xml:space="preserve"> Media!I19 - DevStd!I19</f>
        <v>106447.36469153936</v>
      </c>
      <c r="J19" s="4">
        <f xml:space="preserve"> Media!J19 - DevStd!J19</f>
        <v>7658199.5502091115</v>
      </c>
      <c r="K19" s="4">
        <f xml:space="preserve"> Media!K19 - DevStd!K19</f>
        <v>116948.25531764323</v>
      </c>
    </row>
    <row r="20" spans="1:11" s="4" customFormat="1" x14ac:dyDescent="0.3">
      <c r="A20" s="4">
        <v>950</v>
      </c>
      <c r="B20" s="4">
        <f xml:space="preserve"> Media!B20 - DevStd!B20</f>
        <v>450775</v>
      </c>
      <c r="C20" s="4">
        <f xml:space="preserve"> Media!C20 - DevStd!C20</f>
        <v>3614081.0698979958</v>
      </c>
      <c r="D20" s="4">
        <f xml:space="preserve"> Media!D20 - DevStd!D20</f>
        <v>221936.13555427204</v>
      </c>
      <c r="E20" s="4">
        <f xml:space="preserve"> Media!E20 - DevStd!E20</f>
        <v>756915.03764515813</v>
      </c>
      <c r="F20" s="4">
        <f xml:space="preserve"> Media!F20 - DevStd!F20</f>
        <v>6923818.8373106373</v>
      </c>
      <c r="G20" s="4">
        <f xml:space="preserve"> Media!G20 - DevStd!G20</f>
        <v>336923.72295489727</v>
      </c>
      <c r="H20" s="4">
        <f xml:space="preserve"> Media!H20 - DevStd!H20</f>
        <v>8643639.9166569933</v>
      </c>
      <c r="I20" s="4">
        <f xml:space="preserve"> Media!I20 - DevStd!I20</f>
        <v>111799.63568887529</v>
      </c>
      <c r="J20" s="4">
        <f xml:space="preserve"> Media!J20 - DevStd!J20</f>
        <v>8635371.7457086407</v>
      </c>
      <c r="K20" s="4">
        <f xml:space="preserve"> Media!K20 - DevStd!K20</f>
        <v>126429.56960423164</v>
      </c>
    </row>
    <row r="21" spans="1:11" s="4" customFormat="1" x14ac:dyDescent="0.3">
      <c r="A21" s="4">
        <v>1000</v>
      </c>
      <c r="B21" s="4">
        <f xml:space="preserve"> Media!B21 - DevStd!B21</f>
        <v>499500</v>
      </c>
      <c r="C21" s="4">
        <f xml:space="preserve"> Media!C21 - DevStd!C21</f>
        <v>4052435.0538993943</v>
      </c>
      <c r="D21" s="4">
        <f xml:space="preserve"> Media!D21 - DevStd!D21</f>
        <v>245216.9876249099</v>
      </c>
      <c r="E21" s="4">
        <f xml:space="preserve"> Media!E21 - DevStd!E21</f>
        <v>832141.59215286782</v>
      </c>
      <c r="F21" s="4">
        <f xml:space="preserve"> Media!F21 - DevStd!F21</f>
        <v>7755288.5342902681</v>
      </c>
      <c r="G21" s="4">
        <f xml:space="preserve"> Media!G21 - DevStd!G21</f>
        <v>348844.86045121559</v>
      </c>
      <c r="H21" s="4">
        <f xml:space="preserve"> Media!H21 - DevStd!H21</f>
        <v>9684986.4150980432</v>
      </c>
      <c r="I21" s="4">
        <f xml:space="preserve"> Media!I21 - DevStd!I21</f>
        <v>119823.61286976824</v>
      </c>
      <c r="J21" s="4">
        <f xml:space="preserve"> Media!J21 - DevStd!J21</f>
        <v>9676808.2569502275</v>
      </c>
      <c r="K21" s="4">
        <f xml:space="preserve"> Media!K21 - DevStd!K21</f>
        <v>132600.52220139166</v>
      </c>
    </row>
    <row r="22" spans="1:11" s="4" customFormat="1" x14ac:dyDescent="0.3">
      <c r="A22" s="4">
        <v>1050</v>
      </c>
      <c r="B22" s="4">
        <f xml:space="preserve"> Media!B22 - DevStd!B22</f>
        <v>550725</v>
      </c>
      <c r="C22" s="4">
        <f xml:space="preserve"> Media!C22 - DevStd!C22</f>
        <v>4556437.9062865451</v>
      </c>
      <c r="D22" s="4">
        <f xml:space="preserve"> Media!D22 - DevStd!D22</f>
        <v>270962.47920264455</v>
      </c>
      <c r="E22" s="4">
        <f xml:space="preserve"> Media!E22 - DevStd!E22</f>
        <v>917396.2189144966</v>
      </c>
      <c r="F22" s="4">
        <f xml:space="preserve"> Media!F22 - DevStd!F22</f>
        <v>8637025.0222502258</v>
      </c>
      <c r="G22" s="4">
        <f xml:space="preserve"> Media!G22 - DevStd!G22</f>
        <v>359204.32730476942</v>
      </c>
      <c r="H22" s="4">
        <f xml:space="preserve"> Media!H22 - DevStd!H22</f>
        <v>10809078.07301962</v>
      </c>
      <c r="I22" s="4">
        <f xml:space="preserve"> Media!I22 - DevStd!I22</f>
        <v>86972.59561429685</v>
      </c>
      <c r="J22" s="4">
        <f xml:space="preserve"> Media!J22 - DevStd!J22</f>
        <v>10792079.739794105</v>
      </c>
      <c r="K22" s="4">
        <f xml:space="preserve"> Media!K22 - DevStd!K22</f>
        <v>141374.29342422326</v>
      </c>
    </row>
    <row r="23" spans="1:11" s="4" customFormat="1" x14ac:dyDescent="0.3">
      <c r="A23" s="4">
        <v>1100</v>
      </c>
      <c r="B23" s="4">
        <f xml:space="preserve"> Media!B23 - DevStd!B23</f>
        <v>604450</v>
      </c>
      <c r="C23" s="4">
        <f xml:space="preserve"> Media!C23 - DevStd!C23</f>
        <v>5077889.4572275998</v>
      </c>
      <c r="D23" s="4">
        <f xml:space="preserve"> Media!D23 - DevStd!D23</f>
        <v>295560.13361194567</v>
      </c>
      <c r="E23" s="4">
        <f xml:space="preserve"> Media!E23 - DevStd!E23</f>
        <v>953444.07788367046</v>
      </c>
      <c r="F23" s="4">
        <f xml:space="preserve"> Media!F23 - DevStd!F23</f>
        <v>9569920.9913163371</v>
      </c>
      <c r="G23" s="4">
        <f xml:space="preserve"> Media!G23 - DevStd!G23</f>
        <v>391970.48886906938</v>
      </c>
      <c r="H23" s="4">
        <f xml:space="preserve"> Media!H23 - DevStd!H23</f>
        <v>11991945.528323986</v>
      </c>
      <c r="I23" s="4">
        <f xml:space="preserve"> Media!I23 - DevStd!I23</f>
        <v>131163.41167535409</v>
      </c>
      <c r="J23" s="4">
        <f xml:space="preserve"> Media!J23 - DevStd!J23</f>
        <v>11963448.270215034</v>
      </c>
      <c r="K23" s="4">
        <f xml:space="preserve"> Media!K23 - DevStd!K23</f>
        <v>145284.07521120651</v>
      </c>
    </row>
    <row r="24" spans="1:11" s="4" customFormat="1" x14ac:dyDescent="0.3">
      <c r="A24" s="4">
        <v>1150</v>
      </c>
      <c r="B24" s="4">
        <f xml:space="preserve"> Media!B24 - DevStd!B24</f>
        <v>660675</v>
      </c>
      <c r="C24" s="4">
        <f xml:space="preserve"> Media!C24 - DevStd!C24</f>
        <v>5590386.1598557709</v>
      </c>
      <c r="D24" s="4">
        <f xml:space="preserve"> Media!D24 - DevStd!D24</f>
        <v>324473.81930581061</v>
      </c>
      <c r="E24" s="4">
        <f xml:space="preserve"> Media!E24 - DevStd!E24</f>
        <v>1062596.5318594461</v>
      </c>
      <c r="F24" s="4">
        <f xml:space="preserve"> Media!F24 - DevStd!F24</f>
        <v>10555122.525997929</v>
      </c>
      <c r="G24" s="4">
        <f xml:space="preserve"> Media!G24 - DevStd!G24</f>
        <v>414930.53673723305</v>
      </c>
      <c r="H24" s="4">
        <f xml:space="preserve"> Media!H24 - DevStd!H24</f>
        <v>13223501.102668134</v>
      </c>
      <c r="I24" s="4">
        <f xml:space="preserve"> Media!I24 - DevStd!I24</f>
        <v>138954.58712184307</v>
      </c>
      <c r="J24" s="4">
        <f xml:space="preserve"> Media!J24 - DevStd!J24</f>
        <v>13222197.193490658</v>
      </c>
      <c r="K24" s="4">
        <f xml:space="preserve"> Media!K24 - DevStd!K24</f>
        <v>159176.46744465202</v>
      </c>
    </row>
    <row r="25" spans="1:11" s="4" customFormat="1" x14ac:dyDescent="0.3">
      <c r="A25" s="4">
        <v>1200</v>
      </c>
      <c r="B25" s="4">
        <f xml:space="preserve"> Media!B25 - DevStd!B25</f>
        <v>719400</v>
      </c>
      <c r="C25" s="4">
        <f xml:space="preserve"> Media!C25 - DevStd!C25</f>
        <v>6154912.4156617951</v>
      </c>
      <c r="D25" s="4">
        <f xml:space="preserve"> Media!D25 - DevStd!D25</f>
        <v>353478.5324011604</v>
      </c>
      <c r="E25" s="4">
        <f xml:space="preserve"> Media!E25 - DevStd!E25</f>
        <v>1186339.2164448008</v>
      </c>
      <c r="F25" s="4">
        <f xml:space="preserve"> Media!F25 - DevStd!F25</f>
        <v>11592173.763824699</v>
      </c>
      <c r="G25" s="4">
        <f xml:space="preserve"> Media!G25 - DevStd!G25</f>
        <v>428322.6056273093</v>
      </c>
      <c r="H25" s="4">
        <f xml:space="preserve"> Media!H25 - DevStd!H25</f>
        <v>14529136.678896779</v>
      </c>
      <c r="I25" s="4">
        <f xml:space="preserve"> Media!I25 - DevStd!I25</f>
        <v>147809.09817644145</v>
      </c>
      <c r="J25" s="4">
        <f xml:space="preserve"> Media!J25 - DevStd!J25</f>
        <v>14538983.088663012</v>
      </c>
      <c r="K25" s="4">
        <f xml:space="preserve"> Media!K25 - DevStd!K25</f>
        <v>160356.10762131296</v>
      </c>
    </row>
    <row r="26" spans="1:11" s="4" customFormat="1" x14ac:dyDescent="0.3">
      <c r="A26" s="4">
        <v>1250</v>
      </c>
      <c r="B26" s="4">
        <f xml:space="preserve"> Media!B26 - DevStd!B26</f>
        <v>780625</v>
      </c>
      <c r="C26" s="4">
        <f xml:space="preserve"> Media!C26 - DevStd!C26</f>
        <v>6762479.0465634204</v>
      </c>
      <c r="D26" s="4">
        <f xml:space="preserve"> Media!D26 - DevStd!D26</f>
        <v>382463.3192691243</v>
      </c>
      <c r="E26" s="4">
        <f xml:space="preserve"> Media!E26 - DevStd!E26</f>
        <v>1285711.9401796502</v>
      </c>
      <c r="F26" s="4">
        <f xml:space="preserve"> Media!F26 - DevStd!F26</f>
        <v>12681948.555153422</v>
      </c>
      <c r="G26" s="4">
        <f xml:space="preserve"> Media!G26 - DevStd!G26</f>
        <v>343055.30203755212</v>
      </c>
      <c r="H26" s="4">
        <f xml:space="preserve"> Media!H26 - DevStd!H26</f>
        <v>15912571.530020805</v>
      </c>
      <c r="I26" s="4">
        <f xml:space="preserve"> Media!I26 - DevStd!I26</f>
        <v>158191.58449354485</v>
      </c>
      <c r="J26" s="4">
        <f xml:space="preserve"> Media!J26 - DevStd!J26</f>
        <v>15913416.006330039</v>
      </c>
      <c r="K26" s="4">
        <f xml:space="preserve"> Media!K26 - DevStd!K26</f>
        <v>170942.22465293101</v>
      </c>
    </row>
    <row r="27" spans="1:11" s="4" customFormat="1" x14ac:dyDescent="0.3">
      <c r="A27" s="4">
        <v>1300</v>
      </c>
      <c r="B27" s="4">
        <f xml:space="preserve"> Media!B27 - DevStd!B27</f>
        <v>844350</v>
      </c>
      <c r="C27" s="4">
        <f xml:space="preserve"> Media!C27 - DevStd!C27</f>
        <v>7393406.6919901324</v>
      </c>
      <c r="D27" s="4">
        <f xml:space="preserve"> Media!D27 - DevStd!D27</f>
        <v>414922.2392579171</v>
      </c>
      <c r="E27" s="4">
        <f xml:space="preserve"> Media!E27 - DevStd!E27</f>
        <v>1412355.3524026328</v>
      </c>
      <c r="F27" s="4">
        <f xml:space="preserve"> Media!F27 - DevStd!F27</f>
        <v>13823841.203487461</v>
      </c>
      <c r="G27" s="4">
        <f xml:space="preserve"> Media!G27 - DevStd!G27</f>
        <v>407375.31350499234</v>
      </c>
      <c r="H27" s="4">
        <f xml:space="preserve"> Media!H27 - DevStd!H27</f>
        <v>17370195.759379402</v>
      </c>
      <c r="I27" s="4">
        <f xml:space="preserve"> Media!I27 - DevStd!I27</f>
        <v>158570.81490624486</v>
      </c>
      <c r="J27" s="4">
        <f xml:space="preserve"> Media!J27 - DevStd!J27</f>
        <v>17346037.813038014</v>
      </c>
      <c r="K27" s="4">
        <f xml:space="preserve"> Media!K27 - DevStd!K27</f>
        <v>170771.1053124266</v>
      </c>
    </row>
    <row r="28" spans="1:11" s="4" customFormat="1" x14ac:dyDescent="0.3">
      <c r="A28" s="4">
        <v>1350</v>
      </c>
      <c r="B28" s="4">
        <f xml:space="preserve"> Media!B28 - DevStd!B28</f>
        <v>910575</v>
      </c>
      <c r="C28" s="4">
        <f xml:space="preserve"> Media!C28 - DevStd!C28</f>
        <v>8053619.7602446396</v>
      </c>
      <c r="D28" s="4">
        <f xml:space="preserve"> Media!D28 - DevStd!D28</f>
        <v>448443.49536565365</v>
      </c>
      <c r="E28" s="4">
        <f xml:space="preserve"> Media!E28 - DevStd!E28</f>
        <v>1513175.1987324213</v>
      </c>
      <c r="F28" s="4">
        <f xml:space="preserve"> Media!F28 - DevStd!F28</f>
        <v>15018381.714322807</v>
      </c>
      <c r="G28" s="4">
        <f xml:space="preserve"> Media!G28 - DevStd!G28</f>
        <v>423002.98814006575</v>
      </c>
      <c r="H28" s="4">
        <f xml:space="preserve"> Media!H28 - DevStd!H28</f>
        <v>18889181.704209007</v>
      </c>
      <c r="I28" s="4">
        <f xml:space="preserve"> Media!I28 - DevStd!I28</f>
        <v>172725.60891033889</v>
      </c>
      <c r="J28" s="4">
        <f xml:space="preserve"> Media!J28 - DevStd!J28</f>
        <v>18860862.348393615</v>
      </c>
      <c r="K28" s="4">
        <f xml:space="preserve"> Media!K28 - DevStd!K28</f>
        <v>187688.13124641715</v>
      </c>
    </row>
    <row r="29" spans="1:11" s="4" customFormat="1" x14ac:dyDescent="0.3">
      <c r="A29" s="4">
        <v>1400</v>
      </c>
      <c r="B29" s="4">
        <f xml:space="preserve"> Media!B29 - DevStd!B29</f>
        <v>979300</v>
      </c>
      <c r="C29" s="4">
        <f xml:space="preserve"> Media!C29 - DevStd!C29</f>
        <v>8738157.578526685</v>
      </c>
      <c r="D29" s="4">
        <f xml:space="preserve"> Media!D29 - DevStd!D29</f>
        <v>483212.94474790921</v>
      </c>
      <c r="E29" s="4">
        <f xml:space="preserve"> Media!E29 - DevStd!E29</f>
        <v>1539928.0074183482</v>
      </c>
      <c r="F29" s="4">
        <f xml:space="preserve"> Media!F29 - DevStd!F29</f>
        <v>16266435.626480762</v>
      </c>
      <c r="G29" s="4">
        <f xml:space="preserve"> Media!G29 - DevStd!G29</f>
        <v>349006.29996968899</v>
      </c>
      <c r="H29" s="4">
        <f xml:space="preserve"> Media!H29 - DevStd!H29</f>
        <v>20465378.993517168</v>
      </c>
      <c r="I29" s="4">
        <f xml:space="preserve"> Media!I29 - DevStd!I29</f>
        <v>168706.50141887687</v>
      </c>
      <c r="J29" s="4">
        <f xml:space="preserve"> Media!J29 - DevStd!J29</f>
        <v>20437515.203840382</v>
      </c>
      <c r="K29" s="4">
        <f xml:space="preserve"> Media!K29 - DevStd!K29</f>
        <v>199098.83755223002</v>
      </c>
    </row>
    <row r="30" spans="1:11" s="4" customFormat="1" x14ac:dyDescent="0.3">
      <c r="A30" s="4">
        <v>1450</v>
      </c>
      <c r="B30" s="4">
        <f xml:space="preserve"> Media!B30 - DevStd!B30</f>
        <v>1050525</v>
      </c>
      <c r="C30" s="4">
        <f xml:space="preserve"> Media!C30 - DevStd!C30</f>
        <v>9482862.9834931009</v>
      </c>
      <c r="D30" s="4">
        <f xml:space="preserve"> Media!D30 - DevStd!D30</f>
        <v>515656.52149631304</v>
      </c>
      <c r="E30" s="4">
        <f xml:space="preserve"> Media!E30 - DevStd!E30</f>
        <v>1772184.2452039192</v>
      </c>
      <c r="F30" s="4">
        <f xml:space="preserve"> Media!F30 - DevStd!F30</f>
        <v>17567523.32752021</v>
      </c>
      <c r="G30" s="4">
        <f xml:space="preserve"> Media!G30 - DevStd!G30</f>
        <v>539517.12860918941</v>
      </c>
      <c r="H30" s="4">
        <f xml:space="preserve"> Media!H30 - DevStd!H30</f>
        <v>22114802.447875347</v>
      </c>
      <c r="I30" s="4">
        <f xml:space="preserve"> Media!I30 - DevStd!I30</f>
        <v>183738.33417967768</v>
      </c>
      <c r="J30" s="4">
        <f xml:space="preserve"> Media!J30 - DevStd!J30</f>
        <v>22084206.512729913</v>
      </c>
      <c r="K30" s="4">
        <f xml:space="preserve"> Media!K30 - DevStd!K30</f>
        <v>204556.62438832855</v>
      </c>
    </row>
    <row r="31" spans="1:11" s="4" customFormat="1" x14ac:dyDescent="0.3">
      <c r="A31" s="4">
        <v>1500</v>
      </c>
      <c r="B31" s="4">
        <f xml:space="preserve"> Media!B31 - DevStd!B31</f>
        <v>1124250</v>
      </c>
      <c r="C31" s="4">
        <f xml:space="preserve"> Media!C31 - DevStd!C31</f>
        <v>10212707.769227879</v>
      </c>
      <c r="D31" s="4">
        <f xml:space="preserve"> Media!D31 - DevStd!D31</f>
        <v>555242.83795803715</v>
      </c>
      <c r="E31" s="4">
        <f xml:space="preserve"> Media!E31 - DevStd!E31</f>
        <v>1875161.441897952</v>
      </c>
      <c r="F31" s="4">
        <f xml:space="preserve"> Media!F31 - DevStd!F31</f>
        <v>18922151.68878204</v>
      </c>
      <c r="G31" s="4">
        <f xml:space="preserve"> Media!G31 - DevStd!G31</f>
        <v>484238.52477814537</v>
      </c>
      <c r="H31" s="4">
        <f xml:space="preserve"> Media!H31 - DevStd!H31</f>
        <v>23850154.428686321</v>
      </c>
      <c r="I31" s="4">
        <f xml:space="preserve"> Media!I31 - DevStd!I31</f>
        <v>188438.05457202112</v>
      </c>
      <c r="J31" s="4">
        <f xml:space="preserve"> Media!J31 - DevStd!J31</f>
        <v>23799250.35057525</v>
      </c>
      <c r="K31" s="4">
        <f xml:space="preserve"> Media!K31 - DevStd!K31</f>
        <v>209335.38768473073</v>
      </c>
    </row>
    <row r="1048576" spans="1:1" s="4" customFormat="1" x14ac:dyDescent="0.3">
      <c r="A1048576" s="4">
        <f>SUM(A2:A1048575)</f>
        <v>23250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872D-5121-40D6-94E8-F2A52A0F2686}">
  <dimension ref="A1:D1048576"/>
  <sheetViews>
    <sheetView workbookViewId="0">
      <selection activeCell="B2" sqref="B2"/>
    </sheetView>
  </sheetViews>
  <sheetFormatPr defaultRowHeight="14.4" x14ac:dyDescent="0.3"/>
  <cols>
    <col min="1" max="1" width="6" style="4" bestFit="1" customWidth="1"/>
    <col min="2" max="2" width="9.21875" style="4" bestFit="1" customWidth="1"/>
    <col min="3" max="3" width="12" style="4" bestFit="1" customWidth="1"/>
    <col min="4" max="4" width="18" style="4" bestFit="1" customWidth="1"/>
    <col min="5" max="16384" width="8.88671875" style="4"/>
  </cols>
  <sheetData>
    <row r="1" spans="1:4" x14ac:dyDescent="0.3">
      <c r="A1" s="3" t="s">
        <v>3011</v>
      </c>
      <c r="B1" s="3" t="s">
        <v>3043</v>
      </c>
      <c r="C1" s="3" t="s">
        <v>3044</v>
      </c>
      <c r="D1" s="3" t="s">
        <v>3045</v>
      </c>
    </row>
    <row r="2" spans="1:4" x14ac:dyDescent="0.3">
      <c r="A2" s="4">
        <v>50</v>
      </c>
      <c r="B2" s="4">
        <f xml:space="preserve"> D2 * A2 * A2</f>
        <v>1125</v>
      </c>
      <c r="C2" s="4">
        <f xml:space="preserve"> D2 * A2 * LOG(A2,2)</f>
        <v>126.9867642699313</v>
      </c>
      <c r="D2" s="4">
        <v>0.45</v>
      </c>
    </row>
    <row r="3" spans="1:4" x14ac:dyDescent="0.3">
      <c r="A3" s="4">
        <v>100</v>
      </c>
      <c r="B3" s="4">
        <f xml:space="preserve"> D3 * A3 * A3</f>
        <v>4500</v>
      </c>
      <c r="C3" s="4">
        <f xml:space="preserve"> D3 * A3 * LOG(A3,2)</f>
        <v>298.97352853986263</v>
      </c>
      <c r="D3" s="4">
        <v>0.45</v>
      </c>
    </row>
    <row r="4" spans="1:4" x14ac:dyDescent="0.3">
      <c r="A4" s="4">
        <v>150</v>
      </c>
      <c r="B4" s="4">
        <f t="shared" ref="B4:B31" si="0" xml:space="preserve"> D4 * A4 * A4</f>
        <v>10125</v>
      </c>
      <c r="C4" s="4">
        <f t="shared" ref="C4:C31" si="1" xml:space="preserve"> D4 * A4 * LOG(A4,2)</f>
        <v>487.94526160847192</v>
      </c>
      <c r="D4" s="4">
        <v>0.45</v>
      </c>
    </row>
    <row r="5" spans="1:4" x14ac:dyDescent="0.3">
      <c r="A5" s="4">
        <v>200</v>
      </c>
      <c r="B5" s="4">
        <f t="shared" si="0"/>
        <v>18000</v>
      </c>
      <c r="C5" s="4">
        <f t="shared" si="1"/>
        <v>687.94705707972514</v>
      </c>
      <c r="D5" s="4">
        <v>0.45</v>
      </c>
    </row>
    <row r="6" spans="1:4" x14ac:dyDescent="0.3">
      <c r="A6" s="4">
        <v>250</v>
      </c>
      <c r="B6" s="4">
        <f t="shared" si="0"/>
        <v>28125</v>
      </c>
      <c r="C6" s="4">
        <f t="shared" si="1"/>
        <v>896.1507320244848</v>
      </c>
      <c r="D6" s="4">
        <v>0.45</v>
      </c>
    </row>
    <row r="7" spans="1:4" x14ac:dyDescent="0.3">
      <c r="A7" s="4">
        <v>300</v>
      </c>
      <c r="B7" s="4">
        <f t="shared" si="0"/>
        <v>40500</v>
      </c>
      <c r="C7" s="4">
        <f t="shared" si="1"/>
        <v>1110.8905232169441</v>
      </c>
      <c r="D7" s="4">
        <v>0.45</v>
      </c>
    </row>
    <row r="8" spans="1:4" x14ac:dyDescent="0.3">
      <c r="A8" s="4">
        <v>350</v>
      </c>
      <c r="B8" s="4">
        <f t="shared" si="0"/>
        <v>55125</v>
      </c>
      <c r="C8" s="4">
        <f t="shared" si="1"/>
        <v>1331.0657501135918</v>
      </c>
      <c r="D8" s="4">
        <v>0.45</v>
      </c>
    </row>
    <row r="9" spans="1:4" x14ac:dyDescent="0.3">
      <c r="A9" s="4">
        <v>400</v>
      </c>
      <c r="B9" s="4">
        <f t="shared" si="0"/>
        <v>72000</v>
      </c>
      <c r="C9" s="4">
        <f t="shared" si="1"/>
        <v>1555.8941141594505</v>
      </c>
      <c r="D9" s="4">
        <v>0.45</v>
      </c>
    </row>
    <row r="10" spans="1:4" x14ac:dyDescent="0.3">
      <c r="A10" s="4">
        <v>450</v>
      </c>
      <c r="B10" s="4">
        <f t="shared" si="0"/>
        <v>91125</v>
      </c>
      <c r="C10" s="4">
        <f t="shared" si="1"/>
        <v>1784.7906912214501</v>
      </c>
      <c r="D10" s="4">
        <v>0.45</v>
      </c>
    </row>
    <row r="11" spans="1:4" x14ac:dyDescent="0.3">
      <c r="A11" s="4">
        <v>500</v>
      </c>
      <c r="B11" s="4">
        <f t="shared" si="0"/>
        <v>112500</v>
      </c>
      <c r="C11" s="4">
        <f t="shared" si="1"/>
        <v>2017.3014640489696</v>
      </c>
      <c r="D11" s="4">
        <v>0.45</v>
      </c>
    </row>
    <row r="12" spans="1:4" x14ac:dyDescent="0.3">
      <c r="A12" s="4">
        <v>550</v>
      </c>
      <c r="B12" s="4">
        <f t="shared" si="0"/>
        <v>136125</v>
      </c>
      <c r="C12" s="4">
        <f t="shared" si="1"/>
        <v>2253.0637325819753</v>
      </c>
      <c r="D12" s="4">
        <v>0.45</v>
      </c>
    </row>
    <row r="13" spans="1:4" x14ac:dyDescent="0.3">
      <c r="A13" s="4">
        <v>600</v>
      </c>
      <c r="B13" s="4">
        <f t="shared" si="0"/>
        <v>162000</v>
      </c>
      <c r="C13" s="4">
        <f t="shared" si="1"/>
        <v>2491.7810464338882</v>
      </c>
      <c r="D13" s="4">
        <v>0.45</v>
      </c>
    </row>
    <row r="14" spans="1:4" x14ac:dyDescent="0.3">
      <c r="A14" s="4">
        <v>650</v>
      </c>
      <c r="B14" s="4">
        <f t="shared" si="0"/>
        <v>190125</v>
      </c>
      <c r="C14" s="4">
        <f t="shared" si="1"/>
        <v>2733.2065530653767</v>
      </c>
      <c r="D14" s="4">
        <v>0.45</v>
      </c>
    </row>
    <row r="15" spans="1:4" x14ac:dyDescent="0.3">
      <c r="A15" s="4">
        <v>700</v>
      </c>
      <c r="B15" s="4">
        <f t="shared" si="0"/>
        <v>220500</v>
      </c>
      <c r="C15" s="4">
        <f t="shared" si="1"/>
        <v>2977.1315002271836</v>
      </c>
      <c r="D15" s="4">
        <v>0.45</v>
      </c>
    </row>
    <row r="16" spans="1:4" x14ac:dyDescent="0.3">
      <c r="A16" s="4">
        <v>750</v>
      </c>
      <c r="B16" s="4">
        <f t="shared" si="0"/>
        <v>253125</v>
      </c>
      <c r="C16" s="4">
        <f t="shared" si="1"/>
        <v>3223.3770400668445</v>
      </c>
      <c r="D16" s="4">
        <v>0.45</v>
      </c>
    </row>
    <row r="17" spans="1:4" x14ac:dyDescent="0.3">
      <c r="A17" s="4">
        <v>800</v>
      </c>
      <c r="B17" s="4">
        <f t="shared" si="0"/>
        <v>288000</v>
      </c>
      <c r="C17" s="4">
        <f t="shared" si="1"/>
        <v>3471.788228318901</v>
      </c>
      <c r="D17" s="4">
        <v>0.45</v>
      </c>
    </row>
    <row r="18" spans="1:4" x14ac:dyDescent="0.3">
      <c r="A18" s="4">
        <v>850</v>
      </c>
      <c r="B18" s="4">
        <f t="shared" si="0"/>
        <v>325125</v>
      </c>
      <c r="C18" s="4">
        <f t="shared" si="1"/>
        <v>3722.2295293670873</v>
      </c>
      <c r="D18" s="4">
        <v>0.45</v>
      </c>
    </row>
    <row r="19" spans="1:4" x14ac:dyDescent="0.3">
      <c r="A19" s="4">
        <v>900</v>
      </c>
      <c r="B19" s="4">
        <f t="shared" si="0"/>
        <v>364500</v>
      </c>
      <c r="C19" s="4">
        <f t="shared" si="1"/>
        <v>3974.5813824429001</v>
      </c>
      <c r="D19" s="4">
        <v>0.45</v>
      </c>
    </row>
    <row r="20" spans="1:4" x14ac:dyDescent="0.3">
      <c r="A20" s="4">
        <v>950</v>
      </c>
      <c r="B20" s="4">
        <f t="shared" si="0"/>
        <v>406125</v>
      </c>
      <c r="C20" s="4">
        <f t="shared" si="1"/>
        <v>4228.7375331258281</v>
      </c>
      <c r="D20" s="4">
        <v>0.45</v>
      </c>
    </row>
    <row r="21" spans="1:4" x14ac:dyDescent="0.3">
      <c r="A21" s="4">
        <v>1000</v>
      </c>
      <c r="B21" s="4">
        <f t="shared" si="0"/>
        <v>450000</v>
      </c>
      <c r="C21" s="4">
        <f t="shared" si="1"/>
        <v>4484.6029280979392</v>
      </c>
      <c r="D21" s="4">
        <v>0.45</v>
      </c>
    </row>
    <row r="22" spans="1:4" x14ac:dyDescent="0.3">
      <c r="A22" s="4">
        <v>1050</v>
      </c>
      <c r="B22" s="4">
        <f t="shared" si="0"/>
        <v>496125</v>
      </c>
      <c r="C22" s="4">
        <f t="shared" si="1"/>
        <v>4742.0920319315219</v>
      </c>
      <c r="D22" s="4">
        <v>0.45</v>
      </c>
    </row>
    <row r="23" spans="1:4" x14ac:dyDescent="0.3">
      <c r="A23" s="4">
        <v>1100</v>
      </c>
      <c r="B23" s="4">
        <f t="shared" si="0"/>
        <v>544500</v>
      </c>
      <c r="C23" s="4">
        <f t="shared" si="1"/>
        <v>5001.1274651639505</v>
      </c>
      <c r="D23" s="4">
        <v>0.45</v>
      </c>
    </row>
    <row r="24" spans="1:4" x14ac:dyDescent="0.3">
      <c r="A24" s="4">
        <v>1150</v>
      </c>
      <c r="B24" s="4">
        <f t="shared" si="0"/>
        <v>595125</v>
      </c>
      <c r="C24" s="4">
        <f t="shared" si="1"/>
        <v>5261.6388904679252</v>
      </c>
      <c r="D24" s="4">
        <v>0.45</v>
      </c>
    </row>
    <row r="25" spans="1:4" x14ac:dyDescent="0.3">
      <c r="A25" s="4">
        <v>1200</v>
      </c>
      <c r="B25" s="4">
        <f t="shared" si="0"/>
        <v>648000</v>
      </c>
      <c r="C25" s="4">
        <f t="shared" si="1"/>
        <v>5523.5620928677763</v>
      </c>
      <c r="D25" s="4">
        <v>0.45</v>
      </c>
    </row>
    <row r="26" spans="1:4" x14ac:dyDescent="0.3">
      <c r="A26" s="4">
        <v>1250</v>
      </c>
      <c r="B26" s="4">
        <f t="shared" si="0"/>
        <v>703125</v>
      </c>
      <c r="C26" s="4">
        <f t="shared" si="1"/>
        <v>5786.838213496565</v>
      </c>
      <c r="D26" s="4">
        <v>0.45</v>
      </c>
    </row>
    <row r="27" spans="1:4" x14ac:dyDescent="0.3">
      <c r="A27" s="4">
        <v>1300</v>
      </c>
      <c r="B27" s="4">
        <f t="shared" si="0"/>
        <v>760500</v>
      </c>
      <c r="C27" s="4">
        <f t="shared" si="1"/>
        <v>6051.4131061307535</v>
      </c>
      <c r="D27" s="4">
        <v>0.45</v>
      </c>
    </row>
    <row r="28" spans="1:4" x14ac:dyDescent="0.3">
      <c r="A28" s="4">
        <v>1350</v>
      </c>
      <c r="B28" s="4">
        <f t="shared" si="0"/>
        <v>820125</v>
      </c>
      <c r="C28" s="4">
        <f t="shared" si="1"/>
        <v>6317.2367928524527</v>
      </c>
      <c r="D28" s="4">
        <v>0.45</v>
      </c>
    </row>
    <row r="29" spans="1:4" x14ac:dyDescent="0.3">
      <c r="A29" s="4">
        <v>1400</v>
      </c>
      <c r="B29" s="4">
        <f t="shared" si="0"/>
        <v>882000</v>
      </c>
      <c r="C29" s="4">
        <f t="shared" si="1"/>
        <v>6584.2630004543671</v>
      </c>
      <c r="D29" s="4">
        <v>0.45</v>
      </c>
    </row>
    <row r="30" spans="1:4" x14ac:dyDescent="0.3">
      <c r="A30" s="4">
        <v>1450</v>
      </c>
      <c r="B30" s="4">
        <f t="shared" si="0"/>
        <v>946125</v>
      </c>
      <c r="C30" s="4">
        <f t="shared" si="1"/>
        <v>6852.4487631487491</v>
      </c>
      <c r="D30" s="4">
        <v>0.45</v>
      </c>
    </row>
    <row r="31" spans="1:4" x14ac:dyDescent="0.3">
      <c r="A31" s="4">
        <v>1500</v>
      </c>
      <c r="B31" s="4">
        <f t="shared" si="0"/>
        <v>1012500</v>
      </c>
      <c r="C31" s="4">
        <f t="shared" si="1"/>
        <v>7121.7540801336891</v>
      </c>
      <c r="D31" s="4">
        <v>0.45</v>
      </c>
    </row>
    <row r="1048576" spans="1:1" x14ac:dyDescent="0.3">
      <c r="A1048576" s="4">
        <f>SUM(A2:A1048575)</f>
        <v>23250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B21F-E309-43C7-8031-FDBA77B1510D}">
  <dimension ref="A1:D1048576"/>
  <sheetViews>
    <sheetView topLeftCell="A8" workbookViewId="0">
      <selection activeCell="D2" sqref="D2:D31"/>
    </sheetView>
  </sheetViews>
  <sheetFormatPr defaultRowHeight="14.4" x14ac:dyDescent="0.3"/>
  <cols>
    <col min="1" max="1" width="6" style="4" bestFit="1" customWidth="1"/>
    <col min="2" max="2" width="9.21875" style="4" bestFit="1" customWidth="1"/>
    <col min="3" max="3" width="12" style="4" bestFit="1" customWidth="1"/>
    <col min="4" max="4" width="18" style="4" bestFit="1" customWidth="1"/>
    <col min="5" max="16384" width="8.88671875" style="4"/>
  </cols>
  <sheetData>
    <row r="1" spans="1:4" x14ac:dyDescent="0.3">
      <c r="A1" s="3" t="s">
        <v>3011</v>
      </c>
      <c r="B1" s="3" t="s">
        <v>3043</v>
      </c>
      <c r="C1" s="3" t="s">
        <v>3044</v>
      </c>
      <c r="D1" s="3" t="s">
        <v>3045</v>
      </c>
    </row>
    <row r="2" spans="1:4" x14ac:dyDescent="0.3">
      <c r="A2" s="4">
        <v>50</v>
      </c>
      <c r="B2" s="4">
        <f xml:space="preserve"> D2 * A2 * A2</f>
        <v>11750</v>
      </c>
      <c r="C2" s="4">
        <f xml:space="preserve"> D2 * A2 * LOG(A2,2)</f>
        <v>1326.3062045970603</v>
      </c>
      <c r="D2" s="4">
        <v>4.7</v>
      </c>
    </row>
    <row r="3" spans="1:4" x14ac:dyDescent="0.3">
      <c r="A3" s="4">
        <v>100</v>
      </c>
      <c r="B3" s="4">
        <f xml:space="preserve"> D3 * A3 * A3</f>
        <v>47000</v>
      </c>
      <c r="C3" s="4">
        <f xml:space="preserve"> D3 * A3 * LOG(A3,2)</f>
        <v>3122.612409194121</v>
      </c>
      <c r="D3" s="4">
        <v>4.7</v>
      </c>
    </row>
    <row r="4" spans="1:4" x14ac:dyDescent="0.3">
      <c r="A4" s="4">
        <v>150</v>
      </c>
      <c r="B4" s="4">
        <f t="shared" ref="B4:B31" si="0" xml:space="preserve"> D4 * A4 * A4</f>
        <v>105750</v>
      </c>
      <c r="C4" s="4">
        <f t="shared" ref="C4:C31" si="1" xml:space="preserve"> D4 * A4 * LOG(A4,2)</f>
        <v>5096.3171767995955</v>
      </c>
      <c r="D4" s="4">
        <v>4.7</v>
      </c>
    </row>
    <row r="5" spans="1:4" x14ac:dyDescent="0.3">
      <c r="A5" s="4">
        <v>200</v>
      </c>
      <c r="B5" s="4">
        <f t="shared" si="0"/>
        <v>188000</v>
      </c>
      <c r="C5" s="4">
        <f t="shared" si="1"/>
        <v>7185.2248183882411</v>
      </c>
      <c r="D5" s="4">
        <v>4.7</v>
      </c>
    </row>
    <row r="6" spans="1:4" x14ac:dyDescent="0.3">
      <c r="A6" s="4">
        <v>250</v>
      </c>
      <c r="B6" s="4">
        <f t="shared" si="0"/>
        <v>293750</v>
      </c>
      <c r="C6" s="4">
        <f t="shared" si="1"/>
        <v>9359.7965344779514</v>
      </c>
      <c r="D6" s="4">
        <v>4.7</v>
      </c>
    </row>
    <row r="7" spans="1:4" x14ac:dyDescent="0.3">
      <c r="A7" s="4">
        <v>300</v>
      </c>
      <c r="B7" s="4">
        <f t="shared" si="0"/>
        <v>423000</v>
      </c>
      <c r="C7" s="4">
        <f t="shared" si="1"/>
        <v>11602.634353599193</v>
      </c>
      <c r="D7" s="4">
        <v>4.7</v>
      </c>
    </row>
    <row r="8" spans="1:4" x14ac:dyDescent="0.3">
      <c r="A8" s="4">
        <v>350</v>
      </c>
      <c r="B8" s="4">
        <f t="shared" si="0"/>
        <v>575750</v>
      </c>
      <c r="C8" s="4">
        <f t="shared" si="1"/>
        <v>13902.242278964181</v>
      </c>
      <c r="D8" s="4">
        <v>4.7</v>
      </c>
    </row>
    <row r="9" spans="1:4" x14ac:dyDescent="0.3">
      <c r="A9" s="4">
        <v>400</v>
      </c>
      <c r="B9" s="4">
        <f t="shared" si="0"/>
        <v>752000</v>
      </c>
      <c r="C9" s="4">
        <f t="shared" si="1"/>
        <v>16250.449636776484</v>
      </c>
      <c r="D9" s="4">
        <v>4.7</v>
      </c>
    </row>
    <row r="10" spans="1:4" x14ac:dyDescent="0.3">
      <c r="A10" s="4">
        <v>450</v>
      </c>
      <c r="B10" s="4">
        <f t="shared" si="0"/>
        <v>951750</v>
      </c>
      <c r="C10" s="4">
        <f t="shared" si="1"/>
        <v>18641.147219424034</v>
      </c>
      <c r="D10" s="4">
        <v>4.7</v>
      </c>
    </row>
    <row r="11" spans="1:4" x14ac:dyDescent="0.3">
      <c r="A11" s="4">
        <v>500</v>
      </c>
      <c r="B11" s="4">
        <f t="shared" si="0"/>
        <v>1175000</v>
      </c>
      <c r="C11" s="4">
        <f t="shared" si="1"/>
        <v>21069.593068955903</v>
      </c>
      <c r="D11" s="4">
        <v>4.7</v>
      </c>
    </row>
    <row r="12" spans="1:4" x14ac:dyDescent="0.3">
      <c r="A12" s="4">
        <v>550</v>
      </c>
      <c r="B12" s="4">
        <f t="shared" si="0"/>
        <v>1421750</v>
      </c>
      <c r="C12" s="4">
        <f t="shared" si="1"/>
        <v>23531.998984745074</v>
      </c>
      <c r="D12" s="4">
        <v>4.7</v>
      </c>
    </row>
    <row r="13" spans="1:4" x14ac:dyDescent="0.3">
      <c r="A13" s="4">
        <v>600</v>
      </c>
      <c r="B13" s="4">
        <f t="shared" si="0"/>
        <v>1692000</v>
      </c>
      <c r="C13" s="4">
        <f t="shared" si="1"/>
        <v>26025.268707198386</v>
      </c>
      <c r="D13" s="4">
        <v>4.7</v>
      </c>
    </row>
    <row r="14" spans="1:4" x14ac:dyDescent="0.3">
      <c r="A14" s="4">
        <v>650</v>
      </c>
      <c r="B14" s="4">
        <f t="shared" si="0"/>
        <v>1985750</v>
      </c>
      <c r="C14" s="4">
        <f t="shared" si="1"/>
        <v>28546.823998682823</v>
      </c>
      <c r="D14" s="4">
        <v>4.7</v>
      </c>
    </row>
    <row r="15" spans="1:4" x14ac:dyDescent="0.3">
      <c r="A15" s="4">
        <v>700</v>
      </c>
      <c r="B15" s="4">
        <f t="shared" si="0"/>
        <v>2303000</v>
      </c>
      <c r="C15" s="4">
        <f t="shared" si="1"/>
        <v>31094.484557928361</v>
      </c>
      <c r="D15" s="4">
        <v>4.7</v>
      </c>
    </row>
    <row r="16" spans="1:4" x14ac:dyDescent="0.3">
      <c r="A16" s="4">
        <v>750</v>
      </c>
      <c r="B16" s="4">
        <f t="shared" si="0"/>
        <v>2643750</v>
      </c>
      <c r="C16" s="4">
        <f t="shared" si="1"/>
        <v>33666.382418475929</v>
      </c>
      <c r="D16" s="4">
        <v>4.7</v>
      </c>
    </row>
    <row r="17" spans="1:4" x14ac:dyDescent="0.3">
      <c r="A17" s="4">
        <v>800</v>
      </c>
      <c r="B17" s="4">
        <f t="shared" si="0"/>
        <v>3008000</v>
      </c>
      <c r="C17" s="4">
        <f t="shared" si="1"/>
        <v>36260.899273552968</v>
      </c>
      <c r="D17" s="4">
        <v>4.7</v>
      </c>
    </row>
    <row r="18" spans="1:4" x14ac:dyDescent="0.3">
      <c r="A18" s="4">
        <v>850</v>
      </c>
      <c r="B18" s="4">
        <f t="shared" si="0"/>
        <v>3395750</v>
      </c>
      <c r="C18" s="4">
        <f t="shared" si="1"/>
        <v>38876.619528945135</v>
      </c>
      <c r="D18" s="4">
        <v>4.7</v>
      </c>
    </row>
    <row r="19" spans="1:4" x14ac:dyDescent="0.3">
      <c r="A19" s="4">
        <v>900</v>
      </c>
      <c r="B19" s="4">
        <f t="shared" si="0"/>
        <v>3807000</v>
      </c>
      <c r="C19" s="4">
        <f t="shared" si="1"/>
        <v>41512.294438848068</v>
      </c>
      <c r="D19" s="4">
        <v>4.7</v>
      </c>
    </row>
    <row r="20" spans="1:4" x14ac:dyDescent="0.3">
      <c r="A20" s="4">
        <v>950</v>
      </c>
      <c r="B20" s="4">
        <f t="shared" si="0"/>
        <v>4241750</v>
      </c>
      <c r="C20" s="4">
        <f t="shared" si="1"/>
        <v>44166.814234869758</v>
      </c>
      <c r="D20" s="4">
        <v>4.7</v>
      </c>
    </row>
    <row r="21" spans="1:4" x14ac:dyDescent="0.3">
      <c r="A21" s="4">
        <v>1000</v>
      </c>
      <c r="B21" s="4">
        <f t="shared" si="0"/>
        <v>4700000</v>
      </c>
      <c r="C21" s="4">
        <f t="shared" si="1"/>
        <v>46839.186137911805</v>
      </c>
      <c r="D21" s="4">
        <v>4.7</v>
      </c>
    </row>
    <row r="22" spans="1:4" x14ac:dyDescent="0.3">
      <c r="A22" s="4">
        <v>1050</v>
      </c>
      <c r="B22" s="4">
        <f t="shared" si="0"/>
        <v>5181750</v>
      </c>
      <c r="C22" s="4">
        <f t="shared" si="1"/>
        <v>49528.516777951452</v>
      </c>
      <c r="D22" s="4">
        <v>4.7</v>
      </c>
    </row>
    <row r="23" spans="1:4" x14ac:dyDescent="0.3">
      <c r="A23" s="4">
        <v>1100</v>
      </c>
      <c r="B23" s="4">
        <f t="shared" si="0"/>
        <v>5687000</v>
      </c>
      <c r="C23" s="4">
        <f t="shared" si="1"/>
        <v>52233.997969490149</v>
      </c>
      <c r="D23" s="4">
        <v>4.7</v>
      </c>
    </row>
    <row r="24" spans="1:4" x14ac:dyDescent="0.3">
      <c r="A24" s="4">
        <v>1150</v>
      </c>
      <c r="B24" s="4">
        <f t="shared" si="0"/>
        <v>6215750</v>
      </c>
      <c r="C24" s="4">
        <f t="shared" si="1"/>
        <v>54954.89507822055</v>
      </c>
      <c r="D24" s="4">
        <v>4.7</v>
      </c>
    </row>
    <row r="25" spans="1:4" x14ac:dyDescent="0.3">
      <c r="A25" s="4">
        <v>1200</v>
      </c>
      <c r="B25" s="4">
        <f t="shared" si="0"/>
        <v>6768000</v>
      </c>
      <c r="C25" s="4">
        <f t="shared" si="1"/>
        <v>57690.537414396771</v>
      </c>
      <c r="D25" s="4">
        <v>4.7</v>
      </c>
    </row>
    <row r="26" spans="1:4" x14ac:dyDescent="0.3">
      <c r="A26" s="4">
        <v>1250</v>
      </c>
      <c r="B26" s="4">
        <f t="shared" si="0"/>
        <v>7343750</v>
      </c>
      <c r="C26" s="4">
        <f t="shared" si="1"/>
        <v>60440.310229853014</v>
      </c>
      <c r="D26" s="4">
        <v>4.7</v>
      </c>
    </row>
    <row r="27" spans="1:4" x14ac:dyDescent="0.3">
      <c r="A27" s="4">
        <v>1300</v>
      </c>
      <c r="B27" s="4">
        <f t="shared" si="0"/>
        <v>7943000</v>
      </c>
      <c r="C27" s="4">
        <f t="shared" si="1"/>
        <v>63203.647997365646</v>
      </c>
      <c r="D27" s="4">
        <v>4.7</v>
      </c>
    </row>
    <row r="28" spans="1:4" x14ac:dyDescent="0.3">
      <c r="A28" s="4">
        <v>1350</v>
      </c>
      <c r="B28" s="4">
        <f t="shared" si="0"/>
        <v>8565750</v>
      </c>
      <c r="C28" s="4">
        <f t="shared" si="1"/>
        <v>65980.028725347831</v>
      </c>
      <c r="D28" s="4">
        <v>4.7</v>
      </c>
    </row>
    <row r="29" spans="1:4" x14ac:dyDescent="0.3">
      <c r="A29" s="4">
        <v>1400</v>
      </c>
      <c r="B29" s="4">
        <f t="shared" si="0"/>
        <v>9212000</v>
      </c>
      <c r="C29" s="4">
        <f t="shared" si="1"/>
        <v>68768.969115856729</v>
      </c>
      <c r="D29" s="4">
        <v>4.7</v>
      </c>
    </row>
    <row r="30" spans="1:4" x14ac:dyDescent="0.3">
      <c r="A30" s="4">
        <v>1450</v>
      </c>
      <c r="B30" s="4">
        <f t="shared" si="0"/>
        <v>9881750</v>
      </c>
      <c r="C30" s="4">
        <f t="shared" si="1"/>
        <v>71570.02041510916</v>
      </c>
      <c r="D30" s="4">
        <v>4.7</v>
      </c>
    </row>
    <row r="31" spans="1:4" x14ac:dyDescent="0.3">
      <c r="A31" s="4">
        <v>1500</v>
      </c>
      <c r="B31" s="4">
        <f t="shared" si="0"/>
        <v>10575000</v>
      </c>
      <c r="C31" s="4">
        <f t="shared" si="1"/>
        <v>74382.764836951857</v>
      </c>
      <c r="D31" s="4">
        <v>4.7</v>
      </c>
    </row>
    <row r="1048576" spans="1:1" x14ac:dyDescent="0.3">
      <c r="A1048576" s="4">
        <f>SUM(A2:A1048575)</f>
        <v>23250</v>
      </c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479A-3403-4BF3-B3BF-40D4F18FBBEA}">
  <dimension ref="A1:D1048576"/>
  <sheetViews>
    <sheetView topLeftCell="B1" zoomScale="99" workbookViewId="0">
      <selection activeCell="A2" sqref="A1:XFD1048576"/>
    </sheetView>
  </sheetViews>
  <sheetFormatPr defaultRowHeight="14.4" x14ac:dyDescent="0.3"/>
  <cols>
    <col min="1" max="1" width="6" style="4" bestFit="1" customWidth="1"/>
    <col min="2" max="2" width="9.21875" style="4" bestFit="1" customWidth="1"/>
    <col min="3" max="3" width="12" style="4" bestFit="1" customWidth="1"/>
    <col min="4" max="4" width="18" style="4" bestFit="1" customWidth="1"/>
    <col min="5" max="16384" width="8.88671875" style="4"/>
  </cols>
  <sheetData>
    <row r="1" spans="1:4" x14ac:dyDescent="0.3">
      <c r="A1" s="3" t="s">
        <v>3011</v>
      </c>
      <c r="B1" s="3" t="s">
        <v>3043</v>
      </c>
      <c r="C1" s="3" t="s">
        <v>3044</v>
      </c>
      <c r="D1" s="3" t="s">
        <v>3045</v>
      </c>
    </row>
    <row r="2" spans="1:4" x14ac:dyDescent="0.3">
      <c r="A2" s="4">
        <v>50</v>
      </c>
      <c r="B2" s="4">
        <f xml:space="preserve"> D2 * A2 * A2</f>
        <v>625</v>
      </c>
      <c r="C2" s="4">
        <f xml:space="preserve"> D2 * A2 * LOG(A2,2)</f>
        <v>70.548202372184051</v>
      </c>
      <c r="D2" s="4">
        <v>0.25</v>
      </c>
    </row>
    <row r="3" spans="1:4" x14ac:dyDescent="0.3">
      <c r="A3" s="4">
        <v>100</v>
      </c>
      <c r="B3" s="4">
        <f xml:space="preserve"> D3 * A3 * A3</f>
        <v>2500</v>
      </c>
      <c r="C3" s="4">
        <f xml:space="preserve"> D3 * A3 * LOG(A3,2)</f>
        <v>166.09640474436813</v>
      </c>
      <c r="D3" s="4">
        <v>0.25</v>
      </c>
    </row>
    <row r="4" spans="1:4" x14ac:dyDescent="0.3">
      <c r="A4" s="4">
        <v>150</v>
      </c>
      <c r="B4" s="4">
        <f t="shared" ref="B4:B31" si="0" xml:space="preserve"> D4 * A4 * A4</f>
        <v>5625</v>
      </c>
      <c r="C4" s="4">
        <f t="shared" ref="C4:C31" si="1" xml:space="preserve"> D4 * A4 * LOG(A4,2)</f>
        <v>271.08070089359552</v>
      </c>
      <c r="D4" s="4">
        <v>0.25</v>
      </c>
    </row>
    <row r="5" spans="1:4" x14ac:dyDescent="0.3">
      <c r="A5" s="4">
        <v>200</v>
      </c>
      <c r="B5" s="4">
        <f t="shared" si="0"/>
        <v>10000</v>
      </c>
      <c r="C5" s="4">
        <f t="shared" si="1"/>
        <v>382.1928094887362</v>
      </c>
      <c r="D5" s="4">
        <v>0.25</v>
      </c>
    </row>
    <row r="6" spans="1:4" x14ac:dyDescent="0.3">
      <c r="A6" s="4">
        <v>250</v>
      </c>
      <c r="B6" s="4">
        <f t="shared" si="0"/>
        <v>15625</v>
      </c>
      <c r="C6" s="4">
        <f t="shared" si="1"/>
        <v>497.86151779138044</v>
      </c>
      <c r="D6" s="4">
        <v>0.25</v>
      </c>
    </row>
    <row r="7" spans="1:4" x14ac:dyDescent="0.3">
      <c r="A7" s="4">
        <v>300</v>
      </c>
      <c r="B7" s="4">
        <f t="shared" si="0"/>
        <v>22500</v>
      </c>
      <c r="C7" s="4">
        <f t="shared" si="1"/>
        <v>617.16140178719115</v>
      </c>
      <c r="D7" s="4">
        <v>0.25</v>
      </c>
    </row>
    <row r="8" spans="1:4" x14ac:dyDescent="0.3">
      <c r="A8" s="4">
        <v>350</v>
      </c>
      <c r="B8" s="4">
        <f t="shared" si="0"/>
        <v>30625</v>
      </c>
      <c r="C8" s="4">
        <f t="shared" si="1"/>
        <v>739.48097228532879</v>
      </c>
      <c r="D8" s="4">
        <v>0.25</v>
      </c>
    </row>
    <row r="9" spans="1:4" x14ac:dyDescent="0.3">
      <c r="A9" s="4">
        <v>400</v>
      </c>
      <c r="B9" s="4">
        <f t="shared" si="0"/>
        <v>40000</v>
      </c>
      <c r="C9" s="4">
        <f t="shared" si="1"/>
        <v>864.38561897747252</v>
      </c>
      <c r="D9" s="4">
        <v>0.25</v>
      </c>
    </row>
    <row r="10" spans="1:4" x14ac:dyDescent="0.3">
      <c r="A10" s="4">
        <v>450</v>
      </c>
      <c r="B10" s="4">
        <f t="shared" si="0"/>
        <v>50625</v>
      </c>
      <c r="C10" s="4">
        <f t="shared" si="1"/>
        <v>991.55038401191666</v>
      </c>
      <c r="D10" s="4">
        <v>0.25</v>
      </c>
    </row>
    <row r="11" spans="1:4" x14ac:dyDescent="0.3">
      <c r="A11" s="4">
        <v>500</v>
      </c>
      <c r="B11" s="4">
        <f t="shared" si="0"/>
        <v>62500</v>
      </c>
      <c r="C11" s="4">
        <f t="shared" si="1"/>
        <v>1120.723035582761</v>
      </c>
      <c r="D11" s="4">
        <v>0.25</v>
      </c>
    </row>
    <row r="12" spans="1:4" x14ac:dyDescent="0.3">
      <c r="A12" s="4">
        <v>550</v>
      </c>
      <c r="B12" s="4">
        <f t="shared" si="0"/>
        <v>75625</v>
      </c>
      <c r="C12" s="4">
        <f t="shared" si="1"/>
        <v>1251.7020736566531</v>
      </c>
      <c r="D12" s="4">
        <v>0.25</v>
      </c>
    </row>
    <row r="13" spans="1:4" x14ac:dyDescent="0.3">
      <c r="A13" s="4">
        <v>600</v>
      </c>
      <c r="B13" s="4">
        <f t="shared" si="0"/>
        <v>90000</v>
      </c>
      <c r="C13" s="4">
        <f t="shared" si="1"/>
        <v>1384.3228035743823</v>
      </c>
      <c r="D13" s="4">
        <v>0.25</v>
      </c>
    </row>
    <row r="14" spans="1:4" x14ac:dyDescent="0.3">
      <c r="A14" s="4">
        <v>650</v>
      </c>
      <c r="B14" s="4">
        <f t="shared" si="0"/>
        <v>105625</v>
      </c>
      <c r="C14" s="4">
        <f t="shared" si="1"/>
        <v>1518.4480850363204</v>
      </c>
      <c r="D14" s="4">
        <v>0.25</v>
      </c>
    </row>
    <row r="15" spans="1:4" x14ac:dyDescent="0.3">
      <c r="A15" s="4">
        <v>700</v>
      </c>
      <c r="B15" s="4">
        <f t="shared" si="0"/>
        <v>122500</v>
      </c>
      <c r="C15" s="4">
        <f t="shared" si="1"/>
        <v>1653.9619445706576</v>
      </c>
      <c r="D15" s="4">
        <v>0.25</v>
      </c>
    </row>
    <row r="16" spans="1:4" x14ac:dyDescent="0.3">
      <c r="A16" s="4">
        <v>750</v>
      </c>
      <c r="B16" s="4">
        <f t="shared" si="0"/>
        <v>140625</v>
      </c>
      <c r="C16" s="4">
        <f t="shared" si="1"/>
        <v>1790.7650222593581</v>
      </c>
      <c r="D16" s="4">
        <v>0.25</v>
      </c>
    </row>
    <row r="17" spans="1:4" x14ac:dyDescent="0.3">
      <c r="A17" s="4">
        <v>800</v>
      </c>
      <c r="B17" s="4">
        <f t="shared" si="0"/>
        <v>160000</v>
      </c>
      <c r="C17" s="4">
        <f t="shared" si="1"/>
        <v>1928.771237954945</v>
      </c>
      <c r="D17" s="4">
        <v>0.25</v>
      </c>
    </row>
    <row r="18" spans="1:4" x14ac:dyDescent="0.3">
      <c r="A18" s="4">
        <v>850</v>
      </c>
      <c r="B18" s="4">
        <f t="shared" si="0"/>
        <v>180625</v>
      </c>
      <c r="C18" s="4">
        <f t="shared" si="1"/>
        <v>2067.9052940928264</v>
      </c>
      <c r="D18" s="4">
        <v>0.25</v>
      </c>
    </row>
    <row r="19" spans="1:4" x14ac:dyDescent="0.3">
      <c r="A19" s="4">
        <v>900</v>
      </c>
      <c r="B19" s="4">
        <f t="shared" si="0"/>
        <v>202500</v>
      </c>
      <c r="C19" s="4">
        <f t="shared" si="1"/>
        <v>2208.1007680238336</v>
      </c>
      <c r="D19" s="4">
        <v>0.25</v>
      </c>
    </row>
    <row r="20" spans="1:4" x14ac:dyDescent="0.3">
      <c r="A20" s="4">
        <v>950</v>
      </c>
      <c r="B20" s="4">
        <f t="shared" si="0"/>
        <v>225625</v>
      </c>
      <c r="C20" s="4">
        <f t="shared" si="1"/>
        <v>2349.2986295143487</v>
      </c>
      <c r="D20" s="4">
        <v>0.25</v>
      </c>
    </row>
    <row r="21" spans="1:4" x14ac:dyDescent="0.3">
      <c r="A21" s="4">
        <v>1000</v>
      </c>
      <c r="B21" s="4">
        <f t="shared" si="0"/>
        <v>250000</v>
      </c>
      <c r="C21" s="4">
        <f t="shared" si="1"/>
        <v>2491.446071165522</v>
      </c>
      <c r="D21" s="4">
        <v>0.25</v>
      </c>
    </row>
    <row r="22" spans="1:4" x14ac:dyDescent="0.3">
      <c r="A22" s="4">
        <v>1050</v>
      </c>
      <c r="B22" s="4">
        <f t="shared" si="0"/>
        <v>275625</v>
      </c>
      <c r="C22" s="4">
        <f t="shared" si="1"/>
        <v>2634.4955732952899</v>
      </c>
      <c r="D22" s="4">
        <v>0.25</v>
      </c>
    </row>
    <row r="23" spans="1:4" x14ac:dyDescent="0.3">
      <c r="A23" s="4">
        <v>1100</v>
      </c>
      <c r="B23" s="4">
        <f t="shared" si="0"/>
        <v>302500</v>
      </c>
      <c r="C23" s="4">
        <f t="shared" si="1"/>
        <v>2778.4041473133061</v>
      </c>
      <c r="D23" s="4">
        <v>0.25</v>
      </c>
    </row>
    <row r="24" spans="1:4" x14ac:dyDescent="0.3">
      <c r="A24" s="4">
        <v>1150</v>
      </c>
      <c r="B24" s="4">
        <f t="shared" si="0"/>
        <v>330625</v>
      </c>
      <c r="C24" s="4">
        <f t="shared" si="1"/>
        <v>2923.1327169266251</v>
      </c>
      <c r="D24" s="4">
        <v>0.25</v>
      </c>
    </row>
    <row r="25" spans="1:4" x14ac:dyDescent="0.3">
      <c r="A25" s="4">
        <v>1200</v>
      </c>
      <c r="B25" s="4">
        <f t="shared" si="0"/>
        <v>360000</v>
      </c>
      <c r="C25" s="4">
        <f t="shared" si="1"/>
        <v>3068.6456071487646</v>
      </c>
      <c r="D25" s="4">
        <v>0.25</v>
      </c>
    </row>
    <row r="26" spans="1:4" x14ac:dyDescent="0.3">
      <c r="A26" s="4">
        <v>1250</v>
      </c>
      <c r="B26" s="4">
        <f t="shared" si="0"/>
        <v>390625</v>
      </c>
      <c r="C26" s="4">
        <f t="shared" si="1"/>
        <v>3214.9101186092025</v>
      </c>
      <c r="D26" s="4">
        <v>0.25</v>
      </c>
    </row>
    <row r="27" spans="1:4" x14ac:dyDescent="0.3">
      <c r="A27" s="4">
        <v>1300</v>
      </c>
      <c r="B27" s="4">
        <f t="shared" si="0"/>
        <v>422500</v>
      </c>
      <c r="C27" s="4">
        <f t="shared" si="1"/>
        <v>3361.8961700726409</v>
      </c>
      <c r="D27" s="4">
        <v>0.25</v>
      </c>
    </row>
    <row r="28" spans="1:4" x14ac:dyDescent="0.3">
      <c r="A28" s="4">
        <v>1350</v>
      </c>
      <c r="B28" s="4">
        <f t="shared" si="0"/>
        <v>455625</v>
      </c>
      <c r="C28" s="4">
        <f t="shared" si="1"/>
        <v>3509.5759960291402</v>
      </c>
      <c r="D28" s="4">
        <v>0.25</v>
      </c>
    </row>
    <row r="29" spans="1:4" x14ac:dyDescent="0.3">
      <c r="A29" s="4">
        <v>1400</v>
      </c>
      <c r="B29" s="4">
        <f t="shared" si="0"/>
        <v>490000</v>
      </c>
      <c r="C29" s="4">
        <f t="shared" si="1"/>
        <v>3657.9238891413152</v>
      </c>
      <c r="D29" s="4">
        <v>0.25</v>
      </c>
    </row>
    <row r="30" spans="1:4" x14ac:dyDescent="0.3">
      <c r="A30" s="4">
        <v>1450</v>
      </c>
      <c r="B30" s="4">
        <f t="shared" si="0"/>
        <v>525625</v>
      </c>
      <c r="C30" s="4">
        <f t="shared" si="1"/>
        <v>3806.915979527083</v>
      </c>
      <c r="D30" s="4">
        <v>0.25</v>
      </c>
    </row>
    <row r="31" spans="1:4" x14ac:dyDescent="0.3">
      <c r="A31" s="4">
        <v>1500</v>
      </c>
      <c r="B31" s="4">
        <f t="shared" si="0"/>
        <v>562500</v>
      </c>
      <c r="C31" s="4">
        <f t="shared" si="1"/>
        <v>3956.5300445187163</v>
      </c>
      <c r="D31" s="4">
        <v>0.25</v>
      </c>
    </row>
    <row r="1048576" spans="1:1" x14ac:dyDescent="0.3">
      <c r="A1048576" s="4">
        <f>SUM(A2:A1048575)</f>
        <v>23250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5886-813F-45BA-B53C-A5F7757621F6}">
  <dimension ref="A1:D1048576"/>
  <sheetViews>
    <sheetView workbookViewId="0">
      <selection sqref="A1:XFD1048576"/>
    </sheetView>
  </sheetViews>
  <sheetFormatPr defaultRowHeight="14.4" x14ac:dyDescent="0.3"/>
  <cols>
    <col min="1" max="1" width="6" style="4" bestFit="1" customWidth="1"/>
    <col min="2" max="2" width="9.21875" style="4" bestFit="1" customWidth="1"/>
    <col min="3" max="3" width="12" style="4" bestFit="1" customWidth="1"/>
    <col min="4" max="4" width="18" style="4" bestFit="1" customWidth="1"/>
    <col min="5" max="16384" width="8.88671875" style="4"/>
  </cols>
  <sheetData>
    <row r="1" spans="1:4" x14ac:dyDescent="0.3">
      <c r="A1" s="3" t="s">
        <v>3011</v>
      </c>
      <c r="B1" s="3" t="s">
        <v>3043</v>
      </c>
      <c r="C1" s="3" t="s">
        <v>3044</v>
      </c>
      <c r="D1" s="3" t="s">
        <v>3045</v>
      </c>
    </row>
    <row r="2" spans="1:4" x14ac:dyDescent="0.3">
      <c r="A2" s="4">
        <v>50</v>
      </c>
      <c r="B2" s="4">
        <f xml:space="preserve"> D2 * A2 * A2</f>
        <v>2250</v>
      </c>
      <c r="C2" s="4">
        <f xml:space="preserve"> D2 * A2 * LOG(A2,2)</f>
        <v>253.9735285398626</v>
      </c>
      <c r="D2" s="4">
        <v>0.9</v>
      </c>
    </row>
    <row r="3" spans="1:4" x14ac:dyDescent="0.3">
      <c r="A3" s="4">
        <v>100</v>
      </c>
      <c r="B3" s="4">
        <f xml:space="preserve"> D3 * A3 * A3</f>
        <v>9000</v>
      </c>
      <c r="C3" s="4">
        <f xml:space="preserve"> D3 * A3 * LOG(A3,2)</f>
        <v>597.94705707972525</v>
      </c>
      <c r="D3" s="4">
        <v>0.9</v>
      </c>
    </row>
    <row r="4" spans="1:4" x14ac:dyDescent="0.3">
      <c r="A4" s="4">
        <v>150</v>
      </c>
      <c r="B4" s="4">
        <f t="shared" ref="B4:B31" si="0" xml:space="preserve"> D4 * A4 * A4</f>
        <v>20250</v>
      </c>
      <c r="C4" s="4">
        <f t="shared" ref="C4:C31" si="1" xml:space="preserve"> D4 * A4 * LOG(A4,2)</f>
        <v>975.89052321694385</v>
      </c>
      <c r="D4" s="4">
        <v>0.9</v>
      </c>
    </row>
    <row r="5" spans="1:4" x14ac:dyDescent="0.3">
      <c r="A5" s="4">
        <v>200</v>
      </c>
      <c r="B5" s="4">
        <f t="shared" si="0"/>
        <v>36000</v>
      </c>
      <c r="C5" s="4">
        <f t="shared" si="1"/>
        <v>1375.8941141594503</v>
      </c>
      <c r="D5" s="4">
        <v>0.9</v>
      </c>
    </row>
    <row r="6" spans="1:4" x14ac:dyDescent="0.3">
      <c r="A6" s="4">
        <v>250</v>
      </c>
      <c r="B6" s="4">
        <f t="shared" si="0"/>
        <v>56250</v>
      </c>
      <c r="C6" s="4">
        <f t="shared" si="1"/>
        <v>1792.3014640489696</v>
      </c>
      <c r="D6" s="4">
        <v>0.9</v>
      </c>
    </row>
    <row r="7" spans="1:4" x14ac:dyDescent="0.3">
      <c r="A7" s="4">
        <v>300</v>
      </c>
      <c r="B7" s="4">
        <f t="shared" si="0"/>
        <v>81000</v>
      </c>
      <c r="C7" s="4">
        <f t="shared" si="1"/>
        <v>2221.7810464338882</v>
      </c>
      <c r="D7" s="4">
        <v>0.9</v>
      </c>
    </row>
    <row r="8" spans="1:4" x14ac:dyDescent="0.3">
      <c r="A8" s="4">
        <v>350</v>
      </c>
      <c r="B8" s="4">
        <f t="shared" si="0"/>
        <v>110250</v>
      </c>
      <c r="C8" s="4">
        <f t="shared" si="1"/>
        <v>2662.1315002271836</v>
      </c>
      <c r="D8" s="4">
        <v>0.9</v>
      </c>
    </row>
    <row r="9" spans="1:4" x14ac:dyDescent="0.3">
      <c r="A9" s="4">
        <v>400</v>
      </c>
      <c r="B9" s="4">
        <f t="shared" si="0"/>
        <v>144000</v>
      </c>
      <c r="C9" s="4">
        <f t="shared" si="1"/>
        <v>3111.788228318901</v>
      </c>
      <c r="D9" s="4">
        <v>0.9</v>
      </c>
    </row>
    <row r="10" spans="1:4" x14ac:dyDescent="0.3">
      <c r="A10" s="4">
        <v>450</v>
      </c>
      <c r="B10" s="4">
        <f t="shared" si="0"/>
        <v>182250</v>
      </c>
      <c r="C10" s="4">
        <f t="shared" si="1"/>
        <v>3569.5813824429001</v>
      </c>
      <c r="D10" s="4">
        <v>0.9</v>
      </c>
    </row>
    <row r="11" spans="1:4" x14ac:dyDescent="0.3">
      <c r="A11" s="4">
        <v>500</v>
      </c>
      <c r="B11" s="4">
        <f t="shared" si="0"/>
        <v>225000</v>
      </c>
      <c r="C11" s="4">
        <f t="shared" si="1"/>
        <v>4034.6029280979392</v>
      </c>
      <c r="D11" s="4">
        <v>0.9</v>
      </c>
    </row>
    <row r="12" spans="1:4" x14ac:dyDescent="0.3">
      <c r="A12" s="4">
        <v>550</v>
      </c>
      <c r="B12" s="4">
        <f t="shared" si="0"/>
        <v>272250</v>
      </c>
      <c r="C12" s="4">
        <f t="shared" si="1"/>
        <v>4506.1274651639505</v>
      </c>
      <c r="D12" s="4">
        <v>0.9</v>
      </c>
    </row>
    <row r="13" spans="1:4" x14ac:dyDescent="0.3">
      <c r="A13" s="4">
        <v>600</v>
      </c>
      <c r="B13" s="4">
        <f t="shared" si="0"/>
        <v>324000</v>
      </c>
      <c r="C13" s="4">
        <f t="shared" si="1"/>
        <v>4983.5620928677763</v>
      </c>
      <c r="D13" s="4">
        <v>0.9</v>
      </c>
    </row>
    <row r="14" spans="1:4" x14ac:dyDescent="0.3">
      <c r="A14" s="4">
        <v>650</v>
      </c>
      <c r="B14" s="4">
        <f t="shared" si="0"/>
        <v>380250</v>
      </c>
      <c r="C14" s="4">
        <f t="shared" si="1"/>
        <v>5466.4131061307535</v>
      </c>
      <c r="D14" s="4">
        <v>0.9</v>
      </c>
    </row>
    <row r="15" spans="1:4" x14ac:dyDescent="0.3">
      <c r="A15" s="4">
        <v>700</v>
      </c>
      <c r="B15" s="4">
        <f t="shared" si="0"/>
        <v>441000</v>
      </c>
      <c r="C15" s="4">
        <f t="shared" si="1"/>
        <v>5954.2630004543671</v>
      </c>
      <c r="D15" s="4">
        <v>0.9</v>
      </c>
    </row>
    <row r="16" spans="1:4" x14ac:dyDescent="0.3">
      <c r="A16" s="4">
        <v>750</v>
      </c>
      <c r="B16" s="4">
        <f t="shared" si="0"/>
        <v>506250</v>
      </c>
      <c r="C16" s="4">
        <f t="shared" si="1"/>
        <v>6446.7540801336891</v>
      </c>
      <c r="D16" s="4">
        <v>0.9</v>
      </c>
    </row>
    <row r="17" spans="1:4" x14ac:dyDescent="0.3">
      <c r="A17" s="4">
        <v>800</v>
      </c>
      <c r="B17" s="4">
        <f t="shared" si="0"/>
        <v>576000</v>
      </c>
      <c r="C17" s="4">
        <f t="shared" si="1"/>
        <v>6943.576456637802</v>
      </c>
      <c r="D17" s="4">
        <v>0.9</v>
      </c>
    </row>
    <row r="18" spans="1:4" x14ac:dyDescent="0.3">
      <c r="A18" s="4">
        <v>850</v>
      </c>
      <c r="B18" s="4">
        <f t="shared" si="0"/>
        <v>650250</v>
      </c>
      <c r="C18" s="4">
        <f t="shared" si="1"/>
        <v>7444.4590587341745</v>
      </c>
      <c r="D18" s="4">
        <v>0.9</v>
      </c>
    </row>
    <row r="19" spans="1:4" x14ac:dyDescent="0.3">
      <c r="A19" s="4">
        <v>900</v>
      </c>
      <c r="B19" s="4">
        <f t="shared" si="0"/>
        <v>729000</v>
      </c>
      <c r="C19" s="4">
        <f t="shared" si="1"/>
        <v>7949.1627648858002</v>
      </c>
      <c r="D19" s="4">
        <v>0.9</v>
      </c>
    </row>
    <row r="20" spans="1:4" x14ac:dyDescent="0.3">
      <c r="A20" s="4">
        <v>950</v>
      </c>
      <c r="B20" s="4">
        <f t="shared" si="0"/>
        <v>812250</v>
      </c>
      <c r="C20" s="4">
        <f t="shared" si="1"/>
        <v>8457.4750662516562</v>
      </c>
      <c r="D20" s="4">
        <v>0.9</v>
      </c>
    </row>
    <row r="21" spans="1:4" x14ac:dyDescent="0.3">
      <c r="A21" s="4">
        <v>1000</v>
      </c>
      <c r="B21" s="4">
        <f t="shared" si="0"/>
        <v>900000</v>
      </c>
      <c r="C21" s="4">
        <f t="shared" si="1"/>
        <v>8969.2058561958784</v>
      </c>
      <c r="D21" s="4">
        <v>0.9</v>
      </c>
    </row>
    <row r="22" spans="1:4" x14ac:dyDescent="0.3">
      <c r="A22" s="4">
        <v>1050</v>
      </c>
      <c r="B22" s="4">
        <f t="shared" si="0"/>
        <v>992250</v>
      </c>
      <c r="C22" s="4">
        <f t="shared" si="1"/>
        <v>9484.1840638630438</v>
      </c>
      <c r="D22" s="4">
        <v>0.9</v>
      </c>
    </row>
    <row r="23" spans="1:4" x14ac:dyDescent="0.3">
      <c r="A23" s="4">
        <v>1100</v>
      </c>
      <c r="B23" s="4">
        <f t="shared" si="0"/>
        <v>1089000</v>
      </c>
      <c r="C23" s="4">
        <f t="shared" si="1"/>
        <v>10002.254930327901</v>
      </c>
      <c r="D23" s="4">
        <v>0.9</v>
      </c>
    </row>
    <row r="24" spans="1:4" x14ac:dyDescent="0.3">
      <c r="A24" s="4">
        <v>1150</v>
      </c>
      <c r="B24" s="4">
        <f t="shared" si="0"/>
        <v>1190250</v>
      </c>
      <c r="C24" s="4">
        <f t="shared" si="1"/>
        <v>10523.27778093585</v>
      </c>
      <c r="D24" s="4">
        <v>0.9</v>
      </c>
    </row>
    <row r="25" spans="1:4" x14ac:dyDescent="0.3">
      <c r="A25" s="4">
        <v>1200</v>
      </c>
      <c r="B25" s="4">
        <f t="shared" si="0"/>
        <v>1296000</v>
      </c>
      <c r="C25" s="4">
        <f t="shared" si="1"/>
        <v>11047.124185735553</v>
      </c>
      <c r="D25" s="4">
        <v>0.9</v>
      </c>
    </row>
    <row r="26" spans="1:4" x14ac:dyDescent="0.3">
      <c r="A26" s="4">
        <v>1250</v>
      </c>
      <c r="B26" s="4">
        <f t="shared" si="0"/>
        <v>1406250</v>
      </c>
      <c r="C26" s="4">
        <f t="shared" si="1"/>
        <v>11573.67642699313</v>
      </c>
      <c r="D26" s="4">
        <v>0.9</v>
      </c>
    </row>
    <row r="27" spans="1:4" x14ac:dyDescent="0.3">
      <c r="A27" s="4">
        <v>1300</v>
      </c>
      <c r="B27" s="4">
        <f t="shared" si="0"/>
        <v>1521000</v>
      </c>
      <c r="C27" s="4">
        <f t="shared" si="1"/>
        <v>12102.826212261507</v>
      </c>
      <c r="D27" s="4">
        <v>0.9</v>
      </c>
    </row>
    <row r="28" spans="1:4" x14ac:dyDescent="0.3">
      <c r="A28" s="4">
        <v>1350</v>
      </c>
      <c r="B28" s="4">
        <f t="shared" si="0"/>
        <v>1640250</v>
      </c>
      <c r="C28" s="4">
        <f t="shared" si="1"/>
        <v>12634.473585704905</v>
      </c>
      <c r="D28" s="4">
        <v>0.9</v>
      </c>
    </row>
    <row r="29" spans="1:4" x14ac:dyDescent="0.3">
      <c r="A29" s="4">
        <v>1400</v>
      </c>
      <c r="B29" s="4">
        <f t="shared" si="0"/>
        <v>1764000</v>
      </c>
      <c r="C29" s="4">
        <f t="shared" si="1"/>
        <v>13168.526000908734</v>
      </c>
      <c r="D29" s="4">
        <v>0.9</v>
      </c>
    </row>
    <row r="30" spans="1:4" x14ac:dyDescent="0.3">
      <c r="A30" s="4">
        <v>1450</v>
      </c>
      <c r="B30" s="4">
        <f t="shared" si="0"/>
        <v>1892250</v>
      </c>
      <c r="C30" s="4">
        <f t="shared" si="1"/>
        <v>13704.897526297498</v>
      </c>
      <c r="D30" s="4">
        <v>0.9</v>
      </c>
    </row>
    <row r="31" spans="1:4" x14ac:dyDescent="0.3">
      <c r="A31" s="4">
        <v>1500</v>
      </c>
      <c r="B31" s="4">
        <f t="shared" si="0"/>
        <v>2025000</v>
      </c>
      <c r="C31" s="4">
        <f t="shared" si="1"/>
        <v>14243.508160267378</v>
      </c>
      <c r="D31" s="4">
        <v>0.9</v>
      </c>
    </row>
    <row r="1048576" spans="1:1" x14ac:dyDescent="0.3">
      <c r="A1048576" s="4">
        <f>SUM(A2:A1048575)</f>
        <v>23250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F3FF-AD1E-477E-9ADD-69B94E537895}">
  <dimension ref="A1:D1048576"/>
  <sheetViews>
    <sheetView workbookViewId="0">
      <selection activeCell="S10" sqref="S10"/>
    </sheetView>
  </sheetViews>
  <sheetFormatPr defaultRowHeight="14.4" x14ac:dyDescent="0.3"/>
  <cols>
    <col min="1" max="1" width="6" style="4" bestFit="1" customWidth="1"/>
    <col min="2" max="2" width="9.21875" style="4" bestFit="1" customWidth="1"/>
    <col min="3" max="3" width="12" style="4" bestFit="1" customWidth="1"/>
    <col min="4" max="4" width="18" style="4" bestFit="1" customWidth="1"/>
    <col min="5" max="16384" width="8.88671875" style="4"/>
  </cols>
  <sheetData>
    <row r="1" spans="1:4" x14ac:dyDescent="0.3">
      <c r="A1" s="3" t="s">
        <v>3011</v>
      </c>
      <c r="B1" s="3" t="s">
        <v>3043</v>
      </c>
      <c r="C1" s="3" t="s">
        <v>3044</v>
      </c>
      <c r="D1" s="3" t="s">
        <v>3045</v>
      </c>
    </row>
    <row r="2" spans="1:4" x14ac:dyDescent="0.3">
      <c r="A2" s="4">
        <v>50</v>
      </c>
      <c r="B2" s="4">
        <f xml:space="preserve"> D2 * A2 * A2</f>
        <v>3052500</v>
      </c>
      <c r="C2" s="4">
        <f xml:space="preserve"> D2 * A2 * LOG(A2,2)</f>
        <v>344557.42038574693</v>
      </c>
      <c r="D2" s="4">
        <v>1221</v>
      </c>
    </row>
    <row r="3" spans="1:4" x14ac:dyDescent="0.3">
      <c r="A3" s="4">
        <v>100</v>
      </c>
      <c r="B3" s="4">
        <f xml:space="preserve"> D3 * A3 * A3</f>
        <v>12210000</v>
      </c>
      <c r="C3" s="4">
        <f xml:space="preserve"> D3 * A3 * LOG(A3,2)</f>
        <v>811214.84077149397</v>
      </c>
      <c r="D3" s="4">
        <v>1221</v>
      </c>
    </row>
    <row r="4" spans="1:4" x14ac:dyDescent="0.3">
      <c r="A4" s="4">
        <v>150</v>
      </c>
      <c r="B4" s="4">
        <f t="shared" ref="B4:B31" si="0" xml:space="preserve"> D4 * A4 * A4</f>
        <v>27472500</v>
      </c>
      <c r="C4" s="4">
        <f t="shared" ref="C4:C31" si="1" xml:space="preserve"> D4 * A4 * LOG(A4,2)</f>
        <v>1323958.1431643206</v>
      </c>
      <c r="D4" s="4">
        <v>1221</v>
      </c>
    </row>
    <row r="5" spans="1:4" x14ac:dyDescent="0.3">
      <c r="A5" s="4">
        <v>200</v>
      </c>
      <c r="B5" s="4">
        <f t="shared" si="0"/>
        <v>48840000</v>
      </c>
      <c r="C5" s="4">
        <f t="shared" si="1"/>
        <v>1866629.6815429877</v>
      </c>
      <c r="D5" s="4">
        <v>1221</v>
      </c>
    </row>
    <row r="6" spans="1:4" x14ac:dyDescent="0.3">
      <c r="A6" s="4">
        <v>250</v>
      </c>
      <c r="B6" s="4">
        <f t="shared" si="0"/>
        <v>76312500</v>
      </c>
      <c r="C6" s="4">
        <f t="shared" si="1"/>
        <v>2431555.6528931023</v>
      </c>
      <c r="D6" s="4">
        <v>1221</v>
      </c>
    </row>
    <row r="7" spans="1:4" x14ac:dyDescent="0.3">
      <c r="A7" s="4">
        <v>300</v>
      </c>
      <c r="B7" s="4">
        <f t="shared" si="0"/>
        <v>109890000</v>
      </c>
      <c r="C7" s="4">
        <f t="shared" si="1"/>
        <v>3014216.2863286412</v>
      </c>
      <c r="D7" s="4">
        <v>1221</v>
      </c>
    </row>
    <row r="8" spans="1:4" x14ac:dyDescent="0.3">
      <c r="A8" s="4">
        <v>350</v>
      </c>
      <c r="B8" s="4">
        <f t="shared" si="0"/>
        <v>149572500</v>
      </c>
      <c r="C8" s="4">
        <f t="shared" si="1"/>
        <v>3611625.0686415457</v>
      </c>
      <c r="D8" s="4">
        <v>1221</v>
      </c>
    </row>
    <row r="9" spans="1:4" x14ac:dyDescent="0.3">
      <c r="A9" s="4">
        <v>400</v>
      </c>
      <c r="B9" s="4">
        <f t="shared" si="0"/>
        <v>195360000</v>
      </c>
      <c r="C9" s="4">
        <f t="shared" si="1"/>
        <v>4221659.3630859759</v>
      </c>
      <c r="D9" s="4">
        <v>1221</v>
      </c>
    </row>
    <row r="10" spans="1:4" x14ac:dyDescent="0.3">
      <c r="A10" s="4">
        <v>450</v>
      </c>
      <c r="B10" s="4">
        <f t="shared" si="0"/>
        <v>247252500</v>
      </c>
      <c r="C10" s="4">
        <f t="shared" si="1"/>
        <v>4842732.0755142011</v>
      </c>
      <c r="D10" s="4">
        <v>1221</v>
      </c>
    </row>
    <row r="11" spans="1:4" x14ac:dyDescent="0.3">
      <c r="A11" s="4">
        <v>500</v>
      </c>
      <c r="B11" s="4">
        <f t="shared" si="0"/>
        <v>305250000</v>
      </c>
      <c r="C11" s="4">
        <f t="shared" si="1"/>
        <v>5473611.3057862045</v>
      </c>
      <c r="D11" s="4">
        <v>1221</v>
      </c>
    </row>
    <row r="12" spans="1:4" x14ac:dyDescent="0.3">
      <c r="A12" s="4">
        <v>550</v>
      </c>
      <c r="B12" s="4">
        <f t="shared" si="0"/>
        <v>369352500</v>
      </c>
      <c r="C12" s="4">
        <f t="shared" si="1"/>
        <v>6113312.9277390931</v>
      </c>
      <c r="D12" s="4">
        <v>1221</v>
      </c>
    </row>
    <row r="13" spans="1:4" x14ac:dyDescent="0.3">
      <c r="A13" s="4">
        <v>600</v>
      </c>
      <c r="B13" s="4">
        <f t="shared" si="0"/>
        <v>439560000</v>
      </c>
      <c r="C13" s="4">
        <f t="shared" si="1"/>
        <v>6761032.5726572825</v>
      </c>
      <c r="D13" s="4">
        <v>1221</v>
      </c>
    </row>
    <row r="14" spans="1:4" x14ac:dyDescent="0.3">
      <c r="A14" s="4">
        <v>650</v>
      </c>
      <c r="B14" s="4">
        <f t="shared" si="0"/>
        <v>515872500</v>
      </c>
      <c r="C14" s="4">
        <f t="shared" si="1"/>
        <v>7416100.4473173888</v>
      </c>
      <c r="D14" s="4">
        <v>1221</v>
      </c>
    </row>
    <row r="15" spans="1:4" x14ac:dyDescent="0.3">
      <c r="A15" s="4">
        <v>700</v>
      </c>
      <c r="B15" s="4">
        <f t="shared" si="0"/>
        <v>598290000</v>
      </c>
      <c r="C15" s="4">
        <f t="shared" si="1"/>
        <v>8077950.1372830914</v>
      </c>
      <c r="D15" s="4">
        <v>1221</v>
      </c>
    </row>
    <row r="16" spans="1:4" x14ac:dyDescent="0.3">
      <c r="A16" s="4">
        <v>750</v>
      </c>
      <c r="B16" s="4">
        <f t="shared" si="0"/>
        <v>686812500</v>
      </c>
      <c r="C16" s="4">
        <f t="shared" si="1"/>
        <v>8746096.3687147051</v>
      </c>
      <c r="D16" s="4">
        <v>1221</v>
      </c>
    </row>
    <row r="17" spans="1:4" x14ac:dyDescent="0.3">
      <c r="A17" s="4">
        <v>800</v>
      </c>
      <c r="B17" s="4">
        <f t="shared" si="0"/>
        <v>781440000</v>
      </c>
      <c r="C17" s="4">
        <f t="shared" si="1"/>
        <v>9420118.7261719517</v>
      </c>
      <c r="D17" s="4">
        <v>1221</v>
      </c>
    </row>
    <row r="18" spans="1:4" x14ac:dyDescent="0.3">
      <c r="A18" s="4">
        <v>850</v>
      </c>
      <c r="B18" s="4">
        <f t="shared" si="0"/>
        <v>882172500</v>
      </c>
      <c r="C18" s="4">
        <f t="shared" si="1"/>
        <v>10099649.456349364</v>
      </c>
      <c r="D18" s="4">
        <v>1221</v>
      </c>
    </row>
    <row r="19" spans="1:4" x14ac:dyDescent="0.3">
      <c r="A19" s="4">
        <v>900</v>
      </c>
      <c r="B19" s="4">
        <f t="shared" si="0"/>
        <v>989010000</v>
      </c>
      <c r="C19" s="4">
        <f t="shared" si="1"/>
        <v>10784364.151028402</v>
      </c>
      <c r="D19" s="4">
        <v>1221</v>
      </c>
    </row>
    <row r="20" spans="1:4" x14ac:dyDescent="0.3">
      <c r="A20" s="4">
        <v>950</v>
      </c>
      <c r="B20" s="4">
        <f t="shared" si="0"/>
        <v>1101952500</v>
      </c>
      <c r="C20" s="4">
        <f t="shared" si="1"/>
        <v>11473974.506548079</v>
      </c>
      <c r="D20" s="4">
        <v>1221</v>
      </c>
    </row>
    <row r="21" spans="1:4" x14ac:dyDescent="0.3">
      <c r="A21" s="4">
        <v>1000</v>
      </c>
      <c r="B21" s="4">
        <f t="shared" si="0"/>
        <v>1221000000</v>
      </c>
      <c r="C21" s="4">
        <f t="shared" si="1"/>
        <v>12168222.611572409</v>
      </c>
      <c r="D21" s="4">
        <v>1221</v>
      </c>
    </row>
    <row r="22" spans="1:4" x14ac:dyDescent="0.3">
      <c r="A22" s="4">
        <v>1050</v>
      </c>
      <c r="B22" s="4">
        <f t="shared" si="0"/>
        <v>1346152500</v>
      </c>
      <c r="C22" s="4">
        <f t="shared" si="1"/>
        <v>12866876.379974196</v>
      </c>
      <c r="D22" s="4">
        <v>1221</v>
      </c>
    </row>
    <row r="23" spans="1:4" x14ac:dyDescent="0.3">
      <c r="A23" s="4">
        <v>1100</v>
      </c>
      <c r="B23" s="4">
        <f t="shared" si="0"/>
        <v>1477410000</v>
      </c>
      <c r="C23" s="4">
        <f t="shared" si="1"/>
        <v>13569725.855478186</v>
      </c>
      <c r="D23" s="4">
        <v>1221</v>
      </c>
    </row>
    <row r="24" spans="1:4" x14ac:dyDescent="0.3">
      <c r="A24" s="4">
        <v>1150</v>
      </c>
      <c r="B24" s="4">
        <f t="shared" si="0"/>
        <v>1614772500</v>
      </c>
      <c r="C24" s="4">
        <f t="shared" si="1"/>
        <v>14276580.189469637</v>
      </c>
      <c r="D24" s="4">
        <v>1221</v>
      </c>
    </row>
    <row r="25" spans="1:4" x14ac:dyDescent="0.3">
      <c r="A25" s="4">
        <v>1200</v>
      </c>
      <c r="B25" s="4">
        <f t="shared" si="0"/>
        <v>1758240000</v>
      </c>
      <c r="C25" s="4">
        <f t="shared" si="1"/>
        <v>14987265.145314565</v>
      </c>
      <c r="D25" s="4">
        <v>1221</v>
      </c>
    </row>
    <row r="26" spans="1:4" x14ac:dyDescent="0.3">
      <c r="A26" s="4">
        <v>1250</v>
      </c>
      <c r="B26" s="4">
        <f t="shared" si="0"/>
        <v>1907812500</v>
      </c>
      <c r="C26" s="4">
        <f t="shared" si="1"/>
        <v>15701621.019287346</v>
      </c>
      <c r="D26" s="4">
        <v>1221</v>
      </c>
    </row>
    <row r="27" spans="1:4" x14ac:dyDescent="0.3">
      <c r="A27" s="4">
        <v>1300</v>
      </c>
      <c r="B27" s="4">
        <f t="shared" si="0"/>
        <v>2063490000</v>
      </c>
      <c r="C27" s="4">
        <f t="shared" si="1"/>
        <v>16419500.894634778</v>
      </c>
      <c r="D27" s="4">
        <v>1221</v>
      </c>
    </row>
    <row r="28" spans="1:4" x14ac:dyDescent="0.3">
      <c r="A28" s="4">
        <v>1350</v>
      </c>
      <c r="B28" s="4">
        <f t="shared" si="0"/>
        <v>2225272500</v>
      </c>
      <c r="C28" s="4">
        <f t="shared" si="1"/>
        <v>17140769.164606322</v>
      </c>
      <c r="D28" s="4">
        <v>1221</v>
      </c>
    </row>
    <row r="29" spans="1:4" x14ac:dyDescent="0.3">
      <c r="A29" s="4">
        <v>1400</v>
      </c>
      <c r="B29" s="4">
        <f t="shared" si="0"/>
        <v>2393160000</v>
      </c>
      <c r="C29" s="4">
        <f t="shared" si="1"/>
        <v>17865300.274566185</v>
      </c>
      <c r="D29" s="4">
        <v>1221</v>
      </c>
    </row>
    <row r="30" spans="1:4" x14ac:dyDescent="0.3">
      <c r="A30" s="4">
        <v>1450</v>
      </c>
      <c r="B30" s="4">
        <f t="shared" si="0"/>
        <v>2567152500</v>
      </c>
      <c r="C30" s="4">
        <f t="shared" si="1"/>
        <v>18592977.644010272</v>
      </c>
      <c r="D30" s="4">
        <v>1221</v>
      </c>
    </row>
    <row r="31" spans="1:4" x14ac:dyDescent="0.3">
      <c r="A31" s="4">
        <v>1500</v>
      </c>
      <c r="B31" s="4">
        <f t="shared" si="0"/>
        <v>2747250000</v>
      </c>
      <c r="C31" s="4">
        <f t="shared" si="1"/>
        <v>19323692.73742941</v>
      </c>
      <c r="D31" s="4">
        <v>1221</v>
      </c>
    </row>
    <row r="1048576" spans="1:1" x14ac:dyDescent="0.3">
      <c r="A1048576" s="4">
        <f>SUM(A2:A1048575)</f>
        <v>23250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CE97-3A76-4AA6-8EA9-0171C2E7AB0D}">
  <dimension ref="A1:D1048576"/>
  <sheetViews>
    <sheetView topLeftCell="A10" workbookViewId="0">
      <selection activeCell="B2" sqref="B2:D31"/>
    </sheetView>
  </sheetViews>
  <sheetFormatPr defaultRowHeight="14.4" x14ac:dyDescent="0.3"/>
  <cols>
    <col min="1" max="1" width="6" style="4" bestFit="1" customWidth="1"/>
    <col min="2" max="2" width="9.21875" style="4" bestFit="1" customWidth="1"/>
    <col min="3" max="3" width="12" style="4" bestFit="1" customWidth="1"/>
    <col min="4" max="4" width="18" style="4" bestFit="1" customWidth="1"/>
    <col min="5" max="16384" width="8.88671875" style="4"/>
  </cols>
  <sheetData>
    <row r="1" spans="1:4" x14ac:dyDescent="0.3">
      <c r="A1" s="3" t="s">
        <v>3011</v>
      </c>
      <c r="B1" s="3" t="s">
        <v>3043</v>
      </c>
      <c r="C1" s="3" t="s">
        <v>3044</v>
      </c>
      <c r="D1" s="3" t="s">
        <v>3045</v>
      </c>
    </row>
    <row r="2" spans="1:4" x14ac:dyDescent="0.3">
      <c r="A2" s="4">
        <v>50</v>
      </c>
      <c r="B2" s="4">
        <f xml:space="preserve"> D2 * A2 * A2</f>
        <v>96250</v>
      </c>
      <c r="C2" s="4">
        <f xml:space="preserve"> D2 * A2 * LOG(A2,2)</f>
        <v>10864.423165316344</v>
      </c>
      <c r="D2" s="4">
        <v>38.5</v>
      </c>
    </row>
    <row r="3" spans="1:4" x14ac:dyDescent="0.3">
      <c r="A3" s="4">
        <v>100</v>
      </c>
      <c r="B3" s="4">
        <f xml:space="preserve"> D3 * A3 * A3</f>
        <v>385000</v>
      </c>
      <c r="C3" s="4">
        <f xml:space="preserve"> D3 * A3 * LOG(A3,2)</f>
        <v>25578.846330632692</v>
      </c>
      <c r="D3" s="4">
        <v>38.5</v>
      </c>
    </row>
    <row r="4" spans="1:4" x14ac:dyDescent="0.3">
      <c r="A4" s="4">
        <v>150</v>
      </c>
      <c r="B4" s="4">
        <f t="shared" ref="B4:B31" si="0" xml:space="preserve"> D4 * A4 * A4</f>
        <v>866250</v>
      </c>
      <c r="C4" s="4">
        <f t="shared" ref="C4:C31" si="1" xml:space="preserve"> D4 * A4 * LOG(A4,2)</f>
        <v>41746.427937613713</v>
      </c>
      <c r="D4" s="4">
        <v>38.5</v>
      </c>
    </row>
    <row r="5" spans="1:4" x14ac:dyDescent="0.3">
      <c r="A5" s="4">
        <v>200</v>
      </c>
      <c r="B5" s="4">
        <f t="shared" si="0"/>
        <v>1540000</v>
      </c>
      <c r="C5" s="4">
        <f t="shared" si="1"/>
        <v>58857.692661265377</v>
      </c>
      <c r="D5" s="4">
        <v>38.5</v>
      </c>
    </row>
    <row r="6" spans="1:4" x14ac:dyDescent="0.3">
      <c r="A6" s="4">
        <v>250</v>
      </c>
      <c r="B6" s="4">
        <f t="shared" si="0"/>
        <v>2406250</v>
      </c>
      <c r="C6" s="4">
        <f t="shared" si="1"/>
        <v>76670.673739872582</v>
      </c>
      <c r="D6" s="4">
        <v>38.5</v>
      </c>
    </row>
    <row r="7" spans="1:4" x14ac:dyDescent="0.3">
      <c r="A7" s="4">
        <v>300</v>
      </c>
      <c r="B7" s="4">
        <f t="shared" si="0"/>
        <v>3465000</v>
      </c>
      <c r="C7" s="4">
        <f t="shared" si="1"/>
        <v>95042.855875227426</v>
      </c>
      <c r="D7" s="4">
        <v>38.5</v>
      </c>
    </row>
    <row r="8" spans="1:4" x14ac:dyDescent="0.3">
      <c r="A8" s="4">
        <v>350</v>
      </c>
      <c r="B8" s="4">
        <f t="shared" si="0"/>
        <v>4716250</v>
      </c>
      <c r="C8" s="4">
        <f t="shared" si="1"/>
        <v>113880.06973194063</v>
      </c>
      <c r="D8" s="4">
        <v>38.5</v>
      </c>
    </row>
    <row r="9" spans="1:4" x14ac:dyDescent="0.3">
      <c r="A9" s="4">
        <v>400</v>
      </c>
      <c r="B9" s="4">
        <f t="shared" si="0"/>
        <v>6160000</v>
      </c>
      <c r="C9" s="4">
        <f t="shared" si="1"/>
        <v>133115.38532253078</v>
      </c>
      <c r="D9" s="4">
        <v>38.5</v>
      </c>
    </row>
    <row r="10" spans="1:4" x14ac:dyDescent="0.3">
      <c r="A10" s="4">
        <v>450</v>
      </c>
      <c r="B10" s="4">
        <f t="shared" si="0"/>
        <v>7796250</v>
      </c>
      <c r="C10" s="4">
        <f t="shared" si="1"/>
        <v>152698.75913783518</v>
      </c>
      <c r="D10" s="4">
        <v>38.5</v>
      </c>
    </row>
    <row r="11" spans="1:4" x14ac:dyDescent="0.3">
      <c r="A11" s="4">
        <v>500</v>
      </c>
      <c r="B11" s="4">
        <f t="shared" si="0"/>
        <v>9625000</v>
      </c>
      <c r="C11" s="4">
        <f t="shared" si="1"/>
        <v>172591.34747974516</v>
      </c>
      <c r="D11" s="4">
        <v>38.5</v>
      </c>
    </row>
    <row r="12" spans="1:4" x14ac:dyDescent="0.3">
      <c r="A12" s="4">
        <v>550</v>
      </c>
      <c r="B12" s="4">
        <f t="shared" si="0"/>
        <v>11646250</v>
      </c>
      <c r="C12" s="4">
        <f t="shared" si="1"/>
        <v>192762.11934312456</v>
      </c>
      <c r="D12" s="4">
        <v>38.5</v>
      </c>
    </row>
    <row r="13" spans="1:4" x14ac:dyDescent="0.3">
      <c r="A13" s="4">
        <v>600</v>
      </c>
      <c r="B13" s="4">
        <f t="shared" si="0"/>
        <v>13860000</v>
      </c>
      <c r="C13" s="4">
        <f t="shared" si="1"/>
        <v>213185.71175045485</v>
      </c>
      <c r="D13" s="4">
        <v>38.5</v>
      </c>
    </row>
    <row r="14" spans="1:4" x14ac:dyDescent="0.3">
      <c r="A14" s="4">
        <v>650</v>
      </c>
      <c r="B14" s="4">
        <f t="shared" si="0"/>
        <v>16266250</v>
      </c>
      <c r="C14" s="4">
        <f t="shared" si="1"/>
        <v>233841.00509559334</v>
      </c>
      <c r="D14" s="4">
        <v>38.5</v>
      </c>
    </row>
    <row r="15" spans="1:4" x14ac:dyDescent="0.3">
      <c r="A15" s="4">
        <v>700</v>
      </c>
      <c r="B15" s="4">
        <f t="shared" si="0"/>
        <v>18865000</v>
      </c>
      <c r="C15" s="4">
        <f t="shared" si="1"/>
        <v>254710.13946388126</v>
      </c>
      <c r="D15" s="4">
        <v>38.5</v>
      </c>
    </row>
    <row r="16" spans="1:4" x14ac:dyDescent="0.3">
      <c r="A16" s="4">
        <v>750</v>
      </c>
      <c r="B16" s="4">
        <f t="shared" si="0"/>
        <v>21656250</v>
      </c>
      <c r="C16" s="4">
        <f t="shared" si="1"/>
        <v>275777.81342794112</v>
      </c>
      <c r="D16" s="4">
        <v>38.5</v>
      </c>
    </row>
    <row r="17" spans="1:4" x14ac:dyDescent="0.3">
      <c r="A17" s="4">
        <v>800</v>
      </c>
      <c r="B17" s="4">
        <f t="shared" si="0"/>
        <v>24640000</v>
      </c>
      <c r="C17" s="4">
        <f t="shared" si="1"/>
        <v>297030.77064506157</v>
      </c>
      <c r="D17" s="4">
        <v>38.5</v>
      </c>
    </row>
    <row r="18" spans="1:4" x14ac:dyDescent="0.3">
      <c r="A18" s="4">
        <v>850</v>
      </c>
      <c r="B18" s="4">
        <f t="shared" si="0"/>
        <v>27816250</v>
      </c>
      <c r="C18" s="4">
        <f t="shared" si="1"/>
        <v>318457.4152902952</v>
      </c>
      <c r="D18" s="4">
        <v>38.5</v>
      </c>
    </row>
    <row r="19" spans="1:4" x14ac:dyDescent="0.3">
      <c r="A19" s="4">
        <v>900</v>
      </c>
      <c r="B19" s="4">
        <f t="shared" si="0"/>
        <v>31185000</v>
      </c>
      <c r="C19" s="4">
        <f t="shared" si="1"/>
        <v>340047.51827567036</v>
      </c>
      <c r="D19" s="4">
        <v>38.5</v>
      </c>
    </row>
    <row r="20" spans="1:4" x14ac:dyDescent="0.3">
      <c r="A20" s="4">
        <v>950</v>
      </c>
      <c r="B20" s="4">
        <f t="shared" si="0"/>
        <v>34746250</v>
      </c>
      <c r="C20" s="4">
        <f t="shared" si="1"/>
        <v>361791.98894520971</v>
      </c>
      <c r="D20" s="4">
        <v>38.5</v>
      </c>
    </row>
    <row r="21" spans="1:4" x14ac:dyDescent="0.3">
      <c r="A21" s="4">
        <v>1000</v>
      </c>
      <c r="B21" s="4">
        <f t="shared" si="0"/>
        <v>38500000</v>
      </c>
      <c r="C21" s="4">
        <f t="shared" si="1"/>
        <v>383682.69495949033</v>
      </c>
      <c r="D21" s="4">
        <v>38.5</v>
      </c>
    </row>
    <row r="22" spans="1:4" x14ac:dyDescent="0.3">
      <c r="A22" s="4">
        <v>1050</v>
      </c>
      <c r="B22" s="4">
        <f t="shared" si="0"/>
        <v>42446250</v>
      </c>
      <c r="C22" s="4">
        <f t="shared" si="1"/>
        <v>405712.31828747463</v>
      </c>
      <c r="D22" s="4">
        <v>38.5</v>
      </c>
    </row>
    <row r="23" spans="1:4" x14ac:dyDescent="0.3">
      <c r="A23" s="4">
        <v>1100</v>
      </c>
      <c r="B23" s="4">
        <f t="shared" si="0"/>
        <v>46585000</v>
      </c>
      <c r="C23" s="4">
        <f t="shared" si="1"/>
        <v>427874.23868624913</v>
      </c>
      <c r="D23" s="4">
        <v>38.5</v>
      </c>
    </row>
    <row r="24" spans="1:4" x14ac:dyDescent="0.3">
      <c r="A24" s="4">
        <v>1150</v>
      </c>
      <c r="B24" s="4">
        <f t="shared" si="0"/>
        <v>50916250</v>
      </c>
      <c r="C24" s="4">
        <f t="shared" si="1"/>
        <v>450162.43840670027</v>
      </c>
      <c r="D24" s="4">
        <v>38.5</v>
      </c>
    </row>
    <row r="25" spans="1:4" x14ac:dyDescent="0.3">
      <c r="A25" s="4">
        <v>1200</v>
      </c>
      <c r="B25" s="4">
        <f t="shared" si="0"/>
        <v>55440000</v>
      </c>
      <c r="C25" s="4">
        <f t="shared" si="1"/>
        <v>472571.4235009097</v>
      </c>
      <c r="D25" s="4">
        <v>38.5</v>
      </c>
    </row>
    <row r="26" spans="1:4" x14ac:dyDescent="0.3">
      <c r="A26" s="4">
        <v>1250</v>
      </c>
      <c r="B26" s="4">
        <f t="shared" si="0"/>
        <v>60156250</v>
      </c>
      <c r="C26" s="4">
        <f t="shared" si="1"/>
        <v>495096.15826581721</v>
      </c>
      <c r="D26" s="4">
        <v>38.5</v>
      </c>
    </row>
    <row r="27" spans="1:4" x14ac:dyDescent="0.3">
      <c r="A27" s="4">
        <v>1300</v>
      </c>
      <c r="B27" s="4">
        <f t="shared" si="0"/>
        <v>65065000</v>
      </c>
      <c r="C27" s="4">
        <f t="shared" si="1"/>
        <v>517732.01019118668</v>
      </c>
      <c r="D27" s="4">
        <v>38.5</v>
      </c>
    </row>
    <row r="28" spans="1:4" x14ac:dyDescent="0.3">
      <c r="A28" s="4">
        <v>1350</v>
      </c>
      <c r="B28" s="4">
        <f t="shared" si="0"/>
        <v>70166250</v>
      </c>
      <c r="C28" s="4">
        <f t="shared" si="1"/>
        <v>540474.70338848757</v>
      </c>
      <c r="D28" s="4">
        <v>38.5</v>
      </c>
    </row>
    <row r="29" spans="1:4" x14ac:dyDescent="0.3">
      <c r="A29" s="4">
        <v>1400</v>
      </c>
      <c r="B29" s="4">
        <f t="shared" si="0"/>
        <v>75460000</v>
      </c>
      <c r="C29" s="4">
        <f t="shared" si="1"/>
        <v>563320.27892776253</v>
      </c>
      <c r="D29" s="4">
        <v>38.5</v>
      </c>
    </row>
    <row r="30" spans="1:4" x14ac:dyDescent="0.3">
      <c r="A30" s="4">
        <v>1450</v>
      </c>
      <c r="B30" s="4">
        <f t="shared" si="0"/>
        <v>80946250</v>
      </c>
      <c r="C30" s="4">
        <f t="shared" si="1"/>
        <v>586265.06084717077</v>
      </c>
      <c r="D30" s="4">
        <v>38.5</v>
      </c>
    </row>
    <row r="31" spans="1:4" x14ac:dyDescent="0.3">
      <c r="A31" s="4">
        <v>1500</v>
      </c>
      <c r="B31" s="4">
        <f t="shared" si="0"/>
        <v>86625000</v>
      </c>
      <c r="C31" s="4">
        <f t="shared" si="1"/>
        <v>609305.62685588223</v>
      </c>
      <c r="D31" s="4">
        <v>38.5</v>
      </c>
    </row>
    <row r="1048576" spans="1:1" x14ac:dyDescent="0.3">
      <c r="A1048576" s="4">
        <f>SUM(A2:A1048575)</f>
        <v>23250</v>
      </c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2820-0CBB-441A-BB44-3C024FE811E9}">
  <dimension ref="A1:D1048576"/>
  <sheetViews>
    <sheetView topLeftCell="A2" workbookViewId="0">
      <selection sqref="A1:XFD1048576"/>
    </sheetView>
  </sheetViews>
  <sheetFormatPr defaultRowHeight="14.4" x14ac:dyDescent="0.3"/>
  <cols>
    <col min="1" max="1" width="6" style="4" bestFit="1" customWidth="1"/>
    <col min="2" max="2" width="9.21875" style="4" bestFit="1" customWidth="1"/>
    <col min="3" max="3" width="12" style="4" bestFit="1" customWidth="1"/>
    <col min="4" max="4" width="18" style="4" bestFit="1" customWidth="1"/>
    <col min="5" max="16384" width="8.88671875" style="4"/>
  </cols>
  <sheetData>
    <row r="1" spans="1:4" x14ac:dyDescent="0.3">
      <c r="A1" s="3" t="s">
        <v>3011</v>
      </c>
      <c r="B1" s="3" t="s">
        <v>3043</v>
      </c>
      <c r="C1" s="3" t="s">
        <v>3044</v>
      </c>
      <c r="D1" s="3" t="s">
        <v>3045</v>
      </c>
    </row>
    <row r="2" spans="1:4" x14ac:dyDescent="0.3">
      <c r="A2" s="4">
        <v>50</v>
      </c>
      <c r="B2" s="4">
        <f xml:space="preserve"> D2 * A2 * A2</f>
        <v>3777500</v>
      </c>
      <c r="C2" s="4">
        <f xml:space="preserve"> D2 * A2 * LOG(A2,2)</f>
        <v>426393.3351374804</v>
      </c>
      <c r="D2" s="4">
        <v>1511</v>
      </c>
    </row>
    <row r="3" spans="1:4" x14ac:dyDescent="0.3">
      <c r="A3" s="4">
        <v>100</v>
      </c>
      <c r="B3" s="4">
        <f xml:space="preserve"> D3 * A3 * A3</f>
        <v>15110000</v>
      </c>
      <c r="C3" s="4">
        <f xml:space="preserve"> D3 * A3 * LOG(A3,2)</f>
        <v>1003886.670274961</v>
      </c>
      <c r="D3" s="4">
        <v>1511</v>
      </c>
    </row>
    <row r="4" spans="1:4" x14ac:dyDescent="0.3">
      <c r="A4" s="4">
        <v>150</v>
      </c>
      <c r="B4" s="4">
        <f t="shared" ref="B4:B31" si="0" xml:space="preserve"> D4 * A4 * A4</f>
        <v>33997500</v>
      </c>
      <c r="C4" s="4">
        <f t="shared" ref="C4:C31" si="1" xml:space="preserve"> D4 * A4 * LOG(A4,2)</f>
        <v>1638411.7562008912</v>
      </c>
      <c r="D4" s="4">
        <v>1511</v>
      </c>
    </row>
    <row r="5" spans="1:4" x14ac:dyDescent="0.3">
      <c r="A5" s="4">
        <v>200</v>
      </c>
      <c r="B5" s="4">
        <f t="shared" si="0"/>
        <v>60440000</v>
      </c>
      <c r="C5" s="4">
        <f t="shared" si="1"/>
        <v>2309973.3405499216</v>
      </c>
      <c r="D5" s="4">
        <v>1511</v>
      </c>
    </row>
    <row r="6" spans="1:4" x14ac:dyDescent="0.3">
      <c r="A6" s="4">
        <v>250</v>
      </c>
      <c r="B6" s="4">
        <f t="shared" si="0"/>
        <v>94437500</v>
      </c>
      <c r="C6" s="4">
        <f t="shared" si="1"/>
        <v>3009075.0135311033</v>
      </c>
      <c r="D6" s="4">
        <v>1511</v>
      </c>
    </row>
    <row r="7" spans="1:4" x14ac:dyDescent="0.3">
      <c r="A7" s="4">
        <v>300</v>
      </c>
      <c r="B7" s="4">
        <f t="shared" si="0"/>
        <v>135990000</v>
      </c>
      <c r="C7" s="4">
        <f t="shared" si="1"/>
        <v>3730123.5124017829</v>
      </c>
      <c r="D7" s="4">
        <v>1511</v>
      </c>
    </row>
    <row r="8" spans="1:4" x14ac:dyDescent="0.3">
      <c r="A8" s="4">
        <v>350</v>
      </c>
      <c r="B8" s="4">
        <f t="shared" si="0"/>
        <v>185097500</v>
      </c>
      <c r="C8" s="4">
        <f t="shared" si="1"/>
        <v>4469422.9964925274</v>
      </c>
      <c r="D8" s="4">
        <v>1511</v>
      </c>
    </row>
    <row r="9" spans="1:4" x14ac:dyDescent="0.3">
      <c r="A9" s="4">
        <v>400</v>
      </c>
      <c r="B9" s="4">
        <f t="shared" si="0"/>
        <v>241760000</v>
      </c>
      <c r="C9" s="4">
        <f t="shared" si="1"/>
        <v>5224346.6810998442</v>
      </c>
      <c r="D9" s="4">
        <v>1511</v>
      </c>
    </row>
    <row r="10" spans="1:4" x14ac:dyDescent="0.3">
      <c r="A10" s="4">
        <v>450</v>
      </c>
      <c r="B10" s="4">
        <f t="shared" si="0"/>
        <v>305977500</v>
      </c>
      <c r="C10" s="4">
        <f t="shared" si="1"/>
        <v>5992930.5209680246</v>
      </c>
      <c r="D10" s="4">
        <v>1511</v>
      </c>
    </row>
    <row r="11" spans="1:4" x14ac:dyDescent="0.3">
      <c r="A11" s="4">
        <v>500</v>
      </c>
      <c r="B11" s="4">
        <f t="shared" si="0"/>
        <v>377750000</v>
      </c>
      <c r="C11" s="4">
        <f t="shared" si="1"/>
        <v>6773650.0270622065</v>
      </c>
      <c r="D11" s="4">
        <v>1511</v>
      </c>
    </row>
    <row r="12" spans="1:4" x14ac:dyDescent="0.3">
      <c r="A12" s="4">
        <v>550</v>
      </c>
      <c r="B12" s="4">
        <f t="shared" si="0"/>
        <v>457077500</v>
      </c>
      <c r="C12" s="4">
        <f t="shared" si="1"/>
        <v>7565287.3331808103</v>
      </c>
      <c r="D12" s="4">
        <v>1511</v>
      </c>
    </row>
    <row r="13" spans="1:4" x14ac:dyDescent="0.3">
      <c r="A13" s="4">
        <v>600</v>
      </c>
      <c r="B13" s="4">
        <f t="shared" si="0"/>
        <v>543960000</v>
      </c>
      <c r="C13" s="4">
        <f t="shared" si="1"/>
        <v>8366847.0248035658</v>
      </c>
      <c r="D13" s="4">
        <v>1511</v>
      </c>
    </row>
    <row r="14" spans="1:4" x14ac:dyDescent="0.3">
      <c r="A14" s="4">
        <v>650</v>
      </c>
      <c r="B14" s="4">
        <f t="shared" si="0"/>
        <v>638397500</v>
      </c>
      <c r="C14" s="4">
        <f t="shared" si="1"/>
        <v>9177500.2259595208</v>
      </c>
      <c r="D14" s="4">
        <v>1511</v>
      </c>
    </row>
    <row r="15" spans="1:4" x14ac:dyDescent="0.3">
      <c r="A15" s="4">
        <v>700</v>
      </c>
      <c r="B15" s="4">
        <f t="shared" si="0"/>
        <v>740390000</v>
      </c>
      <c r="C15" s="4">
        <f t="shared" si="1"/>
        <v>9996545.9929850549</v>
      </c>
      <c r="D15" s="4">
        <v>1511</v>
      </c>
    </row>
    <row r="16" spans="1:4" x14ac:dyDescent="0.3">
      <c r="A16" s="4">
        <v>750</v>
      </c>
      <c r="B16" s="4">
        <f t="shared" si="0"/>
        <v>849937500</v>
      </c>
      <c r="C16" s="4">
        <f t="shared" si="1"/>
        <v>10823383.794535561</v>
      </c>
      <c r="D16" s="4">
        <v>1511</v>
      </c>
    </row>
    <row r="17" spans="1:4" x14ac:dyDescent="0.3">
      <c r="A17" s="4">
        <v>800</v>
      </c>
      <c r="B17" s="4">
        <f t="shared" si="0"/>
        <v>967040000</v>
      </c>
      <c r="C17" s="4">
        <f t="shared" si="1"/>
        <v>11657493.362199688</v>
      </c>
      <c r="D17" s="4">
        <v>1511</v>
      </c>
    </row>
    <row r="18" spans="1:4" x14ac:dyDescent="0.3">
      <c r="A18" s="4">
        <v>850</v>
      </c>
      <c r="B18" s="4">
        <f t="shared" si="0"/>
        <v>1091697500</v>
      </c>
      <c r="C18" s="4">
        <f t="shared" si="1"/>
        <v>12498419.597497042</v>
      </c>
      <c r="D18" s="4">
        <v>1511</v>
      </c>
    </row>
    <row r="19" spans="1:4" x14ac:dyDescent="0.3">
      <c r="A19" s="4">
        <v>900</v>
      </c>
      <c r="B19" s="4">
        <f t="shared" si="0"/>
        <v>1223910000</v>
      </c>
      <c r="C19" s="4">
        <f t="shared" si="1"/>
        <v>13345761.041936049</v>
      </c>
      <c r="D19" s="4">
        <v>1511</v>
      </c>
    </row>
    <row r="20" spans="1:4" x14ac:dyDescent="0.3">
      <c r="A20" s="4">
        <v>950</v>
      </c>
      <c r="B20" s="4">
        <f t="shared" si="0"/>
        <v>1363677500</v>
      </c>
      <c r="C20" s="4">
        <f t="shared" si="1"/>
        <v>14199160.916784724</v>
      </c>
      <c r="D20" s="4">
        <v>1511</v>
      </c>
    </row>
    <row r="21" spans="1:4" x14ac:dyDescent="0.3">
      <c r="A21" s="4">
        <v>1000</v>
      </c>
      <c r="B21" s="4">
        <f t="shared" si="0"/>
        <v>1511000000</v>
      </c>
      <c r="C21" s="4">
        <f t="shared" si="1"/>
        <v>15058300.054124413</v>
      </c>
      <c r="D21" s="4">
        <v>1511</v>
      </c>
    </row>
    <row r="22" spans="1:4" x14ac:dyDescent="0.3">
      <c r="A22" s="4">
        <v>1050</v>
      </c>
      <c r="B22" s="4">
        <f t="shared" si="0"/>
        <v>1665877500</v>
      </c>
      <c r="C22" s="4">
        <f t="shared" si="1"/>
        <v>15922891.244996732</v>
      </c>
      <c r="D22" s="4">
        <v>1511</v>
      </c>
    </row>
    <row r="23" spans="1:4" x14ac:dyDescent="0.3">
      <c r="A23" s="4">
        <v>1100</v>
      </c>
      <c r="B23" s="4">
        <f t="shared" si="0"/>
        <v>1828310000</v>
      </c>
      <c r="C23" s="4">
        <f t="shared" si="1"/>
        <v>16792674.666361623</v>
      </c>
      <c r="D23" s="4">
        <v>1511</v>
      </c>
    </row>
    <row r="24" spans="1:4" x14ac:dyDescent="0.3">
      <c r="A24" s="4">
        <v>1150</v>
      </c>
      <c r="B24" s="4">
        <f t="shared" si="0"/>
        <v>1998297500</v>
      </c>
      <c r="C24" s="4">
        <f t="shared" si="1"/>
        <v>17667414.141104523</v>
      </c>
      <c r="D24" s="4">
        <v>1511</v>
      </c>
    </row>
    <row r="25" spans="1:4" x14ac:dyDescent="0.3">
      <c r="A25" s="4">
        <v>1200</v>
      </c>
      <c r="B25" s="4">
        <f t="shared" si="0"/>
        <v>2175840000</v>
      </c>
      <c r="C25" s="4">
        <f t="shared" si="1"/>
        <v>18546894.049607132</v>
      </c>
      <c r="D25" s="4">
        <v>1511</v>
      </c>
    </row>
    <row r="26" spans="1:4" x14ac:dyDescent="0.3">
      <c r="A26" s="4">
        <v>1250</v>
      </c>
      <c r="B26" s="4">
        <f t="shared" si="0"/>
        <v>2360937500</v>
      </c>
      <c r="C26" s="4">
        <f t="shared" si="1"/>
        <v>19430916.756874021</v>
      </c>
      <c r="D26" s="4">
        <v>1511</v>
      </c>
    </row>
    <row r="27" spans="1:4" x14ac:dyDescent="0.3">
      <c r="A27" s="4">
        <v>1300</v>
      </c>
      <c r="B27" s="4">
        <f t="shared" si="0"/>
        <v>2553590000</v>
      </c>
      <c r="C27" s="4">
        <f t="shared" si="1"/>
        <v>20319300.451919042</v>
      </c>
      <c r="D27" s="4">
        <v>1511</v>
      </c>
    </row>
    <row r="28" spans="1:4" x14ac:dyDescent="0.3">
      <c r="A28" s="4">
        <v>1350</v>
      </c>
      <c r="B28" s="4">
        <f t="shared" si="0"/>
        <v>2753797500</v>
      </c>
      <c r="C28" s="4">
        <f t="shared" si="1"/>
        <v>21211877.320000123</v>
      </c>
      <c r="D28" s="4">
        <v>1511</v>
      </c>
    </row>
    <row r="29" spans="1:4" x14ac:dyDescent="0.3">
      <c r="A29" s="4">
        <v>1400</v>
      </c>
      <c r="B29" s="4">
        <f t="shared" si="0"/>
        <v>2961560000</v>
      </c>
      <c r="C29" s="4">
        <f t="shared" si="1"/>
        <v>22108491.98597011</v>
      </c>
      <c r="D29" s="4">
        <v>1511</v>
      </c>
    </row>
    <row r="30" spans="1:4" x14ac:dyDescent="0.3">
      <c r="A30" s="4">
        <v>1450</v>
      </c>
      <c r="B30" s="4">
        <f t="shared" si="0"/>
        <v>3176877500</v>
      </c>
      <c r="C30" s="4">
        <f t="shared" si="1"/>
        <v>23009000.18026169</v>
      </c>
      <c r="D30" s="4">
        <v>1511</v>
      </c>
    </row>
    <row r="31" spans="1:4" x14ac:dyDescent="0.3">
      <c r="A31" s="4">
        <v>1500</v>
      </c>
      <c r="B31" s="4">
        <f t="shared" si="0"/>
        <v>3399750000</v>
      </c>
      <c r="C31" s="4">
        <f t="shared" si="1"/>
        <v>23913267.589071121</v>
      </c>
      <c r="D31" s="4">
        <v>1511</v>
      </c>
    </row>
    <row r="1048576" spans="1:1" x14ac:dyDescent="0.3">
      <c r="A1048576" s="4">
        <f>SUM(A2:A1048575)</f>
        <v>23250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07F6-6C3F-440D-A069-9E8D9871BA51}">
  <dimension ref="A1:D1048576"/>
  <sheetViews>
    <sheetView topLeftCell="A8" workbookViewId="0">
      <selection sqref="A1:D31"/>
    </sheetView>
  </sheetViews>
  <sheetFormatPr defaultRowHeight="14.4" x14ac:dyDescent="0.3"/>
  <cols>
    <col min="1" max="1" width="6" style="4" bestFit="1" customWidth="1"/>
    <col min="2" max="2" width="9.21875" style="4" bestFit="1" customWidth="1"/>
    <col min="3" max="3" width="12" style="4" bestFit="1" customWidth="1"/>
    <col min="4" max="4" width="18" style="4" bestFit="1" customWidth="1"/>
    <col min="5" max="16384" width="8.88671875" style="4"/>
  </cols>
  <sheetData>
    <row r="1" spans="1:4" x14ac:dyDescent="0.3">
      <c r="A1" s="3" t="s">
        <v>3011</v>
      </c>
      <c r="B1" s="3" t="s">
        <v>3043</v>
      </c>
      <c r="C1" s="3" t="s">
        <v>3044</v>
      </c>
      <c r="D1" s="3" t="s">
        <v>3045</v>
      </c>
    </row>
    <row r="2" spans="1:4" x14ac:dyDescent="0.3">
      <c r="A2" s="4">
        <v>50</v>
      </c>
      <c r="B2" s="4">
        <f xml:space="preserve"> D2 * A2 * A2</f>
        <v>32750</v>
      </c>
      <c r="C2" s="4">
        <f xml:space="preserve"> D2 * A2 * LOG(A2,2)</f>
        <v>3696.7258043024444</v>
      </c>
      <c r="D2" s="4">
        <v>13.1</v>
      </c>
    </row>
    <row r="3" spans="1:4" x14ac:dyDescent="0.3">
      <c r="A3" s="4">
        <v>100</v>
      </c>
      <c r="B3" s="4">
        <f xml:space="preserve"> D3 * A3 * A3</f>
        <v>131000</v>
      </c>
      <c r="C3" s="4">
        <f xml:space="preserve"> D3 * A3 * LOG(A3,2)</f>
        <v>8703.4516086048898</v>
      </c>
      <c r="D3" s="4">
        <v>13.1</v>
      </c>
    </row>
    <row r="4" spans="1:4" x14ac:dyDescent="0.3">
      <c r="A4" s="4">
        <v>150</v>
      </c>
      <c r="B4" s="4">
        <f t="shared" ref="B4:B31" si="0" xml:space="preserve"> D4 * A4 * A4</f>
        <v>294750</v>
      </c>
      <c r="C4" s="4">
        <f t="shared" ref="C4:C31" si="1" xml:space="preserve"> D4 * A4 * LOG(A4,2)</f>
        <v>14204.628726824405</v>
      </c>
      <c r="D4" s="4">
        <v>13.1</v>
      </c>
    </row>
    <row r="5" spans="1:4" x14ac:dyDescent="0.3">
      <c r="A5" s="4">
        <v>200</v>
      </c>
      <c r="B5" s="4">
        <f t="shared" si="0"/>
        <v>524000</v>
      </c>
      <c r="C5" s="4">
        <f t="shared" si="1"/>
        <v>20026.90321720978</v>
      </c>
      <c r="D5" s="4">
        <v>13.1</v>
      </c>
    </row>
    <row r="6" spans="1:4" x14ac:dyDescent="0.3">
      <c r="A6" s="4">
        <v>250</v>
      </c>
      <c r="B6" s="4">
        <f t="shared" si="0"/>
        <v>818750</v>
      </c>
      <c r="C6" s="4">
        <f t="shared" si="1"/>
        <v>26087.943532268335</v>
      </c>
      <c r="D6" s="4">
        <v>13.1</v>
      </c>
    </row>
    <row r="7" spans="1:4" x14ac:dyDescent="0.3">
      <c r="A7" s="4">
        <v>300</v>
      </c>
      <c r="B7" s="4">
        <f t="shared" si="0"/>
        <v>1179000</v>
      </c>
      <c r="C7" s="4">
        <f t="shared" si="1"/>
        <v>32339.257453648814</v>
      </c>
      <c r="D7" s="4">
        <v>13.1</v>
      </c>
    </row>
    <row r="8" spans="1:4" x14ac:dyDescent="0.3">
      <c r="A8" s="4">
        <v>350</v>
      </c>
      <c r="B8" s="4">
        <f t="shared" si="0"/>
        <v>1604750</v>
      </c>
      <c r="C8" s="4">
        <f t="shared" si="1"/>
        <v>38748.802947751232</v>
      </c>
      <c r="D8" s="4">
        <v>13.1</v>
      </c>
    </row>
    <row r="9" spans="1:4" x14ac:dyDescent="0.3">
      <c r="A9" s="4">
        <v>400</v>
      </c>
      <c r="B9" s="4">
        <f t="shared" si="0"/>
        <v>2096000</v>
      </c>
      <c r="C9" s="4">
        <f t="shared" si="1"/>
        <v>45293.806434419559</v>
      </c>
      <c r="D9" s="4">
        <v>13.1</v>
      </c>
    </row>
    <row r="10" spans="1:4" x14ac:dyDescent="0.3">
      <c r="A10" s="4">
        <v>450</v>
      </c>
      <c r="B10" s="4">
        <f t="shared" si="0"/>
        <v>2652750</v>
      </c>
      <c r="C10" s="4">
        <f t="shared" si="1"/>
        <v>51957.240122224437</v>
      </c>
      <c r="D10" s="4">
        <v>13.1</v>
      </c>
    </row>
    <row r="11" spans="1:4" x14ac:dyDescent="0.3">
      <c r="A11" s="4">
        <v>500</v>
      </c>
      <c r="B11" s="4">
        <f t="shared" si="0"/>
        <v>3275000</v>
      </c>
      <c r="C11" s="4">
        <f t="shared" si="1"/>
        <v>58725.88706453667</v>
      </c>
      <c r="D11" s="4">
        <v>13.1</v>
      </c>
    </row>
    <row r="12" spans="1:4" x14ac:dyDescent="0.3">
      <c r="A12" s="4">
        <v>550</v>
      </c>
      <c r="B12" s="4">
        <f t="shared" si="0"/>
        <v>3962750</v>
      </c>
      <c r="C12" s="4">
        <f t="shared" si="1"/>
        <v>65589.188659608611</v>
      </c>
      <c r="D12" s="4">
        <v>13.1</v>
      </c>
    </row>
    <row r="13" spans="1:4" x14ac:dyDescent="0.3">
      <c r="A13" s="4">
        <v>600</v>
      </c>
      <c r="B13" s="4">
        <f t="shared" si="0"/>
        <v>4716000</v>
      </c>
      <c r="C13" s="4">
        <f t="shared" si="1"/>
        <v>72538.51490729762</v>
      </c>
      <c r="D13" s="4">
        <v>13.1</v>
      </c>
    </row>
    <row r="14" spans="1:4" x14ac:dyDescent="0.3">
      <c r="A14" s="4">
        <v>650</v>
      </c>
      <c r="B14" s="4">
        <f t="shared" si="0"/>
        <v>5534750</v>
      </c>
      <c r="C14" s="4">
        <f t="shared" si="1"/>
        <v>79566.679655903194</v>
      </c>
      <c r="D14" s="4">
        <v>13.1</v>
      </c>
    </row>
    <row r="15" spans="1:4" x14ac:dyDescent="0.3">
      <c r="A15" s="4">
        <v>700</v>
      </c>
      <c r="B15" s="4">
        <f t="shared" si="0"/>
        <v>6419000</v>
      </c>
      <c r="C15" s="4">
        <f t="shared" si="1"/>
        <v>86667.605895502464</v>
      </c>
      <c r="D15" s="4">
        <v>13.1</v>
      </c>
    </row>
    <row r="16" spans="1:4" x14ac:dyDescent="0.3">
      <c r="A16" s="4">
        <v>750</v>
      </c>
      <c r="B16" s="4">
        <f t="shared" si="0"/>
        <v>7368750</v>
      </c>
      <c r="C16" s="4">
        <f t="shared" si="1"/>
        <v>93836.087166390367</v>
      </c>
      <c r="D16" s="4">
        <v>13.1</v>
      </c>
    </row>
    <row r="17" spans="1:4" x14ac:dyDescent="0.3">
      <c r="A17" s="4">
        <v>800</v>
      </c>
      <c r="B17" s="4">
        <f t="shared" si="0"/>
        <v>8384000</v>
      </c>
      <c r="C17" s="4">
        <f t="shared" si="1"/>
        <v>101067.61286883912</v>
      </c>
      <c r="D17" s="4">
        <v>13.1</v>
      </c>
    </row>
    <row r="18" spans="1:4" x14ac:dyDescent="0.3">
      <c r="A18" s="4">
        <v>850</v>
      </c>
      <c r="B18" s="4">
        <f t="shared" si="0"/>
        <v>9464750</v>
      </c>
      <c r="C18" s="4">
        <f t="shared" si="1"/>
        <v>108358.23741046409</v>
      </c>
      <c r="D18" s="4">
        <v>13.1</v>
      </c>
    </row>
    <row r="19" spans="1:4" x14ac:dyDescent="0.3">
      <c r="A19" s="4">
        <v>900</v>
      </c>
      <c r="B19" s="4">
        <f t="shared" si="0"/>
        <v>10611000</v>
      </c>
      <c r="C19" s="4">
        <f t="shared" si="1"/>
        <v>115704.48024444887</v>
      </c>
      <c r="D19" s="4">
        <v>13.1</v>
      </c>
    </row>
    <row r="20" spans="1:4" x14ac:dyDescent="0.3">
      <c r="A20" s="4">
        <v>950</v>
      </c>
      <c r="B20" s="4">
        <f t="shared" si="0"/>
        <v>11822750</v>
      </c>
      <c r="C20" s="4">
        <f t="shared" si="1"/>
        <v>123103.24818655188</v>
      </c>
      <c r="D20" s="4">
        <v>13.1</v>
      </c>
    </row>
    <row r="21" spans="1:4" x14ac:dyDescent="0.3">
      <c r="A21" s="4">
        <v>1000</v>
      </c>
      <c r="B21" s="4">
        <f t="shared" si="0"/>
        <v>13100000</v>
      </c>
      <c r="C21" s="4">
        <f t="shared" si="1"/>
        <v>130551.77412907334</v>
      </c>
      <c r="D21" s="4">
        <v>13.1</v>
      </c>
    </row>
    <row r="22" spans="1:4" x14ac:dyDescent="0.3">
      <c r="A22" s="4">
        <v>1050</v>
      </c>
      <c r="B22" s="4">
        <f t="shared" si="0"/>
        <v>14442750</v>
      </c>
      <c r="C22" s="4">
        <f t="shared" si="1"/>
        <v>138047.56804067318</v>
      </c>
      <c r="D22" s="4">
        <v>13.1</v>
      </c>
    </row>
    <row r="23" spans="1:4" x14ac:dyDescent="0.3">
      <c r="A23" s="4">
        <v>1100</v>
      </c>
      <c r="B23" s="4">
        <f t="shared" si="0"/>
        <v>15851000</v>
      </c>
      <c r="C23" s="4">
        <f t="shared" si="1"/>
        <v>145588.37731921722</v>
      </c>
      <c r="D23" s="4">
        <v>13.1</v>
      </c>
    </row>
    <row r="24" spans="1:4" x14ac:dyDescent="0.3">
      <c r="A24" s="4">
        <v>1150</v>
      </c>
      <c r="B24" s="4">
        <f t="shared" si="0"/>
        <v>17324750</v>
      </c>
      <c r="C24" s="4">
        <f t="shared" si="1"/>
        <v>153172.15436695516</v>
      </c>
      <c r="D24" s="4">
        <v>13.1</v>
      </c>
    </row>
    <row r="25" spans="1:4" x14ac:dyDescent="0.3">
      <c r="A25" s="4">
        <v>1200</v>
      </c>
      <c r="B25" s="4">
        <f t="shared" si="0"/>
        <v>18864000</v>
      </c>
      <c r="C25" s="4">
        <f t="shared" si="1"/>
        <v>160797.02981459524</v>
      </c>
      <c r="D25" s="4">
        <v>13.1</v>
      </c>
    </row>
    <row r="26" spans="1:4" x14ac:dyDescent="0.3">
      <c r="A26" s="4">
        <v>1250</v>
      </c>
      <c r="B26" s="4">
        <f t="shared" si="0"/>
        <v>20468750</v>
      </c>
      <c r="C26" s="4">
        <f t="shared" si="1"/>
        <v>168461.29021512222</v>
      </c>
      <c r="D26" s="4">
        <v>13.1</v>
      </c>
    </row>
    <row r="27" spans="1:4" x14ac:dyDescent="0.3">
      <c r="A27" s="4">
        <v>1300</v>
      </c>
      <c r="B27" s="4">
        <f t="shared" si="0"/>
        <v>22139000</v>
      </c>
      <c r="C27" s="4">
        <f t="shared" si="1"/>
        <v>176163.35931180639</v>
      </c>
      <c r="D27" s="4">
        <v>13.1</v>
      </c>
    </row>
    <row r="28" spans="1:4" x14ac:dyDescent="0.3">
      <c r="A28" s="4">
        <v>1350</v>
      </c>
      <c r="B28" s="4">
        <f t="shared" si="0"/>
        <v>23874750</v>
      </c>
      <c r="C28" s="4">
        <f t="shared" si="1"/>
        <v>183901.78219192696</v>
      </c>
      <c r="D28" s="4">
        <v>13.1</v>
      </c>
    </row>
    <row r="29" spans="1:4" x14ac:dyDescent="0.3">
      <c r="A29" s="4">
        <v>1400</v>
      </c>
      <c r="B29" s="4">
        <f t="shared" si="0"/>
        <v>25676000</v>
      </c>
      <c r="C29" s="4">
        <f t="shared" si="1"/>
        <v>191675.21179100493</v>
      </c>
      <c r="D29" s="4">
        <v>13.1</v>
      </c>
    </row>
    <row r="30" spans="1:4" x14ac:dyDescent="0.3">
      <c r="A30" s="4">
        <v>1450</v>
      </c>
      <c r="B30" s="4">
        <f t="shared" si="0"/>
        <v>27542750</v>
      </c>
      <c r="C30" s="4">
        <f t="shared" si="1"/>
        <v>199482.39732721917</v>
      </c>
      <c r="D30" s="4">
        <v>13.1</v>
      </c>
    </row>
    <row r="31" spans="1:4" x14ac:dyDescent="0.3">
      <c r="A31" s="4">
        <v>1500</v>
      </c>
      <c r="B31" s="4">
        <f t="shared" si="0"/>
        <v>29475000</v>
      </c>
      <c r="C31" s="4">
        <f t="shared" si="1"/>
        <v>207322.17433278073</v>
      </c>
      <c r="D31" s="4">
        <v>13.1</v>
      </c>
    </row>
    <row r="1048576" spans="1:1" x14ac:dyDescent="0.3">
      <c r="A1048576" s="4">
        <f>SUM(A2:A1048575)</f>
        <v>23250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C583D-7362-4558-A733-5FB96AE83315}">
  <dimension ref="A1:D1048576"/>
  <sheetViews>
    <sheetView topLeftCell="A2" workbookViewId="0">
      <selection activeCell="D2" sqref="D2:D31"/>
    </sheetView>
  </sheetViews>
  <sheetFormatPr defaultRowHeight="14.4" x14ac:dyDescent="0.3"/>
  <cols>
    <col min="1" max="1" width="6" style="4" bestFit="1" customWidth="1"/>
    <col min="2" max="2" width="9.21875" style="4" bestFit="1" customWidth="1"/>
    <col min="3" max="3" width="12" style="4" bestFit="1" customWidth="1"/>
    <col min="4" max="4" width="18" style="4" bestFit="1" customWidth="1"/>
    <col min="5" max="16384" width="8.88671875" style="4"/>
  </cols>
  <sheetData>
    <row r="1" spans="1:4" x14ac:dyDescent="0.3">
      <c r="A1" s="3" t="s">
        <v>3011</v>
      </c>
      <c r="B1" s="3" t="s">
        <v>3043</v>
      </c>
      <c r="C1" s="3" t="s">
        <v>3044</v>
      </c>
      <c r="D1" s="3" t="s">
        <v>3045</v>
      </c>
    </row>
    <row r="2" spans="1:4" x14ac:dyDescent="0.3">
      <c r="A2" s="4">
        <v>50</v>
      </c>
      <c r="B2" s="4">
        <f xml:space="preserve"> D2 * A2 * A2</f>
        <v>3840000</v>
      </c>
      <c r="C2" s="4">
        <f xml:space="preserve"> D2 * A2 * LOG(A2,2)</f>
        <v>433448.15537469881</v>
      </c>
      <c r="D2" s="4">
        <v>1536</v>
      </c>
    </row>
    <row r="3" spans="1:4" x14ac:dyDescent="0.3">
      <c r="A3" s="4">
        <v>100</v>
      </c>
      <c r="B3" s="4">
        <f xml:space="preserve"> D3 * A3 * A3</f>
        <v>15360000</v>
      </c>
      <c r="C3" s="4">
        <f xml:space="preserve"> D3 * A3 * LOG(A3,2)</f>
        <v>1020496.3107493978</v>
      </c>
      <c r="D3" s="4">
        <v>1536</v>
      </c>
    </row>
    <row r="4" spans="1:4" x14ac:dyDescent="0.3">
      <c r="A4" s="4">
        <v>150</v>
      </c>
      <c r="B4" s="4">
        <f t="shared" ref="B4:B31" si="0" xml:space="preserve"> D4 * A4 * A4</f>
        <v>34560000</v>
      </c>
      <c r="C4" s="4">
        <f t="shared" ref="C4:C31" si="1" xml:space="preserve"> D4 * A4 * LOG(A4,2)</f>
        <v>1665519.8262902508</v>
      </c>
      <c r="D4" s="4">
        <v>1536</v>
      </c>
    </row>
    <row r="5" spans="1:4" x14ac:dyDescent="0.3">
      <c r="A5" s="4">
        <v>200</v>
      </c>
      <c r="B5" s="4">
        <f t="shared" si="0"/>
        <v>61440000</v>
      </c>
      <c r="C5" s="4">
        <f t="shared" si="1"/>
        <v>2348192.6214987952</v>
      </c>
      <c r="D5" s="4">
        <v>1536</v>
      </c>
    </row>
    <row r="6" spans="1:4" x14ac:dyDescent="0.3">
      <c r="A6" s="4">
        <v>250</v>
      </c>
      <c r="B6" s="4">
        <f t="shared" si="0"/>
        <v>96000000</v>
      </c>
      <c r="C6" s="4">
        <f t="shared" si="1"/>
        <v>3058861.1653102413</v>
      </c>
      <c r="D6" s="4">
        <v>1536</v>
      </c>
    </row>
    <row r="7" spans="1:4" x14ac:dyDescent="0.3">
      <c r="A7" s="4">
        <v>300</v>
      </c>
      <c r="B7" s="4">
        <f t="shared" si="0"/>
        <v>138240000</v>
      </c>
      <c r="C7" s="4">
        <f t="shared" si="1"/>
        <v>3791839.652580502</v>
      </c>
      <c r="D7" s="4">
        <v>1536</v>
      </c>
    </row>
    <row r="8" spans="1:4" x14ac:dyDescent="0.3">
      <c r="A8" s="4">
        <v>350</v>
      </c>
      <c r="B8" s="4">
        <f t="shared" si="0"/>
        <v>188160000</v>
      </c>
      <c r="C8" s="4">
        <f t="shared" si="1"/>
        <v>4543371.0937210601</v>
      </c>
      <c r="D8" s="4">
        <v>1536</v>
      </c>
    </row>
    <row r="9" spans="1:4" x14ac:dyDescent="0.3">
      <c r="A9" s="4">
        <v>400</v>
      </c>
      <c r="B9" s="4">
        <f t="shared" si="0"/>
        <v>245760000</v>
      </c>
      <c r="C9" s="4">
        <f t="shared" si="1"/>
        <v>5310785.2429975914</v>
      </c>
      <c r="D9" s="4">
        <v>1536</v>
      </c>
    </row>
    <row r="10" spans="1:4" x14ac:dyDescent="0.3">
      <c r="A10" s="4">
        <v>450</v>
      </c>
      <c r="B10" s="4">
        <f t="shared" si="0"/>
        <v>311040000</v>
      </c>
      <c r="C10" s="4">
        <f t="shared" si="1"/>
        <v>6092085.5593692167</v>
      </c>
      <c r="D10" s="4">
        <v>1536</v>
      </c>
    </row>
    <row r="11" spans="1:4" x14ac:dyDescent="0.3">
      <c r="A11" s="4">
        <v>500</v>
      </c>
      <c r="B11" s="4">
        <f t="shared" si="0"/>
        <v>384000000</v>
      </c>
      <c r="C11" s="4">
        <f t="shared" si="1"/>
        <v>6885722.3306204826</v>
      </c>
      <c r="D11" s="4">
        <v>1536</v>
      </c>
    </row>
    <row r="12" spans="1:4" x14ac:dyDescent="0.3">
      <c r="A12" s="4">
        <v>550</v>
      </c>
      <c r="B12" s="4">
        <f t="shared" si="0"/>
        <v>464640000</v>
      </c>
      <c r="C12" s="4">
        <f t="shared" si="1"/>
        <v>7690457.5405464759</v>
      </c>
      <c r="D12" s="4">
        <v>1536</v>
      </c>
    </row>
    <row r="13" spans="1:4" x14ac:dyDescent="0.3">
      <c r="A13" s="4">
        <v>600</v>
      </c>
      <c r="B13" s="4">
        <f t="shared" si="0"/>
        <v>552960000</v>
      </c>
      <c r="C13" s="4">
        <f t="shared" si="1"/>
        <v>8505279.3051610049</v>
      </c>
      <c r="D13" s="4">
        <v>1536</v>
      </c>
    </row>
    <row r="14" spans="1:4" x14ac:dyDescent="0.3">
      <c r="A14" s="4">
        <v>650</v>
      </c>
      <c r="B14" s="4">
        <f t="shared" si="0"/>
        <v>648960000</v>
      </c>
      <c r="C14" s="4">
        <f t="shared" si="1"/>
        <v>9329345.0344631523</v>
      </c>
      <c r="D14" s="4">
        <v>1536</v>
      </c>
    </row>
    <row r="15" spans="1:4" x14ac:dyDescent="0.3">
      <c r="A15" s="4">
        <v>700</v>
      </c>
      <c r="B15" s="4">
        <f t="shared" si="0"/>
        <v>752640000</v>
      </c>
      <c r="C15" s="4">
        <f t="shared" si="1"/>
        <v>10161942.18744212</v>
      </c>
      <c r="D15" s="4">
        <v>1536</v>
      </c>
    </row>
    <row r="16" spans="1:4" x14ac:dyDescent="0.3">
      <c r="A16" s="4">
        <v>750</v>
      </c>
      <c r="B16" s="4">
        <f t="shared" si="0"/>
        <v>864000000</v>
      </c>
      <c r="C16" s="4">
        <f t="shared" si="1"/>
        <v>11002460.296761496</v>
      </c>
      <c r="D16" s="4">
        <v>1536</v>
      </c>
    </row>
    <row r="17" spans="1:4" x14ac:dyDescent="0.3">
      <c r="A17" s="4">
        <v>800</v>
      </c>
      <c r="B17" s="4">
        <f t="shared" si="0"/>
        <v>983040000</v>
      </c>
      <c r="C17" s="4">
        <f t="shared" si="1"/>
        <v>11850370.485995183</v>
      </c>
      <c r="D17" s="4">
        <v>1536</v>
      </c>
    </row>
    <row r="18" spans="1:4" x14ac:dyDescent="0.3">
      <c r="A18" s="4">
        <v>850</v>
      </c>
      <c r="B18" s="4">
        <f t="shared" si="0"/>
        <v>1109760000</v>
      </c>
      <c r="C18" s="4">
        <f t="shared" si="1"/>
        <v>12705210.126906324</v>
      </c>
      <c r="D18" s="4">
        <v>1536</v>
      </c>
    </row>
    <row r="19" spans="1:4" x14ac:dyDescent="0.3">
      <c r="A19" s="4">
        <v>900</v>
      </c>
      <c r="B19" s="4">
        <f t="shared" si="0"/>
        <v>1244160000</v>
      </c>
      <c r="C19" s="4">
        <f t="shared" si="1"/>
        <v>13566571.118738433</v>
      </c>
      <c r="D19" s="4">
        <v>1536</v>
      </c>
    </row>
    <row r="20" spans="1:4" x14ac:dyDescent="0.3">
      <c r="A20" s="4">
        <v>950</v>
      </c>
      <c r="B20" s="4">
        <f t="shared" si="0"/>
        <v>1386240000</v>
      </c>
      <c r="C20" s="4">
        <f t="shared" si="1"/>
        <v>14434090.779736159</v>
      </c>
      <c r="D20" s="4">
        <v>1536</v>
      </c>
    </row>
    <row r="21" spans="1:4" x14ac:dyDescent="0.3">
      <c r="A21" s="4">
        <v>1000</v>
      </c>
      <c r="B21" s="4">
        <f t="shared" si="0"/>
        <v>1536000000</v>
      </c>
      <c r="C21" s="4">
        <f t="shared" si="1"/>
        <v>15307444.661240965</v>
      </c>
      <c r="D21" s="4">
        <v>1536</v>
      </c>
    </row>
    <row r="22" spans="1:4" x14ac:dyDescent="0.3">
      <c r="A22" s="4">
        <v>1050</v>
      </c>
      <c r="B22" s="4">
        <f t="shared" si="0"/>
        <v>1693440000</v>
      </c>
      <c r="C22" s="4">
        <f t="shared" si="1"/>
        <v>16186340.80232626</v>
      </c>
      <c r="D22" s="4">
        <v>1536</v>
      </c>
    </row>
    <row r="23" spans="1:4" x14ac:dyDescent="0.3">
      <c r="A23" s="4">
        <v>1100</v>
      </c>
      <c r="B23" s="4">
        <f t="shared" si="0"/>
        <v>1858560000</v>
      </c>
      <c r="C23" s="4">
        <f t="shared" si="1"/>
        <v>17070515.081092954</v>
      </c>
      <c r="D23" s="4">
        <v>1536</v>
      </c>
    </row>
    <row r="24" spans="1:4" x14ac:dyDescent="0.3">
      <c r="A24" s="4">
        <v>1150</v>
      </c>
      <c r="B24" s="4">
        <f t="shared" si="0"/>
        <v>2031360000</v>
      </c>
      <c r="C24" s="4">
        <f t="shared" si="1"/>
        <v>17959727.412797183</v>
      </c>
      <c r="D24" s="4">
        <v>1536</v>
      </c>
    </row>
    <row r="25" spans="1:4" x14ac:dyDescent="0.3">
      <c r="A25" s="4">
        <v>1200</v>
      </c>
      <c r="B25" s="4">
        <f t="shared" si="0"/>
        <v>2211840000</v>
      </c>
      <c r="C25" s="4">
        <f t="shared" si="1"/>
        <v>18853758.61032201</v>
      </c>
      <c r="D25" s="4">
        <v>1536</v>
      </c>
    </row>
    <row r="26" spans="1:4" x14ac:dyDescent="0.3">
      <c r="A26" s="4">
        <v>1250</v>
      </c>
      <c r="B26" s="4">
        <f t="shared" si="0"/>
        <v>2400000000</v>
      </c>
      <c r="C26" s="4">
        <f t="shared" si="1"/>
        <v>19752407.768734943</v>
      </c>
      <c r="D26" s="4">
        <v>1536</v>
      </c>
    </row>
    <row r="27" spans="1:4" x14ac:dyDescent="0.3">
      <c r="A27" s="4">
        <v>1300</v>
      </c>
      <c r="B27" s="4">
        <f t="shared" si="0"/>
        <v>2595840000</v>
      </c>
      <c r="C27" s="4">
        <f t="shared" si="1"/>
        <v>20655490.068926305</v>
      </c>
      <c r="D27" s="4">
        <v>1536</v>
      </c>
    </row>
    <row r="28" spans="1:4" x14ac:dyDescent="0.3">
      <c r="A28" s="4">
        <v>1350</v>
      </c>
      <c r="B28" s="4">
        <f t="shared" si="0"/>
        <v>2799360000</v>
      </c>
      <c r="C28" s="4">
        <f t="shared" si="1"/>
        <v>21562834.919603039</v>
      </c>
      <c r="D28" s="4">
        <v>1536</v>
      </c>
    </row>
    <row r="29" spans="1:4" x14ac:dyDescent="0.3">
      <c r="A29" s="4">
        <v>1400</v>
      </c>
      <c r="B29" s="4">
        <f t="shared" si="0"/>
        <v>3010560000</v>
      </c>
      <c r="C29" s="4">
        <f t="shared" si="1"/>
        <v>22474284.37488424</v>
      </c>
      <c r="D29" s="4">
        <v>1536</v>
      </c>
    </row>
    <row r="30" spans="1:4" x14ac:dyDescent="0.3">
      <c r="A30" s="4">
        <v>1450</v>
      </c>
      <c r="B30" s="4">
        <f t="shared" si="0"/>
        <v>3229440000</v>
      </c>
      <c r="C30" s="4">
        <f t="shared" si="1"/>
        <v>23389691.778214399</v>
      </c>
      <c r="D30" s="4">
        <v>1536</v>
      </c>
    </row>
    <row r="31" spans="1:4" x14ac:dyDescent="0.3">
      <c r="A31" s="4">
        <v>1500</v>
      </c>
      <c r="B31" s="4">
        <f t="shared" si="0"/>
        <v>3456000000</v>
      </c>
      <c r="C31" s="4">
        <f t="shared" si="1"/>
        <v>24308920.593522992</v>
      </c>
      <c r="D31" s="4">
        <v>1536</v>
      </c>
    </row>
    <row r="1048576" spans="1:1" x14ac:dyDescent="0.3">
      <c r="A1048576" s="4">
        <f>SUM(A2:A1048575)</f>
        <v>23250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4A5CD-23A7-4989-844C-2B1AA62506B3}">
  <dimension ref="A1:D1048576"/>
  <sheetViews>
    <sheetView topLeftCell="B1" workbookViewId="0">
      <selection activeCell="R17" sqref="R17"/>
    </sheetView>
  </sheetViews>
  <sheetFormatPr defaultRowHeight="14.4" x14ac:dyDescent="0.3"/>
  <cols>
    <col min="1" max="1" width="6" style="4" bestFit="1" customWidth="1"/>
    <col min="2" max="2" width="9.21875" style="4" bestFit="1" customWidth="1"/>
    <col min="3" max="3" width="12" style="4" bestFit="1" customWidth="1"/>
    <col min="4" max="4" width="18" style="4" bestFit="1" customWidth="1"/>
    <col min="5" max="16384" width="8.88671875" style="4"/>
  </cols>
  <sheetData>
    <row r="1" spans="1:4" x14ac:dyDescent="0.3">
      <c r="A1" s="3" t="s">
        <v>3011</v>
      </c>
      <c r="B1" s="3" t="s">
        <v>3043</v>
      </c>
      <c r="C1" s="3" t="s">
        <v>3044</v>
      </c>
      <c r="D1" s="3" t="s">
        <v>3045</v>
      </c>
    </row>
    <row r="2" spans="1:4" x14ac:dyDescent="0.3">
      <c r="A2" s="4">
        <v>50</v>
      </c>
      <c r="B2" s="4">
        <f xml:space="preserve"> D2 * A2 * A2</f>
        <v>36250</v>
      </c>
      <c r="C2" s="4">
        <f xml:space="preserve"> D2 * A2 * LOG(A2,2)</f>
        <v>4091.7957375866754</v>
      </c>
      <c r="D2" s="4">
        <v>14.5</v>
      </c>
    </row>
    <row r="3" spans="1:4" x14ac:dyDescent="0.3">
      <c r="A3" s="4">
        <v>100</v>
      </c>
      <c r="B3" s="4">
        <f xml:space="preserve"> D3 * A3 * A3</f>
        <v>145000</v>
      </c>
      <c r="C3" s="4">
        <f xml:space="preserve"> D3 * A3 * LOG(A3,2)</f>
        <v>9633.5914751733508</v>
      </c>
      <c r="D3" s="4">
        <v>14.5</v>
      </c>
    </row>
    <row r="4" spans="1:4" x14ac:dyDescent="0.3">
      <c r="A4" s="4">
        <v>150</v>
      </c>
      <c r="B4" s="4">
        <f t="shared" ref="B4:B31" si="0" xml:space="preserve"> D4 * A4 * A4</f>
        <v>326250</v>
      </c>
      <c r="C4" s="4">
        <f t="shared" ref="C4:C31" si="1" xml:space="preserve"> D4 * A4 * LOG(A4,2)</f>
        <v>15722.680651828539</v>
      </c>
      <c r="D4" s="4">
        <v>14.5</v>
      </c>
    </row>
    <row r="5" spans="1:4" x14ac:dyDescent="0.3">
      <c r="A5" s="4">
        <v>200</v>
      </c>
      <c r="B5" s="4">
        <f t="shared" si="0"/>
        <v>580000</v>
      </c>
      <c r="C5" s="4">
        <f t="shared" si="1"/>
        <v>22167.182950346702</v>
      </c>
      <c r="D5" s="4">
        <v>14.5</v>
      </c>
    </row>
    <row r="6" spans="1:4" x14ac:dyDescent="0.3">
      <c r="A6" s="4">
        <v>250</v>
      </c>
      <c r="B6" s="4">
        <f t="shared" si="0"/>
        <v>906250</v>
      </c>
      <c r="C6" s="4">
        <f t="shared" si="1"/>
        <v>28875.968031900065</v>
      </c>
      <c r="D6" s="4">
        <v>14.5</v>
      </c>
    </row>
    <row r="7" spans="1:4" x14ac:dyDescent="0.3">
      <c r="A7" s="4">
        <v>300</v>
      </c>
      <c r="B7" s="4">
        <f t="shared" si="0"/>
        <v>1305000</v>
      </c>
      <c r="C7" s="4">
        <f t="shared" si="1"/>
        <v>35795.361303657082</v>
      </c>
      <c r="D7" s="4">
        <v>14.5</v>
      </c>
    </row>
    <row r="8" spans="1:4" x14ac:dyDescent="0.3">
      <c r="A8" s="4">
        <v>350</v>
      </c>
      <c r="B8" s="4">
        <f t="shared" si="0"/>
        <v>1776250</v>
      </c>
      <c r="C8" s="4">
        <f t="shared" si="1"/>
        <v>42889.896392549068</v>
      </c>
      <c r="D8" s="4">
        <v>14.5</v>
      </c>
    </row>
    <row r="9" spans="1:4" x14ac:dyDescent="0.3">
      <c r="A9" s="4">
        <v>400</v>
      </c>
      <c r="B9" s="4">
        <f t="shared" si="0"/>
        <v>2320000</v>
      </c>
      <c r="C9" s="4">
        <f t="shared" si="1"/>
        <v>50134.365900693403</v>
      </c>
      <c r="D9" s="4">
        <v>14.5</v>
      </c>
    </row>
    <row r="10" spans="1:4" x14ac:dyDescent="0.3">
      <c r="A10" s="4">
        <v>450</v>
      </c>
      <c r="B10" s="4">
        <f t="shared" si="0"/>
        <v>2936250</v>
      </c>
      <c r="C10" s="4">
        <f t="shared" si="1"/>
        <v>57509.922272691168</v>
      </c>
      <c r="D10" s="4">
        <v>14.5</v>
      </c>
    </row>
    <row r="11" spans="1:4" x14ac:dyDescent="0.3">
      <c r="A11" s="4">
        <v>500</v>
      </c>
      <c r="B11" s="4">
        <f t="shared" si="0"/>
        <v>3625000</v>
      </c>
      <c r="C11" s="4">
        <f t="shared" si="1"/>
        <v>65001.936063800131</v>
      </c>
      <c r="D11" s="4">
        <v>14.5</v>
      </c>
    </row>
    <row r="12" spans="1:4" x14ac:dyDescent="0.3">
      <c r="A12" s="4">
        <v>550</v>
      </c>
      <c r="B12" s="4">
        <f t="shared" si="0"/>
        <v>4386250</v>
      </c>
      <c r="C12" s="4">
        <f t="shared" si="1"/>
        <v>72598.720272085877</v>
      </c>
      <c r="D12" s="4">
        <v>14.5</v>
      </c>
    </row>
    <row r="13" spans="1:4" x14ac:dyDescent="0.3">
      <c r="A13" s="4">
        <v>600</v>
      </c>
      <c r="B13" s="4">
        <f t="shared" si="0"/>
        <v>5220000</v>
      </c>
      <c r="C13" s="4">
        <f t="shared" si="1"/>
        <v>80290.722607314165</v>
      </c>
      <c r="D13" s="4">
        <v>14.5</v>
      </c>
    </row>
    <row r="14" spans="1:4" x14ac:dyDescent="0.3">
      <c r="A14" s="4">
        <v>650</v>
      </c>
      <c r="B14" s="4">
        <f t="shared" si="0"/>
        <v>6126250</v>
      </c>
      <c r="C14" s="4">
        <f t="shared" si="1"/>
        <v>88069.988932106586</v>
      </c>
      <c r="D14" s="4">
        <v>14.5</v>
      </c>
    </row>
    <row r="15" spans="1:4" x14ac:dyDescent="0.3">
      <c r="A15" s="4">
        <v>700</v>
      </c>
      <c r="B15" s="4">
        <f t="shared" si="0"/>
        <v>7105000</v>
      </c>
      <c r="C15" s="4">
        <f t="shared" si="1"/>
        <v>95929.792785098136</v>
      </c>
      <c r="D15" s="4">
        <v>14.5</v>
      </c>
    </row>
    <row r="16" spans="1:4" x14ac:dyDescent="0.3">
      <c r="A16" s="4">
        <v>750</v>
      </c>
      <c r="B16" s="4">
        <f t="shared" si="0"/>
        <v>8156250</v>
      </c>
      <c r="C16" s="4">
        <f t="shared" si="1"/>
        <v>103864.37129104277</v>
      </c>
      <c r="D16" s="4">
        <v>14.5</v>
      </c>
    </row>
    <row r="17" spans="1:4" x14ac:dyDescent="0.3">
      <c r="A17" s="4">
        <v>800</v>
      </c>
      <c r="B17" s="4">
        <f t="shared" si="0"/>
        <v>9280000</v>
      </c>
      <c r="C17" s="4">
        <f t="shared" si="1"/>
        <v>111868.73180138681</v>
      </c>
      <c r="D17" s="4">
        <v>14.5</v>
      </c>
    </row>
    <row r="18" spans="1:4" x14ac:dyDescent="0.3">
      <c r="A18" s="4">
        <v>850</v>
      </c>
      <c r="B18" s="4">
        <f t="shared" si="0"/>
        <v>10476250</v>
      </c>
      <c r="C18" s="4">
        <f t="shared" si="1"/>
        <v>119938.50705738392</v>
      </c>
      <c r="D18" s="4">
        <v>14.5</v>
      </c>
    </row>
    <row r="19" spans="1:4" x14ac:dyDescent="0.3">
      <c r="A19" s="4">
        <v>900</v>
      </c>
      <c r="B19" s="4">
        <f t="shared" si="0"/>
        <v>11745000</v>
      </c>
      <c r="C19" s="4">
        <f t="shared" si="1"/>
        <v>128069.84454538234</v>
      </c>
      <c r="D19" s="4">
        <v>14.5</v>
      </c>
    </row>
    <row r="20" spans="1:4" x14ac:dyDescent="0.3">
      <c r="A20" s="4">
        <v>950</v>
      </c>
      <c r="B20" s="4">
        <f t="shared" si="0"/>
        <v>13086250</v>
      </c>
      <c r="C20" s="4">
        <f t="shared" si="1"/>
        <v>136259.32051183222</v>
      </c>
      <c r="D20" s="4">
        <v>14.5</v>
      </c>
    </row>
    <row r="21" spans="1:4" x14ac:dyDescent="0.3">
      <c r="A21" s="4">
        <v>1000</v>
      </c>
      <c r="B21" s="4">
        <f t="shared" si="0"/>
        <v>14500000</v>
      </c>
      <c r="C21" s="4">
        <f t="shared" si="1"/>
        <v>144503.87212760025</v>
      </c>
      <c r="D21" s="4">
        <v>14.5</v>
      </c>
    </row>
    <row r="22" spans="1:4" x14ac:dyDescent="0.3">
      <c r="A22" s="4">
        <v>1050</v>
      </c>
      <c r="B22" s="4">
        <f t="shared" si="0"/>
        <v>15986250</v>
      </c>
      <c r="C22" s="4">
        <f t="shared" si="1"/>
        <v>152800.74325112681</v>
      </c>
      <c r="D22" s="4">
        <v>14.5</v>
      </c>
    </row>
    <row r="23" spans="1:4" x14ac:dyDescent="0.3">
      <c r="A23" s="4">
        <v>1100</v>
      </c>
      <c r="B23" s="4">
        <f t="shared" si="0"/>
        <v>17545000</v>
      </c>
      <c r="C23" s="4">
        <f t="shared" si="1"/>
        <v>161147.44054417175</v>
      </c>
      <c r="D23" s="4">
        <v>14.5</v>
      </c>
    </row>
    <row r="24" spans="1:4" x14ac:dyDescent="0.3">
      <c r="A24" s="4">
        <v>1150</v>
      </c>
      <c r="B24" s="4">
        <f t="shared" si="0"/>
        <v>19176250</v>
      </c>
      <c r="C24" s="4">
        <f t="shared" si="1"/>
        <v>169541.69758174426</v>
      </c>
      <c r="D24" s="4">
        <v>14.5</v>
      </c>
    </row>
    <row r="25" spans="1:4" x14ac:dyDescent="0.3">
      <c r="A25" s="4">
        <v>1200</v>
      </c>
      <c r="B25" s="4">
        <f t="shared" si="0"/>
        <v>20880000</v>
      </c>
      <c r="C25" s="4">
        <f t="shared" si="1"/>
        <v>177981.44521462833</v>
      </c>
      <c r="D25" s="4">
        <v>14.5</v>
      </c>
    </row>
    <row r="26" spans="1:4" x14ac:dyDescent="0.3">
      <c r="A26" s="4">
        <v>1250</v>
      </c>
      <c r="B26" s="4">
        <f t="shared" si="0"/>
        <v>22656250</v>
      </c>
      <c r="C26" s="4">
        <f t="shared" si="1"/>
        <v>186464.78687933375</v>
      </c>
      <c r="D26" s="4">
        <v>14.5</v>
      </c>
    </row>
    <row r="27" spans="1:4" x14ac:dyDescent="0.3">
      <c r="A27" s="4">
        <v>1300</v>
      </c>
      <c r="B27" s="4">
        <f t="shared" si="0"/>
        <v>24505000</v>
      </c>
      <c r="C27" s="4">
        <f t="shared" si="1"/>
        <v>194989.97786421317</v>
      </c>
      <c r="D27" s="4">
        <v>14.5</v>
      </c>
    </row>
    <row r="28" spans="1:4" x14ac:dyDescent="0.3">
      <c r="A28" s="4">
        <v>1350</v>
      </c>
      <c r="B28" s="4">
        <f t="shared" si="0"/>
        <v>26426250</v>
      </c>
      <c r="C28" s="4">
        <f t="shared" si="1"/>
        <v>203555.40776969015</v>
      </c>
      <c r="D28" s="4">
        <v>14.5</v>
      </c>
    </row>
    <row r="29" spans="1:4" x14ac:dyDescent="0.3">
      <c r="A29" s="4">
        <v>1400</v>
      </c>
      <c r="B29" s="4">
        <f t="shared" si="0"/>
        <v>28420000</v>
      </c>
      <c r="C29" s="4">
        <f t="shared" si="1"/>
        <v>212159.58557019627</v>
      </c>
      <c r="D29" s="4">
        <v>14.5</v>
      </c>
    </row>
    <row r="30" spans="1:4" x14ac:dyDescent="0.3">
      <c r="A30" s="4">
        <v>1450</v>
      </c>
      <c r="B30" s="4">
        <f t="shared" si="0"/>
        <v>30486250</v>
      </c>
      <c r="C30" s="4">
        <f t="shared" si="1"/>
        <v>220801.12681257082</v>
      </c>
      <c r="D30" s="4">
        <v>14.5</v>
      </c>
    </row>
    <row r="31" spans="1:4" x14ac:dyDescent="0.3">
      <c r="A31" s="4">
        <v>1500</v>
      </c>
      <c r="B31" s="4">
        <f t="shared" si="0"/>
        <v>32625000</v>
      </c>
      <c r="C31" s="4">
        <f t="shared" si="1"/>
        <v>229478.74258208554</v>
      </c>
      <c r="D31" s="4">
        <v>14.5</v>
      </c>
    </row>
    <row r="1048576" spans="1:1" x14ac:dyDescent="0.3">
      <c r="A1048576" s="4">
        <f>SUM(A2:A1048575)</f>
        <v>23250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FD562-12A4-4A45-974B-54A84330A0EE}">
  <dimension ref="A1:D31"/>
  <sheetViews>
    <sheetView topLeftCell="A2" workbookViewId="0">
      <selection activeCell="A2" sqref="A1:XFD1048576"/>
    </sheetView>
  </sheetViews>
  <sheetFormatPr defaultRowHeight="14.4" x14ac:dyDescent="0.3"/>
  <cols>
    <col min="1" max="1" width="5" bestFit="1" customWidth="1"/>
    <col min="2" max="2" width="9" bestFit="1" customWidth="1"/>
    <col min="4" max="4" width="18" bestFit="1" customWidth="1"/>
  </cols>
  <sheetData>
    <row r="1" spans="1:4" x14ac:dyDescent="0.3">
      <c r="A1" s="3" t="s">
        <v>3011</v>
      </c>
      <c r="B1" s="3" t="s">
        <v>3043</v>
      </c>
      <c r="C1" s="3" t="s">
        <v>3044</v>
      </c>
      <c r="D1" s="3" t="s">
        <v>3045</v>
      </c>
    </row>
    <row r="2" spans="1:4" x14ac:dyDescent="0.3">
      <c r="A2" s="4">
        <v>50</v>
      </c>
      <c r="B2" s="4">
        <f xml:space="preserve"> D2 * A2 * A2</f>
        <v>32750</v>
      </c>
      <c r="C2" s="4">
        <f xml:space="preserve"> D2 * A2 * LOG(A2,2)</f>
        <v>3696.7258043024444</v>
      </c>
      <c r="D2" s="4">
        <v>13.1</v>
      </c>
    </row>
    <row r="3" spans="1:4" x14ac:dyDescent="0.3">
      <c r="A3" s="4">
        <v>100</v>
      </c>
      <c r="B3" s="4">
        <f xml:space="preserve"> D3 * A3 * A3</f>
        <v>131000</v>
      </c>
      <c r="C3" s="4">
        <f xml:space="preserve"> D3 * A3 * LOG(A3,2)</f>
        <v>8703.4516086048898</v>
      </c>
      <c r="D3" s="4">
        <v>13.1</v>
      </c>
    </row>
    <row r="4" spans="1:4" x14ac:dyDescent="0.3">
      <c r="A4" s="4">
        <v>150</v>
      </c>
      <c r="B4" s="4">
        <f t="shared" ref="B4:B31" si="0" xml:space="preserve"> D4 * A4 * A4</f>
        <v>294750</v>
      </c>
      <c r="C4" s="4">
        <f t="shared" ref="C4:C31" si="1" xml:space="preserve"> D4 * A4 * LOG(A4,2)</f>
        <v>14204.628726824405</v>
      </c>
      <c r="D4" s="4">
        <v>13.1</v>
      </c>
    </row>
    <row r="5" spans="1:4" x14ac:dyDescent="0.3">
      <c r="A5" s="4">
        <v>200</v>
      </c>
      <c r="B5" s="4">
        <f t="shared" si="0"/>
        <v>524000</v>
      </c>
      <c r="C5" s="4">
        <f t="shared" si="1"/>
        <v>20026.90321720978</v>
      </c>
      <c r="D5" s="4">
        <v>13.1</v>
      </c>
    </row>
    <row r="6" spans="1:4" x14ac:dyDescent="0.3">
      <c r="A6" s="4">
        <v>250</v>
      </c>
      <c r="B6" s="4">
        <f t="shared" si="0"/>
        <v>818750</v>
      </c>
      <c r="C6" s="4">
        <f t="shared" si="1"/>
        <v>26087.943532268335</v>
      </c>
      <c r="D6" s="4">
        <v>13.1</v>
      </c>
    </row>
    <row r="7" spans="1:4" x14ac:dyDescent="0.3">
      <c r="A7" s="4">
        <v>300</v>
      </c>
      <c r="B7" s="4">
        <f t="shared" si="0"/>
        <v>1179000</v>
      </c>
      <c r="C7" s="4">
        <f t="shared" si="1"/>
        <v>32339.257453648814</v>
      </c>
      <c r="D7" s="4">
        <v>13.1</v>
      </c>
    </row>
    <row r="8" spans="1:4" x14ac:dyDescent="0.3">
      <c r="A8" s="4">
        <v>350</v>
      </c>
      <c r="B8" s="4">
        <f t="shared" si="0"/>
        <v>1604750</v>
      </c>
      <c r="C8" s="4">
        <f t="shared" si="1"/>
        <v>38748.802947751232</v>
      </c>
      <c r="D8" s="4">
        <v>13.1</v>
      </c>
    </row>
    <row r="9" spans="1:4" x14ac:dyDescent="0.3">
      <c r="A9" s="4">
        <v>400</v>
      </c>
      <c r="B9" s="4">
        <f t="shared" si="0"/>
        <v>2096000</v>
      </c>
      <c r="C9" s="4">
        <f t="shared" si="1"/>
        <v>45293.806434419559</v>
      </c>
      <c r="D9" s="4">
        <v>13.1</v>
      </c>
    </row>
    <row r="10" spans="1:4" x14ac:dyDescent="0.3">
      <c r="A10" s="4">
        <v>450</v>
      </c>
      <c r="B10" s="4">
        <f t="shared" si="0"/>
        <v>2652750</v>
      </c>
      <c r="C10" s="4">
        <f t="shared" si="1"/>
        <v>51957.240122224437</v>
      </c>
      <c r="D10" s="4">
        <v>13.1</v>
      </c>
    </row>
    <row r="11" spans="1:4" x14ac:dyDescent="0.3">
      <c r="A11" s="4">
        <v>500</v>
      </c>
      <c r="B11" s="4">
        <f t="shared" si="0"/>
        <v>3275000</v>
      </c>
      <c r="C11" s="4">
        <f t="shared" si="1"/>
        <v>58725.88706453667</v>
      </c>
      <c r="D11" s="4">
        <v>13.1</v>
      </c>
    </row>
    <row r="12" spans="1:4" x14ac:dyDescent="0.3">
      <c r="A12" s="4">
        <v>550</v>
      </c>
      <c r="B12" s="4">
        <f t="shared" si="0"/>
        <v>3962750</v>
      </c>
      <c r="C12" s="4">
        <f t="shared" si="1"/>
        <v>65589.188659608611</v>
      </c>
      <c r="D12" s="4">
        <v>13.1</v>
      </c>
    </row>
    <row r="13" spans="1:4" x14ac:dyDescent="0.3">
      <c r="A13" s="4">
        <v>600</v>
      </c>
      <c r="B13" s="4">
        <f t="shared" si="0"/>
        <v>4716000</v>
      </c>
      <c r="C13" s="4">
        <f t="shared" si="1"/>
        <v>72538.51490729762</v>
      </c>
      <c r="D13" s="4">
        <v>13.1</v>
      </c>
    </row>
    <row r="14" spans="1:4" x14ac:dyDescent="0.3">
      <c r="A14" s="4">
        <v>650</v>
      </c>
      <c r="B14" s="4">
        <f t="shared" si="0"/>
        <v>5534750</v>
      </c>
      <c r="C14" s="4">
        <f t="shared" si="1"/>
        <v>79566.679655903194</v>
      </c>
      <c r="D14" s="4">
        <v>13.1</v>
      </c>
    </row>
    <row r="15" spans="1:4" x14ac:dyDescent="0.3">
      <c r="A15" s="4">
        <v>700</v>
      </c>
      <c r="B15" s="4">
        <f t="shared" si="0"/>
        <v>6419000</v>
      </c>
      <c r="C15" s="4">
        <f t="shared" si="1"/>
        <v>86667.605895502464</v>
      </c>
      <c r="D15" s="4">
        <v>13.1</v>
      </c>
    </row>
    <row r="16" spans="1:4" x14ac:dyDescent="0.3">
      <c r="A16" s="4">
        <v>750</v>
      </c>
      <c r="B16" s="4">
        <f t="shared" si="0"/>
        <v>7368750</v>
      </c>
      <c r="C16" s="4">
        <f t="shared" si="1"/>
        <v>93836.087166390367</v>
      </c>
      <c r="D16" s="4">
        <v>13.1</v>
      </c>
    </row>
    <row r="17" spans="1:4" x14ac:dyDescent="0.3">
      <c r="A17" s="4">
        <v>800</v>
      </c>
      <c r="B17" s="4">
        <f t="shared" si="0"/>
        <v>8384000</v>
      </c>
      <c r="C17" s="4">
        <f t="shared" si="1"/>
        <v>101067.61286883912</v>
      </c>
      <c r="D17" s="4">
        <v>13.1</v>
      </c>
    </row>
    <row r="18" spans="1:4" x14ac:dyDescent="0.3">
      <c r="A18" s="4">
        <v>850</v>
      </c>
      <c r="B18" s="4">
        <f t="shared" si="0"/>
        <v>9464750</v>
      </c>
      <c r="C18" s="4">
        <f t="shared" si="1"/>
        <v>108358.23741046409</v>
      </c>
      <c r="D18" s="4">
        <v>13.1</v>
      </c>
    </row>
    <row r="19" spans="1:4" x14ac:dyDescent="0.3">
      <c r="A19" s="4">
        <v>900</v>
      </c>
      <c r="B19" s="4">
        <f t="shared" si="0"/>
        <v>10611000</v>
      </c>
      <c r="C19" s="4">
        <f t="shared" si="1"/>
        <v>115704.48024444887</v>
      </c>
      <c r="D19" s="4">
        <v>13.1</v>
      </c>
    </row>
    <row r="20" spans="1:4" x14ac:dyDescent="0.3">
      <c r="A20" s="4">
        <v>950</v>
      </c>
      <c r="B20" s="4">
        <f t="shared" si="0"/>
        <v>11822750</v>
      </c>
      <c r="C20" s="4">
        <f t="shared" si="1"/>
        <v>123103.24818655188</v>
      </c>
      <c r="D20" s="4">
        <v>13.1</v>
      </c>
    </row>
    <row r="21" spans="1:4" x14ac:dyDescent="0.3">
      <c r="A21" s="4">
        <v>1000</v>
      </c>
      <c r="B21" s="4">
        <f t="shared" si="0"/>
        <v>13100000</v>
      </c>
      <c r="C21" s="4">
        <f t="shared" si="1"/>
        <v>130551.77412907334</v>
      </c>
      <c r="D21" s="4">
        <v>13.1</v>
      </c>
    </row>
    <row r="22" spans="1:4" x14ac:dyDescent="0.3">
      <c r="A22" s="4">
        <v>1050</v>
      </c>
      <c r="B22" s="4">
        <f t="shared" si="0"/>
        <v>14442750</v>
      </c>
      <c r="C22" s="4">
        <f t="shared" si="1"/>
        <v>138047.56804067318</v>
      </c>
      <c r="D22" s="4">
        <v>13.1</v>
      </c>
    </row>
    <row r="23" spans="1:4" x14ac:dyDescent="0.3">
      <c r="A23" s="4">
        <v>1100</v>
      </c>
      <c r="B23" s="4">
        <f t="shared" si="0"/>
        <v>15851000</v>
      </c>
      <c r="C23" s="4">
        <f t="shared" si="1"/>
        <v>145588.37731921722</v>
      </c>
      <c r="D23" s="4">
        <v>13.1</v>
      </c>
    </row>
    <row r="24" spans="1:4" x14ac:dyDescent="0.3">
      <c r="A24" s="4">
        <v>1150</v>
      </c>
      <c r="B24" s="4">
        <f t="shared" si="0"/>
        <v>17324750</v>
      </c>
      <c r="C24" s="4">
        <f t="shared" si="1"/>
        <v>153172.15436695516</v>
      </c>
      <c r="D24" s="4">
        <v>13.1</v>
      </c>
    </row>
    <row r="25" spans="1:4" x14ac:dyDescent="0.3">
      <c r="A25" s="4">
        <v>1200</v>
      </c>
      <c r="B25" s="4">
        <f t="shared" si="0"/>
        <v>18864000</v>
      </c>
      <c r="C25" s="4">
        <f t="shared" si="1"/>
        <v>160797.02981459524</v>
      </c>
      <c r="D25" s="4">
        <v>13.1</v>
      </c>
    </row>
    <row r="26" spans="1:4" x14ac:dyDescent="0.3">
      <c r="A26" s="4">
        <v>1250</v>
      </c>
      <c r="B26" s="4">
        <f t="shared" si="0"/>
        <v>20468750</v>
      </c>
      <c r="C26" s="4">
        <f t="shared" si="1"/>
        <v>168461.29021512222</v>
      </c>
      <c r="D26" s="4">
        <v>13.1</v>
      </c>
    </row>
    <row r="27" spans="1:4" x14ac:dyDescent="0.3">
      <c r="A27" s="4">
        <v>1300</v>
      </c>
      <c r="B27" s="4">
        <f t="shared" si="0"/>
        <v>22139000</v>
      </c>
      <c r="C27" s="4">
        <f t="shared" si="1"/>
        <v>176163.35931180639</v>
      </c>
      <c r="D27" s="4">
        <v>13.1</v>
      </c>
    </row>
    <row r="28" spans="1:4" x14ac:dyDescent="0.3">
      <c r="A28" s="4">
        <v>1350</v>
      </c>
      <c r="B28" s="4">
        <f t="shared" si="0"/>
        <v>23874750</v>
      </c>
      <c r="C28" s="4">
        <f t="shared" si="1"/>
        <v>183901.78219192696</v>
      </c>
      <c r="D28" s="4">
        <v>13.1</v>
      </c>
    </row>
    <row r="29" spans="1:4" x14ac:dyDescent="0.3">
      <c r="A29" s="4">
        <v>1400</v>
      </c>
      <c r="B29" s="4">
        <f t="shared" si="0"/>
        <v>25676000</v>
      </c>
      <c r="C29" s="4">
        <f t="shared" si="1"/>
        <v>191675.21179100493</v>
      </c>
      <c r="D29" s="4">
        <v>13.1</v>
      </c>
    </row>
    <row r="30" spans="1:4" x14ac:dyDescent="0.3">
      <c r="A30" s="4">
        <v>1450</v>
      </c>
      <c r="B30" s="4">
        <f t="shared" si="0"/>
        <v>27542750</v>
      </c>
      <c r="C30" s="4">
        <f t="shared" si="1"/>
        <v>199482.39732721917</v>
      </c>
      <c r="D30" s="4">
        <v>13.1</v>
      </c>
    </row>
    <row r="31" spans="1:4" x14ac:dyDescent="0.3">
      <c r="A31" s="4">
        <v>1500</v>
      </c>
      <c r="B31" s="4">
        <f t="shared" si="0"/>
        <v>29475000</v>
      </c>
      <c r="C31" s="4">
        <f t="shared" si="1"/>
        <v>207322.17433278073</v>
      </c>
      <c r="D31" s="4">
        <v>13.1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C542C-9E5D-4520-9FBB-F75FD8537DB3}">
  <dimension ref="A1:D31"/>
  <sheetViews>
    <sheetView topLeftCell="E1" workbookViewId="0">
      <selection activeCell="O22" sqref="O22"/>
    </sheetView>
  </sheetViews>
  <sheetFormatPr defaultRowHeight="14.4" x14ac:dyDescent="0.3"/>
  <cols>
    <col min="1" max="1" width="5" bestFit="1" customWidth="1"/>
    <col min="2" max="2" width="9" bestFit="1" customWidth="1"/>
    <col min="4" max="4" width="18" bestFit="1" customWidth="1"/>
  </cols>
  <sheetData>
    <row r="1" spans="1:4" x14ac:dyDescent="0.3">
      <c r="A1" s="3" t="s">
        <v>3011</v>
      </c>
      <c r="B1" s="3" t="s">
        <v>3043</v>
      </c>
      <c r="C1" s="3" t="s">
        <v>3044</v>
      </c>
      <c r="D1" s="3" t="s">
        <v>3045</v>
      </c>
    </row>
    <row r="2" spans="1:4" x14ac:dyDescent="0.3">
      <c r="A2" s="4">
        <v>50</v>
      </c>
      <c r="B2" s="4">
        <f xml:space="preserve"> D2 * A2 * A2</f>
        <v>32750</v>
      </c>
      <c r="C2" s="4">
        <f xml:space="preserve"> D2 * A2 * LOG(A2,2)</f>
        <v>3696.7258043024444</v>
      </c>
      <c r="D2" s="4">
        <v>13.1</v>
      </c>
    </row>
    <row r="3" spans="1:4" x14ac:dyDescent="0.3">
      <c r="A3" s="4">
        <v>100</v>
      </c>
      <c r="B3" s="4">
        <f xml:space="preserve"> D3 * A3 * A3</f>
        <v>131000</v>
      </c>
      <c r="C3" s="4">
        <f xml:space="preserve"> D3 * A3 * LOG(A3,2)</f>
        <v>8703.4516086048898</v>
      </c>
      <c r="D3" s="4">
        <v>13.1</v>
      </c>
    </row>
    <row r="4" spans="1:4" x14ac:dyDescent="0.3">
      <c r="A4" s="4">
        <v>150</v>
      </c>
      <c r="B4" s="4">
        <f t="shared" ref="B4:B31" si="0" xml:space="preserve"> D4 * A4 * A4</f>
        <v>294750</v>
      </c>
      <c r="C4" s="4">
        <f t="shared" ref="C4:C31" si="1" xml:space="preserve"> D4 * A4 * LOG(A4,2)</f>
        <v>14204.628726824405</v>
      </c>
      <c r="D4" s="4">
        <v>13.1</v>
      </c>
    </row>
    <row r="5" spans="1:4" x14ac:dyDescent="0.3">
      <c r="A5" s="4">
        <v>200</v>
      </c>
      <c r="B5" s="4">
        <f t="shared" si="0"/>
        <v>524000</v>
      </c>
      <c r="C5" s="4">
        <f t="shared" si="1"/>
        <v>20026.90321720978</v>
      </c>
      <c r="D5" s="4">
        <v>13.1</v>
      </c>
    </row>
    <row r="6" spans="1:4" x14ac:dyDescent="0.3">
      <c r="A6" s="4">
        <v>250</v>
      </c>
      <c r="B6" s="4">
        <f t="shared" si="0"/>
        <v>818750</v>
      </c>
      <c r="C6" s="4">
        <f t="shared" si="1"/>
        <v>26087.943532268335</v>
      </c>
      <c r="D6" s="4">
        <v>13.1</v>
      </c>
    </row>
    <row r="7" spans="1:4" x14ac:dyDescent="0.3">
      <c r="A7" s="4">
        <v>300</v>
      </c>
      <c r="B7" s="4">
        <f t="shared" si="0"/>
        <v>1179000</v>
      </c>
      <c r="C7" s="4">
        <f t="shared" si="1"/>
        <v>32339.257453648814</v>
      </c>
      <c r="D7" s="4">
        <v>13.1</v>
      </c>
    </row>
    <row r="8" spans="1:4" x14ac:dyDescent="0.3">
      <c r="A8" s="4">
        <v>350</v>
      </c>
      <c r="B8" s="4">
        <f t="shared" si="0"/>
        <v>1604750</v>
      </c>
      <c r="C8" s="4">
        <f t="shared" si="1"/>
        <v>38748.802947751232</v>
      </c>
      <c r="D8" s="4">
        <v>13.1</v>
      </c>
    </row>
    <row r="9" spans="1:4" x14ac:dyDescent="0.3">
      <c r="A9" s="4">
        <v>400</v>
      </c>
      <c r="B9" s="4">
        <f t="shared" si="0"/>
        <v>2096000</v>
      </c>
      <c r="C9" s="4">
        <f t="shared" si="1"/>
        <v>45293.806434419559</v>
      </c>
      <c r="D9" s="4">
        <v>13.1</v>
      </c>
    </row>
    <row r="10" spans="1:4" x14ac:dyDescent="0.3">
      <c r="A10" s="4">
        <v>450</v>
      </c>
      <c r="B10" s="4">
        <f t="shared" si="0"/>
        <v>2652750</v>
      </c>
      <c r="C10" s="4">
        <f t="shared" si="1"/>
        <v>51957.240122224437</v>
      </c>
      <c r="D10" s="4">
        <v>13.1</v>
      </c>
    </row>
    <row r="11" spans="1:4" x14ac:dyDescent="0.3">
      <c r="A11" s="4">
        <v>500</v>
      </c>
      <c r="B11" s="4">
        <f t="shared" si="0"/>
        <v>3275000</v>
      </c>
      <c r="C11" s="4">
        <f t="shared" si="1"/>
        <v>58725.88706453667</v>
      </c>
      <c r="D11" s="4">
        <v>13.1</v>
      </c>
    </row>
    <row r="12" spans="1:4" x14ac:dyDescent="0.3">
      <c r="A12" s="4">
        <v>550</v>
      </c>
      <c r="B12" s="4">
        <f t="shared" si="0"/>
        <v>3962750</v>
      </c>
      <c r="C12" s="4">
        <f t="shared" si="1"/>
        <v>65589.188659608611</v>
      </c>
      <c r="D12" s="4">
        <v>13.1</v>
      </c>
    </row>
    <row r="13" spans="1:4" x14ac:dyDescent="0.3">
      <c r="A13" s="4">
        <v>600</v>
      </c>
      <c r="B13" s="4">
        <f t="shared" si="0"/>
        <v>4716000</v>
      </c>
      <c r="C13" s="4">
        <f t="shared" si="1"/>
        <v>72538.51490729762</v>
      </c>
      <c r="D13" s="4">
        <v>13.1</v>
      </c>
    </row>
    <row r="14" spans="1:4" x14ac:dyDescent="0.3">
      <c r="A14" s="4">
        <v>650</v>
      </c>
      <c r="B14" s="4">
        <f t="shared" si="0"/>
        <v>5534750</v>
      </c>
      <c r="C14" s="4">
        <f t="shared" si="1"/>
        <v>79566.679655903194</v>
      </c>
      <c r="D14" s="4">
        <v>13.1</v>
      </c>
    </row>
    <row r="15" spans="1:4" x14ac:dyDescent="0.3">
      <c r="A15" s="4">
        <v>700</v>
      </c>
      <c r="B15" s="4">
        <f t="shared" si="0"/>
        <v>6419000</v>
      </c>
      <c r="C15" s="4">
        <f t="shared" si="1"/>
        <v>86667.605895502464</v>
      </c>
      <c r="D15" s="4">
        <v>13.1</v>
      </c>
    </row>
    <row r="16" spans="1:4" x14ac:dyDescent="0.3">
      <c r="A16" s="4">
        <v>750</v>
      </c>
      <c r="B16" s="4">
        <f t="shared" si="0"/>
        <v>7368750</v>
      </c>
      <c r="C16" s="4">
        <f t="shared" si="1"/>
        <v>93836.087166390367</v>
      </c>
      <c r="D16" s="4">
        <v>13.1</v>
      </c>
    </row>
    <row r="17" spans="1:4" x14ac:dyDescent="0.3">
      <c r="A17" s="4">
        <v>800</v>
      </c>
      <c r="B17" s="4">
        <f t="shared" si="0"/>
        <v>8384000</v>
      </c>
      <c r="C17" s="4">
        <f t="shared" si="1"/>
        <v>101067.61286883912</v>
      </c>
      <c r="D17" s="4">
        <v>13.1</v>
      </c>
    </row>
    <row r="18" spans="1:4" x14ac:dyDescent="0.3">
      <c r="A18" s="4">
        <v>850</v>
      </c>
      <c r="B18" s="4">
        <f t="shared" si="0"/>
        <v>9464750</v>
      </c>
      <c r="C18" s="4">
        <f t="shared" si="1"/>
        <v>108358.23741046409</v>
      </c>
      <c r="D18" s="4">
        <v>13.1</v>
      </c>
    </row>
    <row r="19" spans="1:4" x14ac:dyDescent="0.3">
      <c r="A19" s="4">
        <v>900</v>
      </c>
      <c r="B19" s="4">
        <f t="shared" si="0"/>
        <v>10611000</v>
      </c>
      <c r="C19" s="4">
        <f t="shared" si="1"/>
        <v>115704.48024444887</v>
      </c>
      <c r="D19" s="4">
        <v>13.1</v>
      </c>
    </row>
    <row r="20" spans="1:4" x14ac:dyDescent="0.3">
      <c r="A20" s="4">
        <v>950</v>
      </c>
      <c r="B20" s="4">
        <f t="shared" si="0"/>
        <v>11822750</v>
      </c>
      <c r="C20" s="4">
        <f t="shared" si="1"/>
        <v>123103.24818655188</v>
      </c>
      <c r="D20" s="4">
        <v>13.1</v>
      </c>
    </row>
    <row r="21" spans="1:4" x14ac:dyDescent="0.3">
      <c r="A21" s="4">
        <v>1000</v>
      </c>
      <c r="B21" s="4">
        <f t="shared" si="0"/>
        <v>13100000</v>
      </c>
      <c r="C21" s="4">
        <f t="shared" si="1"/>
        <v>130551.77412907334</v>
      </c>
      <c r="D21" s="4">
        <v>13.1</v>
      </c>
    </row>
    <row r="22" spans="1:4" x14ac:dyDescent="0.3">
      <c r="A22" s="4">
        <v>1050</v>
      </c>
      <c r="B22" s="4">
        <f t="shared" si="0"/>
        <v>14442750</v>
      </c>
      <c r="C22" s="4">
        <f t="shared" si="1"/>
        <v>138047.56804067318</v>
      </c>
      <c r="D22" s="4">
        <v>13.1</v>
      </c>
    </row>
    <row r="23" spans="1:4" x14ac:dyDescent="0.3">
      <c r="A23" s="4">
        <v>1100</v>
      </c>
      <c r="B23" s="4">
        <f t="shared" si="0"/>
        <v>15851000</v>
      </c>
      <c r="C23" s="4">
        <f t="shared" si="1"/>
        <v>145588.37731921722</v>
      </c>
      <c r="D23" s="4">
        <v>13.1</v>
      </c>
    </row>
    <row r="24" spans="1:4" x14ac:dyDescent="0.3">
      <c r="A24" s="4">
        <v>1150</v>
      </c>
      <c r="B24" s="4">
        <f t="shared" si="0"/>
        <v>17324750</v>
      </c>
      <c r="C24" s="4">
        <f t="shared" si="1"/>
        <v>153172.15436695516</v>
      </c>
      <c r="D24" s="4">
        <v>13.1</v>
      </c>
    </row>
    <row r="25" spans="1:4" x14ac:dyDescent="0.3">
      <c r="A25" s="4">
        <v>1200</v>
      </c>
      <c r="B25" s="4">
        <f t="shared" si="0"/>
        <v>18864000</v>
      </c>
      <c r="C25" s="4">
        <f t="shared" si="1"/>
        <v>160797.02981459524</v>
      </c>
      <c r="D25" s="4">
        <v>13.1</v>
      </c>
    </row>
    <row r="26" spans="1:4" x14ac:dyDescent="0.3">
      <c r="A26" s="4">
        <v>1250</v>
      </c>
      <c r="B26" s="4">
        <f t="shared" si="0"/>
        <v>20468750</v>
      </c>
      <c r="C26" s="4">
        <f t="shared" si="1"/>
        <v>168461.29021512222</v>
      </c>
      <c r="D26" s="4">
        <v>13.1</v>
      </c>
    </row>
    <row r="27" spans="1:4" x14ac:dyDescent="0.3">
      <c r="A27" s="4">
        <v>1300</v>
      </c>
      <c r="B27" s="4">
        <f t="shared" si="0"/>
        <v>22139000</v>
      </c>
      <c r="C27" s="4">
        <f t="shared" si="1"/>
        <v>176163.35931180639</v>
      </c>
      <c r="D27" s="4">
        <v>13.1</v>
      </c>
    </row>
    <row r="28" spans="1:4" x14ac:dyDescent="0.3">
      <c r="A28" s="4">
        <v>1350</v>
      </c>
      <c r="B28" s="4">
        <f t="shared" si="0"/>
        <v>23874750</v>
      </c>
      <c r="C28" s="4">
        <f t="shared" si="1"/>
        <v>183901.78219192696</v>
      </c>
      <c r="D28" s="4">
        <v>13.1</v>
      </c>
    </row>
    <row r="29" spans="1:4" x14ac:dyDescent="0.3">
      <c r="A29" s="4">
        <v>1400</v>
      </c>
      <c r="B29" s="4">
        <f t="shared" si="0"/>
        <v>25676000</v>
      </c>
      <c r="C29" s="4">
        <f t="shared" si="1"/>
        <v>191675.21179100493</v>
      </c>
      <c r="D29" s="4">
        <v>13.1</v>
      </c>
    </row>
    <row r="30" spans="1:4" x14ac:dyDescent="0.3">
      <c r="A30" s="4">
        <v>1450</v>
      </c>
      <c r="B30" s="4">
        <f t="shared" si="0"/>
        <v>27542750</v>
      </c>
      <c r="C30" s="4">
        <f t="shared" si="1"/>
        <v>199482.39732721917</v>
      </c>
      <c r="D30" s="4">
        <v>13.1</v>
      </c>
    </row>
    <row r="31" spans="1:4" x14ac:dyDescent="0.3">
      <c r="A31" s="4">
        <v>1500</v>
      </c>
      <c r="B31" s="4">
        <f t="shared" si="0"/>
        <v>29475000</v>
      </c>
      <c r="C31" s="4">
        <f t="shared" si="1"/>
        <v>207322.17433278073</v>
      </c>
      <c r="D31" s="4">
        <v>13.1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899A-E924-4E87-9357-C521FA61AE06}">
  <dimension ref="A1:E31"/>
  <sheetViews>
    <sheetView tabSelected="1" workbookViewId="0">
      <selection activeCell="Q2" sqref="Q2"/>
    </sheetView>
  </sheetViews>
  <sheetFormatPr defaultRowHeight="14.4" x14ac:dyDescent="0.3"/>
  <cols>
    <col min="1" max="1" width="5" bestFit="1" customWidth="1"/>
    <col min="2" max="2" width="9" bestFit="1" customWidth="1"/>
    <col min="4" max="4" width="18" bestFit="1" customWidth="1"/>
    <col min="5" max="5" width="12.44140625" bestFit="1" customWidth="1"/>
  </cols>
  <sheetData>
    <row r="1" spans="1:5" x14ac:dyDescent="0.3">
      <c r="A1" s="3" t="s">
        <v>3011</v>
      </c>
      <c r="B1" s="3" t="s">
        <v>3043</v>
      </c>
      <c r="C1" s="3" t="s">
        <v>3044</v>
      </c>
      <c r="D1" s="3" t="s">
        <v>3046</v>
      </c>
      <c r="E1" s="3" t="s">
        <v>3047</v>
      </c>
    </row>
    <row r="2" spans="1:5" x14ac:dyDescent="0.3">
      <c r="A2" s="4">
        <v>50</v>
      </c>
      <c r="B2" s="4">
        <f xml:space="preserve"> E2 * A2 * A2</f>
        <v>11750</v>
      </c>
      <c r="C2" s="4">
        <f xml:space="preserve"> D2 * A2 * LOG(A2,2)</f>
        <v>10864.423165316344</v>
      </c>
      <c r="D2" s="4">
        <v>38.5</v>
      </c>
      <c r="E2" s="4">
        <v>4.7</v>
      </c>
    </row>
    <row r="3" spans="1:5" x14ac:dyDescent="0.3">
      <c r="A3" s="4">
        <v>100</v>
      </c>
      <c r="B3" s="4">
        <f xml:space="preserve"> E3 * A3 * A3</f>
        <v>47000</v>
      </c>
      <c r="C3" s="4">
        <f xml:space="preserve"> D3 * A3 * LOG(A3,2)</f>
        <v>25578.846330632692</v>
      </c>
      <c r="D3" s="4">
        <v>38.5</v>
      </c>
      <c r="E3" s="4">
        <v>4.7</v>
      </c>
    </row>
    <row r="4" spans="1:5" x14ac:dyDescent="0.3">
      <c r="A4" s="4">
        <v>150</v>
      </c>
      <c r="B4" s="4">
        <f t="shared" ref="B3:B31" si="0" xml:space="preserve"> E4 * A4 * A4</f>
        <v>105750</v>
      </c>
      <c r="C4" s="4">
        <f t="shared" ref="C4:C31" si="1" xml:space="preserve"> D4 * A4 * LOG(A4,2)</f>
        <v>41746.427937613713</v>
      </c>
      <c r="D4" s="4">
        <v>38.5</v>
      </c>
      <c r="E4" s="4">
        <v>4.7</v>
      </c>
    </row>
    <row r="5" spans="1:5" x14ac:dyDescent="0.3">
      <c r="A5" s="4">
        <v>200</v>
      </c>
      <c r="B5" s="4">
        <f t="shared" si="0"/>
        <v>188000</v>
      </c>
      <c r="C5" s="4">
        <f t="shared" si="1"/>
        <v>58857.692661265377</v>
      </c>
      <c r="D5" s="4">
        <v>38.5</v>
      </c>
      <c r="E5" s="4">
        <v>4.7</v>
      </c>
    </row>
    <row r="6" spans="1:5" x14ac:dyDescent="0.3">
      <c r="A6" s="4">
        <v>250</v>
      </c>
      <c r="B6" s="4">
        <f t="shared" si="0"/>
        <v>293750</v>
      </c>
      <c r="C6" s="4">
        <f t="shared" si="1"/>
        <v>76670.673739872582</v>
      </c>
      <c r="D6" s="4">
        <v>38.5</v>
      </c>
      <c r="E6" s="4">
        <v>4.7</v>
      </c>
    </row>
    <row r="7" spans="1:5" x14ac:dyDescent="0.3">
      <c r="A7" s="4">
        <v>300</v>
      </c>
      <c r="B7" s="4">
        <f t="shared" si="0"/>
        <v>423000</v>
      </c>
      <c r="C7" s="4">
        <f t="shared" si="1"/>
        <v>95042.855875227426</v>
      </c>
      <c r="D7" s="4">
        <v>38.5</v>
      </c>
      <c r="E7" s="4">
        <v>4.7</v>
      </c>
    </row>
    <row r="8" spans="1:5" x14ac:dyDescent="0.3">
      <c r="A8" s="4">
        <v>350</v>
      </c>
      <c r="B8" s="4">
        <f t="shared" si="0"/>
        <v>575750</v>
      </c>
      <c r="C8" s="4">
        <f t="shared" si="1"/>
        <v>113880.06973194063</v>
      </c>
      <c r="D8" s="4">
        <v>38.5</v>
      </c>
      <c r="E8" s="4">
        <v>4.7</v>
      </c>
    </row>
    <row r="9" spans="1:5" x14ac:dyDescent="0.3">
      <c r="A9" s="4">
        <v>400</v>
      </c>
      <c r="B9" s="4">
        <f t="shared" si="0"/>
        <v>752000</v>
      </c>
      <c r="C9" s="4">
        <f t="shared" si="1"/>
        <v>133115.38532253078</v>
      </c>
      <c r="D9" s="4">
        <v>38.5</v>
      </c>
      <c r="E9" s="4">
        <v>4.7</v>
      </c>
    </row>
    <row r="10" spans="1:5" x14ac:dyDescent="0.3">
      <c r="A10" s="4">
        <v>450</v>
      </c>
      <c r="B10" s="4">
        <f t="shared" si="0"/>
        <v>951750</v>
      </c>
      <c r="C10" s="4">
        <f t="shared" si="1"/>
        <v>152698.75913783518</v>
      </c>
      <c r="D10" s="4">
        <v>38.5</v>
      </c>
      <c r="E10" s="4">
        <v>4.7</v>
      </c>
    </row>
    <row r="11" spans="1:5" x14ac:dyDescent="0.3">
      <c r="A11" s="4">
        <v>500</v>
      </c>
      <c r="B11" s="4">
        <f t="shared" si="0"/>
        <v>1175000</v>
      </c>
      <c r="C11" s="4">
        <f t="shared" si="1"/>
        <v>172591.34747974516</v>
      </c>
      <c r="D11" s="4">
        <v>38.5</v>
      </c>
      <c r="E11" s="4">
        <v>4.7</v>
      </c>
    </row>
    <row r="12" spans="1:5" x14ac:dyDescent="0.3">
      <c r="A12" s="4">
        <v>550</v>
      </c>
      <c r="B12" s="4">
        <f t="shared" si="0"/>
        <v>1421750</v>
      </c>
      <c r="C12" s="4">
        <f t="shared" si="1"/>
        <v>192762.11934312456</v>
      </c>
      <c r="D12" s="4">
        <v>38.5</v>
      </c>
      <c r="E12" s="4">
        <v>4.7</v>
      </c>
    </row>
    <row r="13" spans="1:5" x14ac:dyDescent="0.3">
      <c r="A13" s="4">
        <v>600</v>
      </c>
      <c r="B13" s="4">
        <f t="shared" si="0"/>
        <v>1692000</v>
      </c>
      <c r="C13" s="4">
        <f t="shared" si="1"/>
        <v>213185.71175045485</v>
      </c>
      <c r="D13" s="4">
        <v>38.5</v>
      </c>
      <c r="E13" s="4">
        <v>4.7</v>
      </c>
    </row>
    <row r="14" spans="1:5" x14ac:dyDescent="0.3">
      <c r="A14" s="4">
        <v>650</v>
      </c>
      <c r="B14" s="4">
        <f t="shared" si="0"/>
        <v>1985750</v>
      </c>
      <c r="C14" s="4">
        <f t="shared" si="1"/>
        <v>233841.00509559334</v>
      </c>
      <c r="D14" s="4">
        <v>38.5</v>
      </c>
      <c r="E14" s="4">
        <v>4.7</v>
      </c>
    </row>
    <row r="15" spans="1:5" x14ac:dyDescent="0.3">
      <c r="A15" s="4">
        <v>700</v>
      </c>
      <c r="B15" s="4">
        <f t="shared" si="0"/>
        <v>2303000</v>
      </c>
      <c r="C15" s="4">
        <f t="shared" si="1"/>
        <v>254710.13946388126</v>
      </c>
      <c r="D15" s="4">
        <v>38.5</v>
      </c>
      <c r="E15" s="4">
        <v>4.7</v>
      </c>
    </row>
    <row r="16" spans="1:5" x14ac:dyDescent="0.3">
      <c r="A16" s="4">
        <v>750</v>
      </c>
      <c r="B16" s="4">
        <f t="shared" si="0"/>
        <v>2643750</v>
      </c>
      <c r="C16" s="4">
        <f t="shared" si="1"/>
        <v>275777.81342794112</v>
      </c>
      <c r="D16" s="4">
        <v>38.5</v>
      </c>
      <c r="E16" s="4">
        <v>4.7</v>
      </c>
    </row>
    <row r="17" spans="1:5" x14ac:dyDescent="0.3">
      <c r="A17" s="4">
        <v>800</v>
      </c>
      <c r="B17" s="4">
        <f t="shared" si="0"/>
        <v>3008000</v>
      </c>
      <c r="C17" s="4">
        <f t="shared" si="1"/>
        <v>297030.77064506157</v>
      </c>
      <c r="D17" s="4">
        <v>38.5</v>
      </c>
      <c r="E17" s="4">
        <v>4.7</v>
      </c>
    </row>
    <row r="18" spans="1:5" x14ac:dyDescent="0.3">
      <c r="A18" s="4">
        <v>850</v>
      </c>
      <c r="B18" s="4">
        <f t="shared" si="0"/>
        <v>3395750</v>
      </c>
      <c r="C18" s="4">
        <f t="shared" si="1"/>
        <v>318457.4152902952</v>
      </c>
      <c r="D18" s="4">
        <v>38.5</v>
      </c>
      <c r="E18" s="4">
        <v>4.7</v>
      </c>
    </row>
    <row r="19" spans="1:5" x14ac:dyDescent="0.3">
      <c r="A19" s="4">
        <v>900</v>
      </c>
      <c r="B19" s="4">
        <f t="shared" si="0"/>
        <v>3807000</v>
      </c>
      <c r="C19" s="4">
        <f t="shared" si="1"/>
        <v>340047.51827567036</v>
      </c>
      <c r="D19" s="4">
        <v>38.5</v>
      </c>
      <c r="E19" s="4">
        <v>4.7</v>
      </c>
    </row>
    <row r="20" spans="1:5" x14ac:dyDescent="0.3">
      <c r="A20" s="4">
        <v>950</v>
      </c>
      <c r="B20" s="4">
        <f t="shared" si="0"/>
        <v>4241750</v>
      </c>
      <c r="C20" s="4">
        <f t="shared" si="1"/>
        <v>361791.98894520971</v>
      </c>
      <c r="D20" s="4">
        <v>38.5</v>
      </c>
      <c r="E20" s="4">
        <v>4.7</v>
      </c>
    </row>
    <row r="21" spans="1:5" x14ac:dyDescent="0.3">
      <c r="A21" s="4">
        <v>1000</v>
      </c>
      <c r="B21" s="4">
        <f t="shared" si="0"/>
        <v>4700000</v>
      </c>
      <c r="C21" s="4">
        <f t="shared" si="1"/>
        <v>383682.69495949033</v>
      </c>
      <c r="D21" s="4">
        <v>38.5</v>
      </c>
      <c r="E21" s="4">
        <v>4.7</v>
      </c>
    </row>
    <row r="22" spans="1:5" x14ac:dyDescent="0.3">
      <c r="A22" s="4">
        <v>1050</v>
      </c>
      <c r="B22" s="4">
        <f t="shared" si="0"/>
        <v>5181750</v>
      </c>
      <c r="C22" s="4">
        <f t="shared" si="1"/>
        <v>405712.31828747463</v>
      </c>
      <c r="D22" s="4">
        <v>38.5</v>
      </c>
      <c r="E22" s="4">
        <v>4.7</v>
      </c>
    </row>
    <row r="23" spans="1:5" x14ac:dyDescent="0.3">
      <c r="A23" s="4">
        <v>1100</v>
      </c>
      <c r="B23" s="4">
        <f t="shared" si="0"/>
        <v>5687000</v>
      </c>
      <c r="C23" s="4">
        <f t="shared" si="1"/>
        <v>427874.23868624913</v>
      </c>
      <c r="D23" s="4">
        <v>38.5</v>
      </c>
      <c r="E23" s="4">
        <v>4.7</v>
      </c>
    </row>
    <row r="24" spans="1:5" x14ac:dyDescent="0.3">
      <c r="A24" s="4">
        <v>1150</v>
      </c>
      <c r="B24" s="4">
        <f t="shared" si="0"/>
        <v>6215750</v>
      </c>
      <c r="C24" s="4">
        <f t="shared" si="1"/>
        <v>450162.43840670027</v>
      </c>
      <c r="D24" s="4">
        <v>38.5</v>
      </c>
      <c r="E24" s="4">
        <v>4.7</v>
      </c>
    </row>
    <row r="25" spans="1:5" x14ac:dyDescent="0.3">
      <c r="A25" s="4">
        <v>1200</v>
      </c>
      <c r="B25" s="4">
        <f t="shared" si="0"/>
        <v>6768000</v>
      </c>
      <c r="C25" s="4">
        <f t="shared" si="1"/>
        <v>472571.4235009097</v>
      </c>
      <c r="D25" s="4">
        <v>38.5</v>
      </c>
      <c r="E25" s="4">
        <v>4.7</v>
      </c>
    </row>
    <row r="26" spans="1:5" x14ac:dyDescent="0.3">
      <c r="A26" s="4">
        <v>1250</v>
      </c>
      <c r="B26" s="4">
        <f t="shared" si="0"/>
        <v>7343750</v>
      </c>
      <c r="C26" s="4">
        <f t="shared" si="1"/>
        <v>495096.15826581721</v>
      </c>
      <c r="D26" s="4">
        <v>38.5</v>
      </c>
      <c r="E26" s="4">
        <v>4.7</v>
      </c>
    </row>
    <row r="27" spans="1:5" x14ac:dyDescent="0.3">
      <c r="A27" s="4">
        <v>1300</v>
      </c>
      <c r="B27" s="4">
        <f t="shared" si="0"/>
        <v>7943000</v>
      </c>
      <c r="C27" s="4">
        <f t="shared" si="1"/>
        <v>517732.01019118668</v>
      </c>
      <c r="D27" s="4">
        <v>38.5</v>
      </c>
      <c r="E27" s="4">
        <v>4.7</v>
      </c>
    </row>
    <row r="28" spans="1:5" x14ac:dyDescent="0.3">
      <c r="A28" s="4">
        <v>1350</v>
      </c>
      <c r="B28" s="4">
        <f t="shared" si="0"/>
        <v>8565750</v>
      </c>
      <c r="C28" s="4">
        <f t="shared" si="1"/>
        <v>540474.70338848757</v>
      </c>
      <c r="D28" s="4">
        <v>38.5</v>
      </c>
      <c r="E28" s="4">
        <v>4.7</v>
      </c>
    </row>
    <row r="29" spans="1:5" x14ac:dyDescent="0.3">
      <c r="A29" s="4">
        <v>1400</v>
      </c>
      <c r="B29" s="4">
        <f t="shared" si="0"/>
        <v>9212000</v>
      </c>
      <c r="C29" s="4">
        <f t="shared" si="1"/>
        <v>563320.27892776253</v>
      </c>
      <c r="D29" s="4">
        <v>38.5</v>
      </c>
      <c r="E29" s="4">
        <v>4.7</v>
      </c>
    </row>
    <row r="30" spans="1:5" x14ac:dyDescent="0.3">
      <c r="A30" s="4">
        <v>1450</v>
      </c>
      <c r="B30" s="4">
        <f t="shared" si="0"/>
        <v>9881750</v>
      </c>
      <c r="C30" s="4">
        <f t="shared" si="1"/>
        <v>586265.06084717077</v>
      </c>
      <c r="D30" s="4">
        <v>38.5</v>
      </c>
      <c r="E30" s="4">
        <v>4.7</v>
      </c>
    </row>
    <row r="31" spans="1:5" x14ac:dyDescent="0.3">
      <c r="A31" s="4">
        <v>1500</v>
      </c>
      <c r="B31" s="4">
        <f t="shared" si="0"/>
        <v>10575000</v>
      </c>
      <c r="C31" s="4">
        <f t="shared" si="1"/>
        <v>609305.62685588223</v>
      </c>
      <c r="D31" s="4">
        <v>38.5</v>
      </c>
      <c r="E31" s="4">
        <v>4.7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50E45E4-04EA-4D2E-8844-EF7F754FED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24</vt:i4>
      </vt:variant>
    </vt:vector>
  </HeadingPairs>
  <TitlesOfParts>
    <vt:vector size="24" baseType="lpstr">
      <vt:lpstr>DatiOriginali</vt:lpstr>
      <vt:lpstr>Quartile1</vt:lpstr>
      <vt:lpstr>Quartile3</vt:lpstr>
      <vt:lpstr>SogliaPicchi</vt:lpstr>
      <vt:lpstr>DatiRipuliti</vt:lpstr>
      <vt:lpstr>Min</vt:lpstr>
      <vt:lpstr>Max</vt:lpstr>
      <vt:lpstr>Media</vt:lpstr>
      <vt:lpstr>DevStd</vt:lpstr>
      <vt:lpstr>Media+DevStd</vt:lpstr>
      <vt:lpstr>Media-DevStd</vt:lpstr>
      <vt:lpstr>ConfrontiBS</vt:lpstr>
      <vt:lpstr>TempoBs</vt:lpstr>
      <vt:lpstr>ConfrontiIs</vt:lpstr>
      <vt:lpstr>TempoIS</vt:lpstr>
      <vt:lpstr>ConfrontiMS</vt:lpstr>
      <vt:lpstr>TempoMS</vt:lpstr>
      <vt:lpstr>ConfrontiQS</vt:lpstr>
      <vt:lpstr>TempoQS</vt:lpstr>
      <vt:lpstr>ConfrontiQSR</vt:lpstr>
      <vt:lpstr>TempoQSR</vt:lpstr>
      <vt:lpstr>TNS MergeSort VS QuickSort</vt:lpstr>
      <vt:lpstr>TNS QuickSort VS QuickSortRando</vt:lpstr>
      <vt:lpstr>TNS MergeSort vs BubbleSort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Nicolò Andreola</dc:creator>
  <cp:lastModifiedBy>Nicolò Andreola</cp:lastModifiedBy>
  <dcterms:created xsi:type="dcterms:W3CDTF">2025-12-09T18:11:40Z</dcterms:created>
  <dcterms:modified xsi:type="dcterms:W3CDTF">2025-12-15T08:29:50Z</dcterms:modified>
</cp:coreProperties>
</file>